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0" headerRowCount="1">
  <autoFilter ref="A1:DQ21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COUNTA('Picks'!$A$2:$A$210)</f>
        <v/>
      </c>
      <c r="C4" s="6">
        <f>COUNTIF('Picks'!$U$2:$U$210,"open")</f>
        <v/>
      </c>
      <c r="E4" s="6">
        <f>COUNTIF('Picks'!$U$2:$U$210,"settled")</f>
        <v/>
      </c>
      <c r="G4" s="6">
        <f>IF(COUNTIFS('Picks'!$U$2:$U$210,"settled",'Picks'!$V$2:$V$210,"win")+COUNTIFS('Picks'!$U$2:$U$210,"settled",'Picks'!$V$2:$V$210,"loss")&gt;=$L$2,"Ready","Insufficient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COUNTIF('Picks'!$BX$2:$BX$210,"&gt;0")</f>
        <v/>
      </c>
      <c r="C7" s="6">
        <f>COUNTIFS('Picks'!$BX$2:$BX$210,"&gt;0",'Picks'!$V$2:$V$210,"win")&amp;"-"&amp;COUNTIFS('Picks'!$BX$2:$BX$210,"&gt;0",'Picks'!$V$2:$V$210,"loss")</f>
        <v/>
      </c>
      <c r="E7" s="7">
        <f>IFERROR(COUNTIFS('Picks'!$BX$2:$BX$210,"&gt;0",'Picks'!$V$2:$V$210,"win")/(COUNTIFS('Picks'!$BX$2:$BX$210,"&gt;0",'Picks'!$V$2:$V$210,"win")+COUNTIFS('Picks'!$BX$2:$BX$210,"&gt;0",'Picks'!$V$2:$V$210,"loss")),0)</f>
        <v/>
      </c>
      <c r="G7" s="7">
        <f>IFERROR(SUM('Picks'!$BY$2:$BY$210)/SUM('Picks'!$BX$2:$BX$210),0)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SUM('Picks'!$BY$2:$BY$210)</f>
        <v/>
      </c>
      <c r="C10" s="9">
        <f>IFERROR(AVERAGEIF('Picks'!$AB$2:$AB$210,"&lt;&gt;",'Picks'!$AB$2:$AB$210),0)</f>
        <v/>
      </c>
      <c r="E10" s="6">
        <f>COUNTIFS('Picks'!$AM$2:$AM$210,"QUALIFIED_SHADOW_CALL",'Picks'!$U$2:$U$210,"settled")</f>
        <v/>
      </c>
      <c r="G10" s="8">
        <f>SUMIFS('Picks'!$AC$2:$AC$210,'Picks'!$AM$2:$AM$210,"QUALIFIED_SHADOW_CALL")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COUNTIFS('Picks'!$H$2:$H$210,$A14,'Picks'!$U$2:$U$210,"settled")</f>
        <v/>
      </c>
      <c r="C14" s="13">
        <f>COUNTIFS('Picks'!$H$2:$H$210,$A14,'Picks'!$U$2:$U$210,"settled",'Picks'!$V$2:$V$210,"win")</f>
        <v/>
      </c>
      <c r="D14" s="13">
        <f>COUNTIFS('Picks'!$H$2:$H$210,$A14,'Picks'!$U$2:$U$210,"settled",'Picks'!$V$2:$V$210,"loss")</f>
        <v/>
      </c>
      <c r="E14" s="14">
        <f>IFERROR(C14/(C14+D14),0)</f>
        <v/>
      </c>
      <c r="F14" s="15">
        <f>SUMIFS('Picks'!$BY$2:$BY$210,'Picks'!$H$2:$H$210,$A14)</f>
        <v/>
      </c>
      <c r="G14" s="16">
        <f>IFERROR(AVERAGEIFS('Picks'!$AB$2:$AB$210,'Picks'!$H$2:$H$210,$A14,'Picks'!$U$2:$U$210,"settled"),0)</f>
        <v/>
      </c>
    </row>
    <row r="15">
      <c r="A15" s="17" t="inlineStr">
        <is>
          <t>spread</t>
        </is>
      </c>
      <c r="B15" s="18">
        <f>COUNTIFS('Picks'!$H$2:$H$210,$A15,'Picks'!$U$2:$U$210,"settled")</f>
        <v/>
      </c>
      <c r="C15" s="18">
        <f>COUNTIFS('Picks'!$H$2:$H$210,$A15,'Picks'!$U$2:$U$210,"settled",'Picks'!$V$2:$V$210,"win")</f>
        <v/>
      </c>
      <c r="D15" s="18">
        <f>COUNTIFS('Picks'!$H$2:$H$210,$A15,'Picks'!$U$2:$U$210,"settled",'Picks'!$V$2:$V$210,"loss")</f>
        <v/>
      </c>
      <c r="E15" s="19">
        <f>IFERROR(C15/(C15+D15),0)</f>
        <v/>
      </c>
      <c r="F15" s="20">
        <f>SUMIFS('Picks'!$BY$2:$BY$210,'Picks'!$H$2:$H$210,$A15)</f>
        <v/>
      </c>
      <c r="G15" s="21">
        <f>IFERROR(AVERAGEIFS('Picks'!$AB$2:$AB$210,'Picks'!$H$2:$H$210,$A15,'Picks'!$U$2:$U$210,"settled"),0)</f>
        <v/>
      </c>
    </row>
    <row r="16">
      <c r="A16" s="12" t="inlineStr">
        <is>
          <t>total</t>
        </is>
      </c>
      <c r="B16" s="13">
        <f>COUNTIFS('Picks'!$H$2:$H$210,$A16,'Picks'!$U$2:$U$210,"settled")</f>
        <v/>
      </c>
      <c r="C16" s="13">
        <f>COUNTIFS('Picks'!$H$2:$H$210,$A16,'Picks'!$U$2:$U$210,"settled",'Picks'!$V$2:$V$210,"win")</f>
        <v/>
      </c>
      <c r="D16" s="13">
        <f>COUNTIFS('Picks'!$H$2:$H$210,$A16,'Picks'!$U$2:$U$210,"settled",'Picks'!$V$2:$V$210,"loss")</f>
        <v/>
      </c>
      <c r="E16" s="14">
        <f>IFERROR(C16/(C16+D16),0)</f>
        <v/>
      </c>
      <c r="F16" s="15">
        <f>SUMIFS('Picks'!$BY$2:$BY$210,'Picks'!$H$2:$H$210,$A16)</f>
        <v/>
      </c>
      <c r="G16" s="16">
        <f>IFERROR(AVERAGEIFS('Picks'!$AB$2:$AB$210,'Picks'!$H$2:$H$210,$A16,'Picks'!$U$2:$U$210,"settled"),0)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e7b27a6351004271</t>
        </is>
      </c>
      <c r="B2" s="24" t="inlineStr">
        <is>
          <t>2026-08-04T16:54:52.896251Z</t>
        </is>
      </c>
      <c r="C2" s="24" t="inlineStr">
        <is>
          <t>2026-08-04T18:00:00Z</t>
        </is>
      </c>
      <c r="D2" s="24" t="inlineStr">
        <is>
          <t>68688</t>
        </is>
      </c>
      <c r="E2" s="24" t="inlineStr">
        <is>
          <t>LOL</t>
        </is>
      </c>
      <c r="F2" s="24" t="inlineStr">
        <is>
          <t>Joblife</t>
        </is>
      </c>
      <c r="G2" s="24" t="inlineStr">
        <is>
          <t>ZYB Esport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-104</v>
      </c>
      <c r="M2" s="27" t="n">
        <v>1.961538</v>
      </c>
      <c r="N2" s="28" t="n">
        <v>0.509804</v>
      </c>
      <c r="O2" s="28" t="n">
        <v>0.530674</v>
      </c>
      <c r="P2" s="28" t="n"/>
      <c r="Q2" s="28" t="n">
        <v>0.02087</v>
      </c>
      <c r="R2" s="26" t="n">
        <v>30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-104</v>
      </c>
      <c r="AA2" s="28" t="n">
        <v>0.51</v>
      </c>
      <c r="AB2" s="28" t="n">
        <v>0.000196</v>
      </c>
      <c r="AC2" s="30" t="n">
        <v>0.9615</v>
      </c>
      <c r="AD2" s="24" t="inlineStr">
        <is>
          <t>2026-08-04T22:00:06.736199Z</t>
        </is>
      </c>
      <c r="AE2" s="31" t="inlineStr">
        <is>
          <t>Neutral Elo baseline; executable ask 0.5100 (market_slug=aec-lol-zyb-jl-2026-08-04).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Joblife</t>
        </is>
      </c>
      <c r="AQ2" s="24" t="inlineStr">
        <is>
          <t>Joblife</t>
        </is>
      </c>
      <c r="AR2" s="24" t="inlineStr">
        <is>
          <t>Joblife</t>
        </is>
      </c>
      <c r="AS2" s="24" t="inlineStr">
        <is>
          <t>ZYB Esport</t>
        </is>
      </c>
      <c r="AT2" s="24" t="inlineStr">
        <is>
          <t>ZYB Esport</t>
        </is>
      </c>
      <c r="AU2" s="24" t="inlineStr">
        <is>
          <t>ZYB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2026-08-04T16:54:19.630031Z</t>
        </is>
      </c>
      <c r="BI2" s="24" t="inlineStr">
        <is>
          <t>["same_event","same_team_same_day","same_league_same_day"]</t>
        </is>
      </c>
      <c r="BJ2" s="25" t="n"/>
      <c r="BK2" s="26" t="n">
        <v>-104</v>
      </c>
      <c r="BL2" s="27" t="n">
        <v>1.961538</v>
      </c>
      <c r="BM2" s="28" t="n">
        <v>0.509804</v>
      </c>
      <c r="BN2" s="28" t="n"/>
      <c r="BO2" s="28" t="n"/>
      <c r="BP2" s="25" t="n"/>
      <c r="BQ2" s="27" t="n">
        <v>1.961538</v>
      </c>
      <c r="BR2" s="28" t="n">
        <v>0.51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0.509804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3f74d898ac9646d8</t>
        </is>
      </c>
      <c r="B3" s="24" t="inlineStr">
        <is>
          <t>2026-08-04T18:08:50.279200Z</t>
        </is>
      </c>
      <c r="C3" s="24" t="inlineStr">
        <is>
          <t>2026-08-04T20:00:00Z</t>
        </is>
      </c>
      <c r="D3" s="24" t="inlineStr">
        <is>
          <t>69144</t>
        </is>
      </c>
      <c r="E3" s="24" t="inlineStr">
        <is>
          <t>LOL</t>
        </is>
      </c>
      <c r="F3" s="24" t="inlineStr">
        <is>
          <t>INTZ e-Sports</t>
        </is>
      </c>
      <c r="G3" s="24" t="inlineStr">
        <is>
          <t>Vivo Keyd Stars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0.56541</v>
      </c>
      <c r="P3" s="28" t="n"/>
      <c r="Q3" s="28" t="n">
        <v>0.11496</v>
      </c>
      <c r="R3" s="26" t="n">
        <v>77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122</v>
      </c>
      <c r="AA3" s="28" t="n">
        <v>0.45</v>
      </c>
      <c r="AB3" s="28" t="n">
        <v>-0.00045</v>
      </c>
      <c r="AC3" s="30" t="n">
        <v>-1</v>
      </c>
      <c r="AD3" s="24" t="inlineStr">
        <is>
          <t>2026-08-04T22:00:08.029029Z</t>
        </is>
      </c>
      <c r="AE3" s="31" t="inlineStr">
        <is>
          <t>Neutral Elo baseline; executable ask 0.4500 (market_slug=aec-lol-vksa-itz-2026-08-04).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INTZ e-Sports</t>
        </is>
      </c>
      <c r="AQ3" s="24" t="inlineStr">
        <is>
          <t>INTZ e-Sports</t>
        </is>
      </c>
      <c r="AR3" s="24" t="inlineStr">
        <is>
          <t>INTZ e-Sports</t>
        </is>
      </c>
      <c r="AS3" s="24" t="inlineStr">
        <is>
          <t>Vivo Keyd Stars Academy</t>
        </is>
      </c>
      <c r="AT3" s="24" t="inlineStr">
        <is>
          <t>Vivo Keyd Stars Academy</t>
        </is>
      </c>
      <c r="AU3" s="24" t="inlineStr">
        <is>
          <t>Vivo Keyd Stars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581bb511aff842f9af01d132a2c739b65878388c9d1d8f1182f28b3c271e9a2c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581bb511aff842f9af01d132a2c739b65878388c9d1d8f1182f28b3c271e9a2c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2026-08-04T18:08:14.538966Z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826e1c0eddf0473f</t>
        </is>
      </c>
      <c r="B4" s="24" t="inlineStr">
        <is>
          <t>2026-08-04T18:08:50.279200Z</t>
        </is>
      </c>
      <c r="C4" s="24" t="inlineStr">
        <is>
          <t>2026-08-04T20:00:00Z</t>
        </is>
      </c>
      <c r="D4" s="24" t="inlineStr">
        <is>
          <t>69141</t>
        </is>
      </c>
      <c r="E4" s="24" t="inlineStr">
        <is>
          <t>LOL</t>
        </is>
      </c>
      <c r="F4" s="24" t="inlineStr">
        <is>
          <t>Vitality.Bee</t>
        </is>
      </c>
      <c r="G4" s="24" t="inlineStr">
        <is>
          <t>Karmine Corp Blue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0.663313</v>
      </c>
      <c r="P4" s="28" t="n"/>
      <c r="Q4" s="28" t="n">
        <v>0.003449</v>
      </c>
      <c r="R4" s="26" t="n">
        <v>22</v>
      </c>
      <c r="S4" s="29" t="n">
        <v>1.75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-194</v>
      </c>
      <c r="AA4" s="28" t="n">
        <v>0.66</v>
      </c>
      <c r="AB4" s="28" t="n">
        <v>0.000136</v>
      </c>
      <c r="AC4" s="30" t="n">
        <v>0.9021</v>
      </c>
      <c r="AD4" s="24" t="inlineStr">
        <is>
          <t>2026-08-04T22:00:09.282327Z</t>
        </is>
      </c>
      <c r="AE4" s="31" t="inlineStr">
        <is>
          <t>Neutral Elo baseline; executable ask 0.6600 (market_slug=aec-lol-kcb-vitb-2026-08-04).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Vitality.Bee</t>
        </is>
      </c>
      <c r="AQ4" s="24" t="inlineStr">
        <is>
          <t>Vitality.Bee</t>
        </is>
      </c>
      <c r="AR4" s="24" t="inlineStr">
        <is>
          <t>Vitality.Bee</t>
        </is>
      </c>
      <c r="AS4" s="24" t="inlineStr">
        <is>
          <t>Karmine Corp Blue</t>
        </is>
      </c>
      <c r="AT4" s="24" t="inlineStr">
        <is>
          <t>Karmine Corp Blue</t>
        </is>
      </c>
      <c r="AU4" s="24" t="inlineStr">
        <is>
          <t>Karmine Corp Blue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581bb511aff842f9af01d132a2c739b65878388c9d1d8f1182f28b3c271e9a2c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581bb511aff842f9af01d132a2c739b65878388c9d1d8f1182f28b3c271e9a2c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2026-08-04T18:08:15.286337Z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1.515464</v>
      </c>
      <c r="BR4" s="28" t="n">
        <v>0.66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0.659864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e87b40da89ed44aa</t>
        </is>
      </c>
      <c r="B5" s="24" t="inlineStr">
        <is>
          <t>2026-08-04T18:08:50.279200Z</t>
        </is>
      </c>
      <c r="C5" s="24" t="inlineStr">
        <is>
          <t>2026-08-04T21:00:00Z</t>
        </is>
      </c>
      <c r="D5" s="24" t="inlineStr">
        <is>
          <t>69233</t>
        </is>
      </c>
      <c r="E5" s="24" t="inlineStr">
        <is>
          <t>LOL</t>
        </is>
      </c>
      <c r="F5" s="24" t="inlineStr">
        <is>
          <t>Team Solid</t>
        </is>
      </c>
      <c r="G5" s="24" t="inlineStr">
        <is>
          <t>RED Academy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0.552115</v>
      </c>
      <c r="P5" s="28" t="n"/>
      <c r="Q5" s="28" t="n">
        <v>0.222082</v>
      </c>
      <c r="R5" s="26" t="n">
        <v>100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203</v>
      </c>
      <c r="AA5" s="28" t="n">
        <v>0.33</v>
      </c>
      <c r="AB5" s="28" t="n">
        <v>-3.3e-05</v>
      </c>
      <c r="AC5" s="30" t="n">
        <v>-1</v>
      </c>
      <c r="AD5" s="24" t="inlineStr">
        <is>
          <t>2026-08-05T01:06:40.231508Z</t>
        </is>
      </c>
      <c r="AE5" s="31" t="inlineStr">
        <is>
          <t>Neutral Elo baseline; executable ask 0.3300 (market_slug=aec-lol-reda-tse-2026-08-04).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Solid</t>
        </is>
      </c>
      <c r="AQ5" s="24" t="inlineStr">
        <is>
          <t>Team Solid</t>
        </is>
      </c>
      <c r="AR5" s="24" t="inlineStr">
        <is>
          <t>Team Solid</t>
        </is>
      </c>
      <c r="AS5" s="24" t="inlineStr">
        <is>
          <t>RED Academy</t>
        </is>
      </c>
      <c r="AT5" s="24" t="inlineStr">
        <is>
          <t>RED Academy</t>
        </is>
      </c>
      <c r="AU5" s="24" t="inlineStr">
        <is>
          <t>RED Academy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581bb511aff842f9af01d132a2c739b65878388c9d1d8f1182f28b3c271e9a2c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581bb511aff842f9af01d132a2c739b65878388c9d1d8f1182f28b3c271e9a2c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2026-08-04T18:08:16.814975Z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>
        <v>3.03</v>
      </c>
      <c r="BR5" s="28" t="n">
        <v>0.33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0.330033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74ff8cb85b6c4687</t>
        </is>
      </c>
      <c r="B6" s="24" t="inlineStr">
        <is>
          <t>2026-08-04T18:08:50.279200Z</t>
        </is>
      </c>
      <c r="C6" s="24" t="inlineStr">
        <is>
          <t>2026-08-04T22:00:00Z</t>
        </is>
      </c>
      <c r="D6" s="24" t="inlineStr">
        <is>
          <t>69273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7REX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-113</v>
      </c>
      <c r="M6" s="27" t="n">
        <v>1.884956</v>
      </c>
      <c r="N6" s="28" t="n">
        <v>0.530516</v>
      </c>
      <c r="O6" s="28" t="n">
        <v>0.610688</v>
      </c>
      <c r="P6" s="28" t="n"/>
      <c r="Q6" s="28" t="n">
        <v>0.08017199999999999</v>
      </c>
      <c r="R6" s="26" t="n">
        <v>60</v>
      </c>
      <c r="S6" s="29" t="n">
        <v>1.5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-113</v>
      </c>
      <c r="AA6" s="28" t="n">
        <v>0.53</v>
      </c>
      <c r="AB6" s="28" t="n">
        <v>-0.000516</v>
      </c>
      <c r="AC6" s="30" t="n">
        <v>1.3274</v>
      </c>
      <c r="AD6" s="24" t="inlineStr">
        <is>
          <t>2026-08-05T01:06:42.280534Z</t>
        </is>
      </c>
      <c r="AE6" s="31" t="inlineStr">
        <is>
          <t>Neutral Elo baseline; executable ask 0.5300 (market_slug=aec-lol-7rex-rmd-2026-08-04).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7REX</t>
        </is>
      </c>
      <c r="AT6" s="24" t="inlineStr">
        <is>
          <t>7REX</t>
        </is>
      </c>
      <c r="AU6" s="24" t="inlineStr">
        <is>
          <t>7REX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581bb511aff842f9af01d132a2c739b65878388c9d1d8f1182f28b3c271e9a2c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581bb511aff842f9af01d132a2c739b65878388c9d1d8f1182f28b3c271e9a2c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2026-08-04T18:08:17.591273Z</t>
        </is>
      </c>
      <c r="BI6" s="24" t="inlineStr">
        <is>
          <t>["same_event","same_team_same_day","same_league_same_day"]</t>
        </is>
      </c>
      <c r="BJ6" s="25" t="n"/>
      <c r="BK6" s="26" t="n">
        <v>-113</v>
      </c>
      <c r="BL6" s="27" t="n">
        <v>1.884956</v>
      </c>
      <c r="BM6" s="28" t="n">
        <v>0.530516</v>
      </c>
      <c r="BN6" s="28" t="n"/>
      <c r="BO6" s="28" t="n"/>
      <c r="BP6" s="25" t="n"/>
      <c r="BQ6" s="27" t="n">
        <v>1.884956</v>
      </c>
      <c r="BR6" s="28" t="n">
        <v>0.53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0.530516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3e2ddc0f60084cb5</t>
        </is>
      </c>
      <c r="B7" s="24" t="inlineStr">
        <is>
          <t>2026-08-04T22:03:07.434111Z</t>
        </is>
      </c>
      <c r="C7" s="24" t="inlineStr">
        <is>
          <t>2026-08-04T23:00:00Z</t>
        </is>
      </c>
      <c r="D7" s="24" t="inlineStr">
        <is>
          <t>69304</t>
        </is>
      </c>
      <c r="E7" s="24" t="inlineStr">
        <is>
          <t>LOL</t>
        </is>
      </c>
      <c r="F7" s="24" t="inlineStr">
        <is>
          <t>paiN Gaming Academy</t>
        </is>
      </c>
      <c r="G7" s="24" t="inlineStr">
        <is>
          <t>KaBuM! Ilha das Lendas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0.542093</v>
      </c>
      <c r="P7" s="28" t="n"/>
      <c r="Q7" s="28" t="n">
        <v>0.002922</v>
      </c>
      <c r="R7" s="26" t="n">
        <v>21</v>
      </c>
      <c r="S7" s="29" t="n">
        <v>1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-117</v>
      </c>
      <c r="AA7" s="28" t="n">
        <v>0.54</v>
      </c>
      <c r="AB7" s="28" t="n">
        <v>0.000829</v>
      </c>
      <c r="AC7" s="30" t="n">
        <v>-1</v>
      </c>
      <c r="AD7" s="24" t="inlineStr">
        <is>
          <t>2026-08-05T01:06:44.159759Z</t>
        </is>
      </c>
      <c r="AE7" s="31" t="inlineStr">
        <is>
          <t>Neutral Elo baseline; executable ask 0.5400 (market_slug=aec-lol-kbm-pnga-2026-08-04).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paiN Gaming Academy</t>
        </is>
      </c>
      <c r="AQ7" s="24" t="inlineStr">
        <is>
          <t>paiN Gaming Academy</t>
        </is>
      </c>
      <c r="AR7" s="24" t="inlineStr">
        <is>
          <t>paiN Gaming Academy</t>
        </is>
      </c>
      <c r="AS7" s="24" t="inlineStr">
        <is>
          <t>KaBuM! Ilha das Lendas</t>
        </is>
      </c>
      <c r="AT7" s="24" t="inlineStr">
        <is>
          <t>KaBuM! Ilha das Lendas</t>
        </is>
      </c>
      <c r="AU7" s="24" t="inlineStr">
        <is>
          <t>KaBuM! Ilha das Lendas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97b6e7d388d98e9492a794fb2cdef05114fd516a988a71f95285158326a46434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97b6e7d388d98e9492a794fb2cdef05114fd516a988a71f95285158326a46434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2026-08-04T22:02:38.695907Z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0.539171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2ed3a33fa9b847a4</t>
        </is>
      </c>
      <c r="B8" s="24" t="inlineStr">
        <is>
          <t>2026-08-05T04:39:12.089327Z</t>
        </is>
      </c>
      <c r="C8" s="24" t="inlineStr">
        <is>
          <t>2026-08-05T05:00:00Z</t>
        </is>
      </c>
      <c r="D8" s="24" t="inlineStr">
        <is>
          <t>69507</t>
        </is>
      </c>
      <c r="E8" s="24" t="inlineStr">
        <is>
          <t>LOL</t>
        </is>
      </c>
      <c r="F8" s="24" t="inlineStr">
        <is>
          <t>Nongshim Esports Academy</t>
        </is>
      </c>
      <c r="G8" s="24" t="inlineStr">
        <is>
          <t>Dplus KIA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-104</v>
      </c>
      <c r="M8" s="27" t="n">
        <v>1.961538</v>
      </c>
      <c r="N8" s="28" t="n">
        <v>0.509804</v>
      </c>
      <c r="O8" s="28" t="n">
        <v>0.675544</v>
      </c>
      <c r="P8" s="28" t="n"/>
      <c r="Q8" s="28" t="n">
        <v>0.16574</v>
      </c>
      <c r="R8" s="26" t="n">
        <v>100</v>
      </c>
      <c r="S8" s="29" t="n">
        <v>1.75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-104</v>
      </c>
      <c r="AA8" s="28" t="n">
        <v>0.51</v>
      </c>
      <c r="AB8" s="28" t="n">
        <v>0.000196</v>
      </c>
      <c r="AC8" s="30" t="n">
        <v>1.6827</v>
      </c>
      <c r="AD8" s="24" t="inlineStr">
        <is>
          <t>2026-08-05T10:18:21.257965Z</t>
        </is>
      </c>
      <c r="AE8" s="31" t="inlineStr">
        <is>
          <t>Neutral Elo baseline; executable ask 0.5100 (market_slug=aec-lol-dkc-nsea-2026-08-05).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Nongshim Esports Academy</t>
        </is>
      </c>
      <c r="AQ8" s="24" t="inlineStr">
        <is>
          <t>Nongshim Esports Academy</t>
        </is>
      </c>
      <c r="AR8" s="24" t="inlineStr">
        <is>
          <t>Nongshim Esports Academy</t>
        </is>
      </c>
      <c r="AS8" s="24" t="inlineStr">
        <is>
          <t>Dplus KIA Challengers</t>
        </is>
      </c>
      <c r="AT8" s="24" t="inlineStr">
        <is>
          <t>Dplus KIA Challengers</t>
        </is>
      </c>
      <c r="AU8" s="24" t="inlineStr">
        <is>
          <t>Dplus KIA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9a8d5ad7f045de5eb1cb17aea82bbcf9812b40ca30a6256eba6436fea9a94482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9a8d5ad7f045de5eb1cb17aea82bbcf9812b40ca30a6256eba6436fea9a94482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2026-08-05T04:38:10.815485Z</t>
        </is>
      </c>
      <c r="BI8" s="24" t="inlineStr">
        <is>
          <t>["same_event","same_team_same_day","same_league_same_day"]</t>
        </is>
      </c>
      <c r="BJ8" s="25" t="n"/>
      <c r="BK8" s="26" t="n">
        <v>-104</v>
      </c>
      <c r="BL8" s="27" t="n">
        <v>1.961538</v>
      </c>
      <c r="BM8" s="28" t="n">
        <v>0.509804</v>
      </c>
      <c r="BN8" s="28" t="n"/>
      <c r="BO8" s="28" t="n"/>
      <c r="BP8" s="25" t="n"/>
      <c r="BQ8" s="27" t="n">
        <v>1.961538</v>
      </c>
      <c r="BR8" s="28" t="n">
        <v>0.51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0.509804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b9619cd820234cc5</t>
        </is>
      </c>
      <c r="B9" s="24" t="inlineStr">
        <is>
          <t>2026-08-05T04:39:12.089327Z</t>
        </is>
      </c>
      <c r="C9" s="24" t="inlineStr">
        <is>
          <t>2026-08-05T08:00:00Z</t>
        </is>
      </c>
      <c r="D9" s="24" t="inlineStr">
        <is>
          <t>69511</t>
        </is>
      </c>
      <c r="E9" s="24" t="inlineStr">
        <is>
          <t>LOL</t>
        </is>
      </c>
      <c r="F9" s="24" t="inlineStr">
        <is>
          <t>New Meta</t>
        </is>
      </c>
      <c r="G9" s="24" t="inlineStr">
        <is>
          <t>FENNEL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0.692195</v>
      </c>
      <c r="P9" s="28" t="n"/>
      <c r="Q9" s="28" t="n">
        <v>0.001793</v>
      </c>
      <c r="R9" s="26" t="n">
        <v>21</v>
      </c>
      <c r="S9" s="29" t="n">
        <v>2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2026-08-05T10:41:50.735529Z</t>
        </is>
      </c>
      <c r="AE9" s="31" t="inlineStr">
        <is>
          <t>Neutral Elo baseline; executable ask 0.6900 (market_slug=aec-lol-fnl-nme-2026-08-05).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Meta</t>
        </is>
      </c>
      <c r="AQ9" s="24" t="inlineStr">
        <is>
          <t>New Meta</t>
        </is>
      </c>
      <c r="AR9" s="24" t="inlineStr">
        <is>
          <t>New Meta</t>
        </is>
      </c>
      <c r="AS9" s="24" t="inlineStr">
        <is>
          <t>FENNEL</t>
        </is>
      </c>
      <c r="AT9" s="24" t="inlineStr">
        <is>
          <t>FENNEL</t>
        </is>
      </c>
      <c r="AU9" s="24" t="inlineStr">
        <is>
          <t>FENNEL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9a8d5ad7f045de5eb1cb17aea82bbcf9812b40ca30a6256eba6436fea9a94482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9a8d5ad7f045de5eb1cb17aea82bbcf9812b40ca30a6256eba6436fea9a94482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2026-08-05T04:38:12.003217Z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0.690402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628efea63f93409f</t>
        </is>
      </c>
      <c r="B10" s="24" t="inlineStr">
        <is>
          <t>2026-08-05T04:39:12.089327Z</t>
        </is>
      </c>
      <c r="C10" s="24" t="inlineStr">
        <is>
          <t>2026-08-05T08:00:00Z</t>
        </is>
      </c>
      <c r="D10" s="24" t="inlineStr">
        <is>
          <t>69512</t>
        </is>
      </c>
      <c r="E10" s="24" t="inlineStr">
        <is>
          <t>LOL</t>
        </is>
      </c>
      <c r="F10" s="24" t="inlineStr">
        <is>
          <t>Nongshim Red Force</t>
        </is>
      </c>
      <c r="G10" s="24" t="inlineStr">
        <is>
          <t>HANJIN BRION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0.7818929999999999</v>
      </c>
      <c r="P10" s="28" t="n"/>
      <c r="Q10" s="28" t="n">
        <v>0.082193</v>
      </c>
      <c r="R10" s="26" t="n">
        <v>61</v>
      </c>
      <c r="S10" s="29" t="n">
        <v>2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-233</v>
      </c>
      <c r="AA10" s="28" t="n">
        <v>0.7</v>
      </c>
      <c r="AB10" s="28" t="n">
        <v>0.0003</v>
      </c>
      <c r="AC10" s="30" t="n">
        <v>-2</v>
      </c>
      <c r="AD10" s="24" t="inlineStr">
        <is>
          <t>2026-08-05T10:41:52.466844Z</t>
        </is>
      </c>
      <c r="AE10" s="31" t="inlineStr">
        <is>
          <t>Neutral Elo baseline; executable ask 0.7000 (market_slug=aec-lol-bro-ns-2026-08-05).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Nongshim Red Force</t>
        </is>
      </c>
      <c r="AQ10" s="24" t="inlineStr">
        <is>
          <t>Nongshim Red Force</t>
        </is>
      </c>
      <c r="AR10" s="24" t="inlineStr">
        <is>
          <t>Nongshim Red Force</t>
        </is>
      </c>
      <c r="AS10" s="24" t="inlineStr">
        <is>
          <t>HANJIN BRION</t>
        </is>
      </c>
      <c r="AT10" s="24" t="inlineStr">
        <is>
          <t>HANJIN BRION</t>
        </is>
      </c>
      <c r="AU10" s="24" t="inlineStr">
        <is>
          <t>HANJIN BRION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9a8d5ad7f045de5eb1cb17aea82bbcf9812b40ca30a6256eba6436fea9a94482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9a8d5ad7f045de5eb1cb17aea82bbcf9812b40ca30a6256eba6436fea9a94482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2026-08-05T04:38:12.947438Z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>
        <v>1.429185</v>
      </c>
      <c r="BR10" s="28" t="n">
        <v>0.7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0.6997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27ca4687f26448c7</t>
        </is>
      </c>
      <c r="B11" s="24" t="inlineStr">
        <is>
          <t>2026-08-05T04:39:12.089327Z</t>
        </is>
      </c>
      <c r="C11" s="24" t="inlineStr">
        <is>
          <t>2026-08-05T10:00:00Z</t>
        </is>
      </c>
      <c r="D11" s="24" t="inlineStr">
        <is>
          <t>69539</t>
        </is>
      </c>
      <c r="E11" s="24" t="inlineStr">
        <is>
          <t>LOL</t>
        </is>
      </c>
      <c r="F11" s="24" t="inlineStr">
        <is>
          <t>Gen.G</t>
        </is>
      </c>
      <c r="G11" s="24" t="inlineStr">
        <is>
          <t>Hanwha Life Esports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0.6212029999999999</v>
      </c>
      <c r="P11" s="28" t="n"/>
      <c r="Q11" s="28" t="n">
        <v>0.101972</v>
      </c>
      <c r="R11" s="26" t="n">
        <v>71</v>
      </c>
      <c r="S11" s="29" t="n">
        <v>1.5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-108</v>
      </c>
      <c r="AA11" s="28" t="n">
        <v>0.52</v>
      </c>
      <c r="AB11" s="28" t="n">
        <v>0.000769</v>
      </c>
      <c r="AC11" s="30" t="n">
        <v>-1.5</v>
      </c>
      <c r="AD11" s="24" t="inlineStr">
        <is>
          <t>2026-08-05T17:01:20.926489Z</t>
        </is>
      </c>
      <c r="AE11" s="31" t="inlineStr">
        <is>
          <t>Neutral Elo baseline; executable ask 0.5200 (market_slug=aec-lol-hle-gen-2026-08-05).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</t>
        </is>
      </c>
      <c r="AQ11" s="24" t="inlineStr">
        <is>
          <t>Gen.G</t>
        </is>
      </c>
      <c r="AR11" s="24" t="inlineStr">
        <is>
          <t>Gen.G</t>
        </is>
      </c>
      <c r="AS11" s="24" t="inlineStr">
        <is>
          <t>Hanwha Life Esports</t>
        </is>
      </c>
      <c r="AT11" s="24" t="inlineStr">
        <is>
          <t>Hanwha Life Esports</t>
        </is>
      </c>
      <c r="AU11" s="24" t="inlineStr">
        <is>
          <t>Hanwha Life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9a8d5ad7f045de5eb1cb17aea82bbcf9812b40ca30a6256eba6436fea9a94482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9a8d5ad7f045de5eb1cb17aea82bbcf9812b40ca30a6256eba6436fea9a94482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2026-08-05T04:38:15.141988Z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>
        <v>1.925926</v>
      </c>
      <c r="BR11" s="28" t="n">
        <v>0.52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0.519231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6e173ced17ed423c</t>
        </is>
      </c>
      <c r="B12" s="24" t="inlineStr">
        <is>
          <t>2026-08-05T13:56:43.896254Z</t>
        </is>
      </c>
      <c r="C12" s="24" t="inlineStr">
        <is>
          <t>2026-08-05T17:00:00Z</t>
        </is>
      </c>
      <c r="D12" s="24" t="inlineStr">
        <is>
          <t>69871</t>
        </is>
      </c>
      <c r="E12" s="24" t="inlineStr">
        <is>
          <t>LOL</t>
        </is>
      </c>
      <c r="F12" s="24" t="inlineStr">
        <is>
          <t>Kaufland Hangry Knights</t>
        </is>
      </c>
      <c r="G12" s="24" t="inlineStr">
        <is>
          <t>TeamOrangeGaming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0.54899</v>
      </c>
      <c r="P12" s="28" t="n"/>
      <c r="Q12" s="28" t="n">
        <v>0.058794</v>
      </c>
      <c r="R12" s="26" t="n">
        <v>49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104</v>
      </c>
      <c r="AA12" s="28" t="n">
        <v>0.49</v>
      </c>
      <c r="AB12" s="28" t="n">
        <v>-0.000196</v>
      </c>
      <c r="AC12" s="30" t="n">
        <v>1.04</v>
      </c>
      <c r="AD12" s="24" t="inlineStr">
        <is>
          <t>2026-08-05T21:00:26.797637Z</t>
        </is>
      </c>
      <c r="AE12" s="31" t="inlineStr">
        <is>
          <t>Neutral Elo baseline; executable ask 0.4900 (market_slug=aec-lol-tog-khk-2026-08-05).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Kaufland Hangry Knights</t>
        </is>
      </c>
      <c r="AQ12" s="24" t="inlineStr">
        <is>
          <t>Kaufland Hangry Knights</t>
        </is>
      </c>
      <c r="AR12" s="24" t="inlineStr">
        <is>
          <t>Kaufland Hangry Knights</t>
        </is>
      </c>
      <c r="AS12" s="24" t="inlineStr">
        <is>
          <t>TeamOrangeGaming</t>
        </is>
      </c>
      <c r="AT12" s="24" t="inlineStr">
        <is>
          <t>TeamOrangeGaming</t>
        </is>
      </c>
      <c r="AU12" s="24" t="inlineStr">
        <is>
          <t>TeamOrangeGaming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3b2b7fa569f62411a6dc2753c695e98717a67f225e8074aac963d117b250c28b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3b2b7fa569f62411a6dc2753c695e98717a67f225e8074aac963d117b250c28b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2026-08-05T13:56:13.554249Z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2.04</v>
      </c>
      <c r="BR12" s="28" t="n">
        <v>0.49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9576f1967f7d4d0a</t>
        </is>
      </c>
      <c r="B13" s="24" t="inlineStr">
        <is>
          <t>2026-08-05T13:56:43.896254Z</t>
        </is>
      </c>
      <c r="C13" s="24" t="inlineStr">
        <is>
          <t>2026-08-05T17:00:00Z</t>
        </is>
      </c>
      <c r="D13" s="24" t="inlineStr">
        <is>
          <t>70569</t>
        </is>
      </c>
      <c r="E13" s="24" t="inlineStr">
        <is>
          <t>LOL</t>
        </is>
      </c>
      <c r="F13" s="24" t="inlineStr">
        <is>
          <t>devils.one inStreamly</t>
        </is>
      </c>
      <c r="G13" s="24" t="inlineStr">
        <is>
          <t>BOMBA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0.761043</v>
      </c>
      <c r="P13" s="28" t="n"/>
      <c r="Q13" s="28" t="n">
        <v>0.230527</v>
      </c>
      <c r="R13" s="26" t="n">
        <v>100</v>
      </c>
      <c r="S13" s="29" t="n">
        <v>2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-113</v>
      </c>
      <c r="AA13" s="28" t="n">
        <v>0.53</v>
      </c>
      <c r="AB13" s="28" t="n">
        <v>-0.000516</v>
      </c>
      <c r="AC13" s="30" t="n">
        <v>-2</v>
      </c>
      <c r="AD13" s="24" t="inlineStr">
        <is>
          <t>2026-08-05T21:00:28.179885Z</t>
        </is>
      </c>
      <c r="AE13" s="31" t="inlineStr">
        <is>
          <t>Neutral Elo baseline; executable ask 0.5300 (market_slug=aec-lol-boom-dv1-2026-08-05).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devils.one inStreamly</t>
        </is>
      </c>
      <c r="AQ13" s="24" t="inlineStr">
        <is>
          <t>devils.one inStreamly</t>
        </is>
      </c>
      <c r="AR13" s="24" t="inlineStr">
        <is>
          <t>devils.one inStreamly</t>
        </is>
      </c>
      <c r="AS13" s="24" t="inlineStr">
        <is>
          <t>BOMBA Team</t>
        </is>
      </c>
      <c r="AT13" s="24" t="inlineStr">
        <is>
          <t>BOMBA Team</t>
        </is>
      </c>
      <c r="AU13" s="24" t="inlineStr">
        <is>
          <t>BOMBA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3b2b7fa569f62411a6dc2753c695e98717a67f225e8074aac963d117b250c28b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3b2b7fa569f62411a6dc2753c695e98717a67f225e8074aac963d117b250c28b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2026-08-05T13:56:15.101150Z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>
        <v>1.884956</v>
      </c>
      <c r="BR13" s="28" t="n">
        <v>0.53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5aba4246ebc54cde</t>
        </is>
      </c>
      <c r="B14" s="24" t="inlineStr">
        <is>
          <t>2026-08-05T17:05:09.750488Z</t>
        </is>
      </c>
      <c r="C14" s="24" t="inlineStr">
        <is>
          <t>2026-08-05T17:30:00Z</t>
        </is>
      </c>
      <c r="D14" s="24" t="inlineStr">
        <is>
          <t>69931</t>
        </is>
      </c>
      <c r="E14" s="24" t="inlineStr">
        <is>
          <t>LOL</t>
        </is>
      </c>
      <c r="F14" s="24" t="inlineStr">
        <is>
          <t>⁠Movistar KOI Fénix</t>
        </is>
      </c>
      <c r="G14" s="24" t="inlineStr">
        <is>
          <t>UCAM Esports 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104</v>
      </c>
      <c r="M14" s="27" t="n">
        <v>2.04</v>
      </c>
      <c r="N14" s="28" t="n">
        <v>0.490196</v>
      </c>
      <c r="O14" s="28" t="n">
        <v>0.597761</v>
      </c>
      <c r="P14" s="28" t="n"/>
      <c r="Q14" s="28" t="n">
        <v>0.107565</v>
      </c>
      <c r="R14" s="26" t="n">
        <v>74</v>
      </c>
      <c r="S14" s="29" t="n">
        <v>1.25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104</v>
      </c>
      <c r="AA14" s="28" t="n">
        <v>0.49</v>
      </c>
      <c r="AB14" s="28" t="n">
        <v>-0.000196</v>
      </c>
      <c r="AC14" s="30" t="n">
        <v>-1.25</v>
      </c>
      <c r="AD14" s="24" t="inlineStr">
        <is>
          <t>2026-08-06T00:22:39.894311Z</t>
        </is>
      </c>
      <c r="AE14" s="31" t="inlineStr">
        <is>
          <t>Neutral Elo baseline; executable ask 0.4900 (market_slug=aec-lol-ucam-mkf-2026-08-05).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⁠Movistar KOI Fénix</t>
        </is>
      </c>
      <c r="AQ14" s="24" t="inlineStr">
        <is>
          <t>⁠Movistar KOI Fénix</t>
        </is>
      </c>
      <c r="AR14" s="24" t="inlineStr">
        <is>
          <t>⁠Movistar KOI Fénix</t>
        </is>
      </c>
      <c r="AS14" s="24" t="inlineStr">
        <is>
          <t>UCAM Esports Club</t>
        </is>
      </c>
      <c r="AT14" s="24" t="inlineStr">
        <is>
          <t>UCAM Esports Club</t>
        </is>
      </c>
      <c r="AU14" s="24" t="inlineStr">
        <is>
          <t>UCAM Esports 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4863ace20696b49ac8d86afb992436652bb1bb2b13aa3380a50818cc662a18c0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4863ace20696b49ac8d86afb992436652bb1bb2b13aa3380a50818cc662a18c0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2026-08-05T17:04:41.345485Z</t>
        </is>
      </c>
      <c r="BI14" s="24" t="inlineStr">
        <is>
          <t>["same_event","same_team_same_day","same_league_same_day"]</t>
        </is>
      </c>
      <c r="BJ14" s="25" t="n"/>
      <c r="BK14" s="26" t="n">
        <v>104</v>
      </c>
      <c r="BL14" s="27" t="n">
        <v>2.04</v>
      </c>
      <c r="BM14" s="28" t="n">
        <v>0.490196</v>
      </c>
      <c r="BN14" s="28" t="n"/>
      <c r="BO14" s="28" t="n"/>
      <c r="BP14" s="25" t="n"/>
      <c r="BQ14" s="27" t="n">
        <v>2.04</v>
      </c>
      <c r="BR14" s="28" t="n">
        <v>0.49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0.490196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fd5dccee94bf4dc4</t>
        </is>
      </c>
      <c r="B15" s="24" t="inlineStr">
        <is>
          <t>2026-08-05T17:05:09.750488Z</t>
        </is>
      </c>
      <c r="C15" s="24" t="inlineStr">
        <is>
          <t>2026-08-05T19:00:00Z</t>
        </is>
      </c>
      <c r="D15" s="24" t="inlineStr">
        <is>
          <t>70045</t>
        </is>
      </c>
      <c r="E15" s="24" t="inlineStr">
        <is>
          <t>LOL</t>
        </is>
      </c>
      <c r="F15" s="24" t="inlineStr">
        <is>
          <t>Ici Japon Corp. Esport</t>
        </is>
      </c>
      <c r="G15" s="24" t="inlineStr">
        <is>
          <t>ZYB Esport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0.598437</v>
      </c>
      <c r="P15" s="28" t="n"/>
      <c r="Q15" s="28" t="n">
        <v>0.108241</v>
      </c>
      <c r="R15" s="26" t="n">
        <v>74</v>
      </c>
      <c r="S15" s="29" t="n">
        <v>1.25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104</v>
      </c>
      <c r="AA15" s="28" t="n">
        <v>0.49</v>
      </c>
      <c r="AB15" s="28" t="n">
        <v>-0.000196</v>
      </c>
      <c r="AC15" s="30" t="n">
        <v>1.3</v>
      </c>
      <c r="AD15" s="24" t="inlineStr">
        <is>
          <t>2026-08-05T21:00:30.682074Z</t>
        </is>
      </c>
      <c r="AE15" s="31" t="inlineStr">
        <is>
          <t>Neutral Elo baseline; executable ask 0.4900 (market_slug=aec-lol-zyb-ijc-2026-08-05).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Ici Japon Corp. Esport</t>
        </is>
      </c>
      <c r="AQ15" s="24" t="inlineStr">
        <is>
          <t>Ici Japon Corp. Esport</t>
        </is>
      </c>
      <c r="AR15" s="24" t="inlineStr">
        <is>
          <t>Ici Japon Corp. Esport</t>
        </is>
      </c>
      <c r="AS15" s="24" t="inlineStr">
        <is>
          <t>ZYB Esport</t>
        </is>
      </c>
      <c r="AT15" s="24" t="inlineStr">
        <is>
          <t>ZYB Esport</t>
        </is>
      </c>
      <c r="AU15" s="24" t="inlineStr">
        <is>
          <t>ZYB Esport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4863ace20696b49ac8d86afb992436652bb1bb2b13aa3380a50818cc662a18c0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4863ace20696b49ac8d86afb992436652bb1bb2b13aa3380a50818cc662a18c0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2026-08-05T17:04:46.146013Z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>
        <v>2.04</v>
      </c>
      <c r="BR15" s="28" t="n">
        <v>0.49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f748468d26b045e0</t>
        </is>
      </c>
      <c r="B16" s="24" t="inlineStr">
        <is>
          <t>2026-08-05T17:05:09.750488Z</t>
        </is>
      </c>
      <c r="C16" s="24" t="inlineStr">
        <is>
          <t>2026-08-05T21:00:00Z</t>
        </is>
      </c>
      <c r="D16" s="24" t="inlineStr">
        <is>
          <t>70349</t>
        </is>
      </c>
      <c r="E16" s="24" t="inlineStr">
        <is>
          <t>LOL</t>
        </is>
      </c>
      <c r="F16" s="24" t="inlineStr">
        <is>
          <t>Winthrop University</t>
        </is>
      </c>
      <c r="G16" s="24" t="inlineStr">
        <is>
          <t>Blue Otter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0.67052</v>
      </c>
      <c r="P16" s="28" t="n"/>
      <c r="Q16" s="28" t="n">
        <v>0.090688</v>
      </c>
      <c r="R16" s="26" t="n">
        <v>65</v>
      </c>
      <c r="S16" s="29" t="n">
        <v>1.75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-138</v>
      </c>
      <c r="AA16" s="28" t="n">
        <v>0.58</v>
      </c>
      <c r="AB16" s="28" t="n">
        <v>0.000168</v>
      </c>
      <c r="AC16" s="30" t="n">
        <v>1.2681</v>
      </c>
      <c r="AD16" s="24" t="inlineStr">
        <is>
          <t>2026-08-06T00:22:41.224121Z</t>
        </is>
      </c>
      <c r="AE16" s="31" t="inlineStr">
        <is>
          <t>Neutral Elo baseline; executable ask 0.5800 (market_slug=aec-lol-blue-wu-2026-08-05).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Winthrop University</t>
        </is>
      </c>
      <c r="AQ16" s="24" t="inlineStr">
        <is>
          <t>Winthrop University</t>
        </is>
      </c>
      <c r="AR16" s="24" t="inlineStr">
        <is>
          <t>Winthrop University</t>
        </is>
      </c>
      <c r="AS16" s="24" t="inlineStr">
        <is>
          <t>Blue Otter</t>
        </is>
      </c>
      <c r="AT16" s="24" t="inlineStr">
        <is>
          <t>Blue Otter</t>
        </is>
      </c>
      <c r="AU16" s="24" t="inlineStr">
        <is>
          <t>Blue Otter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4863ace20696b49ac8d86afb992436652bb1bb2b13aa3380a50818cc662a18c0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4863ace20696b49ac8d86afb992436652bb1bb2b13aa3380a50818cc662a18c0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2026-08-05T17:04:49.037567Z</t>
        </is>
      </c>
      <c r="BI16" s="24" t="inlineStr">
        <is>
          <t>["same_event","same_team_same_day","same_league_same_day"]</t>
        </is>
      </c>
      <c r="BJ16" s="25" t="n"/>
      <c r="BK16" s="26" t="n">
        <v>-138</v>
      </c>
      <c r="BL16" s="27" t="n">
        <v>1.724638</v>
      </c>
      <c r="BM16" s="28" t="n">
        <v>0.579832</v>
      </c>
      <c r="BN16" s="28" t="n"/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0.579832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2eb7c6071ec843f9</t>
        </is>
      </c>
      <c r="B17" s="24" t="inlineStr">
        <is>
          <t>2026-08-06T00:24:51.570056Z</t>
        </is>
      </c>
      <c r="C17" s="24" t="inlineStr">
        <is>
          <t>2026-08-06T07:00:00Z</t>
        </is>
      </c>
      <c r="D17" s="24" t="inlineStr">
        <is>
          <t>70560</t>
        </is>
      </c>
      <c r="E17" s="24" t="inlineStr">
        <is>
          <t>LOL</t>
        </is>
      </c>
      <c r="F17" s="24" t="inlineStr">
        <is>
          <t>ThunderTalk Gaming</t>
        </is>
      </c>
      <c r="G17" s="24" t="inlineStr">
        <is>
          <t>LGD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0.601292</v>
      </c>
      <c r="P17" s="28" t="n"/>
      <c r="Q17" s="28" t="n">
        <v>0.082061</v>
      </c>
      <c r="R17" s="26" t="n">
        <v>61</v>
      </c>
      <c r="S17" s="29" t="n">
        <v>1.25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2026-08-06T18:57:07.746334Z</t>
        </is>
      </c>
      <c r="AE17" s="31" t="inlineStr">
        <is>
          <t>Neutral Elo baseline; executable ask 0.5200 (market_slug=aec-lol-lgd-tt-2026-08-06).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ThunderTalk Gaming</t>
        </is>
      </c>
      <c r="AQ17" s="24" t="inlineStr">
        <is>
          <t>ThunderTalk Gaming</t>
        </is>
      </c>
      <c r="AR17" s="24" t="inlineStr">
        <is>
          <t>ThunderTalk Gaming</t>
        </is>
      </c>
      <c r="AS17" s="24" t="inlineStr">
        <is>
          <t>LGD Gaming</t>
        </is>
      </c>
      <c r="AT17" s="24" t="inlineStr">
        <is>
          <t>LGD Gaming</t>
        </is>
      </c>
      <c r="AU17" s="24" t="inlineStr">
        <is>
          <t>LGD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4304963c152f1e881f634fa0b66ab59152f3edd6692257c1d27d76a5cb0a3df3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4304963c152f1e881f634fa0b66ab59152f3edd6692257c1d27d76a5cb0a3df3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2026-08-06T00:24:36.724531Z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0.519231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0808601b9aa64343</t>
        </is>
      </c>
      <c r="B18" s="24" t="inlineStr">
        <is>
          <t>2026-08-06T00:24:51.570056Z</t>
        </is>
      </c>
      <c r="C18" s="24" t="inlineStr">
        <is>
          <t>2026-08-06T09:00:00Z</t>
        </is>
      </c>
      <c r="D18" s="24" t="inlineStr">
        <is>
          <t>70573</t>
        </is>
      </c>
      <c r="E18" s="24" t="inlineStr">
        <is>
          <t>LOL</t>
        </is>
      </c>
      <c r="F18" s="24" t="inlineStr">
        <is>
          <t>Ground Zero Gaming</t>
        </is>
      </c>
      <c r="G18" s="24" t="inlineStr">
        <is>
          <t>Fukuoka SoftBank Hawks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0.677029</v>
      </c>
      <c r="P18" s="28" t="n"/>
      <c r="Q18" s="28" t="n">
        <v>0.2162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-1.75</v>
      </c>
      <c r="AD18" s="24" t="inlineStr">
        <is>
          <t>2026-08-06T18:57:09.560328Z</t>
        </is>
      </c>
      <c r="AE18" s="31" t="inlineStr">
        <is>
          <t>Neutral Elo baseline; executable ask 0.4600 (market_slug=aec-lol-shg-gz-2026-08-06).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Ground Zero Gaming</t>
        </is>
      </c>
      <c r="AQ18" s="24" t="inlineStr">
        <is>
          <t>Ground Zero Gaming</t>
        </is>
      </c>
      <c r="AR18" s="24" t="inlineStr">
        <is>
          <t>Ground Zero Gaming</t>
        </is>
      </c>
      <c r="AS18" s="24" t="inlineStr">
        <is>
          <t>Fukuoka SoftBank Hawks Gaming</t>
        </is>
      </c>
      <c r="AT18" s="24" t="inlineStr">
        <is>
          <t>Fukuoka SoftBank Hawks Gaming</t>
        </is>
      </c>
      <c r="AU18" s="24" t="inlineStr">
        <is>
          <t>Fukuoka SoftBank Hawks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4304963c152f1e881f634fa0b66ab59152f3edd6692257c1d27d76a5cb0a3df3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4304963c152f1e881f634fa0b66ab59152f3edd6692257c1d27d76a5cb0a3df3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2026-08-06T00:24:37.742493Z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0.460829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f337824fc1014320</t>
        </is>
      </c>
      <c r="B19" s="24" t="inlineStr">
        <is>
          <t>2026-08-06T00:24:51.570056Z</t>
        </is>
      </c>
      <c r="C19" s="24" t="inlineStr">
        <is>
          <t>2026-08-06T16:00:00Z</t>
        </is>
      </c>
      <c r="D19" s="24" t="inlineStr">
        <is>
          <t>70790</t>
        </is>
      </c>
      <c r="E19" s="24" t="inlineStr">
        <is>
          <t>LOL</t>
        </is>
      </c>
      <c r="F19" s="24" t="inlineStr">
        <is>
          <t>Baam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0.764249</v>
      </c>
      <c r="P19" s="28" t="n"/>
      <c r="Q19" s="28" t="n">
        <v>0.174085</v>
      </c>
      <c r="R19" s="26" t="n">
        <v>100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1.3889</v>
      </c>
      <c r="AD19" s="24" t="inlineStr">
        <is>
          <t>2026-08-06T18:57:11.315585Z</t>
        </is>
      </c>
      <c r="AE19" s="31" t="inlineStr">
        <is>
          <t>Neutral Elo baseline; executable ask 0.5900 (market_slug=aec-lol-one-bam-2026-08-06).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Baam Esports</t>
        </is>
      </c>
      <c r="AQ19" s="24" t="inlineStr">
        <is>
          <t>Baam Esports</t>
        </is>
      </c>
      <c r="AR19" s="24" t="inlineStr">
        <is>
          <t>Baam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4304963c152f1e881f634fa0b66ab59152f3edd6692257c1d27d76a5cb0a3df3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4304963c152f1e881f634fa0b66ab59152f3edd6692257c1d27d76a5cb0a3df3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2026-08-06T00:24:42.381233Z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0.590164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19c128d8df7b49bb</t>
        </is>
      </c>
      <c r="B20" s="24" t="inlineStr">
        <is>
          <t>2026-08-06T00:24:51.570056Z</t>
        </is>
      </c>
      <c r="C20" s="24" t="inlineStr">
        <is>
          <t>2026-08-06T17:00:00Z</t>
        </is>
      </c>
      <c r="D20" s="24" t="inlineStr">
        <is>
          <t>70860</t>
        </is>
      </c>
      <c r="E20" s="24" t="inlineStr">
        <is>
          <t>LOL</t>
        </is>
      </c>
      <c r="F20" s="24" t="inlineStr">
        <is>
          <t>Skillcamp Esport</t>
        </is>
      </c>
      <c r="G20" s="24" t="inlineStr">
        <is>
          <t>Karmine Corp Blue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-150</v>
      </c>
      <c r="M20" s="27" t="n">
        <v>1.666667</v>
      </c>
      <c r="N20" s="28" t="n">
        <v>0.6</v>
      </c>
      <c r="O20" s="28" t="n">
        <v>0.742815</v>
      </c>
      <c r="P20" s="28" t="n"/>
      <c r="Q20" s="28" t="n">
        <v>0.142815</v>
      </c>
      <c r="R20" s="26" t="n">
        <v>91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-2</v>
      </c>
      <c r="AD20" s="24" t="inlineStr">
        <is>
          <t>2026-08-06T18:57:13.006126Z</t>
        </is>
      </c>
      <c r="AE20" s="31" t="inlineStr">
        <is>
          <t>Neutral Elo baseline; executable ask 0.6000 (market_slug=aec-lol-kcb-sc-2026-08-06).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Skillcamp Esport</t>
        </is>
      </c>
      <c r="AQ20" s="24" t="inlineStr">
        <is>
          <t>Skillcamp Esport</t>
        </is>
      </c>
      <c r="AR20" s="24" t="inlineStr">
        <is>
          <t>Skillcamp Esport</t>
        </is>
      </c>
      <c r="AS20" s="24" t="inlineStr">
        <is>
          <t>Karmine Corp Blue</t>
        </is>
      </c>
      <c r="AT20" s="24" t="inlineStr">
        <is>
          <t>Karmine Corp Blue</t>
        </is>
      </c>
      <c r="AU20" s="24" t="inlineStr">
        <is>
          <t>Karmine Corp Blue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4304963c152f1e881f634fa0b66ab59152f3edd6692257c1d27d76a5cb0a3df3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4304963c152f1e881f634fa0b66ab59152f3edd6692257c1d27d76a5cb0a3df3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2026-08-06T00:24:43.466107Z</t>
        </is>
      </c>
      <c r="BI20" s="24" t="inlineStr">
        <is>
          <t>["same_event","same_team_same_day","same_league_same_day"]</t>
        </is>
      </c>
      <c r="BJ20" s="25" t="n"/>
      <c r="BK20" s="26" t="n">
        <v>-150</v>
      </c>
      <c r="BL20" s="27" t="n">
        <v>1.666667</v>
      </c>
      <c r="BM20" s="28" t="n">
        <v>0.6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fab2311131514378</t>
        </is>
      </c>
      <c r="B21" s="24" t="inlineStr">
        <is>
          <t>2026-08-06T00:24:51.570056Z</t>
        </is>
      </c>
      <c r="C21" s="24" t="inlineStr">
        <is>
          <t>2026-08-06T18:00:00Z</t>
        </is>
      </c>
      <c r="D21" s="24" t="inlineStr">
        <is>
          <t>70903</t>
        </is>
      </c>
      <c r="E21" s="24" t="inlineStr">
        <is>
          <t>LOL</t>
        </is>
      </c>
      <c r="F21" s="24" t="inlineStr">
        <is>
          <t>Zena Esports</t>
        </is>
      </c>
      <c r="G21" s="24" t="inlineStr">
        <is>
          <t>GMBLERS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113</v>
      </c>
      <c r="M21" s="27" t="n">
        <v>2.13</v>
      </c>
      <c r="N21" s="28" t="n">
        <v>0.469484</v>
      </c>
      <c r="O21" s="28" t="n">
        <v>0.630956</v>
      </c>
      <c r="P21" s="28" t="n"/>
      <c r="Q21" s="28" t="n">
        <v>0.161472</v>
      </c>
      <c r="R21" s="26" t="n">
        <v>100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1.695</v>
      </c>
      <c r="AD21" s="24" t="inlineStr">
        <is>
          <t>2026-08-06T18:57:14.772492Z</t>
        </is>
      </c>
      <c r="AE21" s="31" t="inlineStr">
        <is>
          <t>Neutral Elo baseline; executable ask 0.4700 (market_slug=aec-lol-gmb-zena-2026-08-06).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Zena Esports</t>
        </is>
      </c>
      <c r="AQ21" s="24" t="inlineStr">
        <is>
          <t>Zena Esports</t>
        </is>
      </c>
      <c r="AR21" s="24" t="inlineStr">
        <is>
          <t>Zena Esports</t>
        </is>
      </c>
      <c r="AS21" s="24" t="inlineStr">
        <is>
          <t>GMBLERS ESPORTS</t>
        </is>
      </c>
      <c r="AT21" s="24" t="inlineStr">
        <is>
          <t>GMBLERS ESPORTS</t>
        </is>
      </c>
      <c r="AU21" s="24" t="inlineStr">
        <is>
          <t>GMBLERS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4304963c152f1e881f634fa0b66ab59152f3edd6692257c1d27d76a5cb0a3df3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4304963c152f1e881f634fa0b66ab59152f3edd6692257c1d27d76a5cb0a3df3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2026-08-06T00:24:47.491847Z</t>
        </is>
      </c>
      <c r="BI21" s="24" t="inlineStr">
        <is>
          <t>["same_event","same_team_same_day","same_league_same_day"]</t>
        </is>
      </c>
      <c r="BJ21" s="25" t="n"/>
      <c r="BK21" s="26" t="n">
        <v>113</v>
      </c>
      <c r="BL21" s="27" t="n">
        <v>2.13</v>
      </c>
      <c r="BM21" s="28" t="n">
        <v>0.469484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0.469484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a2df408e417748e0</t>
        </is>
      </c>
      <c r="B22" s="24" t="inlineStr">
        <is>
          <t>2026-08-07T15:24:10.407714Z</t>
        </is>
      </c>
      <c r="C22" s="24" t="inlineStr">
        <is>
          <t>2026-08-07T16:00:00Z</t>
        </is>
      </c>
      <c r="D22" s="24" t="inlineStr">
        <is>
          <t>71980</t>
        </is>
      </c>
      <c r="E22" s="24" t="inlineStr">
        <is>
          <t>LOL</t>
        </is>
      </c>
      <c r="F22" s="24" t="inlineStr">
        <is>
          <t>TITANS</t>
        </is>
      </c>
      <c r="G22" s="24" t="inlineStr">
        <is>
          <t>Aeterna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0.637212</v>
      </c>
      <c r="P22" s="28" t="n"/>
      <c r="Q22" s="28" t="n">
        <v>0.098041</v>
      </c>
      <c r="R22" s="26" t="n">
        <v>69</v>
      </c>
      <c r="S22" s="29" t="n">
        <v>1.5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-117</v>
      </c>
      <c r="AA22" s="28" t="n">
        <v>0.54</v>
      </c>
      <c r="AB22" s="28" t="n">
        <v>0.000829</v>
      </c>
      <c r="AC22" s="30" t="n">
        <v>1.2821</v>
      </c>
      <c r="AD22" s="24" t="inlineStr">
        <is>
          <t>2026-08-07T18:27:28.802280Z</t>
        </is>
      </c>
      <c r="AE22" s="31" t="inlineStr">
        <is>
          <t>Neutral Elo baseline; executable ask 0.5400 (market_slug=aec-lol-aee-tts-2026-08-07).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TITANS</t>
        </is>
      </c>
      <c r="AQ22" s="24" t="inlineStr">
        <is>
          <t>TITANS</t>
        </is>
      </c>
      <c r="AR22" s="24" t="inlineStr">
        <is>
          <t>TITANS</t>
        </is>
      </c>
      <c r="AS22" s="24" t="inlineStr">
        <is>
          <t>Aeterna Esports</t>
        </is>
      </c>
      <c r="AT22" s="24" t="inlineStr">
        <is>
          <t>Aeterna Esports</t>
        </is>
      </c>
      <c r="AU22" s="24" t="inlineStr">
        <is>
          <t>Aeterna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326a42c58f2a208dee1dc4f634e9901156f475883f7f16a3237a5e1b513fa5f9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326a42c58f2a208dee1dc4f634e9901156f475883f7f16a3237a5e1b513fa5f9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2026-08-07T15:23:54.049058Z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>
        <v>1.854701</v>
      </c>
      <c r="BR22" s="28" t="n">
        <v>0.54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08d6e9eb272449c2</t>
        </is>
      </c>
      <c r="B23" s="24" t="inlineStr">
        <is>
          <t>2026-08-07T18:31:20.691239Z</t>
        </is>
      </c>
      <c r="C23" s="24" t="inlineStr">
        <is>
          <t>2026-08-07T19:00:00Z</t>
        </is>
      </c>
      <c r="D23" s="24" t="inlineStr">
        <is>
          <t>72342</t>
        </is>
      </c>
      <c r="E23" s="24" t="inlineStr">
        <is>
          <t>LOL</t>
        </is>
      </c>
      <c r="F23" s="24" t="inlineStr">
        <is>
          <t>Colossal Gaming</t>
        </is>
      </c>
      <c r="G23" s="24" t="inlineStr">
        <is>
          <t>GMBLERS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0.576862</v>
      </c>
      <c r="P23" s="28" t="n"/>
      <c r="Q23" s="28" t="n">
        <v>0.116033</v>
      </c>
      <c r="R23" s="26" t="n">
        <v>78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-1.25</v>
      </c>
      <c r="AD23" s="24" t="inlineStr">
        <is>
          <t>2026-08-07T21:55:35.351876Z</t>
        </is>
      </c>
      <c r="AE23" s="31" t="inlineStr">
        <is>
          <t>Neutral Elo baseline; executable ask 0.4600 (market_slug=aec-lol-gmb-cg-2026-08-07).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Colossal Gaming</t>
        </is>
      </c>
      <c r="AQ23" s="24" t="inlineStr">
        <is>
          <t>Colossal Gaming</t>
        </is>
      </c>
      <c r="AR23" s="24" t="inlineStr">
        <is>
          <t>Colossal Gaming</t>
        </is>
      </c>
      <c r="AS23" s="24" t="inlineStr">
        <is>
          <t>GMBLERS ESPORTS</t>
        </is>
      </c>
      <c r="AT23" s="24" t="inlineStr">
        <is>
          <t>GMBLERS ESPORTS</t>
        </is>
      </c>
      <c r="AU23" s="24" t="inlineStr">
        <is>
          <t>GMBLERS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d3791916ff32605dd2265e280637577dccc694ea8768ae90edb98370e9029821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d3791916ff32605dd2265e280637577dccc694ea8768ae90edb98370e9029821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2026-08-07T18:31:07.695348Z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61b949111ab54871</t>
        </is>
      </c>
      <c r="B24" s="24" t="inlineStr">
        <is>
          <t>2026-08-07T18:31:20.691239Z</t>
        </is>
      </c>
      <c r="C24" s="24" t="inlineStr">
        <is>
          <t>2026-08-07T21:00:00Z</t>
        </is>
      </c>
      <c r="D24" s="24" t="inlineStr">
        <is>
          <t>72428</t>
        </is>
      </c>
      <c r="E24" s="24" t="inlineStr">
        <is>
          <t>LOL</t>
        </is>
      </c>
      <c r="F24" s="24" t="inlineStr">
        <is>
          <t>Fluxo W7M</t>
        </is>
      </c>
      <c r="G24" s="24" t="inlineStr">
        <is>
          <t>Vivo Keyd Stars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108</v>
      </c>
      <c r="M24" s="27" t="n">
        <v>2.08</v>
      </c>
      <c r="N24" s="28" t="n">
        <v>0.480769</v>
      </c>
      <c r="O24" s="28" t="n">
        <v>0.695648</v>
      </c>
      <c r="P24" s="28" t="n"/>
      <c r="Q24" s="28" t="n">
        <v>0.214879</v>
      </c>
      <c r="R24" s="26" t="n">
        <v>100</v>
      </c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108</v>
      </c>
      <c r="AA24" s="28" t="n">
        <v>0.48</v>
      </c>
      <c r="AB24" s="28" t="n">
        <v>-0.000769</v>
      </c>
      <c r="AC24" s="30" t="n">
        <v>2.16</v>
      </c>
      <c r="AD24" s="24" t="inlineStr">
        <is>
          <t>2026-08-08T01:00:24.091656Z</t>
        </is>
      </c>
      <c r="AE24" s="31" t="inlineStr">
        <is>
          <t>Neutral Elo baseline; executable ask 0.4800 (market_slug=aec-lol-vks-fxw7-2026-08-07).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Fluxo W7M</t>
        </is>
      </c>
      <c r="AQ24" s="24" t="inlineStr">
        <is>
          <t>Fluxo W7M</t>
        </is>
      </c>
      <c r="AR24" s="24" t="inlineStr">
        <is>
          <t>Fluxo W7M</t>
        </is>
      </c>
      <c r="AS24" s="24" t="inlineStr">
        <is>
          <t>Vivo Keyd Stars</t>
        </is>
      </c>
      <c r="AT24" s="24" t="inlineStr">
        <is>
          <t>Vivo Keyd Stars</t>
        </is>
      </c>
      <c r="AU24" s="24" t="inlineStr">
        <is>
          <t>Vivo Keyd Stars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d3791916ff32605dd2265e280637577dccc694ea8768ae90edb98370e9029821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d3791916ff32605dd2265e280637577dccc694ea8768ae90edb98370e9029821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2026-08-07T18:31:08.212012Z</t>
        </is>
      </c>
      <c r="BI24" s="24" t="inlineStr">
        <is>
          <t>["same_event","same_team_same_day","same_league_same_day"]</t>
        </is>
      </c>
      <c r="BJ24" s="25" t="n"/>
      <c r="BK24" s="26" t="n">
        <v>108</v>
      </c>
      <c r="BL24" s="27" t="n">
        <v>2.08</v>
      </c>
      <c r="BM24" s="28" t="n">
        <v>0.480769</v>
      </c>
      <c r="BN24" s="28" t="n"/>
      <c r="BO24" s="28" t="n"/>
      <c r="BP24" s="25" t="n"/>
      <c r="BQ24" s="27" t="n">
        <v>2.08</v>
      </c>
      <c r="BR24" s="28" t="n">
        <v>0.48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0.480769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b2976f2bae944bad</t>
        </is>
      </c>
      <c r="B25" s="24" t="inlineStr">
        <is>
          <t>2026-08-07T18:31:20.691239Z</t>
        </is>
      </c>
      <c r="C25" s="24" t="inlineStr">
        <is>
          <t>2026-08-07T21:00:00Z</t>
        </is>
      </c>
      <c r="D25" s="24" t="inlineStr">
        <is>
          <t>72438</t>
        </is>
      </c>
      <c r="E25" s="24" t="inlineStr">
        <is>
          <t>LOL</t>
        </is>
      </c>
      <c r="F25" s="24" t="inlineStr">
        <is>
          <t>Dorado Gaming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108</v>
      </c>
      <c r="M25" s="27" t="n">
        <v>2.08</v>
      </c>
      <c r="N25" s="28" t="n">
        <v>0.480769</v>
      </c>
      <c r="O25" s="28" t="n">
        <v>0.627171</v>
      </c>
      <c r="P25" s="28" t="n"/>
      <c r="Q25" s="28" t="n">
        <v>0.146402</v>
      </c>
      <c r="R25" s="26" t="n">
        <v>93</v>
      </c>
      <c r="S25" s="29" t="n">
        <v>1.5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108</v>
      </c>
      <c r="AA25" s="28" t="n">
        <v>0.48</v>
      </c>
      <c r="AB25" s="28" t="n">
        <v>-0.000769</v>
      </c>
      <c r="AC25" s="30" t="n">
        <v>1.62</v>
      </c>
      <c r="AD25" s="24" t="inlineStr">
        <is>
          <t>2026-08-08T01:00:25.636641Z</t>
        </is>
      </c>
      <c r="AE25" s="31" t="inlineStr">
        <is>
          <t>Neutral Elo baseline; executable ask 0.4800 (market_slug=aec-lol-blue-dog-2026-08-07).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Dorado Gaming</t>
        </is>
      </c>
      <c r="AQ25" s="24" t="inlineStr">
        <is>
          <t>Dorado Gaming</t>
        </is>
      </c>
      <c r="AR25" s="24" t="inlineStr">
        <is>
          <t>Dorado Gaming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d3791916ff32605dd2265e280637577dccc694ea8768ae90edb98370e9029821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d3791916ff32605dd2265e280637577dccc694ea8768ae90edb98370e9029821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2026-08-07T18:31:08.974236Z</t>
        </is>
      </c>
      <c r="BI25" s="24" t="inlineStr">
        <is>
          <t>["same_event","same_team_same_day","same_league_same_day"]</t>
        </is>
      </c>
      <c r="BJ25" s="25" t="n"/>
      <c r="BK25" s="26" t="n">
        <v>108</v>
      </c>
      <c r="BL25" s="27" t="n">
        <v>2.08</v>
      </c>
      <c r="BM25" s="28" t="n">
        <v>0.480769</v>
      </c>
      <c r="BN25" s="28" t="n"/>
      <c r="BO25" s="28" t="n"/>
      <c r="BP25" s="25" t="n"/>
      <c r="BQ25" s="27" t="n">
        <v>2.08</v>
      </c>
      <c r="BR25" s="28" t="n">
        <v>0.48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0.480769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aff095fa71c54ac3</t>
        </is>
      </c>
      <c r="B26" s="24" t="inlineStr">
        <is>
          <t>2026-08-08T04:08:13.997006Z</t>
        </is>
      </c>
      <c r="C26" s="24" t="inlineStr">
        <is>
          <t>2026-08-08T08:00:00Z</t>
        </is>
      </c>
      <c r="D26" s="24" t="inlineStr">
        <is>
          <t>72722</t>
        </is>
      </c>
      <c r="E26" s="24" t="inlineStr">
        <is>
          <t>LOL</t>
        </is>
      </c>
      <c r="F26" s="24" t="inlineStr">
        <is>
          <t>Hanwha Life Esports</t>
        </is>
      </c>
      <c r="G26" s="24" t="inlineStr">
        <is>
          <t>T1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0.6042650000000001</v>
      </c>
      <c r="P26" s="28" t="n"/>
      <c r="Q26" s="28" t="n">
        <v>0.085034</v>
      </c>
      <c r="R26" s="26" t="n">
        <v>63</v>
      </c>
      <c r="S26" s="29" t="n">
        <v>1.25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-108</v>
      </c>
      <c r="AA26" s="28" t="n">
        <v>0.52</v>
      </c>
      <c r="AB26" s="28" t="n">
        <v>0.000769</v>
      </c>
      <c r="AC26" s="30" t="n">
        <v>-1.25</v>
      </c>
      <c r="AD26" s="24" t="inlineStr">
        <is>
          <t>2026-08-08T18:35:17.621067Z</t>
        </is>
      </c>
      <c r="AE26" s="31" t="inlineStr">
        <is>
          <t>Neutral Elo baseline; executable ask 0.5200 (market_slug=aec-lol-t1-hle-2026-08-08).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Hanwha Life Esports</t>
        </is>
      </c>
      <c r="AQ26" s="24" t="inlineStr">
        <is>
          <t>Hanwha Life Esports</t>
        </is>
      </c>
      <c r="AR26" s="24" t="inlineStr">
        <is>
          <t>Hanwha Life Esports</t>
        </is>
      </c>
      <c r="AS26" s="24" t="inlineStr">
        <is>
          <t>T1</t>
        </is>
      </c>
      <c r="AT26" s="24" t="inlineStr">
        <is>
          <t>T1</t>
        </is>
      </c>
      <c r="AU26" s="24" t="inlineStr">
        <is>
          <t>T1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bf9cdce4c802d1882a68b32132fa41472ff922cbbe74a73c6db7662d3c059566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bf9cdce4c802d1882a68b32132fa41472ff922cbbe74a73c6db7662d3c059566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2026-08-08T04:07:52.255455Z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>
        <v>1.925926</v>
      </c>
      <c r="BR26" s="28" t="n">
        <v>0.52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0.519231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ef76fb2f21f24ad2</t>
        </is>
      </c>
      <c r="B27" s="24" t="inlineStr">
        <is>
          <t>2026-08-09T05:18:45.420775Z</t>
        </is>
      </c>
      <c r="C27" s="24" t="inlineStr">
        <is>
          <t>2026-08-09T09:00:00Z</t>
        </is>
      </c>
      <c r="D27" s="24" t="inlineStr">
        <is>
          <t>74251</t>
        </is>
      </c>
      <c r="E27" s="24" t="inlineStr">
        <is>
          <t>LOL</t>
        </is>
      </c>
      <c r="F27" s="24" t="inlineStr">
        <is>
          <t>Ground Zero Gaming</t>
        </is>
      </c>
      <c r="G27" s="24" t="inlineStr">
        <is>
          <t>CTBC Flying Oyster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0.729245</v>
      </c>
      <c r="P27" s="28" t="n"/>
      <c r="Q27" s="28" t="n">
        <v>0.099615</v>
      </c>
      <c r="R27" s="26" t="n">
        <v>70</v>
      </c>
      <c r="S27" s="29" t="n">
        <v>2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1.1765</v>
      </c>
      <c r="AD27" s="24" t="inlineStr">
        <is>
          <t>2026-08-09T13:57:33.774019Z</t>
        </is>
      </c>
      <c r="AE27" s="31" t="inlineStr">
        <is>
          <t>Neutral Elo baseline; executable ask 0.6300 (market_slug=aec-lol-cfo-gz-2026-08-09).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Ground Zero Gaming</t>
        </is>
      </c>
      <c r="AQ27" s="24" t="inlineStr">
        <is>
          <t>Ground Zero Gaming</t>
        </is>
      </c>
      <c r="AR27" s="24" t="inlineStr">
        <is>
          <t>Ground Zero Gaming</t>
        </is>
      </c>
      <c r="AS27" s="24" t="inlineStr">
        <is>
          <t>CTBC Flying Oyster</t>
        </is>
      </c>
      <c r="AT27" s="24" t="inlineStr">
        <is>
          <t>CTBC Flying Oyster</t>
        </is>
      </c>
      <c r="AU27" s="24" t="inlineStr">
        <is>
          <t>CTBC Flying Oyster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d1af9b18c2d3ace9d47f74a1570e11714c592a6d92bd30ded3db42a502b40cf2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d1af9b18c2d3ace9d47f74a1570e11714c592a6d92bd30ded3db42a502b40cf2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2026-08-09T05:18:28.821389Z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0.62963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263f1c6669de4b3d</t>
        </is>
      </c>
      <c r="B28" s="24" t="inlineStr">
        <is>
          <t>2026-08-09T05:18:45.420775Z</t>
        </is>
      </c>
      <c r="C28" s="24" t="inlineStr">
        <is>
          <t>2026-08-09T10:00:00Z</t>
        </is>
      </c>
      <c r="D28" s="24" t="inlineStr">
        <is>
          <t>73672</t>
        </is>
      </c>
      <c r="E28" s="24" t="inlineStr">
        <is>
          <t>LOL</t>
        </is>
      </c>
      <c r="F28" s="24" t="inlineStr">
        <is>
          <t>Lille Esport</t>
        </is>
      </c>
      <c r="G28" s="24" t="inlineStr">
        <is>
          <t>Crystal Rose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0.582694</v>
      </c>
      <c r="P28" s="28" t="n"/>
      <c r="Q28" s="28" t="n">
        <v>0.132244</v>
      </c>
      <c r="R28" s="26" t="n">
        <v>86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122</v>
      </c>
      <c r="AA28" s="28" t="n">
        <v>0.45</v>
      </c>
      <c r="AB28" s="28" t="n">
        <v>-0.00045</v>
      </c>
      <c r="AC28" s="30" t="n">
        <v>-1.25</v>
      </c>
      <c r="AD28" s="24" t="inlineStr">
        <is>
          <t>2026-08-09T13:57:35.640453Z</t>
        </is>
      </c>
      <c r="AE28" s="31" t="inlineStr">
        <is>
          <t>Neutral Elo baseline; executable ask 0.4500 (market_slug=aec-lol-cr-lil-2026-08-09).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Lille Esport</t>
        </is>
      </c>
      <c r="AQ28" s="24" t="inlineStr">
        <is>
          <t>Lille Esport</t>
        </is>
      </c>
      <c r="AR28" s="24" t="inlineStr">
        <is>
          <t>Lille Esport</t>
        </is>
      </c>
      <c r="AS28" s="24" t="inlineStr">
        <is>
          <t>Crystal Rose</t>
        </is>
      </c>
      <c r="AT28" s="24" t="inlineStr">
        <is>
          <t>Crystal Rose</t>
        </is>
      </c>
      <c r="AU28" s="24" t="inlineStr">
        <is>
          <t>Crystal Rose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d1af9b18c2d3ace9d47f74a1570e11714c592a6d92bd30ded3db42a502b40cf2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d1af9b18c2d3ace9d47f74a1570e11714c592a6d92bd30ded3db42a502b40cf2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2026-08-09T05:18:30.559189Z</t>
        </is>
      </c>
      <c r="BI28" s="24" t="inlineStr">
        <is>
          <t>["same_event","same_team_same_day","same_league_same_day"]</t>
        </is>
      </c>
      <c r="BJ28" s="25" t="n"/>
      <c r="BK28" s="26" t="n">
        <v>122</v>
      </c>
      <c r="BL28" s="27" t="n">
        <v>2.22</v>
      </c>
      <c r="BM28" s="28" t="n">
        <v>0.45045</v>
      </c>
      <c r="BN28" s="28" t="n"/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24df49f279214e35</t>
        </is>
      </c>
      <c r="B29" s="24" t="inlineStr">
        <is>
          <t>2026-08-09T05:18:45.420775Z</t>
        </is>
      </c>
      <c r="C29" s="24" t="inlineStr">
        <is>
          <t>2026-08-09T11:00:00Z</t>
        </is>
      </c>
      <c r="D29" s="24" t="inlineStr">
        <is>
          <t>73685</t>
        </is>
      </c>
      <c r="E29" s="24" t="inlineStr">
        <is>
          <t>LOL</t>
        </is>
      </c>
      <c r="F29" s="24" t="inlineStr">
        <is>
          <t>Caldya Esport</t>
        </is>
      </c>
      <c r="G29" s="24" t="inlineStr">
        <is>
          <t>Team High Ground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194</v>
      </c>
      <c r="M29" s="27" t="n">
        <v>2.94</v>
      </c>
      <c r="N29" s="28" t="n">
        <v>0.340136</v>
      </c>
      <c r="O29" s="28" t="n">
        <v>0.596541</v>
      </c>
      <c r="P29" s="28" t="n"/>
      <c r="Q29" s="28" t="n">
        <v>0.256405</v>
      </c>
      <c r="R29" s="26" t="n">
        <v>100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194</v>
      </c>
      <c r="AA29" s="28" t="n">
        <v>0.34</v>
      </c>
      <c r="AB29" s="28" t="n">
        <v>-0.000136</v>
      </c>
      <c r="AC29" s="30" t="n">
        <v>2.425</v>
      </c>
      <c r="AD29" s="24" t="inlineStr">
        <is>
          <t>2026-08-09T13:57:37.478717Z</t>
        </is>
      </c>
      <c r="AE29" s="31" t="inlineStr">
        <is>
          <t>Neutral Elo baseline; executable ask 0.3400 (market_slug=aec-lol-thg-cla-2026-08-09).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Caldya Esport</t>
        </is>
      </c>
      <c r="AQ29" s="24" t="inlineStr">
        <is>
          <t>Caldya Esport</t>
        </is>
      </c>
      <c r="AR29" s="24" t="inlineStr">
        <is>
          <t>Caldya Esport</t>
        </is>
      </c>
      <c r="AS29" s="24" t="inlineStr">
        <is>
          <t>Team High Ground</t>
        </is>
      </c>
      <c r="AT29" s="24" t="inlineStr">
        <is>
          <t>Team High Ground</t>
        </is>
      </c>
      <c r="AU29" s="24" t="inlineStr">
        <is>
          <t>Team High Ground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d1af9b18c2d3ace9d47f74a1570e11714c592a6d92bd30ded3db42a502b40cf2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d1af9b18c2d3ace9d47f74a1570e11714c592a6d92bd30ded3db42a502b40cf2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2026-08-09T05:18:32.128818Z</t>
        </is>
      </c>
      <c r="BI29" s="24" t="inlineStr">
        <is>
          <t>["same_event","same_team_same_day","same_league_same_day"]</t>
        </is>
      </c>
      <c r="BJ29" s="25" t="n"/>
      <c r="BK29" s="26" t="n">
        <v>194</v>
      </c>
      <c r="BL29" s="27" t="n">
        <v>2.94</v>
      </c>
      <c r="BM29" s="28" t="n">
        <v>0.340136</v>
      </c>
      <c r="BN29" s="28" t="n"/>
      <c r="BO29" s="28" t="n"/>
      <c r="BP29" s="25" t="n"/>
      <c r="BQ29" s="27" t="n">
        <v>2.94</v>
      </c>
      <c r="BR29" s="28" t="n">
        <v>0.34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0.340136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5f002fe33b814e96</t>
        </is>
      </c>
      <c r="B30" s="24" t="inlineStr">
        <is>
          <t>2026-08-09T05:18:45.420775Z</t>
        </is>
      </c>
      <c r="C30" s="24" t="inlineStr">
        <is>
          <t>2026-08-09T12:00:00Z</t>
        </is>
      </c>
      <c r="D30" s="24" t="inlineStr">
        <is>
          <t>73703</t>
        </is>
      </c>
      <c r="E30" s="24" t="inlineStr">
        <is>
          <t>LOL</t>
        </is>
      </c>
      <c r="F30" s="24" t="inlineStr">
        <is>
          <t>Karmine Corp Blue Stars</t>
        </is>
      </c>
      <c r="G30" s="24" t="inlineStr">
        <is>
          <t>Ancient Ones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0.530903</v>
      </c>
      <c r="P30" s="28" t="n"/>
      <c r="Q30" s="28" t="n">
        <v>0.101718</v>
      </c>
      <c r="R30" s="26" t="n">
        <v>71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133</v>
      </c>
      <c r="AA30" s="28" t="n">
        <v>0.43</v>
      </c>
      <c r="AB30" s="28" t="n">
        <v>0.000815</v>
      </c>
      <c r="AC30" s="30" t="n">
        <v>-1</v>
      </c>
      <c r="AD30" s="24" t="inlineStr">
        <is>
          <t>2026-08-09T13:57:39.316962Z</t>
        </is>
      </c>
      <c r="AE30" s="31" t="inlineStr">
        <is>
          <t>Neutral Elo baseline; executable ask 0.4300 (market_slug=aec-lol-ao-kcbs-2026-08-09).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Karmine Corp Blue Stars</t>
        </is>
      </c>
      <c r="AQ30" s="24" t="inlineStr">
        <is>
          <t>Karmine Corp Blue Stars</t>
        </is>
      </c>
      <c r="AR30" s="24" t="inlineStr">
        <is>
          <t>Karmine Corp Blue Stars</t>
        </is>
      </c>
      <c r="AS30" s="24" t="inlineStr">
        <is>
          <t>Ancient Ones</t>
        </is>
      </c>
      <c r="AT30" s="24" t="inlineStr">
        <is>
          <t>Ancient Ones</t>
        </is>
      </c>
      <c r="AU30" s="24" t="inlineStr">
        <is>
          <t>Ancient Ones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d1af9b18c2d3ace9d47f74a1570e11714c592a6d92bd30ded3db42a502b40cf2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d1af9b18c2d3ace9d47f74a1570e11714c592a6d92bd30ded3db42a502b40cf2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2026-08-09T05:18:32.672561Z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>
        <v>2.33</v>
      </c>
      <c r="BR30" s="28" t="n">
        <v>0.43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0.429185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edd341c8b9284f91</t>
        </is>
      </c>
      <c r="B31" s="24" t="inlineStr">
        <is>
          <t>2026-08-09T14:01:53.524228Z</t>
        </is>
      </c>
      <c r="C31" s="24" t="inlineStr">
        <is>
          <t>2026-08-09T16:00:00Z</t>
        </is>
      </c>
      <c r="D31" s="24" t="inlineStr">
        <is>
          <t>73792</t>
        </is>
      </c>
      <c r="E31" s="24" t="inlineStr">
        <is>
          <t>LOL</t>
        </is>
      </c>
      <c r="F31" s="24" t="inlineStr">
        <is>
          <t>Vivo Keyd Stars</t>
        </is>
      </c>
      <c r="G31" s="24" t="inlineStr">
        <is>
          <t>LOUD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0.565457</v>
      </c>
      <c r="P31" s="28" t="n"/>
      <c r="Q31" s="28" t="n">
        <v>0.136272</v>
      </c>
      <c r="R31" s="26" t="n">
        <v>88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>
        <v>133</v>
      </c>
      <c r="AA31" s="28" t="n">
        <v>0.43</v>
      </c>
      <c r="AB31" s="28" t="n">
        <v>0.000815</v>
      </c>
      <c r="AC31" s="30" t="n">
        <v>-1</v>
      </c>
      <c r="AD31" s="24" t="inlineStr">
        <is>
          <t>2026-08-09T20:26:22.511553Z</t>
        </is>
      </c>
      <c r="AE31" s="31" t="inlineStr">
        <is>
          <t>Neutral Elo baseline; executable ask 0.4300 (market_slug=aec-lol-lll-vks-2026-08-09).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Vivo Keyd Stars</t>
        </is>
      </c>
      <c r="AQ31" s="24" t="inlineStr">
        <is>
          <t>Vivo Keyd Stars</t>
        </is>
      </c>
      <c r="AR31" s="24" t="inlineStr">
        <is>
          <t>Vivo Keyd Stars</t>
        </is>
      </c>
      <c r="AS31" s="24" t="inlineStr">
        <is>
          <t>LOUD</t>
        </is>
      </c>
      <c r="AT31" s="24" t="inlineStr">
        <is>
          <t>LOUD</t>
        </is>
      </c>
      <c r="AU31" s="24" t="inlineStr">
        <is>
          <t>LOUD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b58ac9e03c1a5d9a8ba8b54127b580955d4aa64f9a40d7b31d028c52dfb61e0d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b58ac9e03c1a5d9a8ba8b54127b580955d4aa64f9a40d7b31d028c52dfb61e0d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2026-08-09T14:01:44.268334Z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>
        <v>2.33</v>
      </c>
      <c r="BR31" s="28" t="n">
        <v>0.43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0.429185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c01c667fc7be4da6</t>
        </is>
      </c>
      <c r="B32" s="24" t="inlineStr">
        <is>
          <t>2026-08-10T05:41:28.453324Z</t>
        </is>
      </c>
      <c r="C32" s="24" t="inlineStr">
        <is>
          <t>2026-08-10T06:00:00Z</t>
        </is>
      </c>
      <c r="D32" s="24" t="inlineStr">
        <is>
          <t>74303</t>
        </is>
      </c>
      <c r="E32" s="24" t="inlineStr">
        <is>
          <t>LOL</t>
        </is>
      </c>
      <c r="F32" s="24" t="inlineStr">
        <is>
          <t>Gen.G</t>
        </is>
      </c>
      <c r="G32" s="24" t="inlineStr">
        <is>
          <t>Hanwha Life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0.555268</v>
      </c>
      <c r="P32" s="28" t="n"/>
      <c r="Q32" s="28" t="n">
        <v>0.145432</v>
      </c>
      <c r="R32" s="26" t="n">
        <v>93</v>
      </c>
      <c r="S32" s="29" t="n">
        <v>1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144</v>
      </c>
      <c r="AA32" s="28" t="n">
        <v>0.41</v>
      </c>
      <c r="AB32" s="28" t="n">
        <v>0.000164</v>
      </c>
      <c r="AC32" s="30" t="n">
        <v>1.44</v>
      </c>
      <c r="AD32" s="24" t="inlineStr">
        <is>
          <t>2026-08-10T16:33:38.329597Z</t>
        </is>
      </c>
      <c r="AE32" s="31" t="inlineStr">
        <is>
          <t>Neutral Elo baseline; executable ask 0.4100 (market_slug=aec-lol-hle-gen-2026-08-10).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Gen.G</t>
        </is>
      </c>
      <c r="AQ32" s="24" t="inlineStr">
        <is>
          <t>Gen.G</t>
        </is>
      </c>
      <c r="AR32" s="24" t="inlineStr">
        <is>
          <t>Gen.G</t>
        </is>
      </c>
      <c r="AS32" s="24" t="inlineStr">
        <is>
          <t>Hanwha Life Esports</t>
        </is>
      </c>
      <c r="AT32" s="24" t="inlineStr">
        <is>
          <t>Hanwha Life Esports</t>
        </is>
      </c>
      <c r="AU32" s="24" t="inlineStr">
        <is>
          <t>Hanwha Life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1315e3fd57f39b5e423c7478ae4d488c4fac6a7f2c4f64188933b2184d22eecf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1315e3fd57f39b5e423c7478ae4d488c4fac6a7f2c4f64188933b2184d22eecf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2026-08-10T05:41:12.074053Z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>
        <v>2.44</v>
      </c>
      <c r="BR32" s="28" t="n">
        <v>0.41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0.409836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df6a5dbff3d0458c</t>
        </is>
      </c>
      <c r="B33" s="24" t="inlineStr">
        <is>
          <t>2026-08-10T05:41:28.453324Z</t>
        </is>
      </c>
      <c r="C33" s="24" t="inlineStr">
        <is>
          <t>2026-08-10T15:00:00Z</t>
        </is>
      </c>
      <c r="D33" s="24" t="inlineStr">
        <is>
          <t>74409</t>
        </is>
      </c>
      <c r="E33" s="24" t="inlineStr">
        <is>
          <t>LOL</t>
        </is>
      </c>
      <c r="F33" s="24" t="inlineStr">
        <is>
          <t>Team Vitality</t>
        </is>
      </c>
      <c r="G33" s="24" t="inlineStr">
        <is>
          <t>SK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0.702856</v>
      </c>
      <c r="P33" s="28" t="n"/>
      <c r="Q33" s="28" t="n">
        <v>0.042992</v>
      </c>
      <c r="R33" s="26" t="n">
        <v>41</v>
      </c>
      <c r="S33" s="29" t="n">
        <v>2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-194</v>
      </c>
      <c r="AA33" s="28" t="n">
        <v>0.66</v>
      </c>
      <c r="AB33" s="28" t="n">
        <v>0.000136</v>
      </c>
      <c r="AC33" s="30" t="n">
        <v>1.0309</v>
      </c>
      <c r="AD33" s="24" t="inlineStr">
        <is>
          <t>2026-08-10T16:33:39.823234Z</t>
        </is>
      </c>
      <c r="AE33" s="31" t="inlineStr">
        <is>
          <t>Neutral Elo baseline; executable ask 0.6600 (market_slug=aec-lol-sk-vit-2026-08-10).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Vitality</t>
        </is>
      </c>
      <c r="AQ33" s="24" t="inlineStr">
        <is>
          <t>Team Vitality</t>
        </is>
      </c>
      <c r="AR33" s="24" t="inlineStr">
        <is>
          <t>Team Vitality</t>
        </is>
      </c>
      <c r="AS33" s="24" t="inlineStr">
        <is>
          <t>SK Gaming</t>
        </is>
      </c>
      <c r="AT33" s="24" t="inlineStr">
        <is>
          <t>SK Gaming</t>
        </is>
      </c>
      <c r="AU33" s="24" t="inlineStr">
        <is>
          <t>SK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1315e3fd57f39b5e423c7478ae4d488c4fac6a7f2c4f64188933b2184d22eecf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1315e3fd57f39b5e423c7478ae4d488c4fac6a7f2c4f64188933b2184d22eecf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2026-08-10T05:41:14.500661Z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>
        <v>1.515464</v>
      </c>
      <c r="BR33" s="28" t="n">
        <v>0.66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0.659864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4c4ec81221174a4b</t>
        </is>
      </c>
      <c r="B34" s="24" t="inlineStr">
        <is>
          <t>2026-08-10T16:36:52.218705Z</t>
        </is>
      </c>
      <c r="C34" s="24" t="inlineStr">
        <is>
          <t>2026-08-11T10:00:00Z</t>
        </is>
      </c>
      <c r="D34" s="24" t="inlineStr">
        <is>
          <t>75102</t>
        </is>
      </c>
      <c r="E34" s="24" t="inlineStr">
        <is>
          <t>LOL</t>
        </is>
      </c>
      <c r="F34" s="24" t="inlineStr">
        <is>
          <t>Dplus KIA Challengers</t>
        </is>
      </c>
      <c r="G34" s="24" t="inlineStr">
        <is>
          <t>Nongshim Esports Academy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0.600293</v>
      </c>
      <c r="P34" s="28" t="n"/>
      <c r="Q34" s="28" t="n">
        <v>0.110097</v>
      </c>
      <c r="R34" s="26" t="n">
        <v>75</v>
      </c>
      <c r="S34" s="29" t="n">
        <v>1.25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1.3</v>
      </c>
      <c r="AD34" s="24" t="inlineStr">
        <is>
          <t>2026-08-11T16:30:34.417488Z</t>
        </is>
      </c>
      <c r="AE34" s="31" t="inlineStr">
        <is>
          <t>Neutral Elo baseline; executable ask 0.4900 (market_slug=aec-lol-nsea-dkc-2026-08-11).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Dplus KIA Challengers</t>
        </is>
      </c>
      <c r="AQ34" s="24" t="inlineStr">
        <is>
          <t>Dplus KIA Challengers</t>
        </is>
      </c>
      <c r="AR34" s="24" t="inlineStr">
        <is>
          <t>Dplus KIA Challengers</t>
        </is>
      </c>
      <c r="AS34" s="24" t="inlineStr">
        <is>
          <t>Nongshim Esports Academy</t>
        </is>
      </c>
      <c r="AT34" s="24" t="inlineStr">
        <is>
          <t>Nongshim Esports Academy</t>
        </is>
      </c>
      <c r="AU34" s="24" t="inlineStr">
        <is>
          <t>Nongshim Esports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b17a7ad5927b03dc324401003ec664ab1757d0145d4b926e56b78e2895a058ba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b17a7ad5927b03dc324401003ec664ab1757d0145d4b926e56b78e2895a058ba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2026-08-10T16:36:37.130668Z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598b9f7e255a49a7</t>
        </is>
      </c>
      <c r="B35" s="24" t="inlineStr">
        <is>
          <t>2026-08-11T16:56:35.179095Z</t>
        </is>
      </c>
      <c r="C35" s="24" t="inlineStr">
        <is>
          <t>2026-08-11T17:00:00Z</t>
        </is>
      </c>
      <c r="D35" s="24" t="inlineStr">
        <is>
          <t>75397</t>
        </is>
      </c>
      <c r="E35" s="24" t="inlineStr">
        <is>
          <t>LOL</t>
        </is>
      </c>
      <c r="F35" s="24" t="inlineStr">
        <is>
          <t>Forsaken</t>
        </is>
      </c>
      <c r="G35" s="24" t="inlineStr">
        <is>
          <t>Lodis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0.758714</v>
      </c>
      <c r="P35" s="28" t="n"/>
      <c r="Q35" s="28" t="n">
        <v>0.368089</v>
      </c>
      <c r="R35" s="26" t="n">
        <v>100</v>
      </c>
      <c r="S35" s="29" t="n">
        <v>2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3.12</v>
      </c>
      <c r="AD35" s="24" t="inlineStr">
        <is>
          <t>2026-08-11T23:00:56.742225Z</t>
        </is>
      </c>
      <c r="AE35" s="31" t="inlineStr">
        <is>
          <t>Neutral Elo baseline; executable ask 0.3900 (market_slug=aec-lol-lds-fsk-2026-08-11).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Forsaken</t>
        </is>
      </c>
      <c r="AQ35" s="24" t="inlineStr">
        <is>
          <t>Forsaken</t>
        </is>
      </c>
      <c r="AR35" s="24" t="inlineStr">
        <is>
          <t>Forsaken</t>
        </is>
      </c>
      <c r="AS35" s="24" t="inlineStr">
        <is>
          <t>Lodis</t>
        </is>
      </c>
      <c r="AT35" s="24" t="inlineStr">
        <is>
          <t>Lodis</t>
        </is>
      </c>
      <c r="AU35" s="24" t="inlineStr">
        <is>
          <t>Lodis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ed7267b514f407c2093b515500eb4a8b26567d3f07ecbd95b89717fa166d10fd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ed7267b514f407c2093b515500eb4a8b26567d3f07ecbd95b89717fa166d10fd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2026-08-11T16:56:16.156478Z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0.390625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a7431973bdd148ae</t>
        </is>
      </c>
      <c r="B36" s="24" t="inlineStr">
        <is>
          <t>2026-08-11T19:58:42.464012Z</t>
        </is>
      </c>
      <c r="C36" s="24" t="inlineStr">
        <is>
          <t>2026-08-11T20:00:00Z</t>
        </is>
      </c>
      <c r="D36" s="24" t="inlineStr">
        <is>
          <t>75895</t>
        </is>
      </c>
      <c r="E36" s="24" t="inlineStr">
        <is>
          <t>LOL</t>
        </is>
      </c>
      <c r="F36" s="24" t="inlineStr">
        <is>
          <t>7REX</t>
        </is>
      </c>
      <c r="G36" s="24" t="inlineStr">
        <is>
          <t>Team Solid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0.571583</v>
      </c>
      <c r="P36" s="28" t="n"/>
      <c r="Q36" s="28" t="n">
        <v>0.061779</v>
      </c>
      <c r="R36" s="26" t="n">
        <v>51</v>
      </c>
      <c r="S36" s="29" t="n">
        <v>1.25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-104</v>
      </c>
      <c r="AA36" s="28" t="n">
        <v>0.51</v>
      </c>
      <c r="AB36" s="28" t="n">
        <v>0.000196</v>
      </c>
      <c r="AC36" s="30" t="n">
        <v>1.2019</v>
      </c>
      <c r="AD36" s="24" t="inlineStr">
        <is>
          <t>2026-08-11T23:00:58.174000Z</t>
        </is>
      </c>
      <c r="AE36" s="31" t="inlineStr">
        <is>
          <t>Neutral Elo baseline; executable ask 0.5100 (market_slug=aec-lol-tse-7rex-2026-08-11).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7REX</t>
        </is>
      </c>
      <c r="AQ36" s="24" t="inlineStr">
        <is>
          <t>7REX</t>
        </is>
      </c>
      <c r="AR36" s="24" t="inlineStr">
        <is>
          <t>7REX</t>
        </is>
      </c>
      <c r="AS36" s="24" t="inlineStr">
        <is>
          <t>Team Solid</t>
        </is>
      </c>
      <c r="AT36" s="24" t="inlineStr">
        <is>
          <t>Team Solid</t>
        </is>
      </c>
      <c r="AU36" s="24" t="inlineStr">
        <is>
          <t>Team Solid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42520e1cbdeac477d4933d02c42aaf237b6f0d38e18175043ec37cabaabcb7e4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42520e1cbdeac477d4933d02c42aaf237b6f0d38e18175043ec37cabaabcb7e4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2026-08-11T19:58:26.471210Z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>
        <v>1.961538</v>
      </c>
      <c r="BR36" s="28" t="n">
        <v>0.51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0.509804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301a5c1d3d894ace</t>
        </is>
      </c>
      <c r="B37" s="24" t="inlineStr">
        <is>
          <t>2026-08-11T19:58:42.464012Z</t>
        </is>
      </c>
      <c r="C37" s="24" t="inlineStr">
        <is>
          <t>2026-08-11T23:00:00Z</t>
        </is>
      </c>
      <c r="D37" s="24" t="inlineStr">
        <is>
          <t>76011</t>
        </is>
      </c>
      <c r="E37" s="24" t="inlineStr">
        <is>
          <t>LOL</t>
        </is>
      </c>
      <c r="F37" s="24" t="inlineStr">
        <is>
          <t>SDM Tigres</t>
        </is>
      </c>
      <c r="G37" s="24" t="inlineStr">
        <is>
          <t>Kits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0.546502</v>
      </c>
      <c r="P37" s="28" t="n"/>
      <c r="Q37" s="28" t="n">
        <v>0.036698</v>
      </c>
      <c r="R37" s="26" t="n">
        <v>38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2026-08-12T05:13:11.246785Z</t>
        </is>
      </c>
      <c r="AE37" s="31" t="inlineStr">
        <is>
          <t>Neutral Elo baseline; executable ask 0.5100 (market_slug=aec-lol-kits-sdm-2026-08-11).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SDM Tigres</t>
        </is>
      </c>
      <c r="AQ37" s="24" t="inlineStr">
        <is>
          <t>SDM Tigres</t>
        </is>
      </c>
      <c r="AR37" s="24" t="inlineStr">
        <is>
          <t>SDM Tigres</t>
        </is>
      </c>
      <c r="AS37" s="24" t="inlineStr">
        <is>
          <t>Kits Esports</t>
        </is>
      </c>
      <c r="AT37" s="24" t="inlineStr">
        <is>
          <t>Kits Esports</t>
        </is>
      </c>
      <c r="AU37" s="24" t="inlineStr">
        <is>
          <t>Kits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42520e1cbdeac477d4933d02c42aaf237b6f0d38e18175043ec37cabaabcb7e4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42520e1cbdeac477d4933d02c42aaf237b6f0d38e18175043ec37cabaabcb7e4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2026-08-11T19:58:26.927703Z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0.509804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113fbe2b75544462</t>
        </is>
      </c>
      <c r="B38" s="24" t="inlineStr">
        <is>
          <t>2026-08-12T05:16:40.582345Z</t>
        </is>
      </c>
      <c r="C38" s="24" t="inlineStr">
        <is>
          <t>2026-08-12T08:00:00Z</t>
        </is>
      </c>
      <c r="D38" s="24" t="inlineStr">
        <is>
          <t>76176</t>
        </is>
      </c>
      <c r="E38" s="24" t="inlineStr">
        <is>
          <t>LOL</t>
        </is>
      </c>
      <c r="F38" s="24" t="inlineStr">
        <is>
          <t>Nongshim Red Force</t>
        </is>
      </c>
      <c r="G38" s="24" t="inlineStr">
        <is>
          <t>DN SOOPers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150</v>
      </c>
      <c r="M38" s="27" t="n">
        <v>2.5</v>
      </c>
      <c r="N38" s="28" t="n">
        <v>0.4</v>
      </c>
      <c r="O38" s="28" t="n">
        <v>0.538872</v>
      </c>
      <c r="P38" s="28" t="n"/>
      <c r="Q38" s="28" t="n">
        <v>0.138872</v>
      </c>
      <c r="R38" s="26" t="n">
        <v>89</v>
      </c>
      <c r="S38" s="29" t="n">
        <v>1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</v>
      </c>
      <c r="AC38" s="30" t="n">
        <v>1.5</v>
      </c>
      <c r="AD38" s="24" t="inlineStr">
        <is>
          <t>2026-08-12T11:26:18.269554Z</t>
        </is>
      </c>
      <c r="AE38" s="31" t="inlineStr">
        <is>
          <t>Neutral Elo baseline; executable ask 0.4000 (market_slug=aec-lol-dns-ns-2026-08-12).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Nongshim Red Force</t>
        </is>
      </c>
      <c r="AQ38" s="24" t="inlineStr">
        <is>
          <t>Nongshim Red Force</t>
        </is>
      </c>
      <c r="AR38" s="24" t="inlineStr">
        <is>
          <t>Nongshim Red Force</t>
        </is>
      </c>
      <c r="AS38" s="24" t="inlineStr">
        <is>
          <t>DN SOOPers</t>
        </is>
      </c>
      <c r="AT38" s="24" t="inlineStr">
        <is>
          <t>DN SOOPers</t>
        </is>
      </c>
      <c r="AU38" s="24" t="inlineStr">
        <is>
          <t>DN SOOPers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5fa3e5dd2ed25c20af7f0b7693e2291536f17559c47f3686346f2079d8e5866e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5fa3e5dd2ed25c20af7f0b7693e2291536f17559c47f3686346f2079d8e5866e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2026-08-12T05:16:07.484937Z</t>
        </is>
      </c>
      <c r="BI38" s="24" t="inlineStr">
        <is>
          <t>["same_event","same_team_same_day","same_league_same_day"]</t>
        </is>
      </c>
      <c r="BJ38" s="25" t="n"/>
      <c r="BK38" s="26" t="n">
        <v>150</v>
      </c>
      <c r="BL38" s="27" t="n">
        <v>2.5</v>
      </c>
      <c r="BM38" s="28" t="n">
        <v>0.4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9154cce1b7b7468f</t>
        </is>
      </c>
      <c r="B39" s="24" t="inlineStr">
        <is>
          <t>2026-08-12T11:30:32.213742Z</t>
        </is>
      </c>
      <c r="C39" s="24" t="inlineStr">
        <is>
          <t>2026-08-12T14:00:00Z</t>
        </is>
      </c>
      <c r="D39" s="24" t="inlineStr">
        <is>
          <t>78193</t>
        </is>
      </c>
      <c r="E39" s="24" t="inlineStr">
        <is>
          <t>LOL</t>
        </is>
      </c>
      <c r="F39" s="24" t="inlineStr">
        <is>
          <t>eSuba</t>
        </is>
      </c>
      <c r="G39" s="24" t="inlineStr">
        <is>
          <t>Onion Team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0.689456</v>
      </c>
      <c r="P39" s="28" t="n"/>
      <c r="Q39" s="28" t="n">
        <v>0.08945599999999999</v>
      </c>
      <c r="R39" s="26" t="n">
        <v>65</v>
      </c>
      <c r="S39" s="29" t="n">
        <v>2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>
        <v>-150</v>
      </c>
      <c r="AA39" s="28" t="n">
        <v>0.6</v>
      </c>
      <c r="AB39" s="28" t="n">
        <v>0</v>
      </c>
      <c r="AC39" s="30" t="n">
        <v>1.3333</v>
      </c>
      <c r="AD39" s="24" t="inlineStr">
        <is>
          <t>2026-08-12T16:41:26.981883Z</t>
        </is>
      </c>
      <c r="AE39" s="31" t="inlineStr">
        <is>
          <t>Neutral Elo baseline; executable ask 0.6000 (market_slug=aec-lol-ot-esb-2026-08-12).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eSuba</t>
        </is>
      </c>
      <c r="AQ39" s="24" t="inlineStr">
        <is>
          <t>eSuba</t>
        </is>
      </c>
      <c r="AR39" s="24" t="inlineStr">
        <is>
          <t>eSuba</t>
        </is>
      </c>
      <c r="AS39" s="24" t="inlineStr">
        <is>
          <t>Onion Team</t>
        </is>
      </c>
      <c r="AT39" s="24" t="inlineStr">
        <is>
          <t>Onion Team</t>
        </is>
      </c>
      <c r="AU39" s="24" t="inlineStr">
        <is>
          <t>Onion Team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4004f0e3360462f746285bc9ac60db48513fe8f4f57bf664e3db630f4bf8de66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4004f0e3360462f746285bc9ac60db48513fe8f4f57bf664e3db630f4bf8de66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2026-08-12T11:30:03.514727Z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9a893c5633794b3e</t>
        </is>
      </c>
      <c r="B40" s="24" t="inlineStr">
        <is>
          <t>2026-08-12T14:37:37.206527Z</t>
        </is>
      </c>
      <c r="C40" s="24" t="inlineStr">
        <is>
          <t>2026-08-12T16:00:00Z</t>
        </is>
      </c>
      <c r="D40" s="24" t="inlineStr">
        <is>
          <t>76408</t>
        </is>
      </c>
      <c r="E40" s="24" t="inlineStr">
        <is>
          <t>LOL</t>
        </is>
      </c>
      <c r="F40" s="24" t="inlineStr">
        <is>
          <t>JSK Esports</t>
        </is>
      </c>
      <c r="G40" s="24" t="inlineStr">
        <is>
          <t>Disruptors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194</v>
      </c>
      <c r="M40" s="27" t="n">
        <v>2.94</v>
      </c>
      <c r="N40" s="28" t="n">
        <v>0.340136</v>
      </c>
      <c r="O40" s="28" t="n">
        <v>0.540932</v>
      </c>
      <c r="P40" s="28" t="n"/>
      <c r="Q40" s="28" t="n">
        <v>0.200796</v>
      </c>
      <c r="R40" s="26" t="n">
        <v>100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194</v>
      </c>
      <c r="AA40" s="28" t="n">
        <v>0.34</v>
      </c>
      <c r="AB40" s="28" t="n">
        <v>-0.000136</v>
      </c>
      <c r="AC40" s="30" t="n">
        <v>-1</v>
      </c>
      <c r="AD40" s="24" t="inlineStr">
        <is>
          <t>2026-08-12T21:15:59.478824Z</t>
        </is>
      </c>
      <c r="AE40" s="31" t="inlineStr">
        <is>
          <t>Neutral Elo baseline; executable ask 0.3400 (market_slug=aec-lol-ds-jsk-2026-08-12).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JSK Esports</t>
        </is>
      </c>
      <c r="AQ40" s="24" t="inlineStr">
        <is>
          <t>JSK Esports</t>
        </is>
      </c>
      <c r="AR40" s="24" t="inlineStr">
        <is>
          <t>JSK Esports</t>
        </is>
      </c>
      <c r="AS40" s="24" t="inlineStr">
        <is>
          <t>Disruptors</t>
        </is>
      </c>
      <c r="AT40" s="24" t="inlineStr">
        <is>
          <t>Disruptors</t>
        </is>
      </c>
      <c r="AU40" s="24" t="inlineStr">
        <is>
          <t>Disruptors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5d984128685f3b64d7a3d96ad1f15678400010a71505611bcd09049cf2b58fdd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5d984128685f3b64d7a3d96ad1f15678400010a71505611bcd09049cf2b58fdd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2026-08-12T14:37:12.998440Z</t>
        </is>
      </c>
      <c r="BI40" s="24" t="inlineStr">
        <is>
          <t>["same_event","same_team_same_day","same_league_same_day"]</t>
        </is>
      </c>
      <c r="BJ40" s="25" t="n"/>
      <c r="BK40" s="26" t="n">
        <v>194</v>
      </c>
      <c r="BL40" s="27" t="n">
        <v>2.94</v>
      </c>
      <c r="BM40" s="28" t="n">
        <v>0.340136</v>
      </c>
      <c r="BN40" s="28" t="n"/>
      <c r="BO40" s="28" t="n"/>
      <c r="BP40" s="25" t="n"/>
      <c r="BQ40" s="27" t="n">
        <v>2.94</v>
      </c>
      <c r="BR40" s="28" t="n">
        <v>0.34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0.340136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3d6389fbda8243e4</t>
        </is>
      </c>
      <c r="B41" s="24" t="inlineStr">
        <is>
          <t>2026-08-12T21:33:50.682408Z</t>
        </is>
      </c>
      <c r="C41" s="24" t="inlineStr">
        <is>
          <t>2026-08-13T05:00:00Z</t>
        </is>
      </c>
      <c r="D41" s="24" t="inlineStr">
        <is>
          <t>77155</t>
        </is>
      </c>
      <c r="E41" s="24" t="inlineStr">
        <is>
          <t>LOL</t>
        </is>
      </c>
      <c r="F41" s="24" t="inlineStr">
        <is>
          <t>Nongshim Esports Academy</t>
        </is>
      </c>
      <c r="G41" s="24" t="inlineStr">
        <is>
          <t>KT Rolster Challengers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0.54421</v>
      </c>
      <c r="P41" s="28" t="n"/>
      <c r="Q41" s="28" t="n">
        <v>0.103681</v>
      </c>
      <c r="R41" s="26" t="n">
        <v>72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1.27</v>
      </c>
      <c r="AD41" s="24" t="inlineStr">
        <is>
          <t>2026-08-13T07:29:38.262413Z</t>
        </is>
      </c>
      <c r="AE41" s="31" t="inlineStr">
        <is>
          <t>Neutral Elo baseline; executable ask 0.4400 (market_slug=aec-lol-ktc-nsea-2026-08-13).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Nongshim Esports Academy</t>
        </is>
      </c>
      <c r="AQ41" s="24" t="inlineStr">
        <is>
          <t>Nongshim Esports Academy</t>
        </is>
      </c>
      <c r="AR41" s="24" t="inlineStr">
        <is>
          <t>Nongshim Esports Academy</t>
        </is>
      </c>
      <c r="AS41" s="24" t="inlineStr">
        <is>
          <t>KT Rolster Challengers</t>
        </is>
      </c>
      <c r="AT41" s="24" t="inlineStr">
        <is>
          <t>KT Rolster Challengers</t>
        </is>
      </c>
      <c r="AU41" s="24" t="inlineStr">
        <is>
          <t>KT Rolster Challengers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2d532d5f60c2a7bfd12e6f32f876f72fdd16c8e21504e1273ad472f37a538927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2d532d5f60c2a7bfd12e6f32f876f72fdd16c8e21504e1273ad472f37a538927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2026-08-12T21:33:38.916292Z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0.440529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047757794a44480f</t>
        </is>
      </c>
      <c r="B42" s="24" t="inlineStr">
        <is>
          <t>2026-08-12T21:33:50.682408Z</t>
        </is>
      </c>
      <c r="C42" s="24" t="inlineStr">
        <is>
          <t>2026-08-14T00:00:00Z</t>
        </is>
      </c>
      <c r="D42" s="24" t="inlineStr">
        <is>
          <t>78062</t>
        </is>
      </c>
      <c r="E42" s="24" t="inlineStr">
        <is>
          <t>LOL</t>
        </is>
      </c>
      <c r="F42" s="24" t="inlineStr">
        <is>
          <t>Dorado Gaming</t>
        </is>
      </c>
      <c r="G42" s="24" t="inlineStr">
        <is>
          <t>University of Mississippi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0.570554</v>
      </c>
      <c r="P42" s="28" t="n"/>
      <c r="Q42" s="28" t="n">
        <v>0.170554</v>
      </c>
      <c r="R42" s="26" t="n">
        <v>100</v>
      </c>
      <c r="S42" s="29" t="n">
        <v>1.25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156</v>
      </c>
      <c r="AA42" s="28" t="n">
        <v>0.39</v>
      </c>
      <c r="AB42" s="28" t="n">
        <v>-0.01</v>
      </c>
      <c r="AC42" s="30" t="n">
        <v>-1.25</v>
      </c>
      <c r="AD42" s="24" t="inlineStr">
        <is>
          <t>2026-08-14T02:23:10.210233Z</t>
        </is>
      </c>
      <c r="AE42" s="31" t="inlineStr">
        <is>
          <t>Neutral Elo baseline; executable ask 0.4000 (market_slug=aec-lol-miss-dog-2026-08-14).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Dorado Gaming</t>
        </is>
      </c>
      <c r="AQ42" s="24" t="inlineStr">
        <is>
          <t>Dorado Gaming</t>
        </is>
      </c>
      <c r="AR42" s="24" t="inlineStr">
        <is>
          <t>Dorado Gaming</t>
        </is>
      </c>
      <c r="AS42" s="24" t="inlineStr">
        <is>
          <t>University of Mississippi</t>
        </is>
      </c>
      <c r="AT42" s="24" t="inlineStr">
        <is>
          <t>University of Mississippi</t>
        </is>
      </c>
      <c r="AU42" s="24" t="inlineStr">
        <is>
          <t>University of Mississippi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2d532d5f60c2a7bfd12e6f32f876f72fdd16c8e21504e1273ad472f37a538927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2d532d5f60c2a7bfd12e6f32f876f72fdd16c8e21504e1273ad472f37a538927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2026-08-12T21:33:49.612741Z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>
        <v>2.56</v>
      </c>
      <c r="BR42" s="28" t="n">
        <v>0.39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174f2046c09a4ce8</t>
        </is>
      </c>
      <c r="B43" s="24" t="inlineStr">
        <is>
          <t>2026-08-13T07:33:45.748059Z</t>
        </is>
      </c>
      <c r="C43" s="24" t="inlineStr">
        <is>
          <t>2026-08-13T10:00:00Z</t>
        </is>
      </c>
      <c r="D43" s="24" t="inlineStr">
        <is>
          <t>77199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133</v>
      </c>
      <c r="M43" s="27" t="n">
        <v>2.33</v>
      </c>
      <c r="N43" s="28" t="n">
        <v>0.429185</v>
      </c>
      <c r="O43" s="28" t="n">
        <v>0.549515</v>
      </c>
      <c r="P43" s="28" t="n"/>
      <c r="Q43" s="28" t="n">
        <v>0.12033</v>
      </c>
      <c r="R43" s="26" t="n">
        <v>80</v>
      </c>
      <c r="S43" s="29" t="n">
        <v>1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133</v>
      </c>
      <c r="AA43" s="28" t="n">
        <v>0.43</v>
      </c>
      <c r="AB43" s="28" t="n">
        <v>0.000815</v>
      </c>
      <c r="AC43" s="30" t="n">
        <v>-1</v>
      </c>
      <c r="AD43" s="24" t="inlineStr">
        <is>
          <t>2026-08-13T13:43:44.689330Z</t>
        </is>
      </c>
      <c r="AE43" s="31" t="inlineStr">
        <is>
          <t>Neutral Elo baseline; executable ask 0.4300 (market_slug=aec-lol-gen-hle-2026-08-13).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ec253e009ebc51b870bf7dddd39f66de3de28259fdb77d4c257587dd29af8c61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ec253e009ebc51b870bf7dddd39f66de3de28259fdb77d4c257587dd29af8c61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2026-08-13T07:33:30.003386Z</t>
        </is>
      </c>
      <c r="BI43" s="24" t="inlineStr">
        <is>
          <t>["same_event","same_team_same_day","same_league_same_day"]</t>
        </is>
      </c>
      <c r="BJ43" s="25" t="n"/>
      <c r="BK43" s="26" t="n">
        <v>133</v>
      </c>
      <c r="BL43" s="27" t="n">
        <v>2.33</v>
      </c>
      <c r="BM43" s="28" t="n">
        <v>0.429185</v>
      </c>
      <c r="BN43" s="28" t="n"/>
      <c r="BO43" s="28" t="n"/>
      <c r="BP43" s="25" t="n"/>
      <c r="BQ43" s="27" t="n">
        <v>2.33</v>
      </c>
      <c r="BR43" s="28" t="n">
        <v>0.43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0.429185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5d636ddf81e44d32</t>
        </is>
      </c>
      <c r="B44" s="24" t="inlineStr">
        <is>
          <t>2026-08-13T13:47:27.260608Z</t>
        </is>
      </c>
      <c r="C44" s="24" t="inlineStr">
        <is>
          <t>2026-08-13T14:30:00Z</t>
        </is>
      </c>
      <c r="D44" s="24" t="inlineStr">
        <is>
          <t>80404</t>
        </is>
      </c>
      <c r="E44" s="24" t="inlineStr">
        <is>
          <t>LOL</t>
        </is>
      </c>
      <c r="F44" s="24" t="inlineStr">
        <is>
          <t>Team Phoenix</t>
        </is>
      </c>
      <c r="G44" s="24" t="inlineStr">
        <is>
          <t>Shark Attack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203</v>
      </c>
      <c r="M44" s="27" t="n">
        <v>3.03</v>
      </c>
      <c r="N44" s="28" t="n">
        <v>0.330033</v>
      </c>
      <c r="O44" s="28" t="n">
        <v>0.597109</v>
      </c>
      <c r="P44" s="28" t="n"/>
      <c r="Q44" s="28" t="n">
        <v>0.267076</v>
      </c>
      <c r="R44" s="26" t="n">
        <v>100</v>
      </c>
      <c r="S44" s="29" t="n">
        <v>1.25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203</v>
      </c>
      <c r="AA44" s="28" t="n">
        <v>0.33</v>
      </c>
      <c r="AB44" s="28" t="n">
        <v>-3.3e-05</v>
      </c>
      <c r="AC44" s="30" t="n">
        <v>-1.25</v>
      </c>
      <c r="AD44" s="24" t="inlineStr">
        <is>
          <t>2026-08-13T16:50:23.337076Z</t>
        </is>
      </c>
      <c r="AE44" s="31" t="inlineStr">
        <is>
          <t>Neutral Elo baseline; executable ask 0.3300 (market_slug=aec-lol-sha-phx-2026-08-13).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Phoenix</t>
        </is>
      </c>
      <c r="AQ44" s="24" t="inlineStr">
        <is>
          <t>Team Phoenix</t>
        </is>
      </c>
      <c r="AR44" s="24" t="inlineStr">
        <is>
          <t>Team Phoenix</t>
        </is>
      </c>
      <c r="AS44" s="24" t="inlineStr">
        <is>
          <t>Shark Attack</t>
        </is>
      </c>
      <c r="AT44" s="24" t="inlineStr">
        <is>
          <t>Shark Attack</t>
        </is>
      </c>
      <c r="AU44" s="24" t="inlineStr">
        <is>
          <t>Shark Attack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6023d4021b40a650776f8cf8855b72ed9aa87236a16daed15de976c649ced69c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6023d4021b40a650776f8cf8855b72ed9aa87236a16daed15de976c649ced69c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2026-08-13T13:47:13.491111Z</t>
        </is>
      </c>
      <c r="BI44" s="24" t="inlineStr">
        <is>
          <t>["same_event","same_team_same_day","same_league_same_day"]</t>
        </is>
      </c>
      <c r="BJ44" s="25" t="n"/>
      <c r="BK44" s="26" t="n">
        <v>203</v>
      </c>
      <c r="BL44" s="27" t="n">
        <v>3.03</v>
      </c>
      <c r="BM44" s="28" t="n">
        <v>0.330033</v>
      </c>
      <c r="BN44" s="28" t="n"/>
      <c r="BO44" s="28" t="n"/>
      <c r="BP44" s="25" t="n"/>
      <c r="BQ44" s="27" t="n">
        <v>3.03</v>
      </c>
      <c r="BR44" s="28" t="n">
        <v>0.33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0.330033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f900257e00cd4bfd</t>
        </is>
      </c>
      <c r="B45" s="24" t="inlineStr">
        <is>
          <t>2026-08-13T13:47:27.260608Z</t>
        </is>
      </c>
      <c r="C45" s="24" t="inlineStr">
        <is>
          <t>2026-08-13T15:00:00Z</t>
        </is>
      </c>
      <c r="D45" s="24" t="inlineStr">
        <is>
          <t>80391</t>
        </is>
      </c>
      <c r="E45" s="24" t="inlineStr">
        <is>
          <t>LOL</t>
        </is>
      </c>
      <c r="F45" s="24" t="inlineStr">
        <is>
          <t>ROSSMANN Centaurs</t>
        </is>
      </c>
      <c r="G45" s="24" t="inlineStr">
        <is>
          <t>E WIE EINFACH E-SPORTS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-186</v>
      </c>
      <c r="M45" s="27" t="n">
        <v>1.537634</v>
      </c>
      <c r="N45" s="28" t="n">
        <v>0.65035</v>
      </c>
      <c r="O45" s="28" t="n">
        <v>0.714326</v>
      </c>
      <c r="P45" s="28" t="n"/>
      <c r="Q45" s="28" t="n">
        <v>0.06397600000000001</v>
      </c>
      <c r="R45" s="26" t="n">
        <v>52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-186</v>
      </c>
      <c r="AA45" s="28" t="n">
        <v>0.65</v>
      </c>
      <c r="AB45" s="28" t="n">
        <v>-0.00035</v>
      </c>
      <c r="AC45" s="30" t="n">
        <v>-2</v>
      </c>
      <c r="AD45" s="24" t="inlineStr">
        <is>
          <t>2026-08-13T19:19:47.036367Z</t>
        </is>
      </c>
      <c r="AE45" s="31" t="inlineStr">
        <is>
          <t>Neutral Elo baseline; executable ask 0.6500 (market_slug=aec-lol-ewi-ross-2026-08-13).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ROSSMANN Centaurs</t>
        </is>
      </c>
      <c r="AQ45" s="24" t="inlineStr">
        <is>
          <t>ROSSMANN Centaurs</t>
        </is>
      </c>
      <c r="AR45" s="24" t="inlineStr">
        <is>
          <t>ROSSMANN Centaurs</t>
        </is>
      </c>
      <c r="AS45" s="24" t="inlineStr">
        <is>
          <t>E WIE EINFACH E-SPORTS</t>
        </is>
      </c>
      <c r="AT45" s="24" t="inlineStr">
        <is>
          <t>E WIE EINFACH E-SPORTS</t>
        </is>
      </c>
      <c r="AU45" s="24" t="inlineStr">
        <is>
          <t>E WIE EINFACH E-SPORTS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6023d4021b40a650776f8cf8855b72ed9aa87236a16daed15de976c649ced69c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6023d4021b40a650776f8cf8855b72ed9aa87236a16daed15de976c649ced69c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2026-08-13T13:47:14.010731Z</t>
        </is>
      </c>
      <c r="BI45" s="24" t="inlineStr">
        <is>
          <t>["same_event","same_team_same_day","same_league_same_day"]</t>
        </is>
      </c>
      <c r="BJ45" s="25" t="n"/>
      <c r="BK45" s="26" t="n">
        <v>-186</v>
      </c>
      <c r="BL45" s="27" t="n">
        <v>1.537634</v>
      </c>
      <c r="BM45" s="28" t="n">
        <v>0.65035</v>
      </c>
      <c r="BN45" s="28" t="n"/>
      <c r="BO45" s="28" t="n"/>
      <c r="BP45" s="25" t="n"/>
      <c r="BQ45" s="27" t="n">
        <v>1.537634</v>
      </c>
      <c r="BR45" s="28" t="n">
        <v>0.65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0.65035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07c10a8c4c1d4da0</t>
        </is>
      </c>
      <c r="B46" s="24" t="inlineStr">
        <is>
          <t>2026-08-13T17:16:31.277645Z</t>
        </is>
      </c>
      <c r="C46" s="24" t="inlineStr">
        <is>
          <t>2026-08-13T18:00:00Z</t>
        </is>
      </c>
      <c r="D46" s="24" t="inlineStr">
        <is>
          <t>77545</t>
        </is>
      </c>
      <c r="E46" s="24" t="inlineStr">
        <is>
          <t>LOL</t>
        </is>
      </c>
      <c r="F46" s="24" t="inlineStr">
        <is>
          <t>ZennIT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100</v>
      </c>
      <c r="M46" s="27" t="n">
        <v>2</v>
      </c>
      <c r="N46" s="28" t="n">
        <v>0.5</v>
      </c>
      <c r="O46" s="28" t="n">
        <v>0.570819</v>
      </c>
      <c r="P46" s="28" t="n"/>
      <c r="Q46" s="28" t="n">
        <v>0.07081899999999999</v>
      </c>
      <c r="R46" s="26" t="n">
        <v>55</v>
      </c>
      <c r="S46" s="29" t="n">
        <v>1.25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100</v>
      </c>
      <c r="AA46" s="28" t="n">
        <v>0.5</v>
      </c>
      <c r="AB46" s="28" t="n">
        <v>0</v>
      </c>
      <c r="AC46" s="30" t="n">
        <v>-1.25</v>
      </c>
      <c r="AD46" s="24" t="inlineStr">
        <is>
          <t>2026-08-13T23:17:59.403551Z</t>
        </is>
      </c>
      <c r="AE46" s="31" t="inlineStr">
        <is>
          <t>Neutral Elo baseline; executable ask 0.5000 (market_slug=aec-lol-myth-znt-2026-08-13).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ZennIT</t>
        </is>
      </c>
      <c r="AQ46" s="24" t="inlineStr">
        <is>
          <t>ZennIT</t>
        </is>
      </c>
      <c r="AR46" s="24" t="inlineStr">
        <is>
          <t>ZennIT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4da8cf8556dcb2f8db0165b0df47f474a10ecbe34301ea2884cb4d2ea0ed7ec7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4da8cf8556dcb2f8db0165b0df47f474a10ecbe34301ea2884cb4d2ea0ed7ec7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2026-08-13T17:16:22.513568Z</t>
        </is>
      </c>
      <c r="BI46" s="24" t="inlineStr">
        <is>
          <t>["same_event","same_team_same_day","same_league_same_day"]</t>
        </is>
      </c>
      <c r="BJ46" s="25" t="n"/>
      <c r="BK46" s="26" t="n">
        <v>100</v>
      </c>
      <c r="BL46" s="27" t="n">
        <v>2</v>
      </c>
      <c r="BM46" s="28" t="n">
        <v>0.5</v>
      </c>
      <c r="BN46" s="28" t="n"/>
      <c r="BO46" s="28" t="n"/>
      <c r="BP46" s="25" t="n"/>
      <c r="BQ46" s="27" t="n">
        <v>2</v>
      </c>
      <c r="BR46" s="28" t="n">
        <v>0.5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f61dc2750cd94d21</t>
        </is>
      </c>
      <c r="B47" s="24" t="inlineStr">
        <is>
          <t>2026-08-13T20:15:26.127935Z</t>
        </is>
      </c>
      <c r="C47" s="24" t="inlineStr">
        <is>
          <t>2026-08-13T21:00:00Z</t>
        </is>
      </c>
      <c r="D47" s="24" t="inlineStr">
        <is>
          <t>77941</t>
        </is>
      </c>
      <c r="E47" s="24" t="inlineStr">
        <is>
          <t>LOL</t>
        </is>
      </c>
      <c r="F47" s="24" t="inlineStr">
        <is>
          <t>Role Swappers</t>
        </is>
      </c>
      <c r="G47" s="24" t="inlineStr">
        <is>
          <t>ZeroZone Gaming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186</v>
      </c>
      <c r="M47" s="27" t="n">
        <v>2.86</v>
      </c>
      <c r="N47" s="28" t="n">
        <v>0.34965</v>
      </c>
      <c r="O47" s="28" t="n">
        <v>0.588255</v>
      </c>
      <c r="P47" s="28" t="n"/>
      <c r="Q47" s="28" t="n">
        <v>0.238605</v>
      </c>
      <c r="R47" s="26" t="n">
        <v>100</v>
      </c>
      <c r="S47" s="29" t="n">
        <v>1.25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0</v>
      </c>
      <c r="X47" s="26" t="n">
        <v>1</v>
      </c>
      <c r="Y47" s="25" t="n"/>
      <c r="Z47" s="26" t="n">
        <v>186</v>
      </c>
      <c r="AA47" s="28" t="n">
        <v>0.35</v>
      </c>
      <c r="AB47" s="28" t="n">
        <v>0.00035</v>
      </c>
      <c r="AC47" s="30" t="n">
        <v>-1.25</v>
      </c>
      <c r="AD47" s="24" t="inlineStr">
        <is>
          <t>2026-08-14T02:23:11.640807Z</t>
        </is>
      </c>
      <c r="AE47" s="31" t="inlineStr">
        <is>
          <t>Neutral Elo baseline; executable ask 0.3500 (market_slug=aec-lol-zzg-role-2026-08-13).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Role Swappers</t>
        </is>
      </c>
      <c r="AQ47" s="24" t="inlineStr">
        <is>
          <t>Role Swappers</t>
        </is>
      </c>
      <c r="AR47" s="24" t="inlineStr">
        <is>
          <t>Role Swappers</t>
        </is>
      </c>
      <c r="AS47" s="24" t="inlineStr">
        <is>
          <t>ZeroZone Gaming</t>
        </is>
      </c>
      <c r="AT47" s="24" t="inlineStr">
        <is>
          <t>ZeroZone Gaming</t>
        </is>
      </c>
      <c r="AU47" s="24" t="inlineStr">
        <is>
          <t>ZeroZone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a88bb99ad0171b651acfa2a93a80103c0b1ba1a2574e16f8845b1f2683e3361c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a88bb99ad0171b651acfa2a93a80103c0b1ba1a2574e16f8845b1f2683e3361c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2026-08-13T20:15:18.909756Z</t>
        </is>
      </c>
      <c r="BI47" s="24" t="inlineStr">
        <is>
          <t>["same_event","same_team_same_day","same_league_same_day"]</t>
        </is>
      </c>
      <c r="BJ47" s="25" t="n"/>
      <c r="BK47" s="26" t="n">
        <v>186</v>
      </c>
      <c r="BL47" s="27" t="n">
        <v>2.86</v>
      </c>
      <c r="BM47" s="28" t="n">
        <v>0.34965</v>
      </c>
      <c r="BN47" s="28" t="n"/>
      <c r="BO47" s="28" t="n"/>
      <c r="BP47" s="25" t="n"/>
      <c r="BQ47" s="27" t="n">
        <v>2.86</v>
      </c>
      <c r="BR47" s="28" t="n">
        <v>0.35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0.34965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1e5f97199a8b442b</t>
        </is>
      </c>
      <c r="B48" s="24" t="inlineStr">
        <is>
          <t>2026-08-14T04:12:55.353715Z</t>
        </is>
      </c>
      <c r="C48" s="24" t="inlineStr">
        <is>
          <t>2026-08-14T05:00:00Z</t>
        </is>
      </c>
      <c r="D48" s="24" t="inlineStr">
        <is>
          <t>78185</t>
        </is>
      </c>
      <c r="E48" s="24" t="inlineStr">
        <is>
          <t>LOL</t>
        </is>
      </c>
      <c r="F48" s="24" t="inlineStr">
        <is>
          <t>HANJIN BRION Challengers</t>
        </is>
      </c>
      <c r="G48" s="24" t="inlineStr">
        <is>
          <t>BNK FearX Youth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0.682884</v>
      </c>
      <c r="P48" s="28" t="n"/>
      <c r="Q48" s="28" t="n">
        <v>0.032534</v>
      </c>
      <c r="R48" s="26" t="n">
        <v>36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-186</v>
      </c>
      <c r="AA48" s="28" t="n">
        <v>0.65</v>
      </c>
      <c r="AB48" s="28" t="n">
        <v>-0.00035</v>
      </c>
      <c r="AC48" s="30" t="n">
        <v>-2</v>
      </c>
      <c r="AD48" s="24" t="inlineStr">
        <is>
          <t>2026-08-14T07:33:34.969698Z</t>
        </is>
      </c>
      <c r="AE48" s="31" t="inlineStr">
        <is>
          <t>Neutral Elo baseline; executable ask 0.6500 (market_slug=aec-lol-foxy-hbc-2026-08-14).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HANJIN BRION Challengers</t>
        </is>
      </c>
      <c r="AQ48" s="24" t="inlineStr">
        <is>
          <t>HANJIN BRION Challengers</t>
        </is>
      </c>
      <c r="AR48" s="24" t="inlineStr">
        <is>
          <t>HANJIN BRION Challengers</t>
        </is>
      </c>
      <c r="AS48" s="24" t="inlineStr">
        <is>
          <t>BNK FearX Youth</t>
        </is>
      </c>
      <c r="AT48" s="24" t="inlineStr">
        <is>
          <t>BNK FearX Youth</t>
        </is>
      </c>
      <c r="AU48" s="24" t="inlineStr">
        <is>
          <t>BNK FearX Youth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48c5a0094c3909124c25b2dd68486bbc3778104a9e1ddeb4740f9d6b70885d21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48c5a0094c3909124c25b2dd68486bbc3778104a9e1ddeb4740f9d6b70885d21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2026-08-14T04:12:38.715639Z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>
        <v>1.537634</v>
      </c>
      <c r="BR48" s="28" t="n">
        <v>0.65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0.65035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422d84c5773f4ccf</t>
        </is>
      </c>
      <c r="B49" s="24" t="inlineStr">
        <is>
          <t>2026-08-14T07:42:05.123975Z</t>
        </is>
      </c>
      <c r="C49" s="24" t="inlineStr">
        <is>
          <t>2026-08-14T09:00:00Z</t>
        </is>
      </c>
      <c r="D49" s="24" t="inlineStr">
        <is>
          <t>78211</t>
        </is>
      </c>
      <c r="E49" s="24" t="inlineStr">
        <is>
          <t>LOL</t>
        </is>
      </c>
      <c r="F49" s="24" t="inlineStr">
        <is>
          <t>CTBC Flying Oyster</t>
        </is>
      </c>
      <c r="G49" s="24" t="inlineStr">
        <is>
          <t>MVK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0.5603630000000001</v>
      </c>
      <c r="P49" s="28" t="n"/>
      <c r="Q49" s="28" t="n">
        <v>0.021192</v>
      </c>
      <c r="R49" s="26" t="n">
        <v>31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-1</v>
      </c>
      <c r="AD49" s="24" t="inlineStr">
        <is>
          <t>2026-08-14T13:54:13.902415Z</t>
        </is>
      </c>
      <c r="AE49" s="31" t="inlineStr">
        <is>
          <t>Neutral Elo baseline; executable ask 0.5400 (market_slug=aec-lol-mvk-cfo-2026-08-14).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CTBC Flying Oyster</t>
        </is>
      </c>
      <c r="AQ49" s="24" t="inlineStr">
        <is>
          <t>CTBC Flying Oyster</t>
        </is>
      </c>
      <c r="AR49" s="24" t="inlineStr">
        <is>
          <t>CTBC Flying Oyster</t>
        </is>
      </c>
      <c r="AS49" s="24" t="inlineStr">
        <is>
          <t>MVK Esports</t>
        </is>
      </c>
      <c r="AT49" s="24" t="inlineStr">
        <is>
          <t>MVK Esports</t>
        </is>
      </c>
      <c r="AU49" s="24" t="inlineStr">
        <is>
          <t>MVK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fccf44aae9848acebf5028ffc9ed85733073e710199bcfd621983cee4e68ac59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fccf44aae9848acebf5028ffc9ed85733073e710199bcfd621983cee4e68ac59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2026-08-14T07:41:48.845402Z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75dcc7d6db1b4574</t>
        </is>
      </c>
      <c r="B50" s="24" t="inlineStr">
        <is>
          <t>2026-08-14T07:42:05.123975Z</t>
        </is>
      </c>
      <c r="C50" s="24" t="inlineStr">
        <is>
          <t>2026-08-14T10:00:00Z</t>
        </is>
      </c>
      <c r="D50" s="24" t="inlineStr">
        <is>
          <t>78233</t>
        </is>
      </c>
      <c r="E50" s="24" t="inlineStr">
        <is>
          <t>LOL</t>
        </is>
      </c>
      <c r="F50" s="24" t="inlineStr">
        <is>
          <t>HANJIN BRION</t>
        </is>
      </c>
      <c r="G50" s="24" t="inlineStr">
        <is>
          <t>Nongshim Red Force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0.6184770000000001</v>
      </c>
      <c r="P50" s="28" t="n"/>
      <c r="Q50" s="28" t="n">
        <v>0.108673</v>
      </c>
      <c r="R50" s="26" t="n">
        <v>74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-104</v>
      </c>
      <c r="AA50" s="28" t="n">
        <v>0.51</v>
      </c>
      <c r="AB50" s="28" t="n">
        <v>0.000196</v>
      </c>
      <c r="AC50" s="30" t="n">
        <v>1.4423</v>
      </c>
      <c r="AD50" s="24" t="inlineStr">
        <is>
          <t>2026-08-14T13:54:20.317121Z</t>
        </is>
      </c>
      <c r="AE50" s="31" t="inlineStr">
        <is>
          <t>Neutral Elo baseline; executable ask 0.5100 (market_slug=aec-lol-ns-bro-2026-08-14).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HANJIN BRION</t>
        </is>
      </c>
      <c r="AQ50" s="24" t="inlineStr">
        <is>
          <t>HANJIN BRION</t>
        </is>
      </c>
      <c r="AR50" s="24" t="inlineStr">
        <is>
          <t>HANJIN BRION</t>
        </is>
      </c>
      <c r="AS50" s="24" t="inlineStr">
        <is>
          <t>Nongshim Red Force</t>
        </is>
      </c>
      <c r="AT50" s="24" t="inlineStr">
        <is>
          <t>Nongshim Red Force</t>
        </is>
      </c>
      <c r="AU50" s="24" t="inlineStr">
        <is>
          <t>Nongshim Red Force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fccf44aae9848acebf5028ffc9ed85733073e710199bcfd621983cee4e68ac59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fccf44aae9848acebf5028ffc9ed85733073e710199bcfd621983cee4e68ac59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2026-08-14T07:41:50.112695Z</t>
        </is>
      </c>
      <c r="BI50" s="24" t="inlineStr">
        <is>
          <t>["same_event","same_team_same_day","same_league_same_day"]</t>
        </is>
      </c>
      <c r="BJ50" s="25" t="n"/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>
        <v>1.961538</v>
      </c>
      <c r="BR50" s="28" t="n">
        <v>0.51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0.509804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982cb265e2544e10</t>
        </is>
      </c>
      <c r="B51" s="24" t="inlineStr">
        <is>
          <t>2026-08-14T10:49:45.341093Z</t>
        </is>
      </c>
      <c r="C51" s="24" t="inlineStr">
        <is>
          <t>2026-08-14T11:00:00Z</t>
        </is>
      </c>
      <c r="D51" s="24" t="inlineStr">
        <is>
          <t>78279</t>
        </is>
      </c>
      <c r="E51" s="24" t="inlineStr">
        <is>
          <t>LOL</t>
        </is>
      </c>
      <c r="F51" s="24" t="inlineStr">
        <is>
          <t>JD Gaming</t>
        </is>
      </c>
      <c r="G51" s="24" t="inlineStr">
        <is>
          <t>Anyone's Legend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0.574318</v>
      </c>
      <c r="P51" s="28" t="n"/>
      <c r="Q51" s="28" t="n">
        <v>0.014847</v>
      </c>
      <c r="R51" s="26" t="n">
        <v>27</v>
      </c>
      <c r="S51" s="29" t="n">
        <v>1.25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-127</v>
      </c>
      <c r="AA51" s="28" t="n">
        <v>0.5600000000000001</v>
      </c>
      <c r="AB51" s="28" t="n">
        <v>0.000529</v>
      </c>
      <c r="AC51" s="30" t="n">
        <v>0.9843</v>
      </c>
      <c r="AD51" s="24" t="inlineStr">
        <is>
          <t>2026-08-14T17:02:23.140235Z</t>
        </is>
      </c>
      <c r="AE51" s="31" t="inlineStr">
        <is>
          <t>Neutral Elo baseline; executable ask 0.5600 (market_slug=aec-lol-al-jdg-2026-08-14).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JD Gaming</t>
        </is>
      </c>
      <c r="AQ51" s="24" t="inlineStr">
        <is>
          <t>JD Gaming</t>
        </is>
      </c>
      <c r="AR51" s="24" t="inlineStr">
        <is>
          <t>JD Gaming</t>
        </is>
      </c>
      <c r="AS51" s="24" t="inlineStr">
        <is>
          <t>Anyone's Legend</t>
        </is>
      </c>
      <c r="AT51" s="24" t="inlineStr">
        <is>
          <t>Anyone's Legend</t>
        </is>
      </c>
      <c r="AU51" s="24" t="inlineStr">
        <is>
          <t>Anyone's Legend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667c9d7385a5ad7d2439c2eef5ba4e6bc0b427e53bd7fdc5c4bc1b1ee56ca91c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667c9d7385a5ad7d2439c2eef5ba4e6bc0b427e53bd7fdc5c4bc1b1ee56ca91c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2026-08-14T10:49:32.735473Z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>
        <v>1.787402</v>
      </c>
      <c r="BR51" s="28" t="n">
        <v>0.5600000000000001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0.559471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4087f167d6e14f89</t>
        </is>
      </c>
      <c r="B52" s="24" t="inlineStr">
        <is>
          <t>2026-08-15T08:28:14.381845Z</t>
        </is>
      </c>
      <c r="C52" s="24" t="inlineStr">
        <is>
          <t>2026-08-15T10:00:00Z</t>
        </is>
      </c>
      <c r="D52" s="24" t="inlineStr">
        <is>
          <t>79615</t>
        </is>
      </c>
      <c r="E52" s="24" t="inlineStr">
        <is>
          <t>LOL</t>
        </is>
      </c>
      <c r="F52" s="24" t="inlineStr">
        <is>
          <t>DN SOOPers</t>
        </is>
      </c>
      <c r="G52" s="24" t="inlineStr">
        <is>
          <t>BNK FEARX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144</v>
      </c>
      <c r="M52" s="27" t="n">
        <v>2.44</v>
      </c>
      <c r="N52" s="28" t="n">
        <v>0.409836</v>
      </c>
      <c r="O52" s="28" t="n">
        <v>0.530977</v>
      </c>
      <c r="P52" s="28" t="n"/>
      <c r="Q52" s="28" t="n">
        <v>0.121141</v>
      </c>
      <c r="R52" s="26" t="n">
        <v>81</v>
      </c>
      <c r="S52" s="29" t="n">
        <v>1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144</v>
      </c>
      <c r="AA52" s="28" t="n">
        <v>0.41</v>
      </c>
      <c r="AB52" s="28" t="n">
        <v>0.000164</v>
      </c>
      <c r="AC52" s="30" t="n">
        <v>1.44</v>
      </c>
      <c r="AD52" s="24" t="inlineStr">
        <is>
          <t>2026-08-15T14:40:27.138897Z</t>
        </is>
      </c>
      <c r="AE52" s="31" t="inlineStr">
        <is>
          <t>Neutral Elo baseline; executable ask 0.4100 (market_slug=aec-lol-bfx-dns-2026-08-15).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DN SOOPers</t>
        </is>
      </c>
      <c r="AQ52" s="24" t="inlineStr">
        <is>
          <t>DN SOOPers</t>
        </is>
      </c>
      <c r="AR52" s="24" t="inlineStr">
        <is>
          <t>DN SOOPers</t>
        </is>
      </c>
      <c r="AS52" s="24" t="inlineStr">
        <is>
          <t>BNK FEARX</t>
        </is>
      </c>
      <c r="AT52" s="24" t="inlineStr">
        <is>
          <t>BNK FEARX</t>
        </is>
      </c>
      <c r="AU52" s="24" t="inlineStr">
        <is>
          <t>BNK FEARX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6368a3036b617d62b5c19bf7d481d5d54a275de8afab63dd459fddd28398ed5e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6368a3036b617d62b5c19bf7d481d5d54a275de8afab63dd459fddd28398ed5e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2026-08-15T08:27:58.021718Z</t>
        </is>
      </c>
      <c r="BI52" s="24" t="inlineStr">
        <is>
          <t>["same_event","same_team_same_day","same_league_same_day"]</t>
        </is>
      </c>
      <c r="BJ52" s="25" t="n"/>
      <c r="BK52" s="26" t="n">
        <v>144</v>
      </c>
      <c r="BL52" s="27" t="n">
        <v>2.44</v>
      </c>
      <c r="BM52" s="28" t="n">
        <v>0.409836</v>
      </c>
      <c r="BN52" s="28" t="n"/>
      <c r="BO52" s="28" t="n"/>
      <c r="BP52" s="25" t="n"/>
      <c r="BQ52" s="27" t="n">
        <v>2.44</v>
      </c>
      <c r="BR52" s="28" t="n">
        <v>0.41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0.409836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e6c514f29334458e</t>
        </is>
      </c>
      <c r="B53" s="24" t="inlineStr">
        <is>
          <t>2026-08-15T11:36:29.301718Z</t>
        </is>
      </c>
      <c r="C53" s="24" t="inlineStr">
        <is>
          <t>2026-08-15T14:00:00Z</t>
        </is>
      </c>
      <c r="D53" s="24" t="inlineStr">
        <is>
          <t>79676</t>
        </is>
      </c>
      <c r="E53" s="24" t="inlineStr">
        <is>
          <t>LOL</t>
        </is>
      </c>
      <c r="F53" s="24" t="inlineStr">
        <is>
          <t>Crystal Rose</t>
        </is>
      </c>
      <c r="G53" s="24" t="inlineStr">
        <is>
          <t>Lausanne-Sport Esports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100</v>
      </c>
      <c r="M53" s="27" t="n">
        <v>2</v>
      </c>
      <c r="N53" s="28" t="n">
        <v>0.5</v>
      </c>
      <c r="O53" s="28" t="n">
        <v>0.532513</v>
      </c>
      <c r="P53" s="28" t="n"/>
      <c r="Q53" s="28" t="n">
        <v>0.032513</v>
      </c>
      <c r="R53" s="26" t="n">
        <v>36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>
        <v>100</v>
      </c>
      <c r="AA53" s="28" t="n">
        <v>0.5</v>
      </c>
      <c r="AB53" s="28" t="n">
        <v>0</v>
      </c>
      <c r="AC53" s="30" t="n">
        <v>-1</v>
      </c>
      <c r="AD53" s="24" t="inlineStr">
        <is>
          <t>2026-08-15T14:40:30.373235Z</t>
        </is>
      </c>
      <c r="AE53" s="31" t="inlineStr">
        <is>
          <t>Neutral Elo baseline; executable ask 0.5000 (market_slug=aec-lol-els-cr-2026-08-15).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Crystal Rose</t>
        </is>
      </c>
      <c r="AQ53" s="24" t="inlineStr">
        <is>
          <t>Crystal Rose</t>
        </is>
      </c>
      <c r="AR53" s="24" t="inlineStr">
        <is>
          <t>Crystal Rose</t>
        </is>
      </c>
      <c r="AS53" s="24" t="inlineStr">
        <is>
          <t>Lausanne-Sport Esports</t>
        </is>
      </c>
      <c r="AT53" s="24" t="inlineStr">
        <is>
          <t>Lausanne-Sport Esports</t>
        </is>
      </c>
      <c r="AU53" s="24" t="inlineStr">
        <is>
          <t>Lausanne-Sport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657566029484c5b06e92dbc5e4b4abf95d7f001e8c31fc81908712cab512ea16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657566029484c5b06e92dbc5e4b4abf95d7f001e8c31fc81908712cab512ea16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2026-08-15T11:36:17.342203Z</t>
        </is>
      </c>
      <c r="BI53" s="24" t="inlineStr">
        <is>
          <t>["same_event","same_team_same_day","same_league_same_day"]</t>
        </is>
      </c>
      <c r="BJ53" s="25" t="n"/>
      <c r="BK53" s="26" t="n">
        <v>100</v>
      </c>
      <c r="BL53" s="27" t="n">
        <v>2</v>
      </c>
      <c r="BM53" s="28" t="n">
        <v>0.5</v>
      </c>
      <c r="BN53" s="28" t="n"/>
      <c r="BO53" s="28" t="n"/>
      <c r="BP53" s="25" t="n"/>
      <c r="BQ53" s="27" t="n">
        <v>2</v>
      </c>
      <c r="BR53" s="28" t="n">
        <v>0.5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3910f3e646aa4588</t>
        </is>
      </c>
      <c r="B54" s="24" t="inlineStr">
        <is>
          <t>2026-08-15T14:44:39.377879Z</t>
        </is>
      </c>
      <c r="C54" s="24" t="inlineStr">
        <is>
          <t>2026-08-15T15:00:00Z</t>
        </is>
      </c>
      <c r="D54" s="24" t="inlineStr">
        <is>
          <t>79715</t>
        </is>
      </c>
      <c r="E54" s="24" t="inlineStr">
        <is>
          <t>LOL</t>
        </is>
      </c>
      <c r="F54" s="24" t="inlineStr">
        <is>
          <t>Fnatic</t>
        </is>
      </c>
      <c r="G54" s="24" t="inlineStr">
        <is>
          <t>SK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0.542266</v>
      </c>
      <c r="P54" s="28" t="n"/>
      <c r="Q54" s="28" t="n">
        <v>0.042266</v>
      </c>
      <c r="R54" s="26" t="n">
        <v>41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100</v>
      </c>
      <c r="AA54" s="28" t="n">
        <v>0.5</v>
      </c>
      <c r="AB54" s="28" t="n">
        <v>0</v>
      </c>
      <c r="AC54" s="30" t="n">
        <v>-1</v>
      </c>
      <c r="AD54" s="24" t="inlineStr">
        <is>
          <t>2026-08-15T17:47:44.539481Z</t>
        </is>
      </c>
      <c r="AE54" s="31" t="inlineStr">
        <is>
          <t>Neutral Elo baseline; executable ask 0.5000 (market_slug=aec-lol-sk-fnc-2026-08-15).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Fnatic</t>
        </is>
      </c>
      <c r="AQ54" s="24" t="inlineStr">
        <is>
          <t>Fnatic</t>
        </is>
      </c>
      <c r="AR54" s="24" t="inlineStr">
        <is>
          <t>Fnatic</t>
        </is>
      </c>
      <c r="AS54" s="24" t="inlineStr">
        <is>
          <t>SK Gaming</t>
        </is>
      </c>
      <c r="AT54" s="24" t="inlineStr">
        <is>
          <t>SK Gaming</t>
        </is>
      </c>
      <c r="AU54" s="24" t="inlineStr">
        <is>
          <t>SK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710d4a7ed7855325f042957458008ca36f1d11347b48678645d5612dbdc551e6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710d4a7ed7855325f042957458008ca36f1d11347b48678645d5612dbdc551e6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2026-08-15T14:44:29.251793Z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>
        <v>2</v>
      </c>
      <c r="BR54" s="28" t="n">
        <v>0.5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c4231b201db84443</t>
        </is>
      </c>
      <c r="B55" s="24" t="inlineStr">
        <is>
          <t>2026-08-15T21:07:39.902148Z</t>
        </is>
      </c>
      <c r="C55" s="24" t="inlineStr">
        <is>
          <t>2026-08-15T23:00:00Z</t>
        </is>
      </c>
      <c r="D55" s="24" t="inlineStr">
        <is>
          <t>80295</t>
        </is>
      </c>
      <c r="E55" s="24" t="inlineStr">
        <is>
          <t>LOL</t>
        </is>
      </c>
      <c r="F55" s="24" t="inlineStr">
        <is>
          <t>Dignitas</t>
        </is>
      </c>
      <c r="G55" s="24" t="inlineStr">
        <is>
          <t>Shopify Rebellion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0.742138</v>
      </c>
      <c r="P55" s="28" t="n"/>
      <c r="Q55" s="28" t="n">
        <v>0.042438</v>
      </c>
      <c r="R55" s="26" t="n">
        <v>41</v>
      </c>
      <c r="S55" s="29" t="n">
        <v>2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0.8584000000000001</v>
      </c>
      <c r="AD55" s="24" t="inlineStr">
        <is>
          <t>2026-08-16T00:10:14.326176Z</t>
        </is>
      </c>
      <c r="AE55" s="31" t="inlineStr">
        <is>
          <t>Neutral Elo baseline; executable ask 0.7000 (market_slug=aec-lol-sr-dig-2026-08-15).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Dignitas</t>
        </is>
      </c>
      <c r="AQ55" s="24" t="inlineStr">
        <is>
          <t>Dignitas</t>
        </is>
      </c>
      <c r="AR55" s="24" t="inlineStr">
        <is>
          <t>Dignitas</t>
        </is>
      </c>
      <c r="AS55" s="24" t="inlineStr">
        <is>
          <t>Shopify Rebellion</t>
        </is>
      </c>
      <c r="AT55" s="24" t="inlineStr">
        <is>
          <t>Shopify Rebellion</t>
        </is>
      </c>
      <c r="AU55" s="24" t="inlineStr">
        <is>
          <t>Shopify Rebellion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6de1021cd4fb34c7e78273a7a6d8626b173a2b179a7944bf1ed67c652288a30b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6de1021cd4fb34c7e78273a7a6d8626b173a2b179a7944bf1ed67c652288a30b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2026-08-15T21:07:31.612801Z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e274cbdb20264e8b</t>
        </is>
      </c>
      <c r="B56" s="24" t="inlineStr">
        <is>
          <t>2026-08-16T00:12:46.443932Z</t>
        </is>
      </c>
      <c r="C56" s="24" t="inlineStr">
        <is>
          <t>2026-08-16T03:00:00Z</t>
        </is>
      </c>
      <c r="D56" s="24" t="inlineStr">
        <is>
          <t>80406</t>
        </is>
      </c>
      <c r="E56" s="24" t="inlineStr">
        <is>
          <t>LOL</t>
        </is>
      </c>
      <c r="F56" s="24" t="inlineStr">
        <is>
          <t>DN SOOPers Challengers</t>
        </is>
      </c>
      <c r="G56" s="24" t="inlineStr">
        <is>
          <t>T1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0.739229</v>
      </c>
      <c r="P56" s="28" t="n"/>
      <c r="Q56" s="28" t="n">
        <v>0.098941</v>
      </c>
      <c r="R56" s="26" t="n">
        <v>69</v>
      </c>
      <c r="S56" s="29" t="n">
        <v>2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-178</v>
      </c>
      <c r="AA56" s="28" t="n">
        <v>0.64</v>
      </c>
      <c r="AB56" s="28" t="n">
        <v>-0.000288</v>
      </c>
      <c r="AC56" s="30" t="n">
        <v>1.1236</v>
      </c>
      <c r="AD56" s="24" t="inlineStr">
        <is>
          <t>2026-08-16T06:21:53.388875Z</t>
        </is>
      </c>
      <c r="AE56" s="31" t="inlineStr">
        <is>
          <t>Neutral Elo baseline; executable ask 0.6400 (market_slug=aec-lol-t1a-dnsc-2026-08-16).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DN SOOPers Challengers</t>
        </is>
      </c>
      <c r="AQ56" s="24" t="inlineStr">
        <is>
          <t>DN SOOPers Challengers</t>
        </is>
      </c>
      <c r="AR56" s="24" t="inlineStr">
        <is>
          <t>DN SOOPers Challengers</t>
        </is>
      </c>
      <c r="AS56" s="24" t="inlineStr">
        <is>
          <t>T1 Academy</t>
        </is>
      </c>
      <c r="AT56" s="24" t="inlineStr">
        <is>
          <t>T1 Academy</t>
        </is>
      </c>
      <c r="AU56" s="24" t="inlineStr">
        <is>
          <t>T1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8a8ae659a6eeb1f125492885637513391e9644c21a9759c70190d6a7a80577b4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8a8ae659a6eeb1f125492885637513391e9644c21a9759c70190d6a7a80577b4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2026-08-16T00:12:39.359085Z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>
        <v>1.561798</v>
      </c>
      <c r="BR56" s="28" t="n">
        <v>0.64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c01ede1d7a4e4747</t>
        </is>
      </c>
      <c r="B57" s="24" t="inlineStr">
        <is>
          <t>2026-08-16T06:25:46.915740Z</t>
        </is>
      </c>
      <c r="C57" s="24" t="inlineStr">
        <is>
          <t>2026-08-16T07:00:00Z</t>
        </is>
      </c>
      <c r="D57" s="24" t="inlineStr">
        <is>
          <t>80449</t>
        </is>
      </c>
      <c r="E57" s="24" t="inlineStr">
        <is>
          <t>LOL</t>
        </is>
      </c>
      <c r="F57" s="24" t="inlineStr">
        <is>
          <t>JD Gaming</t>
        </is>
      </c>
      <c r="G57" s="24" t="inlineStr">
        <is>
          <t>LGD Gaming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-233</v>
      </c>
      <c r="M57" s="27" t="n">
        <v>1.429185</v>
      </c>
      <c r="N57" s="28" t="n">
        <v>0.6997</v>
      </c>
      <c r="O57" s="28" t="n">
        <v>0.729878</v>
      </c>
      <c r="P57" s="28" t="n"/>
      <c r="Q57" s="28" t="n">
        <v>0.030178</v>
      </c>
      <c r="R57" s="26" t="n">
        <v>35</v>
      </c>
      <c r="S57" s="29" t="n">
        <v>2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1</v>
      </c>
      <c r="Y57" s="25" t="n"/>
      <c r="Z57" s="26" t="n">
        <v>-233</v>
      </c>
      <c r="AA57" s="28" t="n">
        <v>0.7</v>
      </c>
      <c r="AB57" s="28" t="n">
        <v>0.0003</v>
      </c>
      <c r="AC57" s="30" t="n">
        <v>-2</v>
      </c>
      <c r="AD57" s="24" t="inlineStr">
        <is>
          <t>2026-08-16T14:32:26.073943Z</t>
        </is>
      </c>
      <c r="AE57" s="31" t="inlineStr">
        <is>
          <t>Neutral Elo baseline; executable ask 0.7000 (market_slug=aec-lol-lgd-jdg-2026-08-16).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JD Gaming</t>
        </is>
      </c>
      <c r="AQ57" s="24" t="inlineStr">
        <is>
          <t>JD Gaming</t>
        </is>
      </c>
      <c r="AR57" s="24" t="inlineStr">
        <is>
          <t>JD Gaming</t>
        </is>
      </c>
      <c r="AS57" s="24" t="inlineStr">
        <is>
          <t>LGD Gaming</t>
        </is>
      </c>
      <c r="AT57" s="24" t="inlineStr">
        <is>
          <t>LGD Gaming</t>
        </is>
      </c>
      <c r="AU57" s="24" t="inlineStr">
        <is>
          <t>LGD Gaming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2473d6e666c9c872dd9cdb18b36d8cd614f6d7d86e3dbedea346406e9f3f3b9c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2473d6e666c9c872dd9cdb18b36d8cd614f6d7d86e3dbedea346406e9f3f3b9c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2026-08-16T06:25:33.278421Z</t>
        </is>
      </c>
      <c r="BI57" s="24" t="inlineStr">
        <is>
          <t>["same_event","same_team_same_day","same_league_same_day"]</t>
        </is>
      </c>
      <c r="BJ57" s="25" t="n"/>
      <c r="BK57" s="26" t="n">
        <v>-233</v>
      </c>
      <c r="BL57" s="27" t="n">
        <v>1.429185</v>
      </c>
      <c r="BM57" s="28" t="n">
        <v>0.6997</v>
      </c>
      <c r="BN57" s="28" t="n"/>
      <c r="BO57" s="28" t="n"/>
      <c r="BP57" s="25" t="n"/>
      <c r="BQ57" s="27" t="n">
        <v>1.429185</v>
      </c>
      <c r="BR57" s="28" t="n">
        <v>0.7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0.6997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49b3f034dd1a4f8c</t>
        </is>
      </c>
      <c r="B58" s="24" t="inlineStr">
        <is>
          <t>2026-08-16T06:25:46.915740Z</t>
        </is>
      </c>
      <c r="C58" s="24" t="inlineStr">
        <is>
          <t>2026-08-16T08:00:00Z</t>
        </is>
      </c>
      <c r="D58" s="24" t="inlineStr">
        <is>
          <t>80455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T1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138</v>
      </c>
      <c r="M58" s="27" t="n">
        <v>2.38</v>
      </c>
      <c r="N58" s="28" t="n">
        <v>0.420168</v>
      </c>
      <c r="O58" s="28" t="n">
        <v>0.54948</v>
      </c>
      <c r="P58" s="28" t="n"/>
      <c r="Q58" s="28" t="n">
        <v>0.129312</v>
      </c>
      <c r="R58" s="26" t="n">
        <v>85</v>
      </c>
      <c r="S58" s="29" t="n">
        <v>1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138</v>
      </c>
      <c r="AA58" s="28" t="n">
        <v>0.42</v>
      </c>
      <c r="AB58" s="28" t="n">
        <v>-0.000168</v>
      </c>
      <c r="AC58" s="30" t="n">
        <v>-1</v>
      </c>
      <c r="AD58" s="24" t="inlineStr">
        <is>
          <t>2026-08-16T14:32:27.505382Z</t>
        </is>
      </c>
      <c r="AE58" s="31" t="inlineStr">
        <is>
          <t>Neutral Elo baseline; executable ask 0.4200 (market_slug=aec-lol-t1-gen-2026-08-16).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T1</t>
        </is>
      </c>
      <c r="AT58" s="24" t="inlineStr">
        <is>
          <t>T1</t>
        </is>
      </c>
      <c r="AU58" s="24" t="inlineStr">
        <is>
          <t>T1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2473d6e666c9c872dd9cdb18b36d8cd614f6d7d86e3dbedea346406e9f3f3b9c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2473d6e666c9c872dd9cdb18b36d8cd614f6d7d86e3dbedea346406e9f3f3b9c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2026-08-16T06:25:33.911666Z</t>
        </is>
      </c>
      <c r="BI58" s="24" t="inlineStr">
        <is>
          <t>["same_event","same_team_same_day","same_league_same_day"]</t>
        </is>
      </c>
      <c r="BJ58" s="25" t="n"/>
      <c r="BK58" s="26" t="n">
        <v>138</v>
      </c>
      <c r="BL58" s="27" t="n">
        <v>2.38</v>
      </c>
      <c r="BM58" s="28" t="n">
        <v>0.420168</v>
      </c>
      <c r="BN58" s="28" t="n"/>
      <c r="BO58" s="28" t="n"/>
      <c r="BP58" s="25" t="n"/>
      <c r="BQ58" s="27" t="n">
        <v>2.38</v>
      </c>
      <c r="BR58" s="28" t="n">
        <v>0.42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0.420168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68e85d091cb14604</t>
        </is>
      </c>
      <c r="B59" s="24" t="inlineStr">
        <is>
          <t>2026-08-16T06:25:46.915740Z</t>
        </is>
      </c>
      <c r="C59" s="24" t="inlineStr">
        <is>
          <t>2026-08-16T09:00:00Z</t>
        </is>
      </c>
      <c r="D59" s="24" t="inlineStr">
        <is>
          <t>80465</t>
        </is>
      </c>
      <c r="E59" s="24" t="inlineStr">
        <is>
          <t>LOL</t>
        </is>
      </c>
      <c r="F59" s="24" t="inlineStr">
        <is>
          <t>Invictus Gaming</t>
        </is>
      </c>
      <c r="G59" s="24" t="inlineStr">
        <is>
          <t>Weibo Gaming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163</v>
      </c>
      <c r="M59" s="27" t="n">
        <v>2.63</v>
      </c>
      <c r="N59" s="28" t="n">
        <v>0.380228</v>
      </c>
      <c r="O59" s="28" t="n">
        <v>0.530112</v>
      </c>
      <c r="P59" s="28" t="n"/>
      <c r="Q59" s="28" t="n">
        <v>0.149884</v>
      </c>
      <c r="R59" s="26" t="n">
        <v>95</v>
      </c>
      <c r="S59" s="29" t="n">
        <v>1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163</v>
      </c>
      <c r="AA59" s="28" t="n">
        <v>0.38</v>
      </c>
      <c r="AB59" s="28" t="n">
        <v>-0.000228</v>
      </c>
      <c r="AC59" s="30" t="n">
        <v>-1</v>
      </c>
      <c r="AD59" s="24" t="inlineStr">
        <is>
          <t>2026-08-16T14:32:30.283950Z</t>
        </is>
      </c>
      <c r="AE59" s="31" t="inlineStr">
        <is>
          <t>Neutral Elo baseline; executable ask 0.3800 (market_slug=aec-lol-wb-ig-2026-08-16).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Invictus Gaming</t>
        </is>
      </c>
      <c r="AQ59" s="24" t="inlineStr">
        <is>
          <t>Invictus Gaming</t>
        </is>
      </c>
      <c r="AR59" s="24" t="inlineStr">
        <is>
          <t>Invictus Gaming</t>
        </is>
      </c>
      <c r="AS59" s="24" t="inlineStr">
        <is>
          <t>Weibo Gaming</t>
        </is>
      </c>
      <c r="AT59" s="24" t="inlineStr">
        <is>
          <t>Weibo Gaming</t>
        </is>
      </c>
      <c r="AU59" s="24" t="inlineStr">
        <is>
          <t>Weibo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2473d6e666c9c872dd9cdb18b36d8cd614f6d7d86e3dbedea346406e9f3f3b9c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2473d6e666c9c872dd9cdb18b36d8cd614f6d7d86e3dbedea346406e9f3f3b9c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2026-08-16T06:25:35.267004Z</t>
        </is>
      </c>
      <c r="BI59" s="24" t="inlineStr">
        <is>
          <t>["same_event","same_team_same_day","same_league_same_day"]</t>
        </is>
      </c>
      <c r="BJ59" s="25" t="n"/>
      <c r="BK59" s="26" t="n">
        <v>163</v>
      </c>
      <c r="BL59" s="27" t="n">
        <v>2.63</v>
      </c>
      <c r="BM59" s="28" t="n">
        <v>0.380228</v>
      </c>
      <c r="BN59" s="28" t="n"/>
      <c r="BO59" s="28" t="n"/>
      <c r="BP59" s="25" t="n"/>
      <c r="BQ59" s="27" t="n">
        <v>2.63</v>
      </c>
      <c r="BR59" s="28" t="n">
        <v>0.38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0.380228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6d018dce4c824f24</t>
        </is>
      </c>
      <c r="B60" s="24" t="inlineStr">
        <is>
          <t>2026-08-16T09:37:06.324369Z</t>
        </is>
      </c>
      <c r="C60" s="24" t="inlineStr">
        <is>
          <t>2026-08-16T10:00:00Z</t>
        </is>
      </c>
      <c r="D60" s="24" t="inlineStr">
        <is>
          <t>80468</t>
        </is>
      </c>
      <c r="E60" s="24" t="inlineStr">
        <is>
          <t>LOL</t>
        </is>
      </c>
      <c r="F60" s="24" t="inlineStr">
        <is>
          <t>HANJIN BRION</t>
        </is>
      </c>
      <c r="G60" s="24" t="inlineStr">
        <is>
          <t>Kiwoom DRX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0.543111</v>
      </c>
      <c r="P60" s="28" t="n"/>
      <c r="Q60" s="28" t="n">
        <v>0.043111</v>
      </c>
      <c r="R60" s="26" t="n">
        <v>42</v>
      </c>
      <c r="S60" s="29" t="n">
        <v>1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>
        <v>100</v>
      </c>
      <c r="AA60" s="28" t="n">
        <v>0.5</v>
      </c>
      <c r="AB60" s="28" t="n">
        <v>0</v>
      </c>
      <c r="AC60" s="30" t="n">
        <v>-1</v>
      </c>
      <c r="AD60" s="24" t="inlineStr">
        <is>
          <t>2026-08-16T14:32:31.643116Z</t>
        </is>
      </c>
      <c r="AE60" s="31" t="inlineStr">
        <is>
          <t>Neutral Elo baseline; executable ask 0.5000 (market_slug=aec-lol-krx-bro-2026-08-16).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HANJIN BRION</t>
        </is>
      </c>
      <c r="AQ60" s="24" t="inlineStr">
        <is>
          <t>HANJIN BRION</t>
        </is>
      </c>
      <c r="AR60" s="24" t="inlineStr">
        <is>
          <t>HANJIN BRION</t>
        </is>
      </c>
      <c r="AS60" s="24" t="inlineStr">
        <is>
          <t>Kiwoom DRX</t>
        </is>
      </c>
      <c r="AT60" s="24" t="inlineStr">
        <is>
          <t>Kiwoom DRX</t>
        </is>
      </c>
      <c r="AU60" s="24" t="inlineStr">
        <is>
          <t>Kiwoom DRX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740e9c0d2e6d63acdb33fb77a80257aed9b11897794002394368ebfe3cd97472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740e9c0d2e6d63acdb33fb77a80257aed9b11897794002394368ebfe3cd97472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2026-08-16T09:36:54.782509Z</t>
        </is>
      </c>
      <c r="BI60" s="24" t="inlineStr">
        <is>
          <t>["same_event","same_team_same_day","same_league_same_day"]</t>
        </is>
      </c>
      <c r="BJ60" s="25" t="n"/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>
        <v>2</v>
      </c>
      <c r="BR60" s="28" t="n">
        <v>0.5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22ffea9734e54568</t>
        </is>
      </c>
      <c r="B61" s="24" t="inlineStr">
        <is>
          <t>2026-08-16T14:37:22.167041Z</t>
        </is>
      </c>
      <c r="C61" s="24" t="inlineStr">
        <is>
          <t>2026-08-16T16:00:00Z</t>
        </is>
      </c>
      <c r="D61" s="24" t="inlineStr">
        <is>
          <t>82834</t>
        </is>
      </c>
      <c r="E61" s="24" t="inlineStr">
        <is>
          <t>LOL</t>
        </is>
      </c>
      <c r="F61" s="24" t="inlineStr">
        <is>
          <t>Vitality Rising Bees</t>
        </is>
      </c>
      <c r="G61" s="24" t="inlineStr">
        <is>
          <t>G2 HEL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170</v>
      </c>
      <c r="M61" s="27" t="n">
        <v>2.7</v>
      </c>
      <c r="N61" s="28" t="n">
        <v>0.37037</v>
      </c>
      <c r="O61" s="28" t="n">
        <v>0.546315</v>
      </c>
      <c r="P61" s="28" t="n"/>
      <c r="Q61" s="28" t="n">
        <v>0.175945</v>
      </c>
      <c r="R61" s="26" t="n">
        <v>100</v>
      </c>
      <c r="S61" s="29" t="n">
        <v>1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170</v>
      </c>
      <c r="AA61" s="28" t="n">
        <v>0.37</v>
      </c>
      <c r="AB61" s="28" t="n">
        <v>-0.00037</v>
      </c>
      <c r="AC61" s="30" t="n">
        <v>-1</v>
      </c>
      <c r="AD61" s="24" t="inlineStr">
        <is>
          <t>2026-08-17T05:30:48.108462Z</t>
        </is>
      </c>
      <c r="AE61" s="31" t="inlineStr">
        <is>
          <t>Neutral Elo baseline; executable ask 0.3700 (market_slug=aec-lol-g2h-rb-2026-08-16).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Vitality Rising Bees</t>
        </is>
      </c>
      <c r="AQ61" s="24" t="inlineStr">
        <is>
          <t>Vitality Rising Bees</t>
        </is>
      </c>
      <c r="AR61" s="24" t="inlineStr">
        <is>
          <t>Vitality Rising Bees</t>
        </is>
      </c>
      <c r="AS61" s="24" t="inlineStr">
        <is>
          <t>G2 HEL</t>
        </is>
      </c>
      <c r="AT61" s="24" t="inlineStr">
        <is>
          <t>G2 HEL</t>
        </is>
      </c>
      <c r="AU61" s="24" t="inlineStr">
        <is>
          <t>G2 HEL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6bfa40fef6371a5308fb1c144e793b9e4cab087abde26bf8f157613034cd1b22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6bfa40fef6371a5308fb1c144e793b9e4cab087abde26bf8f157613034cd1b22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2026-08-16T14:37:12.459964Z</t>
        </is>
      </c>
      <c r="BI61" s="24" t="inlineStr">
        <is>
          <t>["same_event","same_team_same_day","same_league_same_day"]</t>
        </is>
      </c>
      <c r="BJ61" s="25" t="n"/>
      <c r="BK61" s="26" t="n">
        <v>170</v>
      </c>
      <c r="BL61" s="27" t="n">
        <v>2.7</v>
      </c>
      <c r="BM61" s="28" t="n">
        <v>0.37037</v>
      </c>
      <c r="BN61" s="28" t="n"/>
      <c r="BO61" s="28" t="n"/>
      <c r="BP61" s="25" t="n"/>
      <c r="BQ61" s="27" t="n">
        <v>2.7</v>
      </c>
      <c r="BR61" s="28" t="n">
        <v>0.37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0.37037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4743e44b3d984c8c</t>
        </is>
      </c>
      <c r="B62" s="24" t="inlineStr">
        <is>
          <t>2026-08-17T05:34:57.802202Z</t>
        </is>
      </c>
      <c r="C62" s="24" t="inlineStr">
        <is>
          <t>2026-08-17T08:00:00Z</t>
        </is>
      </c>
      <c r="D62" s="24" t="inlineStr">
        <is>
          <t>81228</t>
        </is>
      </c>
      <c r="E62" s="24" t="inlineStr">
        <is>
          <t>LOL</t>
        </is>
      </c>
      <c r="F62" s="24" t="inlineStr">
        <is>
          <t>KT Rolster Challengers</t>
        </is>
      </c>
      <c r="G62" s="24" t="inlineStr">
        <is>
          <t>Dplus KIA Challengers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0.682365</v>
      </c>
      <c r="P62" s="28" t="n"/>
      <c r="Q62" s="28" t="n">
        <v>0.07299</v>
      </c>
      <c r="R62" s="26" t="n">
        <v>56</v>
      </c>
      <c r="S62" s="29" t="n">
        <v>2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-2</v>
      </c>
      <c r="AD62" s="24" t="inlineStr">
        <is>
          <t>2026-08-18T15:13:40.810363Z</t>
        </is>
      </c>
      <c r="AE62" s="31" t="inlineStr">
        <is>
          <t>Neutral Elo baseline; executable ask 0.6100 (market_slug=aec-lol-dkc-ktc-2026-08-17).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KT Rolster Challengers</t>
        </is>
      </c>
      <c r="AQ62" s="24" t="inlineStr">
        <is>
          <t>KT Rolster Challengers</t>
        </is>
      </c>
      <c r="AR62" s="24" t="inlineStr">
        <is>
          <t>KT Rolster Challengers</t>
        </is>
      </c>
      <c r="AS62" s="24" t="inlineStr">
        <is>
          <t>Dplus KIA Challengers</t>
        </is>
      </c>
      <c r="AT62" s="24" t="inlineStr">
        <is>
          <t>Dplus KIA Challengers</t>
        </is>
      </c>
      <c r="AU62" s="24" t="inlineStr">
        <is>
          <t>Dplus KIA Challengers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0f82fcf7c2406159b987bae1158dc25170c71318f10b68a1fe003150641d043e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0f82fcf7c2406159b987bae1158dc25170c71318f10b68a1fe003150641d043e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2026-08-17T05:34:43.471039Z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32ef809c97694f9e</t>
        </is>
      </c>
      <c r="B63" s="24" t="inlineStr">
        <is>
          <t>2026-08-17T08:41:08.931605Z</t>
        </is>
      </c>
      <c r="C63" s="24" t="inlineStr">
        <is>
          <t>2026-08-17T15:00:00Z</t>
        </is>
      </c>
      <c r="D63" s="24" t="inlineStr">
        <is>
          <t>81318</t>
        </is>
      </c>
      <c r="E63" s="24" t="inlineStr">
        <is>
          <t>LOL</t>
        </is>
      </c>
      <c r="F63" s="24" t="inlineStr">
        <is>
          <t>Team Heretics</t>
        </is>
      </c>
      <c r="G63" s="24" t="inlineStr">
        <is>
          <t>Natus Vincere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0.75251</v>
      </c>
      <c r="P63" s="28" t="n"/>
      <c r="Q63" s="28" t="n">
        <v>0.062108</v>
      </c>
      <c r="R63" s="26" t="n">
        <v>51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0.8969</v>
      </c>
      <c r="AD63" s="24" t="inlineStr">
        <is>
          <t>2026-08-18T15:13:41.233961Z</t>
        </is>
      </c>
      <c r="AE63" s="31" t="inlineStr">
        <is>
          <t>Neutral Elo baseline; executable ask 0.6900 (market_slug=aec-lol-navi-th-2026-08-17).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Team Heretics</t>
        </is>
      </c>
      <c r="AQ63" s="24" t="inlineStr">
        <is>
          <t>Team Heretics</t>
        </is>
      </c>
      <c r="AR63" s="24" t="inlineStr">
        <is>
          <t>Team Heretics</t>
        </is>
      </c>
      <c r="AS63" s="24" t="inlineStr">
        <is>
          <t>Natus Vincere</t>
        </is>
      </c>
      <c r="AT63" s="24" t="inlineStr">
        <is>
          <t>Natus Vincere</t>
        </is>
      </c>
      <c r="AU63" s="24" t="inlineStr">
        <is>
          <t>Natus Vincere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3cd8c6d6816723748741dfd426cdd69d0090ff7043748f8235d05ccd88a1e9f6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3cd8c6d6816723748741dfd426cdd69d0090ff7043748f8235d05ccd88a1e9f6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2026-08-17T08:40:55.456382Z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e95c66e0cc75456a</t>
        </is>
      </c>
      <c r="B64" s="24" t="inlineStr">
        <is>
          <t>2026-08-17T08:41:08.931605Z</t>
        </is>
      </c>
      <c r="C64" s="24" t="inlineStr">
        <is>
          <t>2026-08-17T18:00:00Z</t>
        </is>
      </c>
      <c r="D64" s="24" t="inlineStr">
        <is>
          <t>81425</t>
        </is>
      </c>
      <c r="E64" s="24" t="inlineStr">
        <is>
          <t>LOL</t>
        </is>
      </c>
      <c r="F64" s="24" t="inlineStr">
        <is>
          <t>Volda E-Sport</t>
        </is>
      </c>
      <c r="G64" s="24" t="inlineStr">
        <is>
          <t>Lundqvist Lightside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150</v>
      </c>
      <c r="M64" s="27" t="n">
        <v>2.5</v>
      </c>
      <c r="N64" s="28" t="n">
        <v>0.4</v>
      </c>
      <c r="O64" s="28" t="n">
        <v>0.546385</v>
      </c>
      <c r="P64" s="28" t="n"/>
      <c r="Q64" s="28" t="n">
        <v>0.146385</v>
      </c>
      <c r="R64" s="26" t="n">
        <v>93</v>
      </c>
      <c r="S64" s="29" t="n">
        <v>1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150</v>
      </c>
      <c r="AA64" s="28" t="n">
        <v>0.4</v>
      </c>
      <c r="AB64" s="28" t="n">
        <v>0</v>
      </c>
      <c r="AC64" s="30" t="n">
        <v>1.5</v>
      </c>
      <c r="AD64" s="24" t="inlineStr">
        <is>
          <t>2026-08-18T15:13:41.699170Z</t>
        </is>
      </c>
      <c r="AE64" s="31" t="inlineStr">
        <is>
          <t>Neutral Elo baseline; executable ask 0.4000 (market_slug=aec-lol-ll-ves-2026-08-17).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Volda E-Sport</t>
        </is>
      </c>
      <c r="AQ64" s="24" t="inlineStr">
        <is>
          <t>Volda E-Sport</t>
        </is>
      </c>
      <c r="AR64" s="24" t="inlineStr">
        <is>
          <t>Volda E-Sport</t>
        </is>
      </c>
      <c r="AS64" s="24" t="inlineStr">
        <is>
          <t>Lundqvist Lightside</t>
        </is>
      </c>
      <c r="AT64" s="24" t="inlineStr">
        <is>
          <t>Lundqvist Lightside</t>
        </is>
      </c>
      <c r="AU64" s="24" t="inlineStr">
        <is>
          <t>Lundqvist Lightside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3cd8c6d6816723748741dfd426cdd69d0090ff7043748f8235d05ccd88a1e9f6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3cd8c6d6816723748741dfd426cdd69d0090ff7043748f8235d05ccd88a1e9f6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2026-08-17T08:40:58.215763Z</t>
        </is>
      </c>
      <c r="BI64" s="24" t="inlineStr">
        <is>
          <t>["same_event","same_team_same_day","same_league_same_day"]</t>
        </is>
      </c>
      <c r="BJ64" s="25" t="n"/>
      <c r="BK64" s="26" t="n">
        <v>150</v>
      </c>
      <c r="BL64" s="27" t="n">
        <v>2.5</v>
      </c>
      <c r="BM64" s="28" t="n">
        <v>0.4</v>
      </c>
      <c r="BN64" s="28" t="n"/>
      <c r="BO64" s="28" t="n"/>
      <c r="BP64" s="25" t="n"/>
      <c r="BQ64" s="27" t="n">
        <v>2.5</v>
      </c>
      <c r="BR64" s="28" t="n">
        <v>0.4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1f3938652a944e75</t>
        </is>
      </c>
      <c r="B65" s="24" t="inlineStr">
        <is>
          <t>2026-08-18T15:15:39.662958Z</t>
        </is>
      </c>
      <c r="C65" s="24" t="inlineStr">
        <is>
          <t>2026-08-18T16:30:00Z</t>
        </is>
      </c>
      <c r="D65" s="24" t="inlineStr">
        <is>
          <t>82143</t>
        </is>
      </c>
      <c r="E65" s="24" t="inlineStr">
        <is>
          <t>LOL</t>
        </is>
      </c>
      <c r="F65" s="24" t="inlineStr">
        <is>
          <t>Bohemian Guardians</t>
        </is>
      </c>
      <c r="G65" s="24" t="inlineStr">
        <is>
          <t>Meavedron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-156</v>
      </c>
      <c r="M65" s="27" t="n">
        <v>1.641026</v>
      </c>
      <c r="N65" s="28" t="n">
        <v>0.609375</v>
      </c>
      <c r="O65" s="28" t="n">
        <v>0.672153</v>
      </c>
      <c r="P65" s="28" t="n"/>
      <c r="Q65" s="28" t="n">
        <v>0.062778</v>
      </c>
      <c r="R65" s="26" t="n">
        <v>51</v>
      </c>
      <c r="S65" s="29" t="n">
        <v>1.75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-156</v>
      </c>
      <c r="AA65" s="28" t="n">
        <v>0.61</v>
      </c>
      <c r="AB65" s="28" t="n">
        <v>0.000625</v>
      </c>
      <c r="AC65" s="30" t="n">
        <v>1.1218</v>
      </c>
      <c r="AD65" s="24" t="inlineStr">
        <is>
          <t>2026-08-18T18:18:38.818621Z</t>
        </is>
      </c>
      <c r="AE65" s="31" t="inlineStr">
        <is>
          <t>Neutral Elo baseline; executable ask 0.6100 (market_slug=aec-lol-mve-bg-2026-08-18).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Bohemian Guardians</t>
        </is>
      </c>
      <c r="AQ65" s="24" t="inlineStr">
        <is>
          <t>Bohemian Guardians</t>
        </is>
      </c>
      <c r="AR65" s="24" t="inlineStr">
        <is>
          <t>Bohemian Guardians</t>
        </is>
      </c>
      <c r="AS65" s="24" t="inlineStr">
        <is>
          <t>Meavedron</t>
        </is>
      </c>
      <c r="AT65" s="24" t="inlineStr">
        <is>
          <t>Meavedron</t>
        </is>
      </c>
      <c r="AU65" s="24" t="inlineStr">
        <is>
          <t>Meavedron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ad0f046473dfa0e548c0d0ec6d1876959c23a19f2bc78f246ad53145ae12b8f8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ad0f046473dfa0e548c0d0ec6d1876959c23a19f2bc78f246ad53145ae12b8f8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2026-08-18T15:15:35.157882Z</t>
        </is>
      </c>
      <c r="BI65" s="24" t="inlineStr">
        <is>
          <t>["same_event","same_team_same_day","same_league_same_day"]</t>
        </is>
      </c>
      <c r="BJ65" s="25" t="n"/>
      <c r="BK65" s="26" t="n">
        <v>-156</v>
      </c>
      <c r="BL65" s="27" t="n">
        <v>1.641026</v>
      </c>
      <c r="BM65" s="28" t="n">
        <v>0.609375</v>
      </c>
      <c r="BN65" s="28" t="n"/>
      <c r="BO65" s="28" t="n"/>
      <c r="BP65" s="25" t="n"/>
      <c r="BQ65" s="27" t="n">
        <v>1.641026</v>
      </c>
      <c r="BR65" s="28" t="n">
        <v>0.61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0.609375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dccf9661ccb240ea</t>
        </is>
      </c>
      <c r="B66" s="24" t="inlineStr">
        <is>
          <t>2026-08-18T15:15:39.662958Z</t>
        </is>
      </c>
      <c r="C66" s="24" t="inlineStr">
        <is>
          <t>2026-08-18T17:00:00Z</t>
        </is>
      </c>
      <c r="D66" s="24" t="inlineStr">
        <is>
          <t>82168</t>
        </is>
      </c>
      <c r="E66" s="24" t="inlineStr">
        <is>
          <t>LOL</t>
        </is>
      </c>
      <c r="F66" s="24" t="inlineStr">
        <is>
          <t>Lodis</t>
        </is>
      </c>
      <c r="G66" s="24" t="inlineStr">
        <is>
          <t>BOMBA Team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-194</v>
      </c>
      <c r="M66" s="27" t="n">
        <v>1.515464</v>
      </c>
      <c r="N66" s="28" t="n">
        <v>0.659864</v>
      </c>
      <c r="O66" s="28" t="n">
        <v>0.7348440000000001</v>
      </c>
      <c r="P66" s="28" t="n"/>
      <c r="Q66" s="28" t="n">
        <v>0.07498</v>
      </c>
      <c r="R66" s="26" t="n">
        <v>57</v>
      </c>
      <c r="S66" s="29" t="n">
        <v>2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-194</v>
      </c>
      <c r="AA66" s="28" t="n">
        <v>0.66</v>
      </c>
      <c r="AB66" s="28" t="n">
        <v>0.000136</v>
      </c>
      <c r="AC66" s="30" t="n">
        <v>-2</v>
      </c>
      <c r="AD66" s="24" t="inlineStr">
        <is>
          <t>2026-08-18T21:39:10.450378Z</t>
        </is>
      </c>
      <c r="AE66" s="31" t="inlineStr">
        <is>
          <t>Neutral Elo baseline; executable ask 0.6600 (market_slug=aec-lol-boom-lds-2026-08-18).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Lodis</t>
        </is>
      </c>
      <c r="AQ66" s="24" t="inlineStr">
        <is>
          <t>Lodis</t>
        </is>
      </c>
      <c r="AR66" s="24" t="inlineStr">
        <is>
          <t>Lodis</t>
        </is>
      </c>
      <c r="AS66" s="24" t="inlineStr">
        <is>
          <t>BOMBA Team</t>
        </is>
      </c>
      <c r="AT66" s="24" t="inlineStr">
        <is>
          <t>BOMBA Team</t>
        </is>
      </c>
      <c r="AU66" s="24" t="inlineStr">
        <is>
          <t>BOMBA Team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ad0f046473dfa0e548c0d0ec6d1876959c23a19f2bc78f246ad53145ae12b8f8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ad0f046473dfa0e548c0d0ec6d1876959c23a19f2bc78f246ad53145ae12b8f8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2026-08-18T15:15:35.255306Z</t>
        </is>
      </c>
      <c r="BI66" s="24" t="inlineStr">
        <is>
          <t>["same_event","same_team_same_day","same_league_same_day"]</t>
        </is>
      </c>
      <c r="BJ66" s="25" t="n"/>
      <c r="BK66" s="26" t="n">
        <v>-194</v>
      </c>
      <c r="BL66" s="27" t="n">
        <v>1.515464</v>
      </c>
      <c r="BM66" s="28" t="n">
        <v>0.659864</v>
      </c>
      <c r="BN66" s="28" t="n"/>
      <c r="BO66" s="28" t="n"/>
      <c r="BP66" s="25" t="n"/>
      <c r="BQ66" s="27" t="n">
        <v>1.515464</v>
      </c>
      <c r="BR66" s="28" t="n">
        <v>0.66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0.659864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51a4c1447fc840a2</t>
        </is>
      </c>
      <c r="B67" s="24" t="inlineStr">
        <is>
          <t>2026-08-18T15:15:39.662958Z</t>
        </is>
      </c>
      <c r="C67" s="24" t="inlineStr">
        <is>
          <t>2026-08-18T17:00:00Z</t>
        </is>
      </c>
      <c r="D67" s="24" t="inlineStr">
        <is>
          <t>82169</t>
        </is>
      </c>
      <c r="E67" s="24" t="inlineStr">
        <is>
          <t>LOL</t>
        </is>
      </c>
      <c r="F67" s="24" t="inlineStr">
        <is>
          <t>Dynasty</t>
        </is>
      </c>
      <c r="G67" s="24" t="inlineStr">
        <is>
          <t>Once Upon A Team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108</v>
      </c>
      <c r="M67" s="27" t="n">
        <v>2.08</v>
      </c>
      <c r="N67" s="28" t="n">
        <v>0.480769</v>
      </c>
      <c r="O67" s="28" t="n">
        <v>0.5521200000000001</v>
      </c>
      <c r="P67" s="28" t="n"/>
      <c r="Q67" s="28" t="n">
        <v>0.071351</v>
      </c>
      <c r="R67" s="26" t="n">
        <v>56</v>
      </c>
      <c r="S67" s="29" t="n">
        <v>1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108</v>
      </c>
      <c r="AA67" s="28" t="n">
        <v>0.48</v>
      </c>
      <c r="AB67" s="28" t="n">
        <v>-0.000769</v>
      </c>
      <c r="AC67" s="30" t="n">
        <v>-1</v>
      </c>
      <c r="AD67" s="24" t="inlineStr">
        <is>
          <t>2026-08-18T21:39:10.888247Z</t>
        </is>
      </c>
      <c r="AE67" s="31" t="inlineStr">
        <is>
          <t>Neutral Elo baseline; executable ask 0.4800 (market_slug=aec-lol-ouat-dyn-2026-08-18).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Dynasty</t>
        </is>
      </c>
      <c r="AQ67" s="24" t="inlineStr">
        <is>
          <t>Dynasty</t>
        </is>
      </c>
      <c r="AR67" s="24" t="inlineStr">
        <is>
          <t>Dynasty</t>
        </is>
      </c>
      <c r="AS67" s="24" t="inlineStr">
        <is>
          <t>Once Upon A Team</t>
        </is>
      </c>
      <c r="AT67" s="24" t="inlineStr">
        <is>
          <t>Once Upon A Team</t>
        </is>
      </c>
      <c r="AU67" s="24" t="inlineStr">
        <is>
          <t>Once Upon A Team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ad0f046473dfa0e548c0d0ec6d1876959c23a19f2bc78f246ad53145ae12b8f8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ad0f046473dfa0e548c0d0ec6d1876959c23a19f2bc78f246ad53145ae12b8f8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2026-08-18T15:15:35.337382Z</t>
        </is>
      </c>
      <c r="BI67" s="24" t="inlineStr">
        <is>
          <t>["same_event","same_team_same_day","same_league_same_day"]</t>
        </is>
      </c>
      <c r="BJ67" s="25" t="n"/>
      <c r="BK67" s="26" t="n">
        <v>108</v>
      </c>
      <c r="BL67" s="27" t="n">
        <v>2.08</v>
      </c>
      <c r="BM67" s="28" t="n">
        <v>0.480769</v>
      </c>
      <c r="BN67" s="28" t="n"/>
      <c r="BO67" s="28" t="n"/>
      <c r="BP67" s="25" t="n"/>
      <c r="BQ67" s="27" t="n">
        <v>2.08</v>
      </c>
      <c r="BR67" s="28" t="n">
        <v>0.48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0.480769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41d9f17f0c5e48d4</t>
        </is>
      </c>
      <c r="B68" s="24" t="inlineStr">
        <is>
          <t>2026-08-18T15:15:39.662958Z</t>
        </is>
      </c>
      <c r="C68" s="24" t="inlineStr">
        <is>
          <t>2026-08-18T18:00:00Z</t>
        </is>
      </c>
      <c r="D68" s="24" t="inlineStr">
        <is>
          <t>82252</t>
        </is>
      </c>
      <c r="E68" s="24" t="inlineStr">
        <is>
          <t>LOL</t>
        </is>
      </c>
      <c r="F68" s="24" t="inlineStr">
        <is>
          <t>Myth Esports</t>
        </is>
      </c>
      <c r="G68" s="24" t="inlineStr">
        <is>
          <t>mCon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0.6423</v>
      </c>
      <c r="P68" s="28" t="n"/>
      <c r="Q68" s="28" t="n">
        <v>0.052136</v>
      </c>
      <c r="R68" s="26" t="n">
        <v>46</v>
      </c>
      <c r="S68" s="29" t="n">
        <v>1.5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-1.5</v>
      </c>
      <c r="AD68" s="24" t="inlineStr">
        <is>
          <t>2026-08-18T21:39:11.298507Z</t>
        </is>
      </c>
      <c r="AE68" s="31" t="inlineStr">
        <is>
          <t>Neutral Elo baseline; executable ask 0.5900 (market_slug=aec-lol-mcn-myth-2026-08-18).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Myth Esports</t>
        </is>
      </c>
      <c r="AQ68" s="24" t="inlineStr">
        <is>
          <t>Myth Esports</t>
        </is>
      </c>
      <c r="AR68" s="24" t="inlineStr">
        <is>
          <t>Myth Esports</t>
        </is>
      </c>
      <c r="AS68" s="24" t="inlineStr">
        <is>
          <t>mCon esports</t>
        </is>
      </c>
      <c r="AT68" s="24" t="inlineStr">
        <is>
          <t>mCon esports</t>
        </is>
      </c>
      <c r="AU68" s="24" t="inlineStr">
        <is>
          <t>mCon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ad0f046473dfa0e548c0d0ec6d1876959c23a19f2bc78f246ad53145ae12b8f8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ad0f046473dfa0e548c0d0ec6d1876959c23a19f2bc78f246ad53145ae12b8f8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2026-08-18T15:15:35.412864Z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3b843f18f74f4013</t>
        </is>
      </c>
      <c r="B69" s="24" t="inlineStr">
        <is>
          <t>2026-08-18T22:13:43.940761Z</t>
        </is>
      </c>
      <c r="C69" s="24" t="inlineStr">
        <is>
          <t>2026-08-18T23:00:00Z</t>
        </is>
      </c>
      <c r="D69" s="24" t="inlineStr">
        <is>
          <t>83868</t>
        </is>
      </c>
      <c r="E69" s="24" t="inlineStr">
        <is>
          <t>LOL</t>
        </is>
      </c>
      <c r="F69" s="24" t="inlineStr">
        <is>
          <t>Vivo Keyd Stars Academy</t>
        </is>
      </c>
      <c r="G69" s="24" t="inlineStr">
        <is>
          <t>KaBuM! Ilha das Lendas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0.582636</v>
      </c>
      <c r="P69" s="28" t="n"/>
      <c r="Q69" s="28" t="n">
        <v>0.011821</v>
      </c>
      <c r="R69" s="26" t="n">
        <v>26</v>
      </c>
      <c r="S69" s="29" t="n">
        <v>1.25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-138</v>
      </c>
      <c r="AA69" s="28" t="n">
        <v>0.58</v>
      </c>
      <c r="AB69" s="28" t="n">
        <v>0.009185</v>
      </c>
      <c r="AC69" s="30" t="n">
        <v>-1.25</v>
      </c>
      <c r="AD69" s="24" t="inlineStr">
        <is>
          <t>2026-08-19T00:43:35.812659Z</t>
        </is>
      </c>
      <c r="AE69" s="31" t="inlineStr">
        <is>
          <t>Neutral Elo baseline; executable ask 0.5700 (market_slug=aec-lol-kbm-vksa-2026-08-18).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Vivo Keyd Stars Academy</t>
        </is>
      </c>
      <c r="AQ69" s="24" t="inlineStr">
        <is>
          <t>Vivo Keyd Stars Academy</t>
        </is>
      </c>
      <c r="AR69" s="24" t="inlineStr">
        <is>
          <t>Vivo Keyd Stars Academy</t>
        </is>
      </c>
      <c r="AS69" s="24" t="inlineStr">
        <is>
          <t>KaBuM! Ilha das Lendas</t>
        </is>
      </c>
      <c r="AT69" s="24" t="inlineStr">
        <is>
          <t>KaBuM! Ilha das Lendas</t>
        </is>
      </c>
      <c r="AU69" s="24" t="inlineStr">
        <is>
          <t>KaBuM! Ilha das Lendas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db588af9312baecc05a29da6a7b0a11bed7bc9d6135414cd5242ea0c7221b1a7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db588af9312baecc05a29da6a7b0a11bed7bc9d6135414cd5242ea0c7221b1a7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2026-08-18T22:13:39.954411Z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0.570815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78be9dd4064d4d49</t>
        </is>
      </c>
      <c r="B70" s="24" t="inlineStr">
        <is>
          <t>2026-08-19T07:08:28.157857Z</t>
        </is>
      </c>
      <c r="C70" s="24" t="inlineStr">
        <is>
          <t>2026-08-19T09:00:00Z</t>
        </is>
      </c>
      <c r="D70" s="24" t="inlineStr">
        <is>
          <t>83077</t>
        </is>
      </c>
      <c r="E70" s="24" t="inlineStr">
        <is>
          <t>LOL</t>
        </is>
      </c>
      <c r="F70" s="24" t="inlineStr">
        <is>
          <t>Top Esports</t>
        </is>
      </c>
      <c r="G70" s="24" t="inlineStr">
        <is>
          <t>Anyone's Legend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0.650949</v>
      </c>
      <c r="P70" s="28" t="n"/>
      <c r="Q70" s="28" t="n">
        <v>0.071117</v>
      </c>
      <c r="R70" s="26" t="n">
        <v>56</v>
      </c>
      <c r="S70" s="29" t="n">
        <v>1.75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-1.75</v>
      </c>
      <c r="AD70" s="24" t="inlineStr">
        <is>
          <t>2026-08-19T13:40:41.136272Z</t>
        </is>
      </c>
      <c r="AE70" s="31" t="inlineStr">
        <is>
          <t>Neutral Elo baseline; executable ask 0.5800 (market_slug=aec-lol-al-tes-2026-08-19).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Top Esports</t>
        </is>
      </c>
      <c r="AQ70" s="24" t="inlineStr">
        <is>
          <t>Top Esports</t>
        </is>
      </c>
      <c r="AR70" s="24" t="inlineStr">
        <is>
          <t>Top Esports</t>
        </is>
      </c>
      <c r="AS70" s="24" t="inlineStr">
        <is>
          <t>Anyone's Legend</t>
        </is>
      </c>
      <c r="AT70" s="24" t="inlineStr">
        <is>
          <t>Anyone's Legend</t>
        </is>
      </c>
      <c r="AU70" s="24" t="inlineStr">
        <is>
          <t>Anyone's Legend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cbcfe60236b3428608df93bf3ce5d6ad599406b1f40e1c11e3837822d5e01f3a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cbcfe60236b3428608df93bf3ce5d6ad599406b1f40e1c11e3837822d5e01f3a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2026-08-19T07:08:22.172998Z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0.579832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e756b565fddf4110</t>
        </is>
      </c>
      <c r="B71" s="24" t="inlineStr">
        <is>
          <t>2026-08-19T07:08:28.157857Z</t>
        </is>
      </c>
      <c r="C71" s="24" t="inlineStr">
        <is>
          <t>2026-08-19T10:00:00Z</t>
        </is>
      </c>
      <c r="D71" s="24" t="inlineStr">
        <is>
          <t>83091</t>
        </is>
      </c>
      <c r="E71" s="24" t="inlineStr">
        <is>
          <t>LOL</t>
        </is>
      </c>
      <c r="F71" s="24" t="inlineStr">
        <is>
          <t>DN SOOPers</t>
        </is>
      </c>
      <c r="G71" s="24" t="inlineStr">
        <is>
          <t>HANJIN BRION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0.707307</v>
      </c>
      <c r="P71" s="28" t="n"/>
      <c r="Q71" s="28" t="n">
        <v>0.157757</v>
      </c>
      <c r="R71" s="26" t="n">
        <v>99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2026-08-19T13:40:41.627140Z</t>
        </is>
      </c>
      <c r="AE71" s="31" t="inlineStr">
        <is>
          <t>Neutral Elo baseline; executable ask 0.5500 (market_slug=aec-lol-bro-dns-2026-08-19).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DN SOOPers</t>
        </is>
      </c>
      <c r="AQ71" s="24" t="inlineStr">
        <is>
          <t>DN SOOPers</t>
        </is>
      </c>
      <c r="AR71" s="24" t="inlineStr">
        <is>
          <t>DN SOOPers</t>
        </is>
      </c>
      <c r="AS71" s="24" t="inlineStr">
        <is>
          <t>HANJIN BRION</t>
        </is>
      </c>
      <c r="AT71" s="24" t="inlineStr">
        <is>
          <t>HANJIN BRION</t>
        </is>
      </c>
      <c r="AU71" s="24" t="inlineStr">
        <is>
          <t>HANJIN BRION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cbcfe60236b3428608df93bf3ce5d6ad599406b1f40e1c11e3837822d5e01f3a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cbcfe60236b3428608df93bf3ce5d6ad599406b1f40e1c11e3837822d5e01f3a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2026-08-19T07:08:22.365424Z</t>
        </is>
      </c>
      <c r="BI71" s="24" t="inlineStr">
        <is>
          <t>["same_event","same_team_same_day","same_league_same_day"]</t>
        </is>
      </c>
      <c r="BJ71" s="25" t="n"/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0053a0a716564d7f</t>
        </is>
      </c>
      <c r="B72" s="24" t="inlineStr">
        <is>
          <t>2026-08-19T13:43:33.129385Z</t>
        </is>
      </c>
      <c r="C72" s="24" t="inlineStr">
        <is>
          <t>2026-08-19T16:30:00Z</t>
        </is>
      </c>
      <c r="D72" s="24" t="inlineStr">
        <is>
          <t>83312</t>
        </is>
      </c>
      <c r="E72" s="24" t="inlineStr">
        <is>
          <t>LOL</t>
        </is>
      </c>
      <c r="F72" s="24" t="inlineStr">
        <is>
          <t>Bohemian Guardians</t>
        </is>
      </c>
      <c r="G72" s="24" t="inlineStr">
        <is>
          <t>EXILE esports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0.60066</v>
      </c>
      <c r="P72" s="28" t="n"/>
      <c r="Q72" s="28" t="n">
        <v>0.09085600000000001</v>
      </c>
      <c r="R72" s="26" t="n">
        <v>65</v>
      </c>
      <c r="S72" s="29" t="n">
        <v>1.25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1.2019</v>
      </c>
      <c r="AD72" s="24" t="inlineStr">
        <is>
          <t>2026-08-19T19:53:35.523789Z</t>
        </is>
      </c>
      <c r="AE72" s="31" t="inlineStr">
        <is>
          <t>Neutral Elo baseline; executable ask 0.5100 (market_slug=aec-lol-exe-bg-2026-08-19).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Bohemian Guardians</t>
        </is>
      </c>
      <c r="AQ72" s="24" t="inlineStr">
        <is>
          <t>Bohemian Guardians</t>
        </is>
      </c>
      <c r="AR72" s="24" t="inlineStr">
        <is>
          <t>Bohemian Guardians</t>
        </is>
      </c>
      <c r="AS72" s="24" t="inlineStr">
        <is>
          <t>EXILE esports</t>
        </is>
      </c>
      <c r="AT72" s="24" t="inlineStr">
        <is>
          <t>EXILE esports</t>
        </is>
      </c>
      <c r="AU72" s="24" t="inlineStr">
        <is>
          <t>EXILE esports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a0a1778638a73e26bd459cbdea8d68c38588628db65576c5850f6750f079f4f2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a0a1778638a73e26bd459cbdea8d68c38588628db65576c5850f6750f079f4f2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2026-08-19T13:43:25.757901Z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0.509804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d818aab27b0d4acc</t>
        </is>
      </c>
      <c r="B73" s="24" t="inlineStr">
        <is>
          <t>2026-08-20T02:31:58.995545Z</t>
        </is>
      </c>
      <c r="C73" s="24" t="inlineStr">
        <is>
          <t>2026-08-20T05:00:00Z</t>
        </is>
      </c>
      <c r="D73" s="24" t="inlineStr">
        <is>
          <t>84040</t>
        </is>
      </c>
      <c r="E73" s="24" t="inlineStr">
        <is>
          <t>LOL</t>
        </is>
      </c>
      <c r="F73" s="24" t="inlineStr">
        <is>
          <t>DN SOOPers Challengers</t>
        </is>
      </c>
      <c r="G73" s="24" t="inlineStr">
        <is>
          <t>Dplus KIA Challengers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0.726244</v>
      </c>
      <c r="P73" s="28" t="n"/>
      <c r="Q73" s="28" t="n">
        <v>0.146412</v>
      </c>
      <c r="R73" s="26" t="n">
        <v>93</v>
      </c>
      <c r="S73" s="29" t="n">
        <v>2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1.4493</v>
      </c>
      <c r="AD73" s="24" t="inlineStr">
        <is>
          <t>2026-08-20T09:39:54.612507Z</t>
        </is>
      </c>
      <c r="AE73" s="31" t="inlineStr">
        <is>
          <t>Neutral Elo baseline; executable ask 0.5800 (market_slug=aec-lol-dkc-dnsc-2026-08-20).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DN SOOPers Challengers</t>
        </is>
      </c>
      <c r="AQ73" s="24" t="inlineStr">
        <is>
          <t>DN SOOPers Challengers</t>
        </is>
      </c>
      <c r="AR73" s="24" t="inlineStr">
        <is>
          <t>DN SOOPers Challengers</t>
        </is>
      </c>
      <c r="AS73" s="24" t="inlineStr">
        <is>
          <t>Dplus KIA Challengers</t>
        </is>
      </c>
      <c r="AT73" s="24" t="inlineStr">
        <is>
          <t>Dplus KIA Challengers</t>
        </is>
      </c>
      <c r="AU73" s="24" t="inlineStr">
        <is>
          <t>Dplus KIA Challengers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76ac9792fcab4cfbe90ac584b5aaa6c64818b6ba51d5541cf9a7f9300dda6302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76ac9792fcab4cfbe90ac584b5aaa6c64818b6ba51d5541cf9a7f9300dda6302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2026-08-20T02:31:55.886493Z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3d1eaecfa2254d26</t>
        </is>
      </c>
      <c r="B74" s="24" t="inlineStr">
        <is>
          <t>2026-08-20T05:36:58.913253Z</t>
        </is>
      </c>
      <c r="C74" s="24" t="inlineStr">
        <is>
          <t>2026-08-20T08:00:00Z</t>
        </is>
      </c>
      <c r="D74" s="24" t="inlineStr">
        <is>
          <t>84044</t>
        </is>
      </c>
      <c r="E74" s="24" t="inlineStr">
        <is>
          <t>LOL</t>
        </is>
      </c>
      <c r="F74" s="24" t="inlineStr">
        <is>
          <t>Hanwha Life Esports</t>
        </is>
      </c>
      <c r="G74" s="24" t="inlineStr">
        <is>
          <t>Dplus KIA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0.54874</v>
      </c>
      <c r="P74" s="28" t="n"/>
      <c r="Q74" s="28" t="n">
        <v>0.07925599999999999</v>
      </c>
      <c r="R74" s="26" t="n">
        <v>60</v>
      </c>
      <c r="S74" s="29" t="n">
        <v>1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113</v>
      </c>
      <c r="AA74" s="28" t="n">
        <v>0.47</v>
      </c>
      <c r="AB74" s="28" t="n">
        <v>0.000516</v>
      </c>
      <c r="AC74" s="30" t="n">
        <v>-1</v>
      </c>
      <c r="AD74" s="24" t="inlineStr">
        <is>
          <t>2026-08-20T12:45:33.496570Z</t>
        </is>
      </c>
      <c r="AE74" s="31" t="inlineStr">
        <is>
          <t>Neutral Elo baseline; executable ask 0.4700 (market_slug=aec-lol-dk-hle-2026-08-20).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Hanwha Life Esports</t>
        </is>
      </c>
      <c r="AQ74" s="24" t="inlineStr">
        <is>
          <t>Hanwha Life Esports</t>
        </is>
      </c>
      <c r="AR74" s="24" t="inlineStr">
        <is>
          <t>Hanwha Life Esports</t>
        </is>
      </c>
      <c r="AS74" s="24" t="inlineStr">
        <is>
          <t>Dplus KIA</t>
        </is>
      </c>
      <c r="AT74" s="24" t="inlineStr">
        <is>
          <t>Dplus KIA</t>
        </is>
      </c>
      <c r="AU74" s="24" t="inlineStr">
        <is>
          <t>Dplus KIA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59484f1f3bbce544de32b43610de15f15c90e28c4923f9be6586d69bca01fc87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59484f1f3bbce544de32b43610de15f15c90e28c4923f9be6586d69bca01fc87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2026-08-20T05:36:52.664318Z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>
        <v>2.13</v>
      </c>
      <c r="BR74" s="28" t="n">
        <v>0.47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d7809b47ccda4c95</t>
        </is>
      </c>
      <c r="B75" s="24" t="inlineStr">
        <is>
          <t>2026-08-20T05:36:58.913253Z</t>
        </is>
      </c>
      <c r="C75" s="24" t="inlineStr">
        <is>
          <t>2026-08-20T09:00:00Z</t>
        </is>
      </c>
      <c r="D75" s="24" t="inlineStr">
        <is>
          <t>84069</t>
        </is>
      </c>
      <c r="E75" s="24" t="inlineStr">
        <is>
          <t>LOL</t>
        </is>
      </c>
      <c r="F75" s="24" t="inlineStr">
        <is>
          <t>MVK Esports</t>
        </is>
      </c>
      <c r="G75" s="24" t="inlineStr">
        <is>
          <t>CTBC Flying Oyster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0.612432</v>
      </c>
      <c r="P75" s="28" t="n"/>
      <c r="Q75" s="28" t="n">
        <v>0.022268</v>
      </c>
      <c r="R75" s="26" t="n">
        <v>31</v>
      </c>
      <c r="S75" s="29" t="n">
        <v>1.5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1.0417</v>
      </c>
      <c r="AD75" s="24" t="inlineStr">
        <is>
          <t>2026-08-20T12:45:33.982496Z</t>
        </is>
      </c>
      <c r="AE75" s="31" t="inlineStr">
        <is>
          <t>Neutral Elo baseline; executable ask 0.5900 (market_slug=aec-lol-cfo-mvk-2026-08-20).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MVK Esports</t>
        </is>
      </c>
      <c r="AQ75" s="24" t="inlineStr">
        <is>
          <t>MVK Esports</t>
        </is>
      </c>
      <c r="AR75" s="24" t="inlineStr">
        <is>
          <t>MVK Esports</t>
        </is>
      </c>
      <c r="AS75" s="24" t="inlineStr">
        <is>
          <t>CTBC Flying Oyster</t>
        </is>
      </c>
      <c r="AT75" s="24" t="inlineStr">
        <is>
          <t>CTBC Flying Oyster</t>
        </is>
      </c>
      <c r="AU75" s="24" t="inlineStr">
        <is>
          <t>CTBC Flying Oyster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59484f1f3bbce544de32b43610de15f15c90e28c4923f9be6586d69bca01fc87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59484f1f3bbce544de32b43610de15f15c90e28c4923f9be6586d69bca01fc87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2026-08-20T05:36:52.912270Z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4ece777841604b9d</t>
        </is>
      </c>
      <c r="B76" s="24" t="inlineStr">
        <is>
          <t>2026-08-20T09:42:20.837093Z</t>
        </is>
      </c>
      <c r="C76" s="24" t="inlineStr">
        <is>
          <t>2026-08-20T10:00:00Z</t>
        </is>
      </c>
      <c r="D76" s="24" t="inlineStr">
        <is>
          <t>84090</t>
        </is>
      </c>
      <c r="E76" s="24" t="inlineStr">
        <is>
          <t>LOL</t>
        </is>
      </c>
      <c r="F76" s="24" t="inlineStr">
        <is>
          <t>Kiwoom DRX</t>
        </is>
      </c>
      <c r="G76" s="24" t="inlineStr">
        <is>
          <t>Nongshim Red Force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-138</v>
      </c>
      <c r="M76" s="27" t="n">
        <v>1.724638</v>
      </c>
      <c r="N76" s="28" t="n">
        <v>0.579832</v>
      </c>
      <c r="O76" s="28" t="n">
        <v>0.659064</v>
      </c>
      <c r="P76" s="28" t="n"/>
      <c r="Q76" s="28" t="n">
        <v>0.079232</v>
      </c>
      <c r="R76" s="26" t="n">
        <v>60</v>
      </c>
      <c r="S76" s="29" t="n">
        <v>1.75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-138</v>
      </c>
      <c r="AA76" s="28" t="n">
        <v>0.58</v>
      </c>
      <c r="AB76" s="28" t="n">
        <v>0.000168</v>
      </c>
      <c r="AC76" s="30" t="n">
        <v>1.2681</v>
      </c>
      <c r="AD76" s="24" t="inlineStr">
        <is>
          <t>2026-08-20T12:45:34.683222Z</t>
        </is>
      </c>
      <c r="AE76" s="31" t="inlineStr">
        <is>
          <t>Neutral Elo baseline; executable ask 0.5800 (market_slug=aec-lol-ns-krx-2026-08-20).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Kiwoom DRX</t>
        </is>
      </c>
      <c r="AQ76" s="24" t="inlineStr">
        <is>
          <t>Kiwoom DRX</t>
        </is>
      </c>
      <c r="AR76" s="24" t="inlineStr">
        <is>
          <t>Kiwoom DRX</t>
        </is>
      </c>
      <c r="AS76" s="24" t="inlineStr">
        <is>
          <t>Nongshim Red Force</t>
        </is>
      </c>
      <c r="AT76" s="24" t="inlineStr">
        <is>
          <t>Nongshim Red Force</t>
        </is>
      </c>
      <c r="AU76" s="24" t="inlineStr">
        <is>
          <t>Nongshim Red Force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01d29e907390a4b721a05fc224b95100de95b69eccadbd70573e7c49138b1489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01d29e907390a4b721a05fc224b95100de95b69eccadbd70573e7c49138b1489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2026-08-20T09:42:14.700565Z</t>
        </is>
      </c>
      <c r="BI76" s="24" t="inlineStr">
        <is>
          <t>["same_event","same_team_same_day","same_league_same_day"]</t>
        </is>
      </c>
      <c r="BJ76" s="25" t="n"/>
      <c r="BK76" s="26" t="n">
        <v>-138</v>
      </c>
      <c r="BL76" s="27" t="n">
        <v>1.724638</v>
      </c>
      <c r="BM76" s="28" t="n">
        <v>0.579832</v>
      </c>
      <c r="BN76" s="28" t="n"/>
      <c r="BO76" s="28" t="n"/>
      <c r="BP76" s="25" t="n"/>
      <c r="BQ76" s="27" t="n">
        <v>1.724638</v>
      </c>
      <c r="BR76" s="28" t="n">
        <v>0.58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0.579832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7b8ee7ff8a9d4130</t>
        </is>
      </c>
      <c r="B77" s="24" t="inlineStr">
        <is>
          <t>2026-08-20T15:52:54.808855Z</t>
        </is>
      </c>
      <c r="C77" s="24" t="inlineStr">
        <is>
          <t>2026-08-20T16:00:00Z</t>
        </is>
      </c>
      <c r="D77" s="24" t="inlineStr">
        <is>
          <t>87148</t>
        </is>
      </c>
      <c r="E77" s="24" t="inlineStr">
        <is>
          <t>LOL</t>
        </is>
      </c>
      <c r="F77" s="24" t="inlineStr">
        <is>
          <t>Disruptors</t>
        </is>
      </c>
      <c r="G77" s="24" t="inlineStr">
        <is>
          <t>Pyramid IV 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104</v>
      </c>
      <c r="M77" s="27" t="n">
        <v>2.04</v>
      </c>
      <c r="N77" s="28" t="n">
        <v>0.490196</v>
      </c>
      <c r="O77" s="28" t="n">
        <v>0.545515</v>
      </c>
      <c r="P77" s="28" t="n"/>
      <c r="Q77" s="28" t="n">
        <v>0.055319</v>
      </c>
      <c r="R77" s="26" t="n">
        <v>48</v>
      </c>
      <c r="S77" s="29" t="n">
        <v>1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104</v>
      </c>
      <c r="AA77" s="28" t="n">
        <v>0.49</v>
      </c>
      <c r="AB77" s="28" t="n">
        <v>-0.000196</v>
      </c>
      <c r="AC77" s="30" t="n">
        <v>1.04</v>
      </c>
      <c r="AD77" s="24" t="inlineStr">
        <is>
          <t>2026-08-20T22:22:28.332856Z</t>
        </is>
      </c>
      <c r="AE77" s="31" t="inlineStr">
        <is>
          <t>Neutral Elo baseline; executable ask 0.4900 (market_slug=aec-lol-piv-ds-2026-08-20).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Disruptors</t>
        </is>
      </c>
      <c r="AQ77" s="24" t="inlineStr">
        <is>
          <t>Disruptors</t>
        </is>
      </c>
      <c r="AR77" s="24" t="inlineStr">
        <is>
          <t>Disruptors</t>
        </is>
      </c>
      <c r="AS77" s="24" t="inlineStr">
        <is>
          <t>Pyramid IV Esports</t>
        </is>
      </c>
      <c r="AT77" s="24" t="inlineStr">
        <is>
          <t>Pyramid IV Esports</t>
        </is>
      </c>
      <c r="AU77" s="24" t="inlineStr">
        <is>
          <t>Pyramid IV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ff279fe603df702f6b4d6c1df5bb006ee6c294e2b6eb4e88756fe86b9138aea2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ff279fe603df702f6b4d6c1df5bb006ee6c294e2b6eb4e88756fe86b9138aea2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2026-08-20T15:52:50.236447Z</t>
        </is>
      </c>
      <c r="BI77" s="24" t="inlineStr">
        <is>
          <t>["same_event","same_team_same_day","same_league_same_day"]</t>
        </is>
      </c>
      <c r="BJ77" s="25" t="n"/>
      <c r="BK77" s="26" t="n">
        <v>104</v>
      </c>
      <c r="BL77" s="27" t="n">
        <v>2.04</v>
      </c>
      <c r="BM77" s="28" t="n">
        <v>0.490196</v>
      </c>
      <c r="BN77" s="28" t="n"/>
      <c r="BO77" s="28" t="n"/>
      <c r="BP77" s="25" t="n"/>
      <c r="BQ77" s="27" t="n">
        <v>2.04</v>
      </c>
      <c r="BR77" s="28" t="n">
        <v>0.49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0.490196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7381ed6789b440be</t>
        </is>
      </c>
      <c r="B78" s="24" t="inlineStr">
        <is>
          <t>2026-08-20T15:52:54.808855Z</t>
        </is>
      </c>
      <c r="C78" s="24" t="inlineStr">
        <is>
          <t>2026-08-20T16:00:00Z</t>
        </is>
      </c>
      <c r="D78" s="24" t="inlineStr">
        <is>
          <t>86905</t>
        </is>
      </c>
      <c r="E78" s="24" t="inlineStr">
        <is>
          <t>LOL</t>
        </is>
      </c>
      <c r="F78" s="24" t="inlineStr">
        <is>
          <t>GnG Amazigh</t>
        </is>
      </c>
      <c r="G78" s="24" t="inlineStr">
        <is>
          <t>Baam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0.6786219999999999</v>
      </c>
      <c r="P78" s="28" t="n"/>
      <c r="Q78" s="28" t="n">
        <v>0.05885</v>
      </c>
      <c r="R78" s="26" t="n">
        <v>49</v>
      </c>
      <c r="S78" s="29" t="n">
        <v>1.75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1.0736</v>
      </c>
      <c r="AD78" s="24" t="inlineStr">
        <is>
          <t>2026-08-26T12:41:55.880449Z</t>
        </is>
      </c>
      <c r="AE78" s="31" t="inlineStr">
        <is>
          <t>Neutral Elo baseline; executable ask 0.6200 (market_slug=aec-lol-bam-gng-2026-08-20).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GnG Amazigh</t>
        </is>
      </c>
      <c r="AQ78" s="24" t="inlineStr">
        <is>
          <t>GnG Amazigh</t>
        </is>
      </c>
      <c r="AR78" s="24" t="inlineStr">
        <is>
          <t>GnG Amazigh</t>
        </is>
      </c>
      <c r="AS78" s="24" t="inlineStr">
        <is>
          <t>Baam Esports</t>
        </is>
      </c>
      <c r="AT78" s="24" t="inlineStr">
        <is>
          <t>Baam Esports</t>
        </is>
      </c>
      <c r="AU78" s="24" t="inlineStr">
        <is>
          <t>Baam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ff279fe603df702f6b4d6c1df5bb006ee6c294e2b6eb4e88756fe86b9138aea2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ff279fe603df702f6b4d6c1df5bb006ee6c294e2b6eb4e88756fe86b9138aea2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2026-08-20T15:52:50.476101Z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cb9e0696be6c4fd4</t>
        </is>
      </c>
      <c r="B79" s="24" t="inlineStr">
        <is>
          <t>2026-08-20T15:52:54.808855Z</t>
        </is>
      </c>
      <c r="C79" s="24" t="inlineStr">
        <is>
          <t>2026-08-20T17:00:00Z</t>
        </is>
      </c>
      <c r="D79" s="24" t="inlineStr">
        <is>
          <t>84365</t>
        </is>
      </c>
      <c r="E79" s="24" t="inlineStr">
        <is>
          <t>LOL</t>
        </is>
      </c>
      <c r="F79" s="24" t="inlineStr">
        <is>
          <t>Barcząca Esports</t>
        </is>
      </c>
      <c r="G79" s="24" t="inlineStr">
        <is>
          <t>Anonymo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113</v>
      </c>
      <c r="M79" s="27" t="n">
        <v>2.13</v>
      </c>
      <c r="N79" s="28" t="n">
        <v>0.469484</v>
      </c>
      <c r="O79" s="28" t="n">
        <v>0.532146</v>
      </c>
      <c r="P79" s="28" t="n"/>
      <c r="Q79" s="28" t="n">
        <v>0.062662</v>
      </c>
      <c r="R79" s="26" t="n">
        <v>51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0</v>
      </c>
      <c r="Y79" s="25" t="n"/>
      <c r="Z79" s="26" t="n">
        <v>113</v>
      </c>
      <c r="AA79" s="28" t="n">
        <v>0.47</v>
      </c>
      <c r="AB79" s="28" t="n">
        <v>0.000516</v>
      </c>
      <c r="AC79" s="30" t="n">
        <v>1.13</v>
      </c>
      <c r="AD79" s="24" t="inlineStr">
        <is>
          <t>2026-08-20T22:22:28.981538Z</t>
        </is>
      </c>
      <c r="AE79" s="31" t="inlineStr">
        <is>
          <t>Neutral Elo baseline; executable ask 0.4700 (market_slug=aec-lol-ae-bce-2026-08-20).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Barcząca Esports</t>
        </is>
      </c>
      <c r="AQ79" s="24" t="inlineStr">
        <is>
          <t>Barcząca Esports</t>
        </is>
      </c>
      <c r="AR79" s="24" t="inlineStr">
        <is>
          <t>Barcząca Esports</t>
        </is>
      </c>
      <c r="AS79" s="24" t="inlineStr">
        <is>
          <t>Anonymo Esports</t>
        </is>
      </c>
      <c r="AT79" s="24" t="inlineStr">
        <is>
          <t>Anonymo Esports</t>
        </is>
      </c>
      <c r="AU79" s="24" t="inlineStr">
        <is>
          <t>Anonymo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ff279fe603df702f6b4d6c1df5bb006ee6c294e2b6eb4e88756fe86b9138aea2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ff279fe603df702f6b4d6c1df5bb006ee6c294e2b6eb4e88756fe86b9138aea2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2026-08-20T15:52:51.519656Z</t>
        </is>
      </c>
      <c r="BI79" s="24" t="inlineStr">
        <is>
          <t>["same_event","same_team_same_day","same_league_same_day"]</t>
        </is>
      </c>
      <c r="BJ79" s="25" t="n"/>
      <c r="BK79" s="26" t="n">
        <v>113</v>
      </c>
      <c r="BL79" s="27" t="n">
        <v>2.13</v>
      </c>
      <c r="BM79" s="28" t="n">
        <v>0.469484</v>
      </c>
      <c r="BN79" s="28" t="n"/>
      <c r="BO79" s="28" t="n"/>
      <c r="BP79" s="25" t="n"/>
      <c r="BQ79" s="27" t="n">
        <v>2.13</v>
      </c>
      <c r="BR79" s="28" t="n">
        <v>0.47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0.469484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b0948128e0d042ab</t>
        </is>
      </c>
      <c r="B80" s="24" t="inlineStr">
        <is>
          <t>2026-08-21T04:32:30.036826Z</t>
        </is>
      </c>
      <c r="C80" s="24" t="inlineStr">
        <is>
          <t>2026-08-21T05:00:00Z</t>
        </is>
      </c>
      <c r="D80" s="24" t="inlineStr">
        <is>
          <t>85069</t>
        </is>
      </c>
      <c r="E80" s="24" t="inlineStr">
        <is>
          <t>LOL</t>
        </is>
      </c>
      <c r="F80" s="24" t="inlineStr">
        <is>
          <t>T1 Academy</t>
        </is>
      </c>
      <c r="G80" s="24" t="inlineStr">
        <is>
          <t>Nongshim Esports Academy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-203</v>
      </c>
      <c r="M80" s="27" t="n">
        <v>1.492611</v>
      </c>
      <c r="N80" s="28" t="n">
        <v>0.669967</v>
      </c>
      <c r="O80" s="28" t="n">
        <v>0.708707</v>
      </c>
      <c r="P80" s="28" t="n"/>
      <c r="Q80" s="28" t="n">
        <v>0.03874</v>
      </c>
      <c r="R80" s="26" t="n">
        <v>39</v>
      </c>
      <c r="S80" s="29" t="n">
        <v>2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-0.009967</v>
      </c>
      <c r="AC80" s="30" t="n">
        <v>-2</v>
      </c>
      <c r="AD80" s="24" t="inlineStr">
        <is>
          <t>2026-08-21T11:27:25.918717Z</t>
        </is>
      </c>
      <c r="AE80" s="31" t="inlineStr">
        <is>
          <t>Neutral Elo baseline; executable ask 0.6700 (market_slug=aec-lol-nsea-t1a-2026-08-21).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T1 Academy</t>
        </is>
      </c>
      <c r="AQ80" s="24" t="inlineStr">
        <is>
          <t>T1 Academy</t>
        </is>
      </c>
      <c r="AR80" s="24" t="inlineStr">
        <is>
          <t>T1 Academy</t>
        </is>
      </c>
      <c r="AS80" s="24" t="inlineStr">
        <is>
          <t>Nongshim Esports Academy</t>
        </is>
      </c>
      <c r="AT80" s="24" t="inlineStr">
        <is>
          <t>Nongshim Esports Academy</t>
        </is>
      </c>
      <c r="AU80" s="24" t="inlineStr">
        <is>
          <t>Nongshim Esports Academy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b38203d9c5ef44312a3e3a387836f2ba7b42ccb62d01397fcd6796e951c0a9e6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b38203d9c5ef44312a3e3a387836f2ba7b42ccb62d01397fcd6796e951c0a9e6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2026-08-21T04:32:26.194461Z</t>
        </is>
      </c>
      <c r="BI80" s="24" t="inlineStr">
        <is>
          <t>["same_event","same_team_same_day","same_league_same_day"]</t>
        </is>
      </c>
      <c r="BJ80" s="25" t="n"/>
      <c r="BK80" s="26" t="n">
        <v>-203</v>
      </c>
      <c r="BL80" s="27" t="n">
        <v>1.492611</v>
      </c>
      <c r="BM80" s="28" t="n">
        <v>0.669967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0.669967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50065dc4519b4407</t>
        </is>
      </c>
      <c r="B81" s="24" t="inlineStr">
        <is>
          <t>2026-08-21T04:32:30.036826Z</t>
        </is>
      </c>
      <c r="C81" s="24" t="inlineStr">
        <is>
          <t>2026-08-21T11:00:00Z</t>
        </is>
      </c>
      <c r="D81" s="24" t="inlineStr">
        <is>
          <t>85168</t>
        </is>
      </c>
      <c r="E81" s="24" t="inlineStr">
        <is>
          <t>LOL</t>
        </is>
      </c>
      <c r="F81" s="24" t="inlineStr">
        <is>
          <t>Bilibili Gaming</t>
        </is>
      </c>
      <c r="G81" s="24" t="inlineStr">
        <is>
          <t>Top Esports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-194</v>
      </c>
      <c r="M81" s="27" t="n">
        <v>1.515464</v>
      </c>
      <c r="N81" s="28" t="n">
        <v>0.659864</v>
      </c>
      <c r="O81" s="28" t="n">
        <v>0.66226</v>
      </c>
      <c r="P81" s="28" t="n"/>
      <c r="Q81" s="28" t="n">
        <v>0.002396</v>
      </c>
      <c r="R81" s="26" t="n">
        <v>21</v>
      </c>
      <c r="S81" s="29" t="n">
        <v>1.75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-194</v>
      </c>
      <c r="AA81" s="28" t="n">
        <v>0.66</v>
      </c>
      <c r="AB81" s="28" t="n">
        <v>0.000136</v>
      </c>
      <c r="AC81" s="30" t="n">
        <v>0.9021</v>
      </c>
      <c r="AD81" s="24" t="inlineStr">
        <is>
          <t>2026-08-21T18:25:48.487828Z</t>
        </is>
      </c>
      <c r="AE81" s="31" t="inlineStr">
        <is>
          <t>Neutral Elo baseline; executable ask 0.6600 (market_slug=aec-lol-tes-blg-2026-08-21).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Bilibili Gaming</t>
        </is>
      </c>
      <c r="AQ81" s="24" t="inlineStr">
        <is>
          <t>Bilibili Gaming</t>
        </is>
      </c>
      <c r="AR81" s="24" t="inlineStr">
        <is>
          <t>Bilibili Gaming</t>
        </is>
      </c>
      <c r="AS81" s="24" t="inlineStr">
        <is>
          <t>Top Esports</t>
        </is>
      </c>
      <c r="AT81" s="24" t="inlineStr">
        <is>
          <t>Top Esports</t>
        </is>
      </c>
      <c r="AU81" s="24" t="inlineStr">
        <is>
          <t>Top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b38203d9c5ef44312a3e3a387836f2ba7b42ccb62d01397fcd6796e951c0a9e6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b38203d9c5ef44312a3e3a387836f2ba7b42ccb62d01397fcd6796e951c0a9e6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2026-08-21T04:32:27.613703Z</t>
        </is>
      </c>
      <c r="BI81" s="24" t="inlineStr">
        <is>
          <t>["same_event","same_team_same_day","same_league_same_day"]</t>
        </is>
      </c>
      <c r="BJ81" s="25" t="n"/>
      <c r="BK81" s="26" t="n">
        <v>-194</v>
      </c>
      <c r="BL81" s="27" t="n">
        <v>1.515464</v>
      </c>
      <c r="BM81" s="28" t="n">
        <v>0.659864</v>
      </c>
      <c r="BN81" s="28" t="n"/>
      <c r="BO81" s="28" t="n"/>
      <c r="BP81" s="25" t="n"/>
      <c r="BQ81" s="27" t="n">
        <v>1.515464</v>
      </c>
      <c r="BR81" s="28" t="n">
        <v>0.66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0.659864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41947ed71bd645fd</t>
        </is>
      </c>
      <c r="B82" s="24" t="inlineStr">
        <is>
          <t>2026-08-21T11:34:17.596179Z</t>
        </is>
      </c>
      <c r="C82" s="24" t="inlineStr">
        <is>
          <t>2026-08-21T17:15:00Z</t>
        </is>
      </c>
      <c r="D82" s="24" t="inlineStr">
        <is>
          <t>85504</t>
        </is>
      </c>
      <c r="E82" s="24" t="inlineStr">
        <is>
          <t>LOL</t>
        </is>
      </c>
      <c r="F82" s="24" t="inlineStr">
        <is>
          <t>Natus Vincere</t>
        </is>
      </c>
      <c r="G82" s="24" t="inlineStr">
        <is>
          <t>Team Vitality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0.601519</v>
      </c>
      <c r="P82" s="28" t="n"/>
      <c r="Q82" s="28" t="n">
        <v>0.042048</v>
      </c>
      <c r="R82" s="26" t="n">
        <v>41</v>
      </c>
      <c r="S82" s="29" t="n">
        <v>1.25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-127</v>
      </c>
      <c r="AA82" s="28" t="n">
        <v>0.5600000000000001</v>
      </c>
      <c r="AB82" s="28" t="n">
        <v>0.000529</v>
      </c>
      <c r="AC82" s="30" t="n">
        <v>0.9843</v>
      </c>
      <c r="AD82" s="24" t="inlineStr">
        <is>
          <t>2026-08-21T21:54:27.134642Z</t>
        </is>
      </c>
      <c r="AE82" s="31" t="inlineStr">
        <is>
          <t>Neutral Elo baseline; executable ask 0.5600 (market_slug=aec-lol-vit-navi-2026-08-21).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Natus Vincere</t>
        </is>
      </c>
      <c r="AQ82" s="24" t="inlineStr">
        <is>
          <t>Natus Vincere</t>
        </is>
      </c>
      <c r="AR82" s="24" t="inlineStr">
        <is>
          <t>Natus Vincere</t>
        </is>
      </c>
      <c r="AS82" s="24" t="inlineStr">
        <is>
          <t>Team Vitality</t>
        </is>
      </c>
      <c r="AT82" s="24" t="inlineStr">
        <is>
          <t>Team Vitality</t>
        </is>
      </c>
      <c r="AU82" s="24" t="inlineStr">
        <is>
          <t>Team Vitality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7a56228dbf41b6928e19131a6fd58786baadd5d8cc58b19b42ffa9625239e18b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7a56228dbf41b6928e19131a6fd58786baadd5d8cc58b19b42ffa9625239e18b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2026-08-21T11:34:15.798798Z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/>
      <c r="BO82" s="28" t="n"/>
      <c r="BP82" s="25" t="n"/>
      <c r="BQ82" s="27" t="n">
        <v>1.787402</v>
      </c>
      <c r="BR82" s="28" t="n">
        <v>0.5600000000000001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0.559471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1c18876509be4d66</t>
        </is>
      </c>
      <c r="B83" s="24" t="inlineStr">
        <is>
          <t>2026-08-21T21:57:08.271686Z</t>
        </is>
      </c>
      <c r="C83" s="24" t="inlineStr">
        <is>
          <t>2026-08-22T00:00:00Z</t>
        </is>
      </c>
      <c r="D83" s="24" t="inlineStr">
        <is>
          <t>86080</t>
        </is>
      </c>
      <c r="E83" s="24" t="inlineStr">
        <is>
          <t>LOL</t>
        </is>
      </c>
      <c r="F83" s="24" t="inlineStr">
        <is>
          <t>Winthrop University</t>
        </is>
      </c>
      <c r="G83" s="24" t="inlineStr">
        <is>
          <t>University of Mississippi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-113</v>
      </c>
      <c r="M83" s="27" t="n">
        <v>1.884956</v>
      </c>
      <c r="N83" s="28" t="n">
        <v>0.530516</v>
      </c>
      <c r="O83" s="28" t="n">
        <v>0.539467</v>
      </c>
      <c r="P83" s="28" t="n"/>
      <c r="Q83" s="28" t="n">
        <v>0.008951000000000001</v>
      </c>
      <c r="R83" s="26" t="n">
        <v>24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-113</v>
      </c>
      <c r="AA83" s="28" t="n">
        <v>0.53</v>
      </c>
      <c r="AB83" s="28" t="n">
        <v>-0.000516</v>
      </c>
      <c r="AC83" s="30" t="n">
        <v>0.885</v>
      </c>
      <c r="AD83" s="24" t="inlineStr">
        <is>
          <t>2026-08-22T01:00:46.910569Z</t>
        </is>
      </c>
      <c r="AE83" s="31" t="inlineStr">
        <is>
          <t>Neutral Elo baseline; executable ask 0.5300 (market_slug=aec-lol-miss-wu-2026-08-22).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Winthrop University</t>
        </is>
      </c>
      <c r="AQ83" s="24" t="inlineStr">
        <is>
          <t>Winthrop University</t>
        </is>
      </c>
      <c r="AR83" s="24" t="inlineStr">
        <is>
          <t>Winthrop University</t>
        </is>
      </c>
      <c r="AS83" s="24" t="inlineStr">
        <is>
          <t>University of Mississippi</t>
        </is>
      </c>
      <c r="AT83" s="24" t="inlineStr">
        <is>
          <t>University of Mississippi</t>
        </is>
      </c>
      <c r="AU83" s="24" t="inlineStr">
        <is>
          <t>University of Mississippi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69c93de0fb991ea5593ed7b4bf610bff1ac1fd10d8ba0159a5c6f5036db38099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69c93de0fb991ea5593ed7b4bf610bff1ac1fd10d8ba0159a5c6f5036db38099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2026-08-21T21:57:07.237317Z</t>
        </is>
      </c>
      <c r="BI83" s="24" t="inlineStr">
        <is>
          <t>["same_event","same_team_same_day","same_league_same_day"]</t>
        </is>
      </c>
      <c r="BJ83" s="25" t="n"/>
      <c r="BK83" s="26" t="n">
        <v>-113</v>
      </c>
      <c r="BL83" s="27" t="n">
        <v>1.884956</v>
      </c>
      <c r="BM83" s="28" t="n">
        <v>0.530516</v>
      </c>
      <c r="BN83" s="28" t="n"/>
      <c r="BO83" s="28" t="n"/>
      <c r="BP83" s="25" t="n"/>
      <c r="BQ83" s="27" t="n">
        <v>1.884956</v>
      </c>
      <c r="BR83" s="28" t="n">
        <v>0.53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0.530516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d3cf3c5103cb4eb4</t>
        </is>
      </c>
      <c r="B84" s="24" t="inlineStr">
        <is>
          <t>2026-08-22T01:02:40.007849Z</t>
        </is>
      </c>
      <c r="C84" s="24" t="inlineStr">
        <is>
          <t>2026-08-22T07:00:00Z</t>
        </is>
      </c>
      <c r="D84" s="24" t="inlineStr">
        <is>
          <t>86172</t>
        </is>
      </c>
      <c r="E84" s="24" t="inlineStr">
        <is>
          <t>LOL</t>
        </is>
      </c>
      <c r="F84" s="24" t="inlineStr">
        <is>
          <t>LGD Gaming</t>
        </is>
      </c>
      <c r="G84" s="24" t="inlineStr">
        <is>
          <t>Team WE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0.607979</v>
      </c>
      <c r="P84" s="28" t="n"/>
      <c r="Q84" s="28" t="n">
        <v>0.017815</v>
      </c>
      <c r="R84" s="26" t="n">
        <v>29</v>
      </c>
      <c r="S84" s="29" t="n">
        <v>1.5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-144</v>
      </c>
      <c r="AA84" s="28" t="n">
        <v>0.59</v>
      </c>
      <c r="AB84" s="28" t="n">
        <v>-0.000164</v>
      </c>
      <c r="AC84" s="30" t="n">
        <v>-1.5</v>
      </c>
      <c r="AD84" s="24" t="inlineStr">
        <is>
          <t>2026-08-24T04:50:14.586566Z</t>
        </is>
      </c>
      <c r="AE84" s="31" t="inlineStr">
        <is>
          <t>Neutral Elo baseline; executable ask 0.5900 (market_slug=aec-lol-we-lgd-2026-08-22).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LGD Gaming</t>
        </is>
      </c>
      <c r="AQ84" s="24" t="inlineStr">
        <is>
          <t>LGD Gaming</t>
        </is>
      </c>
      <c r="AR84" s="24" t="inlineStr">
        <is>
          <t>LGD Gaming</t>
        </is>
      </c>
      <c r="AS84" s="24" t="inlineStr">
        <is>
          <t>Team WE</t>
        </is>
      </c>
      <c r="AT84" s="24" t="inlineStr">
        <is>
          <t>Team WE</t>
        </is>
      </c>
      <c r="AU84" s="24" t="inlineStr">
        <is>
          <t>Team WE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f18178a0dda537a0b71d7390d584aa5c705150da12b9b1855d83d59813775d60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f18178a0dda537a0b71d7390d584aa5c705150da12b9b1855d83d59813775d60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2026-08-22T01:02:38.048958Z</t>
        </is>
      </c>
      <c r="BI84" s="24" t="inlineStr">
        <is>
          <t>["same_event","same_team_same_day","same_league_same_day"]</t>
        </is>
      </c>
      <c r="BJ84" s="25" t="n"/>
      <c r="BK84" s="26" t="n">
        <v>-144</v>
      </c>
      <c r="BL84" s="27" t="n">
        <v>1.694444</v>
      </c>
      <c r="BM84" s="28" t="n">
        <v>0.590164</v>
      </c>
      <c r="BN84" s="28" t="n"/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0.590164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11f9967b673e45ed</t>
        </is>
      </c>
      <c r="B85" s="24" t="inlineStr">
        <is>
          <t>2026-08-22T03:46:01.427986Z</t>
        </is>
      </c>
      <c r="C85" s="24" t="inlineStr">
        <is>
          <t>2026-08-22T23:00:00Z</t>
        </is>
      </c>
      <c r="D85" s="24" t="inlineStr">
        <is>
          <t>87056</t>
        </is>
      </c>
      <c r="E85" s="24" t="inlineStr">
        <is>
          <t>LOL</t>
        </is>
      </c>
      <c r="F85" s="24" t="inlineStr">
        <is>
          <t>Dignitas</t>
        </is>
      </c>
      <c r="G85" s="24" t="inlineStr">
        <is>
          <t>Disguised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113</v>
      </c>
      <c r="M85" s="27" t="n">
        <v>2.13</v>
      </c>
      <c r="N85" s="28" t="n">
        <v>0.469484</v>
      </c>
      <c r="O85" s="28" t="n">
        <v>0.654549</v>
      </c>
      <c r="P85" s="28" t="n"/>
      <c r="Q85" s="28" t="n">
        <v>0.185065</v>
      </c>
      <c r="R85" s="26" t="n">
        <v>100</v>
      </c>
      <c r="S85" s="29" t="n">
        <v>1.75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-376</v>
      </c>
      <c r="AA85" s="28" t="n">
        <v>0.79</v>
      </c>
      <c r="AB85" s="28" t="n">
        <v>0.320516</v>
      </c>
      <c r="AC85" s="30" t="n">
        <v>1.9775</v>
      </c>
      <c r="AD85" s="24" t="inlineStr">
        <is>
          <t>2026-08-24T04:50:17.769460Z</t>
        </is>
      </c>
      <c r="AE85" s="31" t="inlineStr">
        <is>
          <t>Neutral Elo baseline; executable ask 0.4700 (market_slug=aec-lol-dsg-dig-2026-08-22).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Dignitas</t>
        </is>
      </c>
      <c r="AQ85" s="24" t="inlineStr">
        <is>
          <t>Dignitas</t>
        </is>
      </c>
      <c r="AR85" s="24" t="inlineStr">
        <is>
          <t>Dignitas</t>
        </is>
      </c>
      <c r="AS85" s="24" t="inlineStr">
        <is>
          <t>Disguised</t>
        </is>
      </c>
      <c r="AT85" s="24" t="inlineStr">
        <is>
          <t>Disguised</t>
        </is>
      </c>
      <c r="AU85" s="24" t="inlineStr">
        <is>
          <t>Disguised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b345df28b42b5adc02bbed253c0227a92683ae33c3460414910c1f48d398cbdc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b345df28b42b5adc02bbed253c0227a92683ae33c3460414910c1f48d398cbdc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2026-08-22T03:46:01.424188Z</t>
        </is>
      </c>
      <c r="BI85" s="24" t="inlineStr">
        <is>
          <t>["same_event","same_team_same_day","same_league_same_day"]</t>
        </is>
      </c>
      <c r="BJ85" s="25" t="n"/>
      <c r="BK85" s="26" t="n">
        <v>113</v>
      </c>
      <c r="BL85" s="27" t="n">
        <v>2.13</v>
      </c>
      <c r="BM85" s="28" t="n">
        <v>0.469484</v>
      </c>
      <c r="BN85" s="28" t="n"/>
      <c r="BO85" s="28" t="n"/>
      <c r="BP85" s="25" t="n"/>
      <c r="BQ85" s="27" t="n">
        <v>1.265957</v>
      </c>
      <c r="BR85" s="28" t="n">
        <v>0.79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0.469484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507d95f817494af6</t>
        </is>
      </c>
      <c r="B86" s="24" t="inlineStr">
        <is>
          <t>2026-08-22T07:30:22.280097Z</t>
        </is>
      </c>
      <c r="C86" s="24" t="inlineStr">
        <is>
          <t>2026-08-22T09:00:00Z</t>
        </is>
      </c>
      <c r="D86" s="24" t="inlineStr">
        <is>
          <t>86183</t>
        </is>
      </c>
      <c r="E86" s="24" t="inlineStr">
        <is>
          <t>LOL</t>
        </is>
      </c>
      <c r="F86" s="24" t="inlineStr">
        <is>
          <t>Invictus Gaming</t>
        </is>
      </c>
      <c r="G86" s="24" t="inlineStr">
        <is>
          <t>Ninjas in Pyjamas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108</v>
      </c>
      <c r="M86" s="27" t="n">
        <v>2.08</v>
      </c>
      <c r="N86" s="28" t="n">
        <v>0.480769</v>
      </c>
      <c r="O86" s="28" t="n">
        <v>0.58501</v>
      </c>
      <c r="P86" s="28" t="n"/>
      <c r="Q86" s="28" t="n">
        <v>0.104241</v>
      </c>
      <c r="R86" s="26" t="n">
        <v>72</v>
      </c>
      <c r="S86" s="29" t="n">
        <v>1.25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108</v>
      </c>
      <c r="AA86" s="28" t="n">
        <v>0.48</v>
      </c>
      <c r="AB86" s="28" t="n">
        <v>-0.000769</v>
      </c>
      <c r="AC86" s="30" t="n">
        <v>1.35</v>
      </c>
      <c r="AD86" s="24" t="inlineStr">
        <is>
          <t>2026-08-22T12:23:59.618525Z</t>
        </is>
      </c>
      <c r="AE86" s="31" t="inlineStr">
        <is>
          <t>Neutral Elo baseline; executable ask 0.4800 (market_slug=aec-lol-nip-ig-2026-08-22).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Invictus Gaming</t>
        </is>
      </c>
      <c r="AQ86" s="24" t="inlineStr">
        <is>
          <t>Invictus Gaming</t>
        </is>
      </c>
      <c r="AR86" s="24" t="inlineStr">
        <is>
          <t>Invictus Gaming</t>
        </is>
      </c>
      <c r="AS86" s="24" t="inlineStr">
        <is>
          <t>Ninjas in Pyjamas</t>
        </is>
      </c>
      <c r="AT86" s="24" t="inlineStr">
        <is>
          <t>Ninjas in Pyjamas</t>
        </is>
      </c>
      <c r="AU86" s="24" t="inlineStr">
        <is>
          <t>Ninjas in Pyjamas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8fe3926a881830a7b33a2d5c5136a2d92745c6c5025d01f7d305e330d7d208f5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8fe3926a881830a7b33a2d5c5136a2d92745c6c5025d01f7d305e330d7d208f5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2026-08-22T07:30:19.982319Z</t>
        </is>
      </c>
      <c r="BI86" s="24" t="inlineStr">
        <is>
          <t>["same_event","same_team_same_day","same_league_same_day"]</t>
        </is>
      </c>
      <c r="BJ86" s="25" t="n"/>
      <c r="BK86" s="26" t="n">
        <v>108</v>
      </c>
      <c r="BL86" s="27" t="n">
        <v>2.08</v>
      </c>
      <c r="BM86" s="28" t="n">
        <v>0.480769</v>
      </c>
      <c r="BN86" s="28" t="n"/>
      <c r="BO86" s="28" t="n"/>
      <c r="BP86" s="25" t="n"/>
      <c r="BQ86" s="27" t="n">
        <v>2.08</v>
      </c>
      <c r="BR86" s="28" t="n">
        <v>0.48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0.480769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544731cb37c54482</t>
        </is>
      </c>
      <c r="B87" s="24" t="inlineStr">
        <is>
          <t>2026-08-22T09:16:47.033902Z</t>
        </is>
      </c>
      <c r="C87" s="24" t="inlineStr">
        <is>
          <t>2026-08-22T10:00:00Z</t>
        </is>
      </c>
      <c r="D87" s="24" t="inlineStr">
        <is>
          <t>86200</t>
        </is>
      </c>
      <c r="E87" s="24" t="inlineStr">
        <is>
          <t>LOL</t>
        </is>
      </c>
      <c r="F87" s="24" t="inlineStr">
        <is>
          <t>Kiwoom DRX</t>
        </is>
      </c>
      <c r="G87" s="24" t="inlineStr">
        <is>
          <t>DN SOOPers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0.724866</v>
      </c>
      <c r="P87" s="28" t="n"/>
      <c r="Q87" s="28" t="n">
        <v>0.175316</v>
      </c>
      <c r="R87" s="26" t="n">
        <v>100</v>
      </c>
      <c r="S87" s="29" t="n">
        <v>2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-122</v>
      </c>
      <c r="AA87" s="28" t="n">
        <v>0.55</v>
      </c>
      <c r="AB87" s="28" t="n">
        <v>0.00045</v>
      </c>
      <c r="AC87" s="30" t="n">
        <v>1.6393</v>
      </c>
      <c r="AD87" s="24" t="inlineStr">
        <is>
          <t>2026-08-22T15:40:39.905182Z</t>
        </is>
      </c>
      <c r="AE87" s="31" t="inlineStr">
        <is>
          <t>Neutral Elo baseline; executable ask 0.5500 (market_slug=aec-lol-dns-krx-2026-08-22).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Kiwoom DRX</t>
        </is>
      </c>
      <c r="AQ87" s="24" t="inlineStr">
        <is>
          <t>Kiwoom DRX</t>
        </is>
      </c>
      <c r="AR87" s="24" t="inlineStr">
        <is>
          <t>Kiwoom DRX</t>
        </is>
      </c>
      <c r="AS87" s="24" t="inlineStr">
        <is>
          <t>DN SOOPers</t>
        </is>
      </c>
      <c r="AT87" s="24" t="inlineStr">
        <is>
          <t>DN SOOPers</t>
        </is>
      </c>
      <c r="AU87" s="24" t="inlineStr">
        <is>
          <t>DN SOOPers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864cb5375422ae90df195a19892f17f3ed533f4391cb76aee61355a36c386489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864cb5375422ae90df195a19892f17f3ed533f4391cb76aee61355a36c386489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2026-08-22T09:16:44.546064Z</t>
        </is>
      </c>
      <c r="BI87" s="24" t="inlineStr">
        <is>
          <t>["same_event","same_team_same_day","same_league_same_day"]</t>
        </is>
      </c>
      <c r="BJ87" s="25" t="n"/>
      <c r="BK87" s="26" t="n">
        <v>-122</v>
      </c>
      <c r="BL87" s="27" t="n">
        <v>1.819672</v>
      </c>
      <c r="BM87" s="28" t="n">
        <v>0.54955</v>
      </c>
      <c r="BN87" s="28" t="n"/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b24b4834dd3c41a8</t>
        </is>
      </c>
      <c r="B88" s="24" t="inlineStr">
        <is>
          <t>2026-08-23T05:28:23.738189Z</t>
        </is>
      </c>
      <c r="C88" s="24" t="inlineStr">
        <is>
          <t>2026-08-23T08:00:00Z</t>
        </is>
      </c>
      <c r="D88" s="24" t="inlineStr">
        <is>
          <t>87226</t>
        </is>
      </c>
      <c r="E88" s="24" t="inlineStr">
        <is>
          <t>LOL</t>
        </is>
      </c>
      <c r="F88" s="24" t="inlineStr">
        <is>
          <t>T1</t>
        </is>
      </c>
      <c r="G88" s="24" t="inlineStr">
        <is>
          <t>Hanwha Life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0.590438</v>
      </c>
      <c r="P88" s="28" t="n"/>
      <c r="Q88" s="28" t="n">
        <v>0.040888</v>
      </c>
      <c r="R88" s="26" t="n">
        <v>40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0.8197</v>
      </c>
      <c r="AD88" s="24" t="inlineStr">
        <is>
          <t>2026-08-23T15:50:32.006291Z</t>
        </is>
      </c>
      <c r="AE88" s="31" t="inlineStr">
        <is>
          <t>Neutral Elo baseline; executable ask 0.5500 (market_slug=aec-lol-hle-t1-2026-08-23).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T1</t>
        </is>
      </c>
      <c r="AQ88" s="24" t="inlineStr">
        <is>
          <t>T1</t>
        </is>
      </c>
      <c r="AR88" s="24" t="inlineStr">
        <is>
          <t>T1</t>
        </is>
      </c>
      <c r="AS88" s="24" t="inlineStr">
        <is>
          <t>Hanwha Life Esports</t>
        </is>
      </c>
      <c r="AT88" s="24" t="inlineStr">
        <is>
          <t>Hanwha Life Esports</t>
        </is>
      </c>
      <c r="AU88" s="24" t="inlineStr">
        <is>
          <t>Hanwha Life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aadc3f5b848f91d194bbcdb0f7e9d13888722b0c5ac935400a9ec39a46306a20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aadc3f5b848f91d194bbcdb0f7e9d13888722b0c5ac935400a9ec39a46306a20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2026-08-23T05:28:20.478991Z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c0ec3adc2d404007</t>
        </is>
      </c>
      <c r="B89" s="24" t="inlineStr">
        <is>
          <t>2026-08-23T15:53:14.958753Z</t>
        </is>
      </c>
      <c r="C89" s="24" t="inlineStr">
        <is>
          <t>2026-08-23T16:00:00Z</t>
        </is>
      </c>
      <c r="D89" s="24" t="inlineStr">
        <is>
          <t>87342</t>
        </is>
      </c>
      <c r="E89" s="24" t="inlineStr">
        <is>
          <t>LOL</t>
        </is>
      </c>
      <c r="F89" s="24" t="inlineStr">
        <is>
          <t>Fluxo W7M</t>
        </is>
      </c>
      <c r="G89" s="24" t="inlineStr">
        <is>
          <t>RED Canids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0.645579</v>
      </c>
      <c r="P89" s="28" t="n"/>
      <c r="Q89" s="28" t="n">
        <v>0.096029</v>
      </c>
      <c r="R89" s="26" t="n">
        <v>68</v>
      </c>
      <c r="S89" s="29" t="n">
        <v>1.25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1.0246</v>
      </c>
      <c r="AD89" s="24" t="inlineStr">
        <is>
          <t>2026-08-23T17:38:44.666609Z</t>
        </is>
      </c>
      <c r="AE89" s="31" t="inlineStr">
        <is>
          <t>Neutral Elo baseline; executable ask 0.5500 (market_slug=aec-lol-red-fxw7-2026-08-23).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Fluxo W7M</t>
        </is>
      </c>
      <c r="AQ89" s="24" t="inlineStr">
        <is>
          <t>Fluxo W7M</t>
        </is>
      </c>
      <c r="AR89" s="24" t="inlineStr">
        <is>
          <t>Fluxo W7M</t>
        </is>
      </c>
      <c r="AS89" s="24" t="inlineStr">
        <is>
          <t>RED Canids</t>
        </is>
      </c>
      <c r="AT89" s="24" t="inlineStr">
        <is>
          <t>RED Canids</t>
        </is>
      </c>
      <c r="AU89" s="24" t="inlineStr">
        <is>
          <t>RED Canids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ea0b41adb5f222c1d523965435d13833682025edd013f8dd5a70a57927a25e5b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ea0b41adb5f222c1d523965435d13833682025edd013f8dd5a70a57927a25e5b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2026-08-23T15:53:13.717795Z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75f65f98e2484c34</t>
        </is>
      </c>
      <c r="B90" s="24" t="inlineStr">
        <is>
          <t>2026-08-25T05:01:23.648156Z</t>
        </is>
      </c>
      <c r="C90" s="24" t="inlineStr">
        <is>
          <t>2026-08-25T08:00:00Z</t>
        </is>
      </c>
      <c r="D90" s="24" t="inlineStr">
        <is>
          <t>90849</t>
        </is>
      </c>
      <c r="E90" s="24" t="inlineStr">
        <is>
          <t>LOL</t>
        </is>
      </c>
      <c r="F90" s="24" t="inlineStr">
        <is>
          <t>BNK FearX Youth</t>
        </is>
      </c>
      <c r="G90" s="24" t="inlineStr">
        <is>
          <t>Kiwoom DRX Challengers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-203</v>
      </c>
      <c r="M90" s="27" t="n">
        <v>1.492611</v>
      </c>
      <c r="N90" s="28" t="n">
        <v>0.669967</v>
      </c>
      <c r="O90" s="28" t="n">
        <v>0.519054</v>
      </c>
      <c r="P90" s="28" t="n"/>
      <c r="Q90" s="28" t="n">
        <v>-0.150913</v>
      </c>
      <c r="R90" s="26" t="n">
        <v>0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-213</v>
      </c>
      <c r="AA90" s="28" t="n">
        <v>0.68</v>
      </c>
      <c r="AB90" s="28" t="n">
        <v>0.010033</v>
      </c>
      <c r="AC90" s="30" t="n">
        <v>-1</v>
      </c>
      <c r="AD90" s="24" t="inlineStr">
        <is>
          <t>2026-08-25T12:32:13.649656Z</t>
        </is>
      </c>
      <c r="AE90" s="31" t="inlineStr">
        <is>
          <t>Neutral Elo baseline; executable ask 0.6700 (market_slug=aec-lol-krxc-foxy-2026-08-25).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BNK FearX Youth</t>
        </is>
      </c>
      <c r="AQ90" s="24" t="inlineStr">
        <is>
          <t>BNK FearX Youth</t>
        </is>
      </c>
      <c r="AR90" s="24" t="inlineStr">
        <is>
          <t>BNK FearX Youth</t>
        </is>
      </c>
      <c r="AS90" s="24" t="inlineStr">
        <is>
          <t>Kiwoom DRX Challengers</t>
        </is>
      </c>
      <c r="AT90" s="24" t="inlineStr">
        <is>
          <t>Kiwoom DRX Challengers</t>
        </is>
      </c>
      <c r="AU90" s="24" t="inlineStr">
        <is>
          <t>Kiwoom DRX Challengers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277ea5a0ac11f555b4e45285e5daeca4b186508bf1d3db012c58645ea10434c8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277ea5a0ac11f555b4e45285e5daeca4b186508bf1d3db012c58645ea10434c8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2026-08-25T05:01:20.194494Z</t>
        </is>
      </c>
      <c r="BI90" s="24" t="inlineStr">
        <is>
          <t>["same_event","same_team_same_day","same_league_same_day"]</t>
        </is>
      </c>
      <c r="BJ90" s="25" t="n"/>
      <c r="BK90" s="26" t="n">
        <v>-203</v>
      </c>
      <c r="BL90" s="27" t="n">
        <v>1.492611</v>
      </c>
      <c r="BM90" s="28" t="n">
        <v>0.669967</v>
      </c>
      <c r="BN90" s="28" t="n"/>
      <c r="BO90" s="28" t="n"/>
      <c r="BP90" s="25" t="n"/>
      <c r="BQ90" s="27" t="n">
        <v>1.469484</v>
      </c>
      <c r="BR90" s="28" t="n">
        <v>0.68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0.669967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2e3ee60a2b4f4fd9</t>
        </is>
      </c>
      <c r="B91" s="24" t="inlineStr">
        <is>
          <t>2026-08-25T13:32:45.893751Z</t>
        </is>
      </c>
      <c r="C91" s="24" t="inlineStr">
        <is>
          <t>2026-08-25T15:00:00Z</t>
        </is>
      </c>
      <c r="D91" s="24" t="inlineStr">
        <is>
          <t>88784</t>
        </is>
      </c>
      <c r="E91" s="24" t="inlineStr">
        <is>
          <t>LOL</t>
        </is>
      </c>
      <c r="F91" s="24" t="inlineStr">
        <is>
          <t>SU Esports</t>
        </is>
      </c>
      <c r="G91" s="24" t="inlineStr">
        <is>
          <t xml:space="preserve">PCIFIC 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194</v>
      </c>
      <c r="M91" s="27" t="n">
        <v>2.94</v>
      </c>
      <c r="N91" s="28" t="n">
        <v>0.340136</v>
      </c>
      <c r="O91" s="28" t="n">
        <v>0.540692</v>
      </c>
      <c r="P91" s="28" t="n"/>
      <c r="Q91" s="28" t="n">
        <v>0.200556</v>
      </c>
      <c r="R91" s="26" t="n">
        <v>100</v>
      </c>
      <c r="S91" s="29" t="n">
        <v>2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194</v>
      </c>
      <c r="AA91" s="28" t="n">
        <v>0.34</v>
      </c>
      <c r="AB91" s="28" t="n">
        <v>-0.000136</v>
      </c>
      <c r="AC91" s="30" t="n">
        <v>-2</v>
      </c>
      <c r="AD91" s="24" t="inlineStr">
        <is>
          <t>2026-08-26T12:41:56.424981Z</t>
        </is>
      </c>
      <c r="AE91" s="31" t="inlineStr">
        <is>
          <t>Neutral Elo baseline; executable ask 0.3400 (market_slug=aec-lol-pcific-su-2026-08-25).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SU Esports</t>
        </is>
      </c>
      <c r="AQ91" s="24" t="inlineStr">
        <is>
          <t>SU Esports</t>
        </is>
      </c>
      <c r="AR91" s="24" t="inlineStr">
        <is>
          <t>SU Esports</t>
        </is>
      </c>
      <c r="AS91" s="24" t="inlineStr">
        <is>
          <t xml:space="preserve">PCIFIC </t>
        </is>
      </c>
      <c r="AT91" s="24" t="inlineStr">
        <is>
          <t xml:space="preserve">PCIFIC </t>
        </is>
      </c>
      <c r="AU91" s="24" t="inlineStr">
        <is>
          <t xml:space="preserve">PCIFIC 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a48bcb14f68f55fe29739a4e415a8b8fc152dff1711d58afc49c3f572d1a2669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a48bcb14f68f55fe29739a4e415a8b8fc152dff1711d58afc49c3f572d1a2669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2026-08-25T13:32:41.026861Z</t>
        </is>
      </c>
      <c r="BI91" s="24" t="inlineStr">
        <is>
          <t>["same_event","same_team_same_day","same_league_same_day"]</t>
        </is>
      </c>
      <c r="BJ91" s="25" t="n"/>
      <c r="BK91" s="26" t="n">
        <v>194</v>
      </c>
      <c r="BL91" s="27" t="n">
        <v>2.94</v>
      </c>
      <c r="BM91" s="28" t="n">
        <v>0.340136</v>
      </c>
      <c r="BN91" s="28" t="n"/>
      <c r="BO91" s="28" t="n"/>
      <c r="BP91" s="25" t="n"/>
      <c r="BQ91" s="27" t="n">
        <v>2.94</v>
      </c>
      <c r="BR91" s="28" t="n">
        <v>0.34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0.340136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badf9e5df88a4451</t>
        </is>
      </c>
      <c r="B92" s="24" t="inlineStr">
        <is>
          <t>2026-08-25T13:32:45.893751Z</t>
        </is>
      </c>
      <c r="C92" s="24" t="inlineStr">
        <is>
          <t>2026-08-25T15:00:00Z</t>
        </is>
      </c>
      <c r="D92" s="24" t="inlineStr">
        <is>
          <t>88786</t>
        </is>
      </c>
      <c r="E92" s="24" t="inlineStr">
        <is>
          <t>LOL</t>
        </is>
      </c>
      <c r="F92" s="24" t="inlineStr">
        <is>
          <t>devils.one inStreamly</t>
        </is>
      </c>
      <c r="G92" s="24" t="inlineStr">
        <is>
          <t>Lodis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138</v>
      </c>
      <c r="M92" s="27" t="n">
        <v>2.38</v>
      </c>
      <c r="N92" s="28" t="n">
        <v>0.420168</v>
      </c>
      <c r="O92" s="28" t="n">
        <v>0.54806</v>
      </c>
      <c r="P92" s="28" t="n"/>
      <c r="Q92" s="28" t="n">
        <v>0.127892</v>
      </c>
      <c r="R92" s="26" t="n">
        <v>84</v>
      </c>
      <c r="S92" s="29" t="n">
        <v>1.5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138</v>
      </c>
      <c r="AA92" s="28" t="n">
        <v>0.42</v>
      </c>
      <c r="AB92" s="28" t="n">
        <v>-0.000168</v>
      </c>
      <c r="AC92" s="30" t="n">
        <v>2.07</v>
      </c>
      <c r="AD92" s="24" t="inlineStr">
        <is>
          <t>2026-08-26T12:41:56.951491Z</t>
        </is>
      </c>
      <c r="AE92" s="31" t="inlineStr">
        <is>
          <t>Neutral Elo baseline; executable ask 0.4200 (market_slug=aec-lol-lds-dv1-2026-08-25).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devils.one inStreamly</t>
        </is>
      </c>
      <c r="AQ92" s="24" t="inlineStr">
        <is>
          <t>devils.one inStreamly</t>
        </is>
      </c>
      <c r="AR92" s="24" t="inlineStr">
        <is>
          <t>devils.one inStreamly</t>
        </is>
      </c>
      <c r="AS92" s="24" t="inlineStr">
        <is>
          <t>Lodis</t>
        </is>
      </c>
      <c r="AT92" s="24" t="inlineStr">
        <is>
          <t>Lodis</t>
        </is>
      </c>
      <c r="AU92" s="24" t="inlineStr">
        <is>
          <t>Lodis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a48bcb14f68f55fe29739a4e415a8b8fc152dff1711d58afc49c3f572d1a2669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a48bcb14f68f55fe29739a4e415a8b8fc152dff1711d58afc49c3f572d1a2669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2026-08-25T13:32:41.162018Z</t>
        </is>
      </c>
      <c r="BI92" s="24" t="inlineStr">
        <is>
          <t>["same_event","same_team_same_day","same_league_same_day"]</t>
        </is>
      </c>
      <c r="BJ92" s="25" t="n"/>
      <c r="BK92" s="26" t="n">
        <v>138</v>
      </c>
      <c r="BL92" s="27" t="n">
        <v>2.38</v>
      </c>
      <c r="BM92" s="28" t="n">
        <v>0.420168</v>
      </c>
      <c r="BN92" s="28" t="n"/>
      <c r="BO92" s="28" t="n"/>
      <c r="BP92" s="25" t="n"/>
      <c r="BQ92" s="27" t="n">
        <v>2.38</v>
      </c>
      <c r="BR92" s="28" t="n">
        <v>0.42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0.420168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b38c732f7e794434</t>
        </is>
      </c>
      <c r="B93" s="24" t="inlineStr">
        <is>
          <t>2026-08-25T13:32:45.893751Z</t>
        </is>
      </c>
      <c r="C93" s="24" t="inlineStr">
        <is>
          <t>2026-08-25T16:30:00Z</t>
        </is>
      </c>
      <c r="D93" s="24" t="inlineStr">
        <is>
          <t>88829</t>
        </is>
      </c>
      <c r="E93" s="24" t="inlineStr">
        <is>
          <t>LOL</t>
        </is>
      </c>
      <c r="F93" s="24" t="inlineStr">
        <is>
          <t>BRUTE</t>
        </is>
      </c>
      <c r="G93" s="24" t="inlineStr">
        <is>
          <t>eSuba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-163</v>
      </c>
      <c r="M93" s="27" t="n">
        <v>1.613497</v>
      </c>
      <c r="N93" s="28" t="n">
        <v>0.619772</v>
      </c>
      <c r="O93" s="28" t="n">
        <v>0.677135</v>
      </c>
      <c r="P93" s="28" t="n"/>
      <c r="Q93" s="28" t="n">
        <v>0.057363</v>
      </c>
      <c r="R93" s="26" t="n">
        <v>49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-163</v>
      </c>
      <c r="AA93" s="28" t="n">
        <v>0.62</v>
      </c>
      <c r="AB93" s="28" t="n">
        <v>0.000228</v>
      </c>
      <c r="AC93" s="30" t="n">
        <v>0.6135</v>
      </c>
      <c r="AD93" s="24" t="inlineStr">
        <is>
          <t>2026-08-26T12:41:57.449002Z</t>
        </is>
      </c>
      <c r="AE93" s="31" t="inlineStr">
        <is>
          <t>Neutral Elo baseline; executable ask 0.6200 (market_slug=aec-lol-esb-brt-2026-08-25).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BRUTE</t>
        </is>
      </c>
      <c r="AQ93" s="24" t="inlineStr">
        <is>
          <t>BRUTE</t>
        </is>
      </c>
      <c r="AR93" s="24" t="inlineStr">
        <is>
          <t>BRUTE</t>
        </is>
      </c>
      <c r="AS93" s="24" t="inlineStr">
        <is>
          <t>eSuba</t>
        </is>
      </c>
      <c r="AT93" s="24" t="inlineStr">
        <is>
          <t>eSuba</t>
        </is>
      </c>
      <c r="AU93" s="24" t="inlineStr">
        <is>
          <t>eSuba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a48bcb14f68f55fe29739a4e415a8b8fc152dff1711d58afc49c3f572d1a2669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a48bcb14f68f55fe29739a4e415a8b8fc152dff1711d58afc49c3f572d1a2669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2026-08-25T13:32:41.711437Z</t>
        </is>
      </c>
      <c r="BI93" s="24" t="inlineStr">
        <is>
          <t>["same_event","same_team_same_day","same_league_same_day"]</t>
        </is>
      </c>
      <c r="BJ93" s="25" t="n"/>
      <c r="BK93" s="26" t="n">
        <v>-163</v>
      </c>
      <c r="BL93" s="27" t="n">
        <v>1.613497</v>
      </c>
      <c r="BM93" s="28" t="n">
        <v>0.619772</v>
      </c>
      <c r="BN93" s="28" t="n"/>
      <c r="BO93" s="28" t="n"/>
      <c r="BP93" s="25" t="n"/>
      <c r="BQ93" s="27" t="n">
        <v>1.613497</v>
      </c>
      <c r="BR93" s="28" t="n">
        <v>0.62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0.619772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1798e0bb65944977</t>
        </is>
      </c>
      <c r="B94" s="24" t="inlineStr">
        <is>
          <t>2026-08-25T13:32:45.893751Z</t>
        </is>
      </c>
      <c r="C94" s="24" t="inlineStr">
        <is>
          <t>2026-08-25T20:00:00Z</t>
        </is>
      </c>
      <c r="D94" s="24" t="inlineStr">
        <is>
          <t>89323</t>
        </is>
      </c>
      <c r="E94" s="24" t="inlineStr">
        <is>
          <t>LOL</t>
        </is>
      </c>
      <c r="F94" s="24" t="inlineStr">
        <is>
          <t>9z Globant</t>
        </is>
      </c>
      <c r="G94" s="24" t="inlineStr">
        <is>
          <t>Golden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170</v>
      </c>
      <c r="M94" s="27" t="n">
        <v>2.7</v>
      </c>
      <c r="N94" s="28" t="n">
        <v>0.37037</v>
      </c>
      <c r="O94" s="28" t="n">
        <v>0.53796</v>
      </c>
      <c r="P94" s="28" t="n"/>
      <c r="Q94" s="28" t="n">
        <v>0.16759</v>
      </c>
      <c r="R94" s="26" t="n">
        <v>100</v>
      </c>
      <c r="S94" s="29" t="n">
        <v>1.75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170</v>
      </c>
      <c r="AA94" s="28" t="n">
        <v>0.37</v>
      </c>
      <c r="AB94" s="28" t="n">
        <v>-0.00037</v>
      </c>
      <c r="AC94" s="30" t="n">
        <v>-1.75</v>
      </c>
      <c r="AD94" s="24" t="inlineStr">
        <is>
          <t>2026-08-26T12:41:58.009506Z</t>
        </is>
      </c>
      <c r="AE94" s="31" t="inlineStr">
        <is>
          <t>Neutral Elo baseline; executable ask 0.3700 (market_slug=aec-lol-gl-9zg-2026-08-25).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9z Globant</t>
        </is>
      </c>
      <c r="AQ94" s="24" t="inlineStr">
        <is>
          <t>9z Globant</t>
        </is>
      </c>
      <c r="AR94" s="24" t="inlineStr">
        <is>
          <t>9z Globant</t>
        </is>
      </c>
      <c r="AS94" s="24" t="inlineStr">
        <is>
          <t>Golden Lions</t>
        </is>
      </c>
      <c r="AT94" s="24" t="inlineStr">
        <is>
          <t>Golden Lions</t>
        </is>
      </c>
      <c r="AU94" s="24" t="inlineStr">
        <is>
          <t>Golden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a48bcb14f68f55fe29739a4e415a8b8fc152dff1711d58afc49c3f572d1a2669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a48bcb14f68f55fe29739a4e415a8b8fc152dff1711d58afc49c3f572d1a2669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2026-08-25T13:32:43.174823Z</t>
        </is>
      </c>
      <c r="BI94" s="24" t="inlineStr">
        <is>
          <t>["same_event","same_team_same_day","same_league_same_day"]</t>
        </is>
      </c>
      <c r="BJ94" s="25" t="n"/>
      <c r="BK94" s="26" t="n">
        <v>170</v>
      </c>
      <c r="BL94" s="27" t="n">
        <v>2.7</v>
      </c>
      <c r="BM94" s="28" t="n">
        <v>0.37037</v>
      </c>
      <c r="BN94" s="28" t="n"/>
      <c r="BO94" s="28" t="n"/>
      <c r="BP94" s="25" t="n"/>
      <c r="BQ94" s="27" t="n">
        <v>2.7</v>
      </c>
      <c r="BR94" s="28" t="n">
        <v>0.37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0.37037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1f52c344de414944</t>
        </is>
      </c>
      <c r="B95" s="24" t="inlineStr">
        <is>
          <t>2026-08-26T12:44:36.011449Z</t>
        </is>
      </c>
      <c r="C95" s="24" t="inlineStr">
        <is>
          <t>2026-08-26T14:00:00Z</t>
        </is>
      </c>
      <c r="D95" s="24" t="inlineStr">
        <is>
          <t>89758</t>
        </is>
      </c>
      <c r="E95" s="24" t="inlineStr">
        <is>
          <t>LOL</t>
        </is>
      </c>
      <c r="F95" s="24" t="inlineStr">
        <is>
          <t>BRUTE</t>
        </is>
      </c>
      <c r="G95" s="24" t="inlineStr">
        <is>
          <t>EXILE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156</v>
      </c>
      <c r="M95" s="27" t="n">
        <v>2.56</v>
      </c>
      <c r="N95" s="28" t="n">
        <v>0.390625</v>
      </c>
      <c r="O95" s="28" t="n">
        <v>0.536154</v>
      </c>
      <c r="P95" s="28" t="n"/>
      <c r="Q95" s="28" t="n">
        <v>0.145529</v>
      </c>
      <c r="R95" s="26" t="n">
        <v>93</v>
      </c>
      <c r="S95" s="29" t="n">
        <v>1.75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156</v>
      </c>
      <c r="AA95" s="28" t="n">
        <v>0.39</v>
      </c>
      <c r="AB95" s="28" t="n">
        <v>-0.000625</v>
      </c>
      <c r="AC95" s="30" t="n">
        <v>2.73</v>
      </c>
      <c r="AD95" s="24" t="inlineStr">
        <is>
          <t>2026-08-26T16:30:55.816831Z</t>
        </is>
      </c>
      <c r="AE95" s="31" t="inlineStr">
        <is>
          <t>Neutral Elo baseline; executable ask 0.3900 (market_slug=aec-lol-exe-brt-2026-08-26).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BRUTE</t>
        </is>
      </c>
      <c r="AQ95" s="24" t="inlineStr">
        <is>
          <t>BRUTE</t>
        </is>
      </c>
      <c r="AR95" s="24" t="inlineStr">
        <is>
          <t>BRUTE</t>
        </is>
      </c>
      <c r="AS95" s="24" t="inlineStr">
        <is>
          <t>EXILE esports</t>
        </is>
      </c>
      <c r="AT95" s="24" t="inlineStr">
        <is>
          <t>EXILE esports</t>
        </is>
      </c>
      <c r="AU95" s="24" t="inlineStr">
        <is>
          <t>EXILE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55ef0ca613140d7d028530fa11827b13c388ff45597252b2309f89b12336c2c5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55ef0ca613140d7d028530fa11827b13c388ff45597252b2309f89b12336c2c5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2026-08-26T12:44:31.204699Z</t>
        </is>
      </c>
      <c r="BI95" s="24" t="inlineStr">
        <is>
          <t>["same_event","same_team_same_day","same_league_same_day"]</t>
        </is>
      </c>
      <c r="BJ95" s="25" t="n"/>
      <c r="BK95" s="26" t="n">
        <v>156</v>
      </c>
      <c r="BL95" s="27" t="n">
        <v>2.56</v>
      </c>
      <c r="BM95" s="28" t="n">
        <v>0.390625</v>
      </c>
      <c r="BN95" s="28" t="n"/>
      <c r="BO95" s="28" t="n"/>
      <c r="BP95" s="25" t="n"/>
      <c r="BQ95" s="27" t="n">
        <v>2.56</v>
      </c>
      <c r="BR95" s="28" t="n">
        <v>0.39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0.390625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1e1fbcb07557450c</t>
        </is>
      </c>
      <c r="B96" s="24" t="inlineStr">
        <is>
          <t>2026-08-26T12:44:36.011449Z</t>
        </is>
      </c>
      <c r="C96" s="24" t="inlineStr">
        <is>
          <t>2026-08-26T16:00:00Z</t>
        </is>
      </c>
      <c r="D96" s="24" t="inlineStr">
        <is>
          <t>89796</t>
        </is>
      </c>
      <c r="E96" s="24" t="inlineStr">
        <is>
          <t>LOL</t>
        </is>
      </c>
      <c r="F96" s="24" t="inlineStr">
        <is>
          <t>ØTF</t>
        </is>
      </c>
      <c r="G96" s="24" t="inlineStr">
        <is>
          <t>The Secret Club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0.542452</v>
      </c>
      <c r="P96" s="28" t="n"/>
      <c r="Q96" s="28" t="n">
        <v>-0.07732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2026-08-26T22:16:40.952574Z</t>
        </is>
      </c>
      <c r="AE96" s="31" t="inlineStr">
        <is>
          <t>Neutral Elo baseline; executable ask 0.6200 (market_slug=aec-lol-tsc-tfa-2026-08-26).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ØTF</t>
        </is>
      </c>
      <c r="AQ96" s="24" t="inlineStr">
        <is>
          <t>ØTF</t>
        </is>
      </c>
      <c r="AR96" s="24" t="inlineStr">
        <is>
          <t>ØTF</t>
        </is>
      </c>
      <c r="AS96" s="24" t="inlineStr">
        <is>
          <t>The Secret Club</t>
        </is>
      </c>
      <c r="AT96" s="24" t="inlineStr">
        <is>
          <t>The Secret Club</t>
        </is>
      </c>
      <c r="AU96" s="24" t="inlineStr">
        <is>
          <t>The Secret Club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55ef0ca613140d7d028530fa11827b13c388ff45597252b2309f89b12336c2c5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55ef0ca613140d7d028530fa11827b13c388ff45597252b2309f89b12336c2c5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2026-08-26T12:44:32.616971Z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d1cebe60434c4981</t>
        </is>
      </c>
      <c r="B97" s="24" t="inlineStr">
        <is>
          <t>2026-08-26T16:36:41.218149Z</t>
        </is>
      </c>
      <c r="C97" s="24" t="inlineStr">
        <is>
          <t>2026-08-26T18:00:00Z</t>
        </is>
      </c>
      <c r="D97" s="24" t="inlineStr">
        <is>
          <t>89837</t>
        </is>
      </c>
      <c r="E97" s="24" t="inlineStr">
        <is>
          <t>LOL</t>
        </is>
      </c>
      <c r="F97" s="24" t="inlineStr">
        <is>
          <t>Bubliki</t>
        </is>
      </c>
      <c r="G97" s="24" t="inlineStr">
        <is>
          <t>Hyperion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0.535682</v>
      </c>
      <c r="P97" s="28" t="n"/>
      <c r="Q97" s="28" t="n">
        <v>-0.064318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-150</v>
      </c>
      <c r="AA97" s="28" t="n">
        <v>0.6</v>
      </c>
      <c r="AB97" s="28" t="n">
        <v>0</v>
      </c>
      <c r="AC97" s="30" t="n">
        <v>-1</v>
      </c>
      <c r="AD97" s="24" t="inlineStr">
        <is>
          <t>2026-08-26T22:16:41.508282Z</t>
        </is>
      </c>
      <c r="AE97" s="31" t="inlineStr">
        <is>
          <t>Neutral Elo baseline; executable ask 0.6000 (market_slug=aec-lol-hype-bub-2026-08-26).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Bubliki</t>
        </is>
      </c>
      <c r="AQ97" s="24" t="inlineStr">
        <is>
          <t>Bubliki</t>
        </is>
      </c>
      <c r="AR97" s="24" t="inlineStr">
        <is>
          <t>Bubliki</t>
        </is>
      </c>
      <c r="AS97" s="24" t="inlineStr">
        <is>
          <t>Hyperion</t>
        </is>
      </c>
      <c r="AT97" s="24" t="inlineStr">
        <is>
          <t>Hyperion</t>
        </is>
      </c>
      <c r="AU97" s="24" t="inlineStr">
        <is>
          <t>Hyperion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51664fb06128ba82f7e9a96ec912f8cb5c44302c54d524d2a0939c20f4d212e1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51664fb06128ba82f7e9a96ec912f8cb5c44302c54d524d2a0939c20f4d212e1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2026-08-26T16:36:36.024330Z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>
        <v>1.666667</v>
      </c>
      <c r="BR97" s="28" t="n">
        <v>0.6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57260b1edc1d4f3e</t>
        </is>
      </c>
      <c r="B98" s="24" t="inlineStr">
        <is>
          <t>2026-08-26T16:36:41.218149Z</t>
        </is>
      </c>
      <c r="C98" s="24" t="inlineStr">
        <is>
          <t>2026-08-26T21:00:00Z</t>
        </is>
      </c>
      <c r="D98" s="24" t="inlineStr">
        <is>
          <t>90129</t>
        </is>
      </c>
      <c r="E98" s="24" t="inlineStr">
        <is>
          <t>LOL</t>
        </is>
      </c>
      <c r="F98" s="24" t="inlineStr">
        <is>
          <t>Dorado Gaming</t>
        </is>
      </c>
      <c r="G98" s="24" t="inlineStr">
        <is>
          <t>Conviction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-223</v>
      </c>
      <c r="M98" s="27" t="n">
        <v>1.44843</v>
      </c>
      <c r="N98" s="28" t="n">
        <v>0.690402</v>
      </c>
      <c r="O98" s="28" t="n">
        <v>0.56864</v>
      </c>
      <c r="P98" s="28" t="n"/>
      <c r="Q98" s="28" t="n">
        <v>-0.121762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-223</v>
      </c>
      <c r="AA98" s="28" t="n">
        <v>0.6899999999999999</v>
      </c>
      <c r="AB98" s="28" t="n">
        <v>-0.000402</v>
      </c>
      <c r="AC98" s="30" t="n">
        <v>0.4484</v>
      </c>
      <c r="AD98" s="24" t="inlineStr">
        <is>
          <t>2026-08-27T00:43:10.020597Z</t>
        </is>
      </c>
      <c r="AE98" s="31" t="inlineStr">
        <is>
          <t>Neutral Elo baseline; executable ask 0.6900 (market_slug=aec-lol-cnv-dog-2026-08-26).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Dorado Gaming</t>
        </is>
      </c>
      <c r="AQ98" s="24" t="inlineStr">
        <is>
          <t>Dorado Gaming</t>
        </is>
      </c>
      <c r="AR98" s="24" t="inlineStr">
        <is>
          <t>Dorado Gaming</t>
        </is>
      </c>
      <c r="AS98" s="24" t="inlineStr">
        <is>
          <t>Conviction</t>
        </is>
      </c>
      <c r="AT98" s="24" t="inlineStr">
        <is>
          <t>Conviction</t>
        </is>
      </c>
      <c r="AU98" s="24" t="inlineStr">
        <is>
          <t>Conviction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51664fb06128ba82f7e9a96ec912f8cb5c44302c54d524d2a0939c20f4d212e1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51664fb06128ba82f7e9a96ec912f8cb5c44302c54d524d2a0939c20f4d212e1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2026-08-26T16:36:36.946433Z</t>
        </is>
      </c>
      <c r="BI98" s="24" t="inlineStr">
        <is>
          <t>["same_event","same_team_same_day","same_league_same_day"]</t>
        </is>
      </c>
      <c r="BJ98" s="25" t="n"/>
      <c r="BK98" s="26" t="n">
        <v>-223</v>
      </c>
      <c r="BL98" s="27" t="n">
        <v>1.44843</v>
      </c>
      <c r="BM98" s="28" t="n">
        <v>0.690402</v>
      </c>
      <c r="BN98" s="28" t="n"/>
      <c r="BO98" s="28" t="n"/>
      <c r="BP98" s="25" t="n"/>
      <c r="BQ98" s="27" t="n">
        <v>1.44843</v>
      </c>
      <c r="BR98" s="28" t="n">
        <v>0.6899999999999999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0.690402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9bbbabaf181942fd</t>
        </is>
      </c>
      <c r="B99" s="24" t="inlineStr">
        <is>
          <t>2026-08-27T00:44:50.294417Z</t>
        </is>
      </c>
      <c r="C99" s="24" t="inlineStr">
        <is>
          <t>2026-08-27T08:00:00Z</t>
        </is>
      </c>
      <c r="D99" s="24" t="inlineStr">
        <is>
          <t>90755</t>
        </is>
      </c>
      <c r="E99" s="24" t="inlineStr">
        <is>
          <t>LOL</t>
        </is>
      </c>
      <c r="F99" s="24" t="inlineStr">
        <is>
          <t>BNK FEARX</t>
        </is>
      </c>
      <c r="G99" s="24" t="inlineStr">
        <is>
          <t>Nongshim Red Force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-133</v>
      </c>
      <c r="M99" s="27" t="n">
        <v>1.75188</v>
      </c>
      <c r="N99" s="28" t="n">
        <v>0.570815</v>
      </c>
      <c r="O99" s="28" t="n">
        <v>0.581748</v>
      </c>
      <c r="P99" s="28" t="n"/>
      <c r="Q99" s="28" t="n">
        <v>0.010933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-1</v>
      </c>
      <c r="AD99" s="24" t="inlineStr">
        <is>
          <t>2026-08-27T12:32:14.358345Z</t>
        </is>
      </c>
      <c r="AE99" s="31" t="inlineStr">
        <is>
          <t>Neutral Elo baseline; executable ask 0.5700 (market_slug=aec-lol-ns-bfx-2026-08-27).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BNK FEARX</t>
        </is>
      </c>
      <c r="AQ99" s="24" t="inlineStr">
        <is>
          <t>BNK FEARX</t>
        </is>
      </c>
      <c r="AR99" s="24" t="inlineStr">
        <is>
          <t>BNK FEARX</t>
        </is>
      </c>
      <c r="AS99" s="24" t="inlineStr">
        <is>
          <t>Nongshim Red Force</t>
        </is>
      </c>
      <c r="AT99" s="24" t="inlineStr">
        <is>
          <t>Nongshim Red Force</t>
        </is>
      </c>
      <c r="AU99" s="24" t="inlineStr">
        <is>
          <t>Nongshim Red Force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d6a64a66507a317f6b525b0bd9774389b3fd1fc68d892896d2cae9c4082fc990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d6a64a66507a317f6b525b0bd9774389b3fd1fc68d892896d2cae9c4082fc990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2026-08-27T00:44:47.871419Z</t>
        </is>
      </c>
      <c r="BI99" s="24" t="inlineStr">
        <is>
          <t>["same_event","same_team_same_day","same_league_same_day"]</t>
        </is>
      </c>
      <c r="BJ99" s="25" t="n"/>
      <c r="BK99" s="26" t="n">
        <v>-133</v>
      </c>
      <c r="BL99" s="27" t="n">
        <v>1.75188</v>
      </c>
      <c r="BM99" s="28" t="n">
        <v>0.570815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0.570815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637bca4bde8d46dd</t>
        </is>
      </c>
      <c r="B100" s="24" t="inlineStr">
        <is>
          <t>2026-08-27T14:00:24.713200Z</t>
        </is>
      </c>
      <c r="C100" s="24" t="inlineStr">
        <is>
          <t>2026-08-27T15:00:00Z</t>
        </is>
      </c>
      <c r="D100" s="24" t="inlineStr">
        <is>
          <t>90893</t>
        </is>
      </c>
      <c r="E100" s="24" t="inlineStr">
        <is>
          <t>LOL</t>
        </is>
      </c>
      <c r="F100" s="24" t="inlineStr">
        <is>
          <t>Dark Passage</t>
        </is>
      </c>
      <c r="G100" s="24" t="inlineStr">
        <is>
          <t>DIA Ozarox Esports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0.583839</v>
      </c>
      <c r="P100" s="28" t="n"/>
      <c r="Q100" s="28" t="n">
        <v>0.034289</v>
      </c>
      <c r="R100" s="26" t="n">
        <v>37</v>
      </c>
      <c r="S100" s="29" t="n">
        <v>1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-117</v>
      </c>
      <c r="AA100" s="28" t="n">
        <v>0.54</v>
      </c>
      <c r="AB100" s="28" t="n">
        <v>-0.009549999999999999</v>
      </c>
      <c r="AC100" s="30" t="n">
        <v>-1</v>
      </c>
      <c r="AD100" s="24" t="inlineStr">
        <is>
          <t>2026-08-27T21:53:22.933310Z</t>
        </is>
      </c>
      <c r="AE100" s="31" t="inlineStr">
        <is>
          <t>Neutral Elo baseline; executable ask 0.5500 (market_slug=aec-lol-dia-dp-2026-08-27).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Dark Passage</t>
        </is>
      </c>
      <c r="AQ100" s="24" t="inlineStr">
        <is>
          <t>Dark Passage</t>
        </is>
      </c>
      <c r="AR100" s="24" t="inlineStr">
        <is>
          <t>Dark Passage</t>
        </is>
      </c>
      <c r="AS100" s="24" t="inlineStr">
        <is>
          <t>DIA Ozarox Esports</t>
        </is>
      </c>
      <c r="AT100" s="24" t="inlineStr">
        <is>
          <t>DIA Ozarox Esports</t>
        </is>
      </c>
      <c r="AU100" s="24" t="inlineStr">
        <is>
          <t>DIA Ozarox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db7e9ba8f73784a981c9cc767ea72905d718d42f8b1b8a8cee06b10265ded15e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db7e9ba8f73784a981c9cc767ea72905d718d42f8b1b8a8cee06b10265ded15e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2026-08-27T14:00:14.881119Z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>
        <v>1.854701</v>
      </c>
      <c r="BR100" s="28" t="n">
        <v>0.54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d89f37d863dd4cd9</t>
        </is>
      </c>
      <c r="B101" s="24" t="inlineStr">
        <is>
          <t>2026-08-27T14:00:24.713200Z</t>
        </is>
      </c>
      <c r="C101" s="24" t="inlineStr">
        <is>
          <t>2026-08-27T16:00:00Z</t>
        </is>
      </c>
      <c r="D101" s="24" t="inlineStr">
        <is>
          <t>93586</t>
        </is>
      </c>
      <c r="E101" s="24" t="inlineStr">
        <is>
          <t>LOL</t>
        </is>
      </c>
      <c r="F101" s="24" t="inlineStr">
        <is>
          <t>The Secret Club</t>
        </is>
      </c>
      <c r="G101" s="24" t="inlineStr">
        <is>
          <t>Lenovo Legion Honvéd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-156</v>
      </c>
      <c r="M101" s="27" t="n">
        <v>1.641026</v>
      </c>
      <c r="N101" s="28" t="n">
        <v>0.609375</v>
      </c>
      <c r="O101" s="28" t="n">
        <v>0.53506</v>
      </c>
      <c r="P101" s="28" t="n"/>
      <c r="Q101" s="28" t="n">
        <v>-0.07431500000000001</v>
      </c>
      <c r="R101" s="26" t="n">
        <v>0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-156</v>
      </c>
      <c r="AA101" s="28" t="n">
        <v>0.61</v>
      </c>
      <c r="AB101" s="28" t="n">
        <v>0.000625</v>
      </c>
      <c r="AC101" s="30" t="n">
        <v>0.641</v>
      </c>
      <c r="AD101" s="24" t="inlineStr">
        <is>
          <t>2026-08-27T21:53:24.019801Z</t>
        </is>
      </c>
      <c r="AE101" s="31" t="inlineStr">
        <is>
          <t>Neutral Elo baseline; executable ask 0.6100 (market_slug=aec-lol-llh-tsc-2026-08-27).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The Secret Club</t>
        </is>
      </c>
      <c r="AQ101" s="24" t="inlineStr">
        <is>
          <t>The Secret Club</t>
        </is>
      </c>
      <c r="AR101" s="24" t="inlineStr">
        <is>
          <t>The Secret Club</t>
        </is>
      </c>
      <c r="AS101" s="24" t="inlineStr">
        <is>
          <t>Lenovo Legion Honvéd</t>
        </is>
      </c>
      <c r="AT101" s="24" t="inlineStr">
        <is>
          <t>Lenovo Legion Honvéd</t>
        </is>
      </c>
      <c r="AU101" s="24" t="inlineStr">
        <is>
          <t>Lenovo Legion Honvéd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db7e9ba8f73784a981c9cc767ea72905d718d42f8b1b8a8cee06b10265ded15e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db7e9ba8f73784a981c9cc767ea72905d718d42f8b1b8a8cee06b10265ded15e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2026-08-27T14:00:15.008188Z</t>
        </is>
      </c>
      <c r="BI101" s="24" t="inlineStr">
        <is>
          <t>["same_event","same_team_same_day","same_league_same_day"]</t>
        </is>
      </c>
      <c r="BJ101" s="25" t="n"/>
      <c r="BK101" s="26" t="n">
        <v>-156</v>
      </c>
      <c r="BL101" s="27" t="n">
        <v>1.641026</v>
      </c>
      <c r="BM101" s="28" t="n">
        <v>0.609375</v>
      </c>
      <c r="BN101" s="28" t="n"/>
      <c r="BO101" s="28" t="n"/>
      <c r="BP101" s="25" t="n"/>
      <c r="BQ101" s="27" t="n">
        <v>1.641026</v>
      </c>
      <c r="BR101" s="28" t="n">
        <v>0.61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0.609375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796315010ef244e5</t>
        </is>
      </c>
      <c r="B102" s="24" t="inlineStr">
        <is>
          <t>2026-08-27T14:00:24.713200Z</t>
        </is>
      </c>
      <c r="C102" s="24" t="inlineStr">
        <is>
          <t>2026-08-27T16:00:00Z</t>
        </is>
      </c>
      <c r="D102" s="24" t="inlineStr">
        <is>
          <t>90922</t>
        </is>
      </c>
      <c r="E102" s="24" t="inlineStr">
        <is>
          <t>LOL</t>
        </is>
      </c>
      <c r="F102" s="24" t="inlineStr">
        <is>
          <t>Skillcamp Esport</t>
        </is>
      </c>
      <c r="G102" s="24" t="inlineStr">
        <is>
          <t>Karmine Corp Blue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-233</v>
      </c>
      <c r="M102" s="27" t="n">
        <v>1.429185</v>
      </c>
      <c r="N102" s="28" t="n">
        <v>0.6997</v>
      </c>
      <c r="O102" s="28" t="n">
        <v>0.60316</v>
      </c>
      <c r="P102" s="28" t="n"/>
      <c r="Q102" s="28" t="n">
        <v>-0.09654</v>
      </c>
      <c r="R102" s="26" t="n">
        <v>0</v>
      </c>
      <c r="S102" s="29" t="n">
        <v>1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-245</v>
      </c>
      <c r="AA102" s="28" t="n">
        <v>0.71</v>
      </c>
      <c r="AB102" s="28" t="n">
        <v>0.0103</v>
      </c>
      <c r="AC102" s="30" t="n">
        <v>0.4292</v>
      </c>
      <c r="AD102" s="24" t="inlineStr">
        <is>
          <t>2026-08-27T21:53:24.980973Z</t>
        </is>
      </c>
      <c r="AE102" s="31" t="inlineStr">
        <is>
          <t>Neutral Elo baseline; executable ask 0.7000 (market_slug=aec-lol-kcb-sc-2026-08-27).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Skillcamp Esport</t>
        </is>
      </c>
      <c r="AQ102" s="24" t="inlineStr">
        <is>
          <t>Skillcamp Esport</t>
        </is>
      </c>
      <c r="AR102" s="24" t="inlineStr">
        <is>
          <t>Skillcamp Esport</t>
        </is>
      </c>
      <c r="AS102" s="24" t="inlineStr">
        <is>
          <t>Karmine Corp Blue</t>
        </is>
      </c>
      <c r="AT102" s="24" t="inlineStr">
        <is>
          <t>Karmine Corp Blue</t>
        </is>
      </c>
      <c r="AU102" s="24" t="inlineStr">
        <is>
          <t>Karmine Corp Blue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db7e9ba8f73784a981c9cc767ea72905d718d42f8b1b8a8cee06b10265ded15e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db7e9ba8f73784a981c9cc767ea72905d718d42f8b1b8a8cee06b10265ded15e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2026-08-27T14:00:15.546838Z</t>
        </is>
      </c>
      <c r="BI102" s="24" t="inlineStr">
        <is>
          <t>["same_event","same_team_same_day","same_league_same_day"]</t>
        </is>
      </c>
      <c r="BJ102" s="25" t="n"/>
      <c r="BK102" s="26" t="n">
        <v>-233</v>
      </c>
      <c r="BL102" s="27" t="n">
        <v>1.429185</v>
      </c>
      <c r="BM102" s="28" t="n">
        <v>0.6997</v>
      </c>
      <c r="BN102" s="28" t="n"/>
      <c r="BO102" s="28" t="n"/>
      <c r="BP102" s="25" t="n"/>
      <c r="BQ102" s="27" t="n">
        <v>1.408163</v>
      </c>
      <c r="BR102" s="28" t="n">
        <v>0.71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0.6997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ff858430ffeb4c7a</t>
        </is>
      </c>
      <c r="B103" s="24" t="inlineStr">
        <is>
          <t>2026-08-27T14:00:24.713200Z</t>
        </is>
      </c>
      <c r="C103" s="24" t="inlineStr">
        <is>
          <t>2026-08-27T16:00:00Z</t>
        </is>
      </c>
      <c r="D103" s="24" t="inlineStr">
        <is>
          <t>90923</t>
        </is>
      </c>
      <c r="E103" s="24" t="inlineStr">
        <is>
          <t>LOL</t>
        </is>
      </c>
      <c r="F103" s="24" t="inlineStr">
        <is>
          <t>TITANS</t>
        </is>
      </c>
      <c r="G103" s="24" t="inlineStr">
        <is>
          <t>EKO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0.554158</v>
      </c>
      <c r="P103" s="28" t="n"/>
      <c r="Q103" s="28" t="n">
        <v>-0.055217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-1</v>
      </c>
      <c r="AD103" s="24" t="inlineStr">
        <is>
          <t>2026-08-27T21:53:25.974865Z</t>
        </is>
      </c>
      <c r="AE103" s="31" t="inlineStr">
        <is>
          <t>Neutral Elo baseline; executable ask 0.6100 (market_slug=aec-lol-eko-tts-2026-08-27).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TITANS</t>
        </is>
      </c>
      <c r="AQ103" s="24" t="inlineStr">
        <is>
          <t>TITANS</t>
        </is>
      </c>
      <c r="AR103" s="24" t="inlineStr">
        <is>
          <t>TITANS</t>
        </is>
      </c>
      <c r="AS103" s="24" t="inlineStr">
        <is>
          <t>EKO Esports</t>
        </is>
      </c>
      <c r="AT103" s="24" t="inlineStr">
        <is>
          <t>EKO Esports</t>
        </is>
      </c>
      <c r="AU103" s="24" t="inlineStr">
        <is>
          <t>EKO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db7e9ba8f73784a981c9cc767ea72905d718d42f8b1b8a8cee06b10265ded15e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db7e9ba8f73784a981c9cc767ea72905d718d42f8b1b8a8cee06b10265ded15e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2026-08-27T14:00:15.912517Z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80fb2ac6a8b04dc3</t>
        </is>
      </c>
      <c r="B104" s="24" t="inlineStr">
        <is>
          <t>2026-08-27T14:00:24.713200Z</t>
        </is>
      </c>
      <c r="C104" s="24" t="inlineStr">
        <is>
          <t>2026-08-27T16:30:00Z</t>
        </is>
      </c>
      <c r="D104" s="24" t="inlineStr">
        <is>
          <t>90936</t>
        </is>
      </c>
      <c r="E104" s="24" t="inlineStr">
        <is>
          <t>LOL</t>
        </is>
      </c>
      <c r="F104" s="24" t="inlineStr">
        <is>
          <t>Bohemian Guardians</t>
        </is>
      </c>
      <c r="G104" s="24" t="inlineStr">
        <is>
          <t>Onion Team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-127</v>
      </c>
      <c r="M104" s="27" t="n">
        <v>1.787402</v>
      </c>
      <c r="N104" s="28" t="n">
        <v>0.5594710000000001</v>
      </c>
      <c r="O104" s="28" t="n">
        <v>0.533717</v>
      </c>
      <c r="P104" s="28" t="n"/>
      <c r="Q104" s="28" t="n">
        <v>-0.025754</v>
      </c>
      <c r="R104" s="26" t="n">
        <v>7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-127</v>
      </c>
      <c r="AA104" s="28" t="n">
        <v>0.5600000000000001</v>
      </c>
      <c r="AB104" s="28" t="n">
        <v>0.000529</v>
      </c>
      <c r="AC104" s="30" t="n">
        <v>-1</v>
      </c>
      <c r="AD104" s="24" t="inlineStr">
        <is>
          <t>2026-08-27T21:53:27.827075Z</t>
        </is>
      </c>
      <c r="AE104" s="31" t="inlineStr">
        <is>
          <t>Neutral Elo baseline; executable ask 0.5600 (market_slug=aec-lol-ot-bg-2026-08-27).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Bohemian Guardians</t>
        </is>
      </c>
      <c r="AQ104" s="24" t="inlineStr">
        <is>
          <t>Bohemian Guardians</t>
        </is>
      </c>
      <c r="AR104" s="24" t="inlineStr">
        <is>
          <t>Bohemian Guardians</t>
        </is>
      </c>
      <c r="AS104" s="24" t="inlineStr">
        <is>
          <t>Onion Team</t>
        </is>
      </c>
      <c r="AT104" s="24" t="inlineStr">
        <is>
          <t>Onion Team</t>
        </is>
      </c>
      <c r="AU104" s="24" t="inlineStr">
        <is>
          <t>Onion Team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db7e9ba8f73784a981c9cc767ea72905d718d42f8b1b8a8cee06b10265ded15e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db7e9ba8f73784a981c9cc767ea72905d718d42f8b1b8a8cee06b10265ded15e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2026-08-27T14:00:17.695026Z</t>
        </is>
      </c>
      <c r="BI104" s="24" t="inlineStr">
        <is>
          <t>["same_event","same_team_same_day","same_league_same_day"]</t>
        </is>
      </c>
      <c r="BJ104" s="25" t="n"/>
      <c r="BK104" s="26" t="n">
        <v>-127</v>
      </c>
      <c r="BL104" s="27" t="n">
        <v>1.787402</v>
      </c>
      <c r="BM104" s="28" t="n">
        <v>0.5594710000000001</v>
      </c>
      <c r="BN104" s="28" t="n"/>
      <c r="BO104" s="28" t="n"/>
      <c r="BP104" s="25" t="n"/>
      <c r="BQ104" s="27" t="n">
        <v>1.787402</v>
      </c>
      <c r="BR104" s="28" t="n">
        <v>0.5600000000000001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0.559471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cb8e63f25a254481</t>
        </is>
      </c>
      <c r="B105" s="24" t="inlineStr">
        <is>
          <t>2026-08-27T14:00:24.713200Z</t>
        </is>
      </c>
      <c r="C105" s="24" t="inlineStr">
        <is>
          <t>2026-08-27T17:00:00Z</t>
        </is>
      </c>
      <c r="D105" s="24" t="inlineStr">
        <is>
          <t>90949</t>
        </is>
      </c>
      <c r="E105" s="24" t="inlineStr">
        <is>
          <t>LOL</t>
        </is>
      </c>
      <c r="F105" s="24" t="inlineStr">
        <is>
          <t>ZennIT</t>
        </is>
      </c>
      <c r="G105" s="24" t="inlineStr">
        <is>
          <t>mCon esports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-108</v>
      </c>
      <c r="M105" s="27" t="n">
        <v>1.925926</v>
      </c>
      <c r="N105" s="28" t="n">
        <v>0.519231</v>
      </c>
      <c r="O105" s="28" t="n">
        <v>0.56795</v>
      </c>
      <c r="P105" s="28" t="n"/>
      <c r="Q105" s="28" t="n">
        <v>0.048719</v>
      </c>
      <c r="R105" s="26" t="n">
        <v>44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-108</v>
      </c>
      <c r="AA105" s="28" t="n">
        <v>0.52</v>
      </c>
      <c r="AB105" s="28" t="n">
        <v>0.000769</v>
      </c>
      <c r="AC105" s="30" t="n">
        <v>0.9258999999999999</v>
      </c>
      <c r="AD105" s="24" t="inlineStr">
        <is>
          <t>2026-08-27T21:53:29.379222Z</t>
        </is>
      </c>
      <c r="AE105" s="31" t="inlineStr">
        <is>
          <t>Neutral Elo baseline; executable ask 0.5200 (market_slug=aec-lol-mcn-znt-2026-08-27).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ZennIT</t>
        </is>
      </c>
      <c r="AQ105" s="24" t="inlineStr">
        <is>
          <t>ZennIT</t>
        </is>
      </c>
      <c r="AR105" s="24" t="inlineStr">
        <is>
          <t>ZennIT</t>
        </is>
      </c>
      <c r="AS105" s="24" t="inlineStr">
        <is>
          <t>mCon esports</t>
        </is>
      </c>
      <c r="AT105" s="24" t="inlineStr">
        <is>
          <t>mCon esports</t>
        </is>
      </c>
      <c r="AU105" s="24" t="inlineStr">
        <is>
          <t>mCon esports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db7e9ba8f73784a981c9cc767ea72905d718d42f8b1b8a8cee06b10265ded15e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db7e9ba8f73784a981c9cc767ea72905d718d42f8b1b8a8cee06b10265ded15e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2026-08-27T14:00:18.627873Z</t>
        </is>
      </c>
      <c r="BI105" s="24" t="inlineStr">
        <is>
          <t>["same_event","same_team_same_day","same_league_same_day"]</t>
        </is>
      </c>
      <c r="BJ105" s="25" t="n"/>
      <c r="BK105" s="26" t="n">
        <v>-108</v>
      </c>
      <c r="BL105" s="27" t="n">
        <v>1.925926</v>
      </c>
      <c r="BM105" s="28" t="n">
        <v>0.519231</v>
      </c>
      <c r="BN105" s="28" t="n"/>
      <c r="BO105" s="28" t="n"/>
      <c r="BP105" s="25" t="n"/>
      <c r="BQ105" s="27" t="n">
        <v>1.925926</v>
      </c>
      <c r="BR105" s="28" t="n">
        <v>0.52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0.519231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a9497adda0f5466e</t>
        </is>
      </c>
      <c r="B106" s="24" t="inlineStr">
        <is>
          <t>2026-08-27T14:00:24.713200Z</t>
        </is>
      </c>
      <c r="C106" s="24" t="inlineStr">
        <is>
          <t>2026-08-27T21:00:00Z</t>
        </is>
      </c>
      <c r="D106" s="24" t="inlineStr">
        <is>
          <t>91216</t>
        </is>
      </c>
      <c r="E106" s="24" t="inlineStr">
        <is>
          <t>LOL</t>
        </is>
      </c>
      <c r="F106" s="24" t="inlineStr">
        <is>
          <t>University of Mississippi</t>
        </is>
      </c>
      <c r="G106" s="24" t="inlineStr">
        <is>
          <t>Contingent Esports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0.538818</v>
      </c>
      <c r="P106" s="28" t="n"/>
      <c r="Q106" s="28" t="n">
        <v>0.189168</v>
      </c>
      <c r="R106" s="26" t="n">
        <v>100</v>
      </c>
      <c r="S106" s="29" t="n">
        <v>2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186</v>
      </c>
      <c r="AA106" s="28" t="n">
        <v>0.35</v>
      </c>
      <c r="AB106" s="28" t="n">
        <v>0.00035</v>
      </c>
      <c r="AC106" s="30" t="n">
        <v>3.72</v>
      </c>
      <c r="AD106" s="24" t="inlineStr">
        <is>
          <t>2026-08-28T02:42:21.186682Z</t>
        </is>
      </c>
      <c r="AE106" s="31" t="inlineStr">
        <is>
          <t>Neutral Elo baseline; executable ask 0.3500 (market_slug=aec-lol-cont-miss-2026-08-27).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University of Mississippi</t>
        </is>
      </c>
      <c r="AQ106" s="24" t="inlineStr">
        <is>
          <t>University of Mississippi</t>
        </is>
      </c>
      <c r="AR106" s="24" t="inlineStr">
        <is>
          <t>University of Mississippi</t>
        </is>
      </c>
      <c r="AS106" s="24" t="inlineStr">
        <is>
          <t>Contingent Esports</t>
        </is>
      </c>
      <c r="AT106" s="24" t="inlineStr">
        <is>
          <t>Contingent Esports</t>
        </is>
      </c>
      <c r="AU106" s="24" t="inlineStr">
        <is>
          <t>Contingent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db7e9ba8f73784a981c9cc767ea72905d718d42f8b1b8a8cee06b10265ded15e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db7e9ba8f73784a981c9cc767ea72905d718d42f8b1b8a8cee06b10265ded15e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2026-08-27T14:00:21.168898Z</t>
        </is>
      </c>
      <c r="BI106" s="24" t="inlineStr">
        <is>
          <t>["same_event","same_team_same_day","same_league_same_day"]</t>
        </is>
      </c>
      <c r="BJ106" s="25" t="n"/>
      <c r="BK106" s="26" t="n">
        <v>186</v>
      </c>
      <c r="BL106" s="27" t="n">
        <v>2.86</v>
      </c>
      <c r="BM106" s="28" t="n">
        <v>0.34965</v>
      </c>
      <c r="BN106" s="28" t="n"/>
      <c r="BO106" s="28" t="n"/>
      <c r="BP106" s="25" t="n"/>
      <c r="BQ106" s="27" t="n">
        <v>2.86</v>
      </c>
      <c r="BR106" s="28" t="n">
        <v>0.35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0.34965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fc18b94c782c4035</t>
        </is>
      </c>
      <c r="B107" s="24" t="inlineStr">
        <is>
          <t>2026-08-28T02:44:36.816853Z</t>
        </is>
      </c>
      <c r="C107" s="24" t="inlineStr">
        <is>
          <t>2026-08-28T08:00:00Z</t>
        </is>
      </c>
      <c r="D107" s="24" t="inlineStr">
        <is>
          <t>94291</t>
        </is>
      </c>
      <c r="E107" s="24" t="inlineStr">
        <is>
          <t>LOL</t>
        </is>
      </c>
      <c r="F107" s="24" t="inlineStr">
        <is>
          <t>BNK FEARX</t>
        </is>
      </c>
      <c r="G107" s="24" t="inlineStr">
        <is>
          <t>HANJIN BRION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0.576087</v>
      </c>
      <c r="P107" s="28" t="n"/>
      <c r="Q107" s="28" t="n">
        <v>0.016616</v>
      </c>
      <c r="R107" s="26" t="n">
        <v>28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0.7874</v>
      </c>
      <c r="AD107" s="24" t="inlineStr">
        <is>
          <t>2026-08-28T12:33:07.493021Z</t>
        </is>
      </c>
      <c r="AE107" s="31" t="inlineStr">
        <is>
          <t>Neutral Elo baseline; executable ask 0.5600 (market_slug=aec-lol-bro-bfx-2026-08-28).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BNK FEARX</t>
        </is>
      </c>
      <c r="AQ107" s="24" t="inlineStr">
        <is>
          <t>BNK FEARX</t>
        </is>
      </c>
      <c r="AR107" s="24" t="inlineStr">
        <is>
          <t>BNK FEARX</t>
        </is>
      </c>
      <c r="AS107" s="24" t="inlineStr">
        <is>
          <t>HANJIN BRION</t>
        </is>
      </c>
      <c r="AT107" s="24" t="inlineStr">
        <is>
          <t>HANJIN BRION</t>
        </is>
      </c>
      <c r="AU107" s="24" t="inlineStr">
        <is>
          <t>HANJIN BRION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d8c0463466b3a637b97ee578dc63b6a2fab63515937d8059f54eb862dd31431e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d8c0463466b3a637b97ee578dc63b6a2fab63515937d8059f54eb862dd31431e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2026-08-28T02:44:35.250397Z</t>
        </is>
      </c>
      <c r="BI107" s="24" t="inlineStr">
        <is>
          <t>["same_event","same_team_same_day","same_league_same_day"]</t>
        </is>
      </c>
      <c r="BJ107" s="25" t="n"/>
      <c r="BK107" s="26" t="n">
        <v>-127</v>
      </c>
      <c r="BL107" s="27" t="n">
        <v>1.787402</v>
      </c>
      <c r="BM107" s="28" t="n">
        <v>0.5594710000000001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0.559471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7c3e6d74e0ed45b2</t>
        </is>
      </c>
      <c r="B108" s="24" t="inlineStr">
        <is>
          <t>2026-08-28T12:36:03.829118Z</t>
        </is>
      </c>
      <c r="C108" s="24" t="inlineStr">
        <is>
          <t>2026-08-28T13:00:00Z</t>
        </is>
      </c>
      <c r="D108" s="24" t="inlineStr">
        <is>
          <t>94293</t>
        </is>
      </c>
      <c r="E108" s="24" t="inlineStr">
        <is>
          <t>LOL</t>
        </is>
      </c>
      <c r="F108" s="24" t="inlineStr">
        <is>
          <t>Gamespace Mediterranean College Esports</t>
        </is>
      </c>
      <c r="G108" s="24" t="inlineStr">
        <is>
          <t>Team Phantasma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0.638234</v>
      </c>
      <c r="P108" s="28" t="n"/>
      <c r="Q108" s="28" t="n">
        <v>0.06741900000000001</v>
      </c>
      <c r="R108" s="26" t="n">
        <v>54</v>
      </c>
      <c r="S108" s="29" t="n">
        <v>1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-133</v>
      </c>
      <c r="AA108" s="28" t="n">
        <v>0.57</v>
      </c>
      <c r="AB108" s="28" t="n">
        <v>-0.000815</v>
      </c>
      <c r="AC108" s="30" t="n">
        <v>-1</v>
      </c>
      <c r="AD108" s="24" t="inlineStr">
        <is>
          <t>2026-08-29T12:40:22.816440Z</t>
        </is>
      </c>
      <c r="AE108" s="31" t="inlineStr">
        <is>
          <t>Neutral Elo baseline; executable ask 0.5700 (market_slug=aec-lol-tp-gsmc-2026-08-28).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Gamespace Mediterranean College Esports</t>
        </is>
      </c>
      <c r="AQ108" s="24" t="inlineStr">
        <is>
          <t>Gamespace Mediterranean College Esports</t>
        </is>
      </c>
      <c r="AR108" s="24" t="inlineStr">
        <is>
          <t>Gamespace Mediterranean College Esports</t>
        </is>
      </c>
      <c r="AS108" s="24" t="inlineStr">
        <is>
          <t>Team Phantasma</t>
        </is>
      </c>
      <c r="AT108" s="24" t="inlineStr">
        <is>
          <t>Team Phantasma</t>
        </is>
      </c>
      <c r="AU108" s="24" t="inlineStr">
        <is>
          <t>Team Phantasma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de5dc30ea9bd3197aac7a02ef5823d5e0eb38a2b1106104be6b0deb00ea086c2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de5dc30ea9bd3197aac7a02ef5823d5e0eb38a2b1106104be6b0deb00ea086c2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2026-08-28T12:36:01.806913Z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>
        <v>1.75188</v>
      </c>
      <c r="BR108" s="28" t="n">
        <v>0.57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0.570815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afcf13e078aa475d</t>
        </is>
      </c>
      <c r="B109" s="24" t="inlineStr">
        <is>
          <t>2026-08-28T12:36:03.829118Z</t>
        </is>
      </c>
      <c r="C109" s="24" t="inlineStr">
        <is>
          <t>2026-08-28T15:00:00Z</t>
        </is>
      </c>
      <c r="D109" s="24" t="inlineStr">
        <is>
          <t>92398</t>
        </is>
      </c>
      <c r="E109" s="24" t="inlineStr">
        <is>
          <t>LOL</t>
        </is>
      </c>
      <c r="F109" s="24" t="inlineStr">
        <is>
          <t>Team Heretics</t>
        </is>
      </c>
      <c r="G109" s="24" t="inlineStr">
        <is>
          <t>Shifters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0.533906</v>
      </c>
      <c r="P109" s="28" t="n"/>
      <c r="Q109" s="28" t="n">
        <v>-0.036909</v>
      </c>
      <c r="R109" s="26" t="n">
        <v>2</v>
      </c>
      <c r="S109" s="29" t="n">
        <v>1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-133</v>
      </c>
      <c r="AA109" s="28" t="n">
        <v>0.57</v>
      </c>
      <c r="AB109" s="28" t="n">
        <v>-0.000815</v>
      </c>
      <c r="AC109" s="30" t="n">
        <v>-1</v>
      </c>
      <c r="AD109" s="24" t="inlineStr">
        <is>
          <t>2026-08-29T12:40:23.357796Z</t>
        </is>
      </c>
      <c r="AE109" s="31" t="inlineStr">
        <is>
          <t>Neutral Elo baseline; executable ask 0.5700 (market_slug=aec-lol-shft-th-2026-08-28).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Team Heretics</t>
        </is>
      </c>
      <c r="AQ109" s="24" t="inlineStr">
        <is>
          <t>Team Heretics</t>
        </is>
      </c>
      <c r="AR109" s="24" t="inlineStr">
        <is>
          <t>Team Heretics</t>
        </is>
      </c>
      <c r="AS109" s="24" t="inlineStr">
        <is>
          <t>Shifters</t>
        </is>
      </c>
      <c r="AT109" s="24" t="inlineStr">
        <is>
          <t>Shifters</t>
        </is>
      </c>
      <c r="AU109" s="24" t="inlineStr">
        <is>
          <t>Shifters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de5dc30ea9bd3197aac7a02ef5823d5e0eb38a2b1106104be6b0deb00ea086c2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de5dc30ea9bd3197aac7a02ef5823d5e0eb38a2b1106104be6b0deb00ea086c2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2026-08-28T12:36:01.911050Z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>
        <v>1.75188</v>
      </c>
      <c r="BR109" s="28" t="n">
        <v>0.57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b5594909352c44a4</t>
        </is>
      </c>
      <c r="B110" s="24" t="inlineStr">
        <is>
          <t>2026-08-28T12:36:03.829118Z</t>
        </is>
      </c>
      <c r="C110" s="24" t="inlineStr">
        <is>
          <t>2026-08-28T17:15:00Z</t>
        </is>
      </c>
      <c r="D110" s="24" t="inlineStr">
        <is>
          <t>92399</t>
        </is>
      </c>
      <c r="E110" s="24" t="inlineStr">
        <is>
          <t>LOL</t>
        </is>
      </c>
      <c r="F110" s="24" t="inlineStr">
        <is>
          <t>Fnatic</t>
        </is>
      </c>
      <c r="G110" s="24" t="inlineStr">
        <is>
          <t>Team Vitality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-150</v>
      </c>
      <c r="M110" s="27" t="n">
        <v>1.666667</v>
      </c>
      <c r="N110" s="28" t="n">
        <v>0.6</v>
      </c>
      <c r="O110" s="28" t="n">
        <v>0.701576</v>
      </c>
      <c r="P110" s="28" t="n"/>
      <c r="Q110" s="28" t="n">
        <v>0.101576</v>
      </c>
      <c r="R110" s="26" t="n">
        <v>71</v>
      </c>
      <c r="S110" s="29" t="n">
        <v>1.25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-150</v>
      </c>
      <c r="AA110" s="28" t="n">
        <v>0.6</v>
      </c>
      <c r="AB110" s="28" t="n">
        <v>0</v>
      </c>
      <c r="AC110" s="30" t="n">
        <v>0.8333</v>
      </c>
      <c r="AD110" s="24" t="inlineStr">
        <is>
          <t>2026-08-29T12:40:23.922441Z</t>
        </is>
      </c>
      <c r="AE110" s="31" t="inlineStr">
        <is>
          <t>Neutral Elo baseline; executable ask 0.6000 (market_slug=aec-lol-vit-fnc-2026-08-28).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Fnatic</t>
        </is>
      </c>
      <c r="AQ110" s="24" t="inlineStr">
        <is>
          <t>Fnatic</t>
        </is>
      </c>
      <c r="AR110" s="24" t="inlineStr">
        <is>
          <t>Fnatic</t>
        </is>
      </c>
      <c r="AS110" s="24" t="inlineStr">
        <is>
          <t>Team Vitality</t>
        </is>
      </c>
      <c r="AT110" s="24" t="inlineStr">
        <is>
          <t>Team Vitality</t>
        </is>
      </c>
      <c r="AU110" s="24" t="inlineStr">
        <is>
          <t>Team Vitality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de5dc30ea9bd3197aac7a02ef5823d5e0eb38a2b1106104be6b0deb00ea086c2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de5dc30ea9bd3197aac7a02ef5823d5e0eb38a2b1106104be6b0deb00ea086c2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2026-08-28T12:36:01.997179Z</t>
        </is>
      </c>
      <c r="BI110" s="24" t="inlineStr">
        <is>
          <t>["same_event","same_team_same_day","same_league_same_day"]</t>
        </is>
      </c>
      <c r="BJ110" s="25" t="n"/>
      <c r="BK110" s="26" t="n">
        <v>-150</v>
      </c>
      <c r="BL110" s="27" t="n">
        <v>1.666667</v>
      </c>
      <c r="BM110" s="28" t="n">
        <v>0.6</v>
      </c>
      <c r="BN110" s="28" t="n"/>
      <c r="BO110" s="28" t="n"/>
      <c r="BP110" s="25" t="n"/>
      <c r="BQ110" s="27" t="n">
        <v>1.666667</v>
      </c>
      <c r="BR110" s="28" t="n">
        <v>0.6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5dbc2f48f3a24a40</t>
        </is>
      </c>
      <c r="B111" s="24" t="inlineStr">
        <is>
          <t>2026-08-28T12:36:03.829118Z</t>
        </is>
      </c>
      <c r="C111" s="24" t="inlineStr">
        <is>
          <t>2026-08-28T21:00:00Z</t>
        </is>
      </c>
      <c r="D111" s="24" t="inlineStr">
        <is>
          <t>92605</t>
        </is>
      </c>
      <c r="E111" s="24" t="inlineStr">
        <is>
          <t>LOL</t>
        </is>
      </c>
      <c r="F111" s="24" t="inlineStr">
        <is>
          <t>Maryville University</t>
        </is>
      </c>
      <c r="G111" s="24" t="inlineStr">
        <is>
          <t>Cupid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0.543289</v>
      </c>
      <c r="P111" s="28" t="n"/>
      <c r="Q111" s="28" t="n">
        <v>-0.096999</v>
      </c>
      <c r="R111" s="26" t="n">
        <v>0</v>
      </c>
      <c r="S111" s="29" t="n">
        <v>1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-178</v>
      </c>
      <c r="AA111" s="28" t="n">
        <v>0.64</v>
      </c>
      <c r="AB111" s="28" t="n">
        <v>-0.000288</v>
      </c>
      <c r="AC111" s="30" t="n">
        <v>0.5618</v>
      </c>
      <c r="AD111" s="24" t="inlineStr">
        <is>
          <t>2026-08-29T12:40:24.477492Z</t>
        </is>
      </c>
      <c r="AE111" s="31" t="inlineStr">
        <is>
          <t>Neutral Elo baseline; executable ask 0.6400 (market_slug=aec-lol-cpd-mvu-2026-08-28).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Maryville University</t>
        </is>
      </c>
      <c r="AQ111" s="24" t="inlineStr">
        <is>
          <t>Maryville University</t>
        </is>
      </c>
      <c r="AR111" s="24" t="inlineStr">
        <is>
          <t>Maryville University</t>
        </is>
      </c>
      <c r="AS111" s="24" t="inlineStr">
        <is>
          <t>Cupid Esports</t>
        </is>
      </c>
      <c r="AT111" s="24" t="inlineStr">
        <is>
          <t>Cupid Esports</t>
        </is>
      </c>
      <c r="AU111" s="24" t="inlineStr">
        <is>
          <t>Cupid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de5dc30ea9bd3197aac7a02ef5823d5e0eb38a2b1106104be6b0deb00ea086c2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de5dc30ea9bd3197aac7a02ef5823d5e0eb38a2b1106104be6b0deb00ea086c2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2026-08-28T12:36:02.131473Z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/>
      <c r="BO111" s="28" t="n"/>
      <c r="BP111" s="25" t="n"/>
      <c r="BQ111" s="27" t="n">
        <v>1.561798</v>
      </c>
      <c r="BR111" s="28" t="n">
        <v>0.64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0.640288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96674dfe179943b1</t>
        </is>
      </c>
      <c r="B112" s="24" t="inlineStr">
        <is>
          <t>2026-08-28T12:36:03.829118Z</t>
        </is>
      </c>
      <c r="C112" s="24" t="inlineStr">
        <is>
          <t>2026-08-29T09:00:00Z</t>
        </is>
      </c>
      <c r="D112" s="24" t="inlineStr">
        <is>
          <t>93228</t>
        </is>
      </c>
      <c r="E112" s="24" t="inlineStr">
        <is>
          <t>LOL</t>
        </is>
      </c>
      <c r="F112" s="24" t="inlineStr">
        <is>
          <t>MVK Esports</t>
        </is>
      </c>
      <c r="G112" s="24" t="inlineStr">
        <is>
          <t>CTBC Flying Oyster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-170</v>
      </c>
      <c r="M112" s="27" t="n">
        <v>1.588235</v>
      </c>
      <c r="N112" s="28" t="n">
        <v>0.62963</v>
      </c>
      <c r="O112" s="28" t="n">
        <v>0.586735</v>
      </c>
      <c r="P112" s="28" t="n"/>
      <c r="Q112" s="28" t="n">
        <v>-0.042895</v>
      </c>
      <c r="R112" s="26" t="n">
        <v>0</v>
      </c>
      <c r="S112" s="29" t="n">
        <v>1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0.5881999999999999</v>
      </c>
      <c r="AD112" s="24" t="inlineStr">
        <is>
          <t>2026-08-29T12:40:25.058137Z</t>
        </is>
      </c>
      <c r="AE112" s="31" t="inlineStr">
        <is>
          <t>Neutral Elo baseline; executable ask 0.6300 (market_slug=aec-lol-cfo-mvk-2026-08-29).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MVK Esports</t>
        </is>
      </c>
      <c r="AQ112" s="24" t="inlineStr">
        <is>
          <t>MVK Esports</t>
        </is>
      </c>
      <c r="AR112" s="24" t="inlineStr">
        <is>
          <t>MVK Esports</t>
        </is>
      </c>
      <c r="AS112" s="24" t="inlineStr">
        <is>
          <t>CTBC Flying Oyster</t>
        </is>
      </c>
      <c r="AT112" s="24" t="inlineStr">
        <is>
          <t>CTBC Flying Oyster</t>
        </is>
      </c>
      <c r="AU112" s="24" t="inlineStr">
        <is>
          <t>CTBC Flying Oyster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de5dc30ea9bd3197aac7a02ef5823d5e0eb38a2b1106104be6b0deb00ea086c2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de5dc30ea9bd3197aac7a02ef5823d5e0eb38a2b1106104be6b0deb00ea086c2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2026-08-28T12:36:02.648861Z</t>
        </is>
      </c>
      <c r="BI112" s="24" t="inlineStr">
        <is>
          <t>["same_event","same_team_same_day","same_league_same_day"]</t>
        </is>
      </c>
      <c r="BJ112" s="25" t="n"/>
      <c r="BK112" s="26" t="n">
        <v>-170</v>
      </c>
      <c r="BL112" s="27" t="n">
        <v>1.588235</v>
      </c>
      <c r="BM112" s="28" t="n">
        <v>0.62963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0.62963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5b79519acfe84bb5</t>
        </is>
      </c>
      <c r="B113" s="24" t="inlineStr">
        <is>
          <t>2026-08-28T12:36:03.829118Z</t>
        </is>
      </c>
      <c r="C113" s="24" t="inlineStr">
        <is>
          <t>2026-08-29T09:00:00Z</t>
        </is>
      </c>
      <c r="D113" s="24" t="inlineStr">
        <is>
          <t>93159</t>
        </is>
      </c>
      <c r="E113" s="24" t="inlineStr">
        <is>
          <t>LOL</t>
        </is>
      </c>
      <c r="F113" s="24" t="inlineStr">
        <is>
          <t>LGD Gaming</t>
        </is>
      </c>
      <c r="G113" s="24" t="inlineStr">
        <is>
          <t>Top Esports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-203</v>
      </c>
      <c r="M113" s="27" t="n">
        <v>1.492611</v>
      </c>
      <c r="N113" s="28" t="n">
        <v>0.669967</v>
      </c>
      <c r="O113" s="28" t="n">
        <v>0.629067</v>
      </c>
      <c r="P113" s="28" t="n"/>
      <c r="Q113" s="28" t="n">
        <v>-0.0409</v>
      </c>
      <c r="R113" s="26" t="n">
        <v>0</v>
      </c>
      <c r="S113" s="29" t="n">
        <v>1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1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2026-08-29T16:02:32.167256Z</t>
        </is>
      </c>
      <c r="AE113" s="31" t="inlineStr">
        <is>
          <t>Neutral Elo baseline; executable ask 0.6700 (market_slug=aec-lol-tes-lgd-2026-08-29).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LGD Gaming</t>
        </is>
      </c>
      <c r="AQ113" s="24" t="inlineStr">
        <is>
          <t>LGD Gaming</t>
        </is>
      </c>
      <c r="AR113" s="24" t="inlineStr">
        <is>
          <t>LGD Gaming</t>
        </is>
      </c>
      <c r="AS113" s="24" t="inlineStr">
        <is>
          <t>Top Esports</t>
        </is>
      </c>
      <c r="AT113" s="24" t="inlineStr">
        <is>
          <t>Top Esports</t>
        </is>
      </c>
      <c r="AU113" s="24" t="inlineStr">
        <is>
          <t>Top Esports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de5dc30ea9bd3197aac7a02ef5823d5e0eb38a2b1106104be6b0deb00ea086c2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de5dc30ea9bd3197aac7a02ef5823d5e0eb38a2b1106104be6b0deb00ea086c2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2026-08-28T12:36:03.098536Z</t>
        </is>
      </c>
      <c r="BI113" s="24" t="inlineStr">
        <is>
          <t>["same_event","same_team_same_day","same_league_same_day"]</t>
        </is>
      </c>
      <c r="BJ113" s="25" t="n"/>
      <c r="BK113" s="26" t="n">
        <v>-203</v>
      </c>
      <c r="BL113" s="27" t="n">
        <v>1.492611</v>
      </c>
      <c r="BM113" s="28" t="n">
        <v>0.669967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0.669967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a40e74630b114cc3</t>
        </is>
      </c>
      <c r="B114" s="24" t="inlineStr">
        <is>
          <t>2026-08-28T12:36:03.829118Z</t>
        </is>
      </c>
      <c r="C114" s="24" t="inlineStr">
        <is>
          <t>2026-08-29T10:00:00Z</t>
        </is>
      </c>
      <c r="D114" s="24" t="inlineStr">
        <is>
          <t>93229</t>
        </is>
      </c>
      <c r="E114" s="24" t="inlineStr">
        <is>
          <t>LOL</t>
        </is>
      </c>
      <c r="F114" s="24" t="inlineStr">
        <is>
          <t>Project Conquerors</t>
        </is>
      </c>
      <c r="G114" s="24" t="inlineStr">
        <is>
          <t>Karmine Corp Blue Stars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0.542279</v>
      </c>
      <c r="P114" s="28" t="n"/>
      <c r="Q114" s="28" t="n">
        <v>-0.108071</v>
      </c>
      <c r="R114" s="26" t="n">
        <v>0</v>
      </c>
      <c r="S114" s="29" t="n">
        <v>1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/>
      <c r="AA114" s="28" t="n"/>
      <c r="AB114" s="28" t="n"/>
      <c r="AC114" s="30" t="n">
        <v>0.5376</v>
      </c>
      <c r="AD114" s="24" t="inlineStr">
        <is>
          <t>2026-08-29T16:02:32.765297Z</t>
        </is>
      </c>
      <c r="AE114" s="31" t="inlineStr">
        <is>
          <t>Neutral Elo baseline; executable ask 0.6500 (market_slug=aec-lol-kcbs-pcs-2026-08-29).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Project Conquerors</t>
        </is>
      </c>
      <c r="AQ114" s="24" t="inlineStr">
        <is>
          <t>Project Conquerors</t>
        </is>
      </c>
      <c r="AR114" s="24" t="inlineStr">
        <is>
          <t>Project Conquerors</t>
        </is>
      </c>
      <c r="AS114" s="24" t="inlineStr">
        <is>
          <t>Karmine Corp Blue Stars</t>
        </is>
      </c>
      <c r="AT114" s="24" t="inlineStr">
        <is>
          <t>Karmine Corp Blue Stars</t>
        </is>
      </c>
      <c r="AU114" s="24" t="inlineStr">
        <is>
          <t>Karmine Corp Blue Stars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de5dc30ea9bd3197aac7a02ef5823d5e0eb38a2b1106104be6b0deb00ea086c2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de5dc30ea9bd3197aac7a02ef5823d5e0eb38a2b1106104be6b0deb00ea086c2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2026-08-28T12:36:03.268180Z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b83dc0687dce4e4b</t>
        </is>
      </c>
      <c r="B115" s="24" t="inlineStr">
        <is>
          <t>2026-08-29T12:43:17.776891Z</t>
        </is>
      </c>
      <c r="C115" s="24" t="inlineStr">
        <is>
          <t>2026-08-29T13:00:00Z</t>
        </is>
      </c>
      <c r="D115" s="24" t="inlineStr">
        <is>
          <t>93588</t>
        </is>
      </c>
      <c r="E115" s="24" t="inlineStr">
        <is>
          <t>LOL</t>
        </is>
      </c>
      <c r="F115" s="24" t="inlineStr">
        <is>
          <t>Vitality Rising Bees</t>
        </is>
      </c>
      <c r="G115" s="24" t="inlineStr">
        <is>
          <t>Mental Rush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-104</v>
      </c>
      <c r="M115" s="27" t="n">
        <v>1.961538</v>
      </c>
      <c r="N115" s="28" t="n">
        <v>0.509804</v>
      </c>
      <c r="O115" s="28" t="n">
        <v>0.536341</v>
      </c>
      <c r="P115" s="28" t="n"/>
      <c r="Q115" s="28" t="n">
        <v>0.026537</v>
      </c>
      <c r="R115" s="26" t="n">
        <v>33</v>
      </c>
      <c r="S115" s="29" t="n">
        <v>1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-104</v>
      </c>
      <c r="AA115" s="28" t="n">
        <v>0.51</v>
      </c>
      <c r="AB115" s="28" t="n">
        <v>0.000196</v>
      </c>
      <c r="AC115" s="30" t="n">
        <v>-1</v>
      </c>
      <c r="AD115" s="24" t="inlineStr">
        <is>
          <t>2026-08-29T16:02:33.328547Z</t>
        </is>
      </c>
      <c r="AE115" s="31" t="inlineStr">
        <is>
          <t>Neutral Elo baseline; executable ask 0.5100 (market_slug=aec-lol-mr-rb-2026-08-29).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Vitality Rising Bees</t>
        </is>
      </c>
      <c r="AQ115" s="24" t="inlineStr">
        <is>
          <t>Vitality Rising Bees</t>
        </is>
      </c>
      <c r="AR115" s="24" t="inlineStr">
        <is>
          <t>Vitality Rising Bees</t>
        </is>
      </c>
      <c r="AS115" s="24" t="inlineStr">
        <is>
          <t>Mental Rush</t>
        </is>
      </c>
      <c r="AT115" s="24" t="inlineStr">
        <is>
          <t>Mental Rush</t>
        </is>
      </c>
      <c r="AU115" s="24" t="inlineStr">
        <is>
          <t>Mental Rush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a586cdf56240ff041890754356a0ca09786abdb04fcff951c1aaf3217c4065cd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a586cdf56240ff041890754356a0ca09786abdb04fcff951c1aaf3217c4065cd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2026-08-29T12:43:14.313091Z</t>
        </is>
      </c>
      <c r="BI115" s="24" t="inlineStr">
        <is>
          <t>["same_event","same_team_same_day","same_league_same_day"]</t>
        </is>
      </c>
      <c r="BJ115" s="25" t="n"/>
      <c r="BK115" s="26" t="n">
        <v>-104</v>
      </c>
      <c r="BL115" s="27" t="n">
        <v>1.961538</v>
      </c>
      <c r="BM115" s="28" t="n">
        <v>0.509804</v>
      </c>
      <c r="BN115" s="28" t="n"/>
      <c r="BO115" s="28" t="n"/>
      <c r="BP115" s="25" t="n"/>
      <c r="BQ115" s="27" t="n">
        <v>1.961538</v>
      </c>
      <c r="BR115" s="28" t="n">
        <v>0.51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0.509804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954c01aa4e484f55</t>
        </is>
      </c>
      <c r="B116" s="24" t="inlineStr">
        <is>
          <t>2026-08-29T16:05:49.052416Z</t>
        </is>
      </c>
      <c r="C116" s="24" t="inlineStr">
        <is>
          <t>2026-08-29T17:15:00Z</t>
        </is>
      </c>
      <c r="D116" s="24" t="inlineStr">
        <is>
          <t>93685</t>
        </is>
      </c>
      <c r="E116" s="24" t="inlineStr">
        <is>
          <t>LOL</t>
        </is>
      </c>
      <c r="F116" s="24" t="inlineStr">
        <is>
          <t>GIANTX</t>
        </is>
      </c>
      <c r="G116" s="24" t="inlineStr">
        <is>
          <t>Natus Vincere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127</v>
      </c>
      <c r="M116" s="27" t="n">
        <v>2.27</v>
      </c>
      <c r="N116" s="28" t="n">
        <v>0.440529</v>
      </c>
      <c r="O116" s="28" t="n">
        <v>0.510814</v>
      </c>
      <c r="P116" s="28" t="n"/>
      <c r="Q116" s="28" t="n">
        <v>0.070285</v>
      </c>
      <c r="R116" s="26" t="n">
        <v>55</v>
      </c>
      <c r="S116" s="29" t="n">
        <v>1.25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0</v>
      </c>
      <c r="X116" s="26" t="n">
        <v>1</v>
      </c>
      <c r="Y116" s="25" t="n"/>
      <c r="Z116" s="26" t="n">
        <v>127</v>
      </c>
      <c r="AA116" s="28" t="n">
        <v>0.44</v>
      </c>
      <c r="AB116" s="28" t="n">
        <v>-0.000529</v>
      </c>
      <c r="AC116" s="30" t="n">
        <v>-1.25</v>
      </c>
      <c r="AD116" s="24" t="inlineStr">
        <is>
          <t>2026-08-30T03:33:19.622809Z</t>
        </is>
      </c>
      <c r="AE116" s="31" t="inlineStr">
        <is>
          <t>Neutral Elo baseline; executable ask 0.4400 (market_slug=aec-lol-navi-gx-2026-08-29).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GIANTX</t>
        </is>
      </c>
      <c r="AQ116" s="24" t="inlineStr">
        <is>
          <t>GIANTX</t>
        </is>
      </c>
      <c r="AR116" s="24" t="inlineStr">
        <is>
          <t>GIANTX</t>
        </is>
      </c>
      <c r="AS116" s="24" t="inlineStr">
        <is>
          <t>Natus Vincere</t>
        </is>
      </c>
      <c r="AT116" s="24" t="inlineStr">
        <is>
          <t>Natus Vincere</t>
        </is>
      </c>
      <c r="AU116" s="24" t="inlineStr">
        <is>
          <t>Natus Vincere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1b2ba5d86132aa60253e03f8e0a2685778e9a9e58ef4f76088f50f15ce5447cb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1b2ba5d86132aa60253e03f8e0a2685778e9a9e58ef4f76088f50f15ce5447cb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2026-08-29T16:05:46.846009Z</t>
        </is>
      </c>
      <c r="BI116" s="24" t="inlineStr">
        <is>
          <t>["same_event","same_team_same_day","same_league_same_day"]</t>
        </is>
      </c>
      <c r="BJ116" s="25" t="n"/>
      <c r="BK116" s="26" t="n">
        <v>127</v>
      </c>
      <c r="BL116" s="27" t="n">
        <v>2.27</v>
      </c>
      <c r="BM116" s="28" t="n">
        <v>0.440529</v>
      </c>
      <c r="BN116" s="28" t="n"/>
      <c r="BO116" s="28" t="n"/>
      <c r="BP116" s="25" t="n"/>
      <c r="BQ116" s="27" t="n">
        <v>2.27</v>
      </c>
      <c r="BR116" s="28" t="n">
        <v>0.44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0.440529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909c9cfaaaf54e6c</t>
        </is>
      </c>
      <c r="B117" s="24" t="inlineStr">
        <is>
          <t>2026-08-29T16:05:49.052416Z</t>
        </is>
      </c>
      <c r="C117" s="24" t="inlineStr">
        <is>
          <t>2026-08-29T23:00:00Z</t>
        </is>
      </c>
      <c r="D117" s="24" t="inlineStr">
        <is>
          <t>93964</t>
        </is>
      </c>
      <c r="E117" s="24" t="inlineStr">
        <is>
          <t>LOL</t>
        </is>
      </c>
      <c r="F117" s="24" t="inlineStr">
        <is>
          <t>LYON</t>
        </is>
      </c>
      <c r="G117" s="24" t="inlineStr">
        <is>
          <t>Cloud9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0.524873</v>
      </c>
      <c r="P117" s="28" t="n"/>
      <c r="Q117" s="28" t="n">
        <v>-0.134991</v>
      </c>
      <c r="R117" s="26" t="n">
        <v>0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-194</v>
      </c>
      <c r="AA117" s="28" t="n">
        <v>0.66</v>
      </c>
      <c r="AB117" s="28" t="n">
        <v>0.000136</v>
      </c>
      <c r="AC117" s="30" t="n">
        <v>0.5155</v>
      </c>
      <c r="AD117" s="24" t="inlineStr">
        <is>
          <t>2026-08-30T03:33:20.357301Z</t>
        </is>
      </c>
      <c r="AE117" s="31" t="inlineStr">
        <is>
          <t>Neutral Elo baseline; executable ask 0.6600 (market_slug=aec-lol-c9-ly-2026-08-29).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LYON</t>
        </is>
      </c>
      <c r="AQ117" s="24" t="inlineStr">
        <is>
          <t>LYON</t>
        </is>
      </c>
      <c r="AR117" s="24" t="inlineStr">
        <is>
          <t>LYON</t>
        </is>
      </c>
      <c r="AS117" s="24" t="inlineStr">
        <is>
          <t>Cloud9</t>
        </is>
      </c>
      <c r="AT117" s="24" t="inlineStr">
        <is>
          <t>Cloud9</t>
        </is>
      </c>
      <c r="AU117" s="24" t="inlineStr">
        <is>
          <t>Cloud9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1b2ba5d86132aa60253e03f8e0a2685778e9a9e58ef4f76088f50f15ce5447cb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1b2ba5d86132aa60253e03f8e0a2685778e9a9e58ef4f76088f50f15ce5447cb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2026-08-29T16:05:47.069604Z</t>
        </is>
      </c>
      <c r="BI117" s="24" t="inlineStr">
        <is>
          <t>["same_event","same_team_same_day","same_league_same_day"]</t>
        </is>
      </c>
      <c r="BJ117" s="25" t="n"/>
      <c r="BK117" s="26" t="n">
        <v>-194</v>
      </c>
      <c r="BL117" s="27" t="n">
        <v>1.515464</v>
      </c>
      <c r="BM117" s="28" t="n">
        <v>0.659864</v>
      </c>
      <c r="BN117" s="28" t="n"/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0.659864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1f714c5129234dfe</t>
        </is>
      </c>
      <c r="B118" s="24" t="inlineStr">
        <is>
          <t>2026-08-30T03:35:07.443202Z</t>
        </is>
      </c>
      <c r="C118" s="24" t="inlineStr">
        <is>
          <t>2026-08-30T09:00:00Z</t>
        </is>
      </c>
      <c r="D118" s="24" t="inlineStr">
        <is>
          <t>94294</t>
        </is>
      </c>
      <c r="E118" s="24" t="inlineStr">
        <is>
          <t>LOL</t>
        </is>
      </c>
      <c r="F118" s="24" t="inlineStr">
        <is>
          <t>Team WE</t>
        </is>
      </c>
      <c r="G118" s="24" t="inlineStr">
        <is>
          <t>JD Gaming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0.665408</v>
      </c>
      <c r="P118" s="28" t="n"/>
      <c r="Q118" s="28" t="n">
        <v>-0.024994</v>
      </c>
      <c r="R118" s="26" t="n">
        <v>8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-223</v>
      </c>
      <c r="AA118" s="28" t="n">
        <v>0.6899999999999999</v>
      </c>
      <c r="AB118" s="28" t="n">
        <v>-0.000402</v>
      </c>
      <c r="AC118" s="30" t="n">
        <v>-1</v>
      </c>
      <c r="AD118" s="24" t="inlineStr">
        <is>
          <t>2026-08-30T16:04:28.024281Z</t>
        </is>
      </c>
      <c r="AE118" s="31" t="inlineStr">
        <is>
          <t>Neutral Elo baseline; executable ask 0.6900 (market_slug=aec-lol-jdg-we-2026-08-30).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Team WE</t>
        </is>
      </c>
      <c r="AQ118" s="24" t="inlineStr">
        <is>
          <t>Team WE</t>
        </is>
      </c>
      <c r="AR118" s="24" t="inlineStr">
        <is>
          <t>Team WE</t>
        </is>
      </c>
      <c r="AS118" s="24" t="inlineStr">
        <is>
          <t>JD Gaming</t>
        </is>
      </c>
      <c r="AT118" s="24" t="inlineStr">
        <is>
          <t>JD Gaming</t>
        </is>
      </c>
      <c r="AU118" s="24" t="inlineStr">
        <is>
          <t>JD Gaming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7fa93205498213fb8604f1a1defea4b05241c9e8ad0bdf64bf21f858027377cb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7fa93205498213fb8604f1a1defea4b05241c9e8ad0bdf64bf21f858027377cb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2026-08-30T03:35:06.017367Z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>
        <v>1.44843</v>
      </c>
      <c r="BR118" s="28" t="n">
        <v>0.6899999999999999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02c80cfbec4a440e</t>
        </is>
      </c>
      <c r="B119" s="24" t="inlineStr">
        <is>
          <t>2026-08-30T03:35:07.443202Z</t>
        </is>
      </c>
      <c r="C119" s="24" t="inlineStr">
        <is>
          <t>2026-08-30T16:00:00Z</t>
        </is>
      </c>
      <c r="D119" s="24" t="inlineStr">
        <is>
          <t>94555</t>
        </is>
      </c>
      <c r="E119" s="24" t="inlineStr">
        <is>
          <t>LOL</t>
        </is>
      </c>
      <c r="F119" s="24" t="inlineStr">
        <is>
          <t>Vivo Keyd Stars</t>
        </is>
      </c>
      <c r="G119" s="24" t="inlineStr">
        <is>
          <t>paiN Gaming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-213</v>
      </c>
      <c r="M119" s="27" t="n">
        <v>1.469484</v>
      </c>
      <c r="N119" s="28" t="n">
        <v>0.680511</v>
      </c>
      <c r="O119" s="28" t="n">
        <v>0.619517</v>
      </c>
      <c r="P119" s="28" t="n"/>
      <c r="Q119" s="28" t="n">
        <v>-0.060994</v>
      </c>
      <c r="R119" s="26" t="n">
        <v>0</v>
      </c>
      <c r="S119" s="29" t="n">
        <v>1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-223</v>
      </c>
      <c r="AA119" s="28" t="n">
        <v>0.6899999999999999</v>
      </c>
      <c r="AB119" s="28" t="n">
        <v>0.009488999999999999</v>
      </c>
      <c r="AC119" s="30" t="n">
        <v>0.4695</v>
      </c>
      <c r="AD119" s="24" t="inlineStr">
        <is>
          <t>2026-08-31T04:40:59.001564Z</t>
        </is>
      </c>
      <c r="AE119" s="31" t="inlineStr">
        <is>
          <t>Neutral Elo baseline; executable ask 0.6800 (market_slug=aec-lol-png-vks-2026-08-30).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Vivo Keyd Stars</t>
        </is>
      </c>
      <c r="AQ119" s="24" t="inlineStr">
        <is>
          <t>Vivo Keyd Stars</t>
        </is>
      </c>
      <c r="AR119" s="24" t="inlineStr">
        <is>
          <t>Vivo Keyd Stars</t>
        </is>
      </c>
      <c r="AS119" s="24" t="inlineStr">
        <is>
          <t>paiN Gaming</t>
        </is>
      </c>
      <c r="AT119" s="24" t="inlineStr">
        <is>
          <t>paiN Gaming</t>
        </is>
      </c>
      <c r="AU119" s="24" t="inlineStr">
        <is>
          <t>paiN Gaming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7fa93205498213fb8604f1a1defea4b05241c9e8ad0bdf64bf21f858027377cb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7fa93205498213fb8604f1a1defea4b05241c9e8ad0bdf64bf21f858027377cb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2026-08-30T03:35:06.570055Z</t>
        </is>
      </c>
      <c r="BI119" s="24" t="inlineStr">
        <is>
          <t>["same_event","same_team_same_day","same_league_same_day"]</t>
        </is>
      </c>
      <c r="BJ119" s="25" t="n"/>
      <c r="BK119" s="26" t="n">
        <v>-213</v>
      </c>
      <c r="BL119" s="27" t="n">
        <v>1.469484</v>
      </c>
      <c r="BM119" s="28" t="n">
        <v>0.680511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0.680511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251a40c2423d4eda</t>
        </is>
      </c>
      <c r="B120" s="24" t="inlineStr">
        <is>
          <t>2026-08-30T16:07:31.107886Z</t>
        </is>
      </c>
      <c r="C120" s="24" t="inlineStr">
        <is>
          <t>2026-08-30T16:30:00Z</t>
        </is>
      </c>
      <c r="D120" s="24" t="inlineStr">
        <is>
          <t>94567</t>
        </is>
      </c>
      <c r="E120" s="24" t="inlineStr">
        <is>
          <t>LOL</t>
        </is>
      </c>
      <c r="F120" s="24" t="inlineStr">
        <is>
          <t>GIANTX</t>
        </is>
      </c>
      <c r="G120" s="24" t="inlineStr">
        <is>
          <t>Fnatic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194</v>
      </c>
      <c r="M120" s="27" t="n">
        <v>2.94</v>
      </c>
      <c r="N120" s="28" t="n">
        <v>0.340136</v>
      </c>
      <c r="O120" s="28" t="n">
        <v>0.599089</v>
      </c>
      <c r="P120" s="28" t="n"/>
      <c r="Q120" s="28" t="n">
        <v>0.258953</v>
      </c>
      <c r="R120" s="26" t="n">
        <v>100</v>
      </c>
      <c r="S120" s="29" t="n">
        <v>2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194</v>
      </c>
      <c r="AA120" s="28" t="n">
        <v>0.34</v>
      </c>
      <c r="AB120" s="28" t="n">
        <v>-0.000136</v>
      </c>
      <c r="AC120" s="30" t="n">
        <v>3.88</v>
      </c>
      <c r="AD120" s="24" t="inlineStr">
        <is>
          <t>2026-08-31T04:40:59.613669Z</t>
        </is>
      </c>
      <c r="AE120" s="31" t="inlineStr">
        <is>
          <t>Neutral Elo baseline; executable ask 0.3400 (market_slug=aec-lol-fnc-gx-2026-08-30).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GIANTX</t>
        </is>
      </c>
      <c r="AQ120" s="24" t="inlineStr">
        <is>
          <t>GIANTX</t>
        </is>
      </c>
      <c r="AR120" s="24" t="inlineStr">
        <is>
          <t>GIANTX</t>
        </is>
      </c>
      <c r="AS120" s="24" t="inlineStr">
        <is>
          <t>Fnatic</t>
        </is>
      </c>
      <c r="AT120" s="24" t="inlineStr">
        <is>
          <t>Fnatic</t>
        </is>
      </c>
      <c r="AU120" s="24" t="inlineStr">
        <is>
          <t>Fnatic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5c38c11f67b7806a4931aa505c9c62ae46c526f004843220e2e18cd19c4886ab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5c38c11f67b7806a4931aa505c9c62ae46c526f004843220e2e18cd19c4886ab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2026-08-30T16:07:30.043877Z</t>
        </is>
      </c>
      <c r="BI120" s="24" t="inlineStr">
        <is>
          <t>["same_event","same_team_same_day","same_league_same_day"]</t>
        </is>
      </c>
      <c r="BJ120" s="25" t="n"/>
      <c r="BK120" s="26" t="n">
        <v>194</v>
      </c>
      <c r="BL120" s="27" t="n">
        <v>2.94</v>
      </c>
      <c r="BM120" s="28" t="n">
        <v>0.340136</v>
      </c>
      <c r="BN120" s="28" t="n"/>
      <c r="BO120" s="28" t="n"/>
      <c r="BP120" s="25" t="n"/>
      <c r="BQ120" s="27" t="n">
        <v>2.94</v>
      </c>
      <c r="BR120" s="28" t="n">
        <v>0.34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0.340136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42a282ce16a14139</t>
        </is>
      </c>
      <c r="B121" s="24" t="inlineStr">
        <is>
          <t>2026-08-30T16:07:31.107886Z</t>
        </is>
      </c>
      <c r="C121" s="24" t="inlineStr">
        <is>
          <t>2026-08-30T20:00:00Z</t>
        </is>
      </c>
      <c r="D121" s="24" t="inlineStr">
        <is>
          <t>94906</t>
        </is>
      </c>
      <c r="E121" s="24" t="inlineStr">
        <is>
          <t>LOL</t>
        </is>
      </c>
      <c r="F121" s="24" t="inlineStr">
        <is>
          <t>Team Liquid</t>
        </is>
      </c>
      <c r="G121" s="24" t="inlineStr">
        <is>
          <t>LYON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117</v>
      </c>
      <c r="M121" s="27" t="n">
        <v>2.17</v>
      </c>
      <c r="N121" s="28" t="n">
        <v>0.460829</v>
      </c>
      <c r="O121" s="28" t="n">
        <v>0.511538</v>
      </c>
      <c r="P121" s="28" t="n"/>
      <c r="Q121" s="28" t="n">
        <v>0.050709</v>
      </c>
      <c r="R121" s="26" t="n">
        <v>45</v>
      </c>
      <c r="S121" s="29" t="n">
        <v>1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>
        <v>117</v>
      </c>
      <c r="AA121" s="28" t="n">
        <v>0.46</v>
      </c>
      <c r="AB121" s="28" t="n">
        <v>-0.000829</v>
      </c>
      <c r="AC121" s="30" t="n">
        <v>-1</v>
      </c>
      <c r="AD121" s="24" t="inlineStr">
        <is>
          <t>2026-08-31T04:41:00.261329Z</t>
        </is>
      </c>
      <c r="AE121" s="31" t="inlineStr">
        <is>
          <t>Neutral Elo baseline; executable ask 0.4600 (market_slug=aec-lol-ly-tl-2026-08-30).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Team Liquid</t>
        </is>
      </c>
      <c r="AQ121" s="24" t="inlineStr">
        <is>
          <t>Team Liquid</t>
        </is>
      </c>
      <c r="AR121" s="24" t="inlineStr">
        <is>
          <t>Team Liquid</t>
        </is>
      </c>
      <c r="AS121" s="24" t="inlineStr">
        <is>
          <t>LYON</t>
        </is>
      </c>
      <c r="AT121" s="24" t="inlineStr">
        <is>
          <t>LYON</t>
        </is>
      </c>
      <c r="AU121" s="24" t="inlineStr">
        <is>
          <t>LYON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5c38c11f67b7806a4931aa505c9c62ae46c526f004843220e2e18cd19c4886ab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5c38c11f67b7806a4931aa505c9c62ae46c526f004843220e2e18cd19c4886ab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2026-08-30T16:07:30.168053Z</t>
        </is>
      </c>
      <c r="BI121" s="24" t="inlineStr">
        <is>
          <t>["same_event","same_team_same_day","same_league_same_day"]</t>
        </is>
      </c>
      <c r="BJ121" s="25" t="n"/>
      <c r="BK121" s="26" t="n">
        <v>117</v>
      </c>
      <c r="BL121" s="27" t="n">
        <v>2.17</v>
      </c>
      <c r="BM121" s="28" t="n">
        <v>0.460829</v>
      </c>
      <c r="BN121" s="28" t="n"/>
      <c r="BO121" s="28" t="n"/>
      <c r="BP121" s="25" t="n"/>
      <c r="BQ121" s="27" t="n">
        <v>2.17</v>
      </c>
      <c r="BR121" s="28" t="n">
        <v>0.46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0.460829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fcb23af9c6464fac</t>
        </is>
      </c>
      <c r="B122" s="24" t="inlineStr">
        <is>
          <t>2026-08-31T04:43:53.773002Z</t>
        </is>
      </c>
      <c r="C122" s="24" t="inlineStr">
        <is>
          <t>2026-08-31T08:00:00Z</t>
        </is>
      </c>
      <c r="D122" s="24" t="inlineStr">
        <is>
          <t>95034</t>
        </is>
      </c>
      <c r="E122" s="24" t="inlineStr">
        <is>
          <t>LOL</t>
        </is>
      </c>
      <c r="F122" s="24" t="inlineStr">
        <is>
          <t>DN SOOPers Challengers</t>
        </is>
      </c>
      <c r="G122" s="24" t="inlineStr">
        <is>
          <t>Nongshim Esports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-133</v>
      </c>
      <c r="M122" s="27" t="n">
        <v>1.75188</v>
      </c>
      <c r="N122" s="28" t="n">
        <v>0.570815</v>
      </c>
      <c r="O122" s="28" t="n">
        <v>0.532211</v>
      </c>
      <c r="P122" s="28" t="n"/>
      <c r="Q122" s="28" t="n">
        <v>-0.038604</v>
      </c>
      <c r="R122" s="26" t="n">
        <v>1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-133</v>
      </c>
      <c r="AA122" s="28" t="n">
        <v>0.57</v>
      </c>
      <c r="AB122" s="28" t="n">
        <v>-0.000815</v>
      </c>
      <c r="AC122" s="30" t="n">
        <v>0.7519</v>
      </c>
      <c r="AD122" s="24" t="inlineStr">
        <is>
          <t>2026-08-31T16:02:19.887988Z</t>
        </is>
      </c>
      <c r="AE122" s="31" t="inlineStr">
        <is>
          <t>Neutral Elo baseline; executable ask 0.5700 (market_slug=aec-lol-nsea-dnsc-2026-08-31).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DN SOOPers Challengers</t>
        </is>
      </c>
      <c r="AQ122" s="24" t="inlineStr">
        <is>
          <t>DN SOOPers Challengers</t>
        </is>
      </c>
      <c r="AR122" s="24" t="inlineStr">
        <is>
          <t>DN SOOPers Challengers</t>
        </is>
      </c>
      <c r="AS122" s="24" t="inlineStr">
        <is>
          <t>Nongshim Esports Academy</t>
        </is>
      </c>
      <c r="AT122" s="24" t="inlineStr">
        <is>
          <t>Nongshim Esports Academy</t>
        </is>
      </c>
      <c r="AU122" s="24" t="inlineStr">
        <is>
          <t>Nongshim Esports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e58544b8bd22b9ef0eaa0185538604487014b0c2244db86e6b9a3334f44d8438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e58544b8bd22b9ef0eaa0185538604487014b0c2244db86e6b9a3334f44d8438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2026-08-31T04:43:51.947840Z</t>
        </is>
      </c>
      <c r="BI122" s="24" t="inlineStr">
        <is>
          <t>["same_event","same_team_same_day","same_league_same_day"]</t>
        </is>
      </c>
      <c r="BJ122" s="25" t="n"/>
      <c r="BK122" s="26" t="n">
        <v>-133</v>
      </c>
      <c r="BL122" s="27" t="n">
        <v>1.75188</v>
      </c>
      <c r="BM122" s="28" t="n">
        <v>0.570815</v>
      </c>
      <c r="BN122" s="28" t="n"/>
      <c r="BO122" s="28" t="n"/>
      <c r="BP122" s="25" t="n"/>
      <c r="BQ122" s="27" t="n">
        <v>1.75188</v>
      </c>
      <c r="BR122" s="28" t="n">
        <v>0.57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0.570815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0bbccb5446ae4993</t>
        </is>
      </c>
      <c r="B123" s="24" t="inlineStr">
        <is>
          <t>2026-09-01T13:49:39.393232Z</t>
        </is>
      </c>
      <c r="C123" s="24" t="inlineStr">
        <is>
          <t>2026-09-01T15:00:00Z</t>
        </is>
      </c>
      <c r="D123" s="24" t="inlineStr">
        <is>
          <t>97014</t>
        </is>
      </c>
      <c r="E123" s="24" t="inlineStr">
        <is>
          <t>LOL</t>
        </is>
      </c>
      <c r="F123" s="24" t="inlineStr">
        <is>
          <t>Kaufland Hangry Knights</t>
        </is>
      </c>
      <c r="G123" s="24" t="inlineStr">
        <is>
          <t>Unicorns Of Love Sexy Edition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-186</v>
      </c>
      <c r="M123" s="27" t="n">
        <v>1.537634</v>
      </c>
      <c r="N123" s="28" t="n">
        <v>0.65035</v>
      </c>
      <c r="O123" s="28" t="n">
        <v>0.6885559999999999</v>
      </c>
      <c r="P123" s="28" t="n"/>
      <c r="Q123" s="28" t="n">
        <v>0.038206</v>
      </c>
      <c r="R123" s="26" t="n">
        <v>39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-186</v>
      </c>
      <c r="AA123" s="28" t="n">
        <v>0.65</v>
      </c>
      <c r="AB123" s="28" t="n">
        <v>-0.00035</v>
      </c>
      <c r="AC123" s="30" t="n">
        <v>-1</v>
      </c>
      <c r="AD123" s="24" t="inlineStr">
        <is>
          <t>2026-09-02T04:35:46.788157Z</t>
        </is>
      </c>
      <c r="AE123" s="31" t="inlineStr">
        <is>
          <t>Neutral Elo baseline; executable ask 0.6500 (market_slug=aec-lol-use-khk-2026-09-01).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Kaufland Hangry Knights</t>
        </is>
      </c>
      <c r="AQ123" s="24" t="inlineStr">
        <is>
          <t>Kaufland Hangry Knights</t>
        </is>
      </c>
      <c r="AR123" s="24" t="inlineStr">
        <is>
          <t>Kaufland Hangry Knights</t>
        </is>
      </c>
      <c r="AS123" s="24" t="inlineStr">
        <is>
          <t>Unicorns Of Love Sexy Edition</t>
        </is>
      </c>
      <c r="AT123" s="24" t="inlineStr">
        <is>
          <t>Unicorns Of Love Sexy Edition</t>
        </is>
      </c>
      <c r="AU123" s="24" t="inlineStr">
        <is>
          <t>Unicorns Of Love Sexy Edition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fb2f49ad7c5cbf7008d00eabb18939760303c8cb2b570f5fdbdde2523474f988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fb2f49ad7c5cbf7008d00eabb18939760303c8cb2b570f5fdbdde2523474f988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2026-09-01T13:49:37.924505Z</t>
        </is>
      </c>
      <c r="BI123" s="24" t="inlineStr">
        <is>
          <t>["same_event","same_team_same_day","same_league_same_day"]</t>
        </is>
      </c>
      <c r="BJ123" s="25" t="n"/>
      <c r="BK123" s="26" t="n">
        <v>-186</v>
      </c>
      <c r="BL123" s="27" t="n">
        <v>1.537634</v>
      </c>
      <c r="BM123" s="28" t="n">
        <v>0.65035</v>
      </c>
      <c r="BN123" s="28" t="n"/>
      <c r="BO123" s="28" t="n"/>
      <c r="BP123" s="25" t="n"/>
      <c r="BQ123" s="27" t="n">
        <v>1.537634</v>
      </c>
      <c r="BR123" s="28" t="n">
        <v>0.65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0.65035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02741d4e7d19418b</t>
        </is>
      </c>
      <c r="B124" s="24" t="inlineStr">
        <is>
          <t>2026-09-01T13:49:39.393232Z</t>
        </is>
      </c>
      <c r="C124" s="24" t="inlineStr">
        <is>
          <t>2026-09-01T15:00:00Z</t>
        </is>
      </c>
      <c r="D124" s="24" t="inlineStr">
        <is>
          <t>97015</t>
        </is>
      </c>
      <c r="E124" s="24" t="inlineStr">
        <is>
          <t>LOL</t>
        </is>
      </c>
      <c r="F124" s="24" t="inlineStr">
        <is>
          <t>BOMBA Team</t>
        </is>
      </c>
      <c r="G124" s="24" t="inlineStr">
        <is>
          <t>Lodis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0.593677</v>
      </c>
      <c r="P124" s="28" t="n"/>
      <c r="Q124" s="28" t="n">
        <v>-0.006323</v>
      </c>
      <c r="R124" s="26" t="n">
        <v>17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2026-09-02T04:35:47.407841Z</t>
        </is>
      </c>
      <c r="AE124" s="31" t="inlineStr">
        <is>
          <t>Neutral Elo baseline; executable ask 0.6000 (market_slug=aec-lol-lds-boom-2026-09-01).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BOMBA Team</t>
        </is>
      </c>
      <c r="AQ124" s="24" t="inlineStr">
        <is>
          <t>BOMBA Team</t>
        </is>
      </c>
      <c r="AR124" s="24" t="inlineStr">
        <is>
          <t>BOMBA Team</t>
        </is>
      </c>
      <c r="AS124" s="24" t="inlineStr">
        <is>
          <t>Lodis</t>
        </is>
      </c>
      <c r="AT124" s="24" t="inlineStr">
        <is>
          <t>Lodis</t>
        </is>
      </c>
      <c r="AU124" s="24" t="inlineStr">
        <is>
          <t>Lodis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fb2f49ad7c5cbf7008d00eabb18939760303c8cb2b570f5fdbdde2523474f988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fb2f49ad7c5cbf7008d00eabb18939760303c8cb2b570f5fdbdde2523474f988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2026-09-01T13:49:38.000154Z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200fd7c0267d4737</t>
        </is>
      </c>
      <c r="B125" s="24" t="inlineStr">
        <is>
          <t>2026-09-01T13:49:39.393232Z</t>
        </is>
      </c>
      <c r="C125" s="24" t="inlineStr">
        <is>
          <t>2026-09-01T16:00:00Z</t>
        </is>
      </c>
      <c r="D125" s="24" t="inlineStr">
        <is>
          <t>97016</t>
        </is>
      </c>
      <c r="E125" s="24" t="inlineStr">
        <is>
          <t>LOL</t>
        </is>
      </c>
      <c r="F125" s="24" t="inlineStr">
        <is>
          <t>Karmine Corp Blue</t>
        </is>
      </c>
      <c r="G125" s="24" t="inlineStr">
        <is>
          <t>TLN Pirates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-127</v>
      </c>
      <c r="M125" s="27" t="n">
        <v>1.787402</v>
      </c>
      <c r="N125" s="28" t="n">
        <v>0.5594710000000001</v>
      </c>
      <c r="O125" s="28" t="n">
        <v>0.50704</v>
      </c>
      <c r="P125" s="28" t="n"/>
      <c r="Q125" s="28" t="n">
        <v>-0.052431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0</v>
      </c>
      <c r="X125" s="26" t="n">
        <v>1</v>
      </c>
      <c r="Y125" s="25" t="n"/>
      <c r="Z125" s="26" t="n">
        <v>-127</v>
      </c>
      <c r="AA125" s="28" t="n">
        <v>0.5600000000000001</v>
      </c>
      <c r="AB125" s="28" t="n">
        <v>0.000529</v>
      </c>
      <c r="AC125" s="30" t="n">
        <v>-1</v>
      </c>
      <c r="AD125" s="24" t="inlineStr">
        <is>
          <t>2026-09-02T04:35:47.939559Z</t>
        </is>
      </c>
      <c r="AE125" s="31" t="inlineStr">
        <is>
          <t>Neutral Elo baseline; executable ask 0.5600 (market_slug=aec-lol-tlnp-kcb-2026-09-01).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Karmine Corp Blue</t>
        </is>
      </c>
      <c r="AQ125" s="24" t="inlineStr">
        <is>
          <t>Karmine Corp Blue</t>
        </is>
      </c>
      <c r="AR125" s="24" t="inlineStr">
        <is>
          <t>Karmine Corp Blue</t>
        </is>
      </c>
      <c r="AS125" s="24" t="inlineStr">
        <is>
          <t>TLN Pirates</t>
        </is>
      </c>
      <c r="AT125" s="24" t="inlineStr">
        <is>
          <t>TLN Pirates</t>
        </is>
      </c>
      <c r="AU125" s="24" t="inlineStr">
        <is>
          <t>TLN Pirates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fb2f49ad7c5cbf7008d00eabb18939760303c8cb2b570f5fdbdde2523474f988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fb2f49ad7c5cbf7008d00eabb18939760303c8cb2b570f5fdbdde2523474f988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2026-09-01T13:49:38.219704Z</t>
        </is>
      </c>
      <c r="BI125" s="24" t="inlineStr">
        <is>
          <t>["same_event","same_team_same_day","same_league_same_day"]</t>
        </is>
      </c>
      <c r="BJ125" s="25" t="n"/>
      <c r="BK125" s="26" t="n">
        <v>-127</v>
      </c>
      <c r="BL125" s="27" t="n">
        <v>1.787402</v>
      </c>
      <c r="BM125" s="28" t="n">
        <v>0.5594710000000001</v>
      </c>
      <c r="BN125" s="28" t="n"/>
      <c r="BO125" s="28" t="n"/>
      <c r="BP125" s="25" t="n"/>
      <c r="BQ125" s="27" t="n">
        <v>1.787402</v>
      </c>
      <c r="BR125" s="28" t="n">
        <v>0.5600000000000001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0.559471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74740b259d3442c8</t>
        </is>
      </c>
      <c r="B126" s="24" t="inlineStr">
        <is>
          <t>2026-09-01T16:07:32.649455Z</t>
        </is>
      </c>
      <c r="C126" s="24" t="inlineStr">
        <is>
          <t>2026-09-01T20:00:00Z</t>
        </is>
      </c>
      <c r="D126" s="24" t="inlineStr">
        <is>
          <t>97020</t>
        </is>
      </c>
      <c r="E126" s="24" t="inlineStr">
        <is>
          <t>LOL</t>
        </is>
      </c>
      <c r="F126" s="24" t="inlineStr">
        <is>
          <t>Maze Gaming</t>
        </is>
      </c>
      <c r="G126" s="24" t="inlineStr">
        <is>
          <t>Golden Lions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-113</v>
      </c>
      <c r="M126" s="27" t="n">
        <v>1.884956</v>
      </c>
      <c r="N126" s="28" t="n">
        <v>0.530516</v>
      </c>
      <c r="O126" s="28" t="n">
        <v>0.575892</v>
      </c>
      <c r="P126" s="28" t="n"/>
      <c r="Q126" s="28" t="n">
        <v>0.045376</v>
      </c>
      <c r="R126" s="26" t="n">
        <v>43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-113</v>
      </c>
      <c r="AA126" s="28" t="n">
        <v>0.53</v>
      </c>
      <c r="AB126" s="28" t="n">
        <v>-0.000516</v>
      </c>
      <c r="AC126" s="30" t="n">
        <v>0.885</v>
      </c>
      <c r="AD126" s="24" t="inlineStr">
        <is>
          <t>2026-09-02T04:35:48.494362Z</t>
        </is>
      </c>
      <c r="AE126" s="31" t="inlineStr">
        <is>
          <t>Neutral Elo baseline; executable ask 0.5300 (market_slug=aec-lol-gl-maz-2026-09-01).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Maze Gaming</t>
        </is>
      </c>
      <c r="AQ126" s="24" t="inlineStr">
        <is>
          <t>Maze Gaming</t>
        </is>
      </c>
      <c r="AR126" s="24" t="inlineStr">
        <is>
          <t>Maze Gaming</t>
        </is>
      </c>
      <c r="AS126" s="24" t="inlineStr">
        <is>
          <t>Golden Lions</t>
        </is>
      </c>
      <c r="AT126" s="24" t="inlineStr">
        <is>
          <t>Golden Lions</t>
        </is>
      </c>
      <c r="AU126" s="24" t="inlineStr">
        <is>
          <t>Golden Lions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1de25c340f67d487e286999d637f02ab222cf972d00f98fb8bd85d980da73b8b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1de25c340f67d487e286999d637f02ab222cf972d00f98fb8bd85d980da73b8b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2026-09-01T16:07:32.079471Z</t>
        </is>
      </c>
      <c r="BI126" s="24" t="inlineStr">
        <is>
          <t>["same_event","same_team_same_day","same_league_same_day"]</t>
        </is>
      </c>
      <c r="BJ126" s="25" t="n"/>
      <c r="BK126" s="26" t="n">
        <v>-113</v>
      </c>
      <c r="BL126" s="27" t="n">
        <v>1.884956</v>
      </c>
      <c r="BM126" s="28" t="n">
        <v>0.530516</v>
      </c>
      <c r="BN126" s="28" t="n"/>
      <c r="BO126" s="28" t="n"/>
      <c r="BP126" s="25" t="n"/>
      <c r="BQ126" s="27" t="n">
        <v>1.884956</v>
      </c>
      <c r="BR126" s="28" t="n">
        <v>0.53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0.530516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6ccf965034194cf8</t>
        </is>
      </c>
      <c r="B127" s="24" t="inlineStr">
        <is>
          <t>2026-09-02T04:39:23.745614Z</t>
        </is>
      </c>
      <c r="C127" s="24" t="inlineStr">
        <is>
          <t>2026-09-02T08:00:00Z</t>
        </is>
      </c>
      <c r="D127" s="24" t="inlineStr">
        <is>
          <t>97464</t>
        </is>
      </c>
      <c r="E127" s="24" t="inlineStr">
        <is>
          <t>LOL</t>
        </is>
      </c>
      <c r="F127" s="24" t="inlineStr">
        <is>
          <t>T1</t>
        </is>
      </c>
      <c r="G127" s="24" t="inlineStr">
        <is>
          <t>Hanwha Life Esports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-194</v>
      </c>
      <c r="M127" s="27" t="n">
        <v>1.515464</v>
      </c>
      <c r="N127" s="28" t="n">
        <v>0.659864</v>
      </c>
      <c r="O127" s="28" t="n">
        <v>0.599961</v>
      </c>
      <c r="P127" s="28" t="n"/>
      <c r="Q127" s="28" t="n">
        <v>-0.059903</v>
      </c>
      <c r="R127" s="26" t="n">
        <v>0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-194</v>
      </c>
      <c r="AA127" s="28" t="n">
        <v>0.66</v>
      </c>
      <c r="AB127" s="28" t="n">
        <v>0.000136</v>
      </c>
      <c r="AC127" s="30" t="n">
        <v>0.5155</v>
      </c>
      <c r="AD127" s="24" t="inlineStr">
        <is>
          <t>2026-09-02T16:06:04.812862Z</t>
        </is>
      </c>
      <c r="AE127" s="31" t="inlineStr">
        <is>
          <t>Neutral Elo baseline; executable ask 0.6600 (market_slug=aec-lol-hle-t1-2026-09-02).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T1</t>
        </is>
      </c>
      <c r="AQ127" s="24" t="inlineStr">
        <is>
          <t>T1</t>
        </is>
      </c>
      <c r="AR127" s="24" t="inlineStr">
        <is>
          <t>T1</t>
        </is>
      </c>
      <c r="AS127" s="24" t="inlineStr">
        <is>
          <t>Hanwha Life Esports</t>
        </is>
      </c>
      <c r="AT127" s="24" t="inlineStr">
        <is>
          <t>Hanwha Life Esports</t>
        </is>
      </c>
      <c r="AU127" s="24" t="inlineStr">
        <is>
          <t>Hanwha Life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2aab22608b54871ff37e5a234090feca89477103ce2b0ff88ecc99d62d11706a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2aab22608b54871ff37e5a234090feca89477103ce2b0ff88ecc99d62d11706a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2026-09-02T04:39:22.549119Z</t>
        </is>
      </c>
      <c r="BI127" s="24" t="inlineStr">
        <is>
          <t>["same_event","same_team_same_day","same_league_same_day"]</t>
        </is>
      </c>
      <c r="BJ127" s="25" t="n"/>
      <c r="BK127" s="26" t="n">
        <v>-194</v>
      </c>
      <c r="BL127" s="27" t="n">
        <v>1.515464</v>
      </c>
      <c r="BM127" s="28" t="n">
        <v>0.659864</v>
      </c>
      <c r="BN127" s="28" t="n"/>
      <c r="BO127" s="28" t="n"/>
      <c r="BP127" s="25" t="n"/>
      <c r="BQ127" s="27" t="n">
        <v>1.515464</v>
      </c>
      <c r="BR127" s="28" t="n">
        <v>0.66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0.659864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74ec94b1a85c490f</t>
        </is>
      </c>
      <c r="B128" s="24" t="inlineStr">
        <is>
          <t>2026-09-02T04:39:23.745614Z</t>
        </is>
      </c>
      <c r="C128" s="24" t="inlineStr">
        <is>
          <t>2026-09-02T15:00:00Z</t>
        </is>
      </c>
      <c r="D128" s="24" t="inlineStr">
        <is>
          <t>97467</t>
        </is>
      </c>
      <c r="E128" s="24" t="inlineStr">
        <is>
          <t>LOL</t>
        </is>
      </c>
      <c r="F128" s="24" t="inlineStr">
        <is>
          <t>SU Esports</t>
        </is>
      </c>
      <c r="G128" s="24" t="inlineStr">
        <is>
          <t>Bushido Wildcats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138</v>
      </c>
      <c r="M128" s="27" t="n">
        <v>2.38</v>
      </c>
      <c r="N128" s="28" t="n">
        <v>0.420168</v>
      </c>
      <c r="O128" s="28" t="n">
        <v>0.511862</v>
      </c>
      <c r="P128" s="28" t="n"/>
      <c r="Q128" s="28" t="n">
        <v>0.091694</v>
      </c>
      <c r="R128" s="26" t="n">
        <v>66</v>
      </c>
      <c r="S128" s="29" t="n">
        <v>1.25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>
        <v>138</v>
      </c>
      <c r="AA128" s="28" t="n">
        <v>0.42</v>
      </c>
      <c r="AB128" s="28" t="n">
        <v>-0.000168</v>
      </c>
      <c r="AC128" s="30" t="n">
        <v>1.725</v>
      </c>
      <c r="AD128" s="24" t="inlineStr">
        <is>
          <t>2026-09-03T04:33:57.000046Z</t>
        </is>
      </c>
      <c r="AE128" s="31" t="inlineStr">
        <is>
          <t>Neutral Elo baseline; executable ask 0.4200 (market_slug=aec-lol-bw-su-2026-09-02).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SU Esports</t>
        </is>
      </c>
      <c r="AQ128" s="24" t="inlineStr">
        <is>
          <t>SU Esports</t>
        </is>
      </c>
      <c r="AR128" s="24" t="inlineStr">
        <is>
          <t>SU Esports</t>
        </is>
      </c>
      <c r="AS128" s="24" t="inlineStr">
        <is>
          <t>Bushido Wildcats</t>
        </is>
      </c>
      <c r="AT128" s="24" t="inlineStr">
        <is>
          <t>Bushido Wildcats</t>
        </is>
      </c>
      <c r="AU128" s="24" t="inlineStr">
        <is>
          <t>Bushido Wildcats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2aab22608b54871ff37e5a234090feca89477103ce2b0ff88ecc99d62d11706a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2aab22608b54871ff37e5a234090feca89477103ce2b0ff88ecc99d62d11706a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2026-09-02T04:39:22.688162Z</t>
        </is>
      </c>
      <c r="BI128" s="24" t="inlineStr">
        <is>
          <t>["same_event","same_team_same_day","same_league_same_day"]</t>
        </is>
      </c>
      <c r="BJ128" s="25" t="n"/>
      <c r="BK128" s="26" t="n">
        <v>138</v>
      </c>
      <c r="BL128" s="27" t="n">
        <v>2.38</v>
      </c>
      <c r="BM128" s="28" t="n">
        <v>0.420168</v>
      </c>
      <c r="BN128" s="28" t="n"/>
      <c r="BO128" s="28" t="n"/>
      <c r="BP128" s="25" t="n"/>
      <c r="BQ128" s="27" t="n">
        <v>2.38</v>
      </c>
      <c r="BR128" s="28" t="n">
        <v>0.42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0.420168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47577f3c854845a2</t>
        </is>
      </c>
      <c r="B129" s="24" t="inlineStr">
        <is>
          <t>2026-09-02T04:39:23.745614Z</t>
        </is>
      </c>
      <c r="C129" s="24" t="inlineStr">
        <is>
          <t>2026-09-02T15:00:00Z</t>
        </is>
      </c>
      <c r="D129" s="24" t="inlineStr">
        <is>
          <t>97468</t>
        </is>
      </c>
      <c r="E129" s="24" t="inlineStr">
        <is>
          <t>LOL</t>
        </is>
      </c>
      <c r="F129" s="24" t="inlineStr">
        <is>
          <t>Forsaken</t>
        </is>
      </c>
      <c r="G129" s="24" t="inlineStr">
        <is>
          <t>devils.one inStreamly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144</v>
      </c>
      <c r="M129" s="27" t="n">
        <v>2.44</v>
      </c>
      <c r="N129" s="28" t="n">
        <v>0.409836</v>
      </c>
      <c r="O129" s="28" t="n">
        <v>0.719193</v>
      </c>
      <c r="P129" s="28" t="n"/>
      <c r="Q129" s="28" t="n">
        <v>0.309357</v>
      </c>
      <c r="R129" s="26" t="n">
        <v>100</v>
      </c>
      <c r="S129" s="29" t="n">
        <v>2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144</v>
      </c>
      <c r="AA129" s="28" t="n">
        <v>0.41</v>
      </c>
      <c r="AB129" s="28" t="n">
        <v>0.000164</v>
      </c>
      <c r="AC129" s="30" t="n">
        <v>2.88</v>
      </c>
      <c r="AD129" s="24" t="inlineStr">
        <is>
          <t>2026-09-03T04:33:57.508517Z</t>
        </is>
      </c>
      <c r="AE129" s="31" t="inlineStr">
        <is>
          <t>Neutral Elo baseline; executable ask 0.4100 (market_slug=aec-lol-dv1-fsk-2026-09-02).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Forsaken</t>
        </is>
      </c>
      <c r="AQ129" s="24" t="inlineStr">
        <is>
          <t>Forsaken</t>
        </is>
      </c>
      <c r="AR129" s="24" t="inlineStr">
        <is>
          <t>Forsaken</t>
        </is>
      </c>
      <c r="AS129" s="24" t="inlineStr">
        <is>
          <t>devils.one inStreamly</t>
        </is>
      </c>
      <c r="AT129" s="24" t="inlineStr">
        <is>
          <t>devils.one inStreamly</t>
        </is>
      </c>
      <c r="AU129" s="24" t="inlineStr">
        <is>
          <t>devils.one inStreamly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2aab22608b54871ff37e5a234090feca89477103ce2b0ff88ecc99d62d11706a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2aab22608b54871ff37e5a234090feca89477103ce2b0ff88ecc99d62d11706a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2026-09-02T04:39:22.798777Z</t>
        </is>
      </c>
      <c r="BI129" s="24" t="inlineStr">
        <is>
          <t>["same_event","same_team_same_day","same_league_same_day"]</t>
        </is>
      </c>
      <c r="BJ129" s="25" t="n"/>
      <c r="BK129" s="26" t="n">
        <v>144</v>
      </c>
      <c r="BL129" s="27" t="n">
        <v>2.44</v>
      </c>
      <c r="BM129" s="28" t="n">
        <v>0.409836</v>
      </c>
      <c r="BN129" s="28" t="n"/>
      <c r="BO129" s="28" t="n"/>
      <c r="BP129" s="25" t="n"/>
      <c r="BQ129" s="27" t="n">
        <v>2.44</v>
      </c>
      <c r="BR129" s="28" t="n">
        <v>0.41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0.409836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27b9f34c57784241</t>
        </is>
      </c>
      <c r="B130" s="24" t="inlineStr">
        <is>
          <t>2026-09-02T04:39:23.745614Z</t>
        </is>
      </c>
      <c r="C130" s="24" t="inlineStr">
        <is>
          <t>2026-09-02T16:00:00Z</t>
        </is>
      </c>
      <c r="D130" s="24" t="inlineStr">
        <is>
          <t>97469</t>
        </is>
      </c>
      <c r="E130" s="24" t="inlineStr">
        <is>
          <t>LOL</t>
        </is>
      </c>
      <c r="F130" s="24" t="inlineStr">
        <is>
          <t>TITANS</t>
        </is>
      </c>
      <c r="G130" s="24" t="inlineStr">
        <is>
          <t>Zena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-133</v>
      </c>
      <c r="M130" s="27" t="n">
        <v>1.75188</v>
      </c>
      <c r="N130" s="28" t="n">
        <v>0.570815</v>
      </c>
      <c r="O130" s="28" t="n">
        <v>0.544038</v>
      </c>
      <c r="P130" s="28" t="n"/>
      <c r="Q130" s="28" t="n">
        <v>-0.026777</v>
      </c>
      <c r="R130" s="26" t="n">
        <v>7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-133</v>
      </c>
      <c r="AA130" s="28" t="n">
        <v>0.57</v>
      </c>
      <c r="AB130" s="28" t="n">
        <v>-0.000815</v>
      </c>
      <c r="AC130" s="30" t="n">
        <v>0.7519</v>
      </c>
      <c r="AD130" s="24" t="inlineStr">
        <is>
          <t>2026-09-03T04:33:57.846046Z</t>
        </is>
      </c>
      <c r="AE130" s="31" t="inlineStr">
        <is>
          <t>Neutral Elo baseline; executable ask 0.5700 (market_slug=aec-lol-zena-tts-2026-09-02).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TITANS</t>
        </is>
      </c>
      <c r="AQ130" s="24" t="inlineStr">
        <is>
          <t>TITANS</t>
        </is>
      </c>
      <c r="AR130" s="24" t="inlineStr">
        <is>
          <t>TITANS</t>
        </is>
      </c>
      <c r="AS130" s="24" t="inlineStr">
        <is>
          <t>Zena Esports</t>
        </is>
      </c>
      <c r="AT130" s="24" t="inlineStr">
        <is>
          <t>Zena Esports</t>
        </is>
      </c>
      <c r="AU130" s="24" t="inlineStr">
        <is>
          <t>Zena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2aab22608b54871ff37e5a234090feca89477103ce2b0ff88ecc99d62d11706a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2aab22608b54871ff37e5a234090feca89477103ce2b0ff88ecc99d62d11706a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2026-09-02T04:39:22.852842Z</t>
        </is>
      </c>
      <c r="BI130" s="24" t="inlineStr">
        <is>
          <t>["same_event","same_team_same_day","same_league_same_day"]</t>
        </is>
      </c>
      <c r="BJ130" s="25" t="n"/>
      <c r="BK130" s="26" t="n">
        <v>-133</v>
      </c>
      <c r="BL130" s="27" t="n">
        <v>1.75188</v>
      </c>
      <c r="BM130" s="28" t="n">
        <v>0.570815</v>
      </c>
      <c r="BN130" s="28" t="n"/>
      <c r="BO130" s="28" t="n"/>
      <c r="BP130" s="25" t="n"/>
      <c r="BQ130" s="27" t="n">
        <v>1.75188</v>
      </c>
      <c r="BR130" s="28" t="n">
        <v>0.57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0.570815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10c9f43003af4fa1</t>
        </is>
      </c>
      <c r="B131" s="24" t="inlineStr">
        <is>
          <t>2026-09-02T04:39:23.745614Z</t>
        </is>
      </c>
      <c r="C131" s="24" t="inlineStr">
        <is>
          <t>2026-09-02T16:00:00Z</t>
        </is>
      </c>
      <c r="D131" s="24" t="inlineStr">
        <is>
          <t>98879</t>
        </is>
      </c>
      <c r="E131" s="24" t="inlineStr">
        <is>
          <t>LOL</t>
        </is>
      </c>
      <c r="F131" s="24" t="inlineStr">
        <is>
          <t>Deer Gaming</t>
        </is>
      </c>
      <c r="G131" s="24" t="inlineStr">
        <is>
          <t>Bulldog Esports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122</v>
      </c>
      <c r="M131" s="27" t="n">
        <v>2.22</v>
      </c>
      <c r="N131" s="28" t="n">
        <v>0.45045</v>
      </c>
      <c r="O131" s="28" t="n">
        <v>0.5229549999999999</v>
      </c>
      <c r="P131" s="28" t="n"/>
      <c r="Q131" s="28" t="n">
        <v>0.072505</v>
      </c>
      <c r="R131" s="26" t="n">
        <v>56</v>
      </c>
      <c r="S131" s="29" t="n">
        <v>1.25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122</v>
      </c>
      <c r="AA131" s="28" t="n">
        <v>0.45</v>
      </c>
      <c r="AB131" s="28" t="n">
        <v>-0.00045</v>
      </c>
      <c r="AC131" s="30" t="n">
        <v>1.525</v>
      </c>
      <c r="AD131" s="24" t="inlineStr">
        <is>
          <t>2026-09-03T04:33:58.199639Z</t>
        </is>
      </c>
      <c r="AE131" s="31" t="inlineStr">
        <is>
          <t>Neutral Elo baseline; executable ask 0.4500 (market_slug=aec-lol-bld-deer-2026-09-02).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Deer Gaming</t>
        </is>
      </c>
      <c r="AQ131" s="24" t="inlineStr">
        <is>
          <t>Deer Gaming</t>
        </is>
      </c>
      <c r="AR131" s="24" t="inlineStr">
        <is>
          <t>Deer Gaming</t>
        </is>
      </c>
      <c r="AS131" s="24" t="inlineStr">
        <is>
          <t>Bulldog Esports</t>
        </is>
      </c>
      <c r="AT131" s="24" t="inlineStr">
        <is>
          <t>Bulldog Esports</t>
        </is>
      </c>
      <c r="AU131" s="24" t="inlineStr">
        <is>
          <t>Bulldog Esports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2aab22608b54871ff37e5a234090feca89477103ce2b0ff88ecc99d62d11706a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2aab22608b54871ff37e5a234090feca89477103ce2b0ff88ecc99d62d11706a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2026-09-02T04:39:22.907237Z</t>
        </is>
      </c>
      <c r="BI131" s="24" t="inlineStr">
        <is>
          <t>["same_event","same_team_same_day","same_league_same_day"]</t>
        </is>
      </c>
      <c r="BJ131" s="25" t="n"/>
      <c r="BK131" s="26" t="n">
        <v>122</v>
      </c>
      <c r="BL131" s="27" t="n">
        <v>2.22</v>
      </c>
      <c r="BM131" s="28" t="n">
        <v>0.45045</v>
      </c>
      <c r="BN131" s="28" t="n"/>
      <c r="BO131" s="28" t="n"/>
      <c r="BP131" s="25" t="n"/>
      <c r="BQ131" s="27" t="n">
        <v>2.22</v>
      </c>
      <c r="BR131" s="28" t="n">
        <v>0.45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0.45045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499f668b627b4948</t>
        </is>
      </c>
      <c r="B132" s="24" t="inlineStr">
        <is>
          <t>2026-09-03T04:36:12.763221Z</t>
        </is>
      </c>
      <c r="C132" s="24" t="inlineStr">
        <is>
          <t>2026-09-03T15:00:00Z</t>
        </is>
      </c>
      <c r="D132" s="24" t="inlineStr">
        <is>
          <t>100685</t>
        </is>
      </c>
      <c r="E132" s="24" t="inlineStr">
        <is>
          <t>LOL</t>
        </is>
      </c>
      <c r="F132" s="24" t="inlineStr">
        <is>
          <t>Barcząca Esports</t>
        </is>
      </c>
      <c r="G132" s="24" t="inlineStr">
        <is>
          <t>DOCISK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150</v>
      </c>
      <c r="M132" s="27" t="n">
        <v>2.5</v>
      </c>
      <c r="N132" s="28" t="n">
        <v>0.4</v>
      </c>
      <c r="O132" s="28" t="n">
        <v>0.510748</v>
      </c>
      <c r="P132" s="28" t="n"/>
      <c r="Q132" s="28" t="n">
        <v>0.110748</v>
      </c>
      <c r="R132" s="26" t="n">
        <v>75</v>
      </c>
      <c r="S132" s="29" t="n">
        <v>1.5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0</v>
      </c>
      <c r="X132" s="26" t="n">
        <v>1</v>
      </c>
      <c r="Y132" s="25" t="n"/>
      <c r="Z132" s="26" t="n">
        <v>150</v>
      </c>
      <c r="AA132" s="28" t="n">
        <v>0.4</v>
      </c>
      <c r="AB132" s="28" t="n">
        <v>0</v>
      </c>
      <c r="AC132" s="30" t="n">
        <v>-1.5</v>
      </c>
      <c r="AD132" s="24" t="inlineStr">
        <is>
          <t>2026-09-04T04:34:37.423944Z</t>
        </is>
      </c>
      <c r="AE132" s="31" t="inlineStr">
        <is>
          <t>Neutral Elo baseline; executable ask 0.4000 (market_slug=aec-lol-doc-bce-2026-09-03).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Barcząca Esports</t>
        </is>
      </c>
      <c r="AQ132" s="24" t="inlineStr">
        <is>
          <t>Barcząca Esports</t>
        </is>
      </c>
      <c r="AR132" s="24" t="inlineStr">
        <is>
          <t>Barcząca Esports</t>
        </is>
      </c>
      <c r="AS132" s="24" t="inlineStr">
        <is>
          <t>DOCISK</t>
        </is>
      </c>
      <c r="AT132" s="24" t="inlineStr">
        <is>
          <t>DOCISK</t>
        </is>
      </c>
      <c r="AU132" s="24" t="inlineStr">
        <is>
          <t>DOCISK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59f5780f16014144de38e0a7d6e1a3e2438dd4fdf84d30e515b8bd86a8861724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59f5780f16014144de38e0a7d6e1a3e2438dd4fdf84d30e515b8bd86a8861724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2026-09-03T04:36:11.935246Z</t>
        </is>
      </c>
      <c r="BI132" s="24" t="inlineStr">
        <is>
          <t>["same_event","same_team_same_day","same_league_same_day"]</t>
        </is>
      </c>
      <c r="BJ132" s="25" t="n"/>
      <c r="BK132" s="26" t="n">
        <v>150</v>
      </c>
      <c r="BL132" s="27" t="n">
        <v>2.5</v>
      </c>
      <c r="BM132" s="28" t="n">
        <v>0.4</v>
      </c>
      <c r="BN132" s="28" t="n"/>
      <c r="BO132" s="28" t="n"/>
      <c r="BP132" s="25" t="n"/>
      <c r="BQ132" s="27" t="n">
        <v>2.5</v>
      </c>
      <c r="BR132" s="28" t="n">
        <v>0.4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1afb1ec1d9d340e5</t>
        </is>
      </c>
      <c r="B133" s="24" t="inlineStr">
        <is>
          <t>2026-09-03T04:36:12.763221Z</t>
        </is>
      </c>
      <c r="C133" s="24" t="inlineStr">
        <is>
          <t>2026-09-03T15:00:00Z</t>
        </is>
      </c>
      <c r="D133" s="24" t="inlineStr">
        <is>
          <t>100929</t>
        </is>
      </c>
      <c r="E133" s="24" t="inlineStr">
        <is>
          <t>LOL</t>
        </is>
      </c>
      <c r="F133" s="24" t="inlineStr">
        <is>
          <t>SU Esports</t>
        </is>
      </c>
      <c r="G133" s="24" t="inlineStr">
        <is>
          <t xml:space="preserve">PCIFIC 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138</v>
      </c>
      <c r="M133" s="27" t="n">
        <v>2.38</v>
      </c>
      <c r="N133" s="28" t="n">
        <v>0.420168</v>
      </c>
      <c r="O133" s="28" t="n">
        <v>0.549183</v>
      </c>
      <c r="P133" s="28" t="n"/>
      <c r="Q133" s="28" t="n">
        <v>0.129015</v>
      </c>
      <c r="R133" s="26" t="n">
        <v>85</v>
      </c>
      <c r="S133" s="29" t="n">
        <v>1.5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138</v>
      </c>
      <c r="AA133" s="28" t="n">
        <v>0.42</v>
      </c>
      <c r="AB133" s="28" t="n">
        <v>-0.000168</v>
      </c>
      <c r="AC133" s="30" t="n">
        <v>2.07</v>
      </c>
      <c r="AD133" s="24" t="inlineStr">
        <is>
          <t>2026-09-04T04:34:38.019132Z</t>
        </is>
      </c>
      <c r="AE133" s="31" t="inlineStr">
        <is>
          <t>Neutral Elo baseline; executable ask 0.4200 (market_slug=aec-lol-pcific-su-2026-09-03).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SU Esports</t>
        </is>
      </c>
      <c r="AQ133" s="24" t="inlineStr">
        <is>
          <t>SU Esports</t>
        </is>
      </c>
      <c r="AR133" s="24" t="inlineStr">
        <is>
          <t>SU Esports</t>
        </is>
      </c>
      <c r="AS133" s="24" t="inlineStr">
        <is>
          <t xml:space="preserve">PCIFIC </t>
        </is>
      </c>
      <c r="AT133" s="24" t="inlineStr">
        <is>
          <t xml:space="preserve">PCIFIC </t>
        </is>
      </c>
      <c r="AU133" s="24" t="inlineStr">
        <is>
          <t xml:space="preserve">PCIFIC 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59f5780f16014144de38e0a7d6e1a3e2438dd4fdf84d30e515b8bd86a8861724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59f5780f16014144de38e0a7d6e1a3e2438dd4fdf84d30e515b8bd86a8861724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2026-09-03T04:36:12.001914Z</t>
        </is>
      </c>
      <c r="BI133" s="24" t="inlineStr">
        <is>
          <t>["same_event","same_team_same_day","same_league_same_day"]</t>
        </is>
      </c>
      <c r="BJ133" s="25" t="n"/>
      <c r="BK133" s="26" t="n">
        <v>138</v>
      </c>
      <c r="BL133" s="27" t="n">
        <v>2.38</v>
      </c>
      <c r="BM133" s="28" t="n">
        <v>0.420168</v>
      </c>
      <c r="BN133" s="28" t="n"/>
      <c r="BO133" s="28" t="n"/>
      <c r="BP133" s="25" t="n"/>
      <c r="BQ133" s="27" t="n">
        <v>2.38</v>
      </c>
      <c r="BR133" s="28" t="n">
        <v>0.42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0.420168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5ea53b60e25a46ef</t>
        </is>
      </c>
      <c r="B134" s="24" t="inlineStr">
        <is>
          <t>2026-09-03T04:36:12.763221Z</t>
        </is>
      </c>
      <c r="C134" s="24" t="inlineStr">
        <is>
          <t>2026-09-03T16:00:00Z</t>
        </is>
      </c>
      <c r="D134" s="24" t="inlineStr">
        <is>
          <t>100266</t>
        </is>
      </c>
      <c r="E134" s="24" t="inlineStr">
        <is>
          <t>LOL</t>
        </is>
      </c>
      <c r="F134" s="24" t="inlineStr">
        <is>
          <t>Myth Esports</t>
        </is>
      </c>
      <c r="G134" s="24" t="inlineStr">
        <is>
          <t>Senshi Esports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108</v>
      </c>
      <c r="M134" s="27" t="n">
        <v>2.08</v>
      </c>
      <c r="N134" s="28" t="n">
        <v>0.480769</v>
      </c>
      <c r="O134" s="28" t="n">
        <v>0.553502</v>
      </c>
      <c r="P134" s="28" t="n"/>
      <c r="Q134" s="28" t="n">
        <v>0.07273300000000001</v>
      </c>
      <c r="R134" s="26" t="n">
        <v>56</v>
      </c>
      <c r="S134" s="29" t="n">
        <v>1.25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108</v>
      </c>
      <c r="AA134" s="28" t="n">
        <v>0.48</v>
      </c>
      <c r="AB134" s="28" t="n">
        <v>-0.000769</v>
      </c>
      <c r="AC134" s="30" t="n">
        <v>1.35</v>
      </c>
      <c r="AD134" s="24" t="inlineStr">
        <is>
          <t>2026-09-04T04:34:38.525699Z</t>
        </is>
      </c>
      <c r="AE134" s="31" t="inlineStr">
        <is>
          <t>Neutral Elo baseline; executable ask 0.4800 (market_slug=aec-lol-sec-myth-2026-09-03).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Myth Esports</t>
        </is>
      </c>
      <c r="AQ134" s="24" t="inlineStr">
        <is>
          <t>Myth Esports</t>
        </is>
      </c>
      <c r="AR134" s="24" t="inlineStr">
        <is>
          <t>Myth Esports</t>
        </is>
      </c>
      <c r="AS134" s="24" t="inlineStr">
        <is>
          <t>Senshi Esports</t>
        </is>
      </c>
      <c r="AT134" s="24" t="inlineStr">
        <is>
          <t>Senshi Esports</t>
        </is>
      </c>
      <c r="AU134" s="24" t="inlineStr">
        <is>
          <t>Senshi Esports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59f5780f16014144de38e0a7d6e1a3e2438dd4fdf84d30e515b8bd86a8861724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59f5780f16014144de38e0a7d6e1a3e2438dd4fdf84d30e515b8bd86a8861724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2026-09-03T04:36:12.169961Z</t>
        </is>
      </c>
      <c r="BI134" s="24" t="inlineStr">
        <is>
          <t>["same_event","same_team_same_day","same_league_same_day"]</t>
        </is>
      </c>
      <c r="BJ134" s="25" t="n"/>
      <c r="BK134" s="26" t="n">
        <v>108</v>
      </c>
      <c r="BL134" s="27" t="n">
        <v>2.08</v>
      </c>
      <c r="BM134" s="28" t="n">
        <v>0.480769</v>
      </c>
      <c r="BN134" s="28" t="n"/>
      <c r="BO134" s="28" t="n"/>
      <c r="BP134" s="25" t="n"/>
      <c r="BQ134" s="27" t="n">
        <v>2.08</v>
      </c>
      <c r="BR134" s="28" t="n">
        <v>0.48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0.480769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69407be023a84a22</t>
        </is>
      </c>
      <c r="B135" s="24" t="inlineStr">
        <is>
          <t>2026-09-03T16:12:31.510050Z</t>
        </is>
      </c>
      <c r="C135" s="24" t="inlineStr">
        <is>
          <t>2026-09-03T17:30:00Z</t>
        </is>
      </c>
      <c r="D135" s="24" t="inlineStr">
        <is>
          <t>101179</t>
        </is>
      </c>
      <c r="E135" s="24" t="inlineStr">
        <is>
          <t>LOL</t>
        </is>
      </c>
      <c r="F135" s="24" t="inlineStr">
        <is>
          <t>devils.one inStreamly</t>
        </is>
      </c>
      <c r="G135" s="24" t="inlineStr">
        <is>
          <t>Lodis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0.579895</v>
      </c>
      <c r="P135" s="28" t="n"/>
      <c r="Q135" s="28" t="n">
        <v>0.089699</v>
      </c>
      <c r="R135" s="26" t="n">
        <v>65</v>
      </c>
      <c r="S135" s="29" t="n">
        <v>1.25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104</v>
      </c>
      <c r="AA135" s="28" t="n">
        <v>0.49</v>
      </c>
      <c r="AB135" s="28" t="n">
        <v>-0.000196</v>
      </c>
      <c r="AC135" s="30" t="n">
        <v>-1.25</v>
      </c>
      <c r="AD135" s="24" t="inlineStr">
        <is>
          <t>2026-09-04T04:34:39.032580Z</t>
        </is>
      </c>
      <c r="AE135" s="31" t="inlineStr">
        <is>
          <t>Neutral Elo baseline; executable ask 0.4900 (market_slug=aec-lol-lds-dv1-2026-09-03).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devils.one inStreamly</t>
        </is>
      </c>
      <c r="AQ135" s="24" t="inlineStr">
        <is>
          <t>devils.one inStreamly</t>
        </is>
      </c>
      <c r="AR135" s="24" t="inlineStr">
        <is>
          <t>devils.one inStreamly</t>
        </is>
      </c>
      <c r="AS135" s="24" t="inlineStr">
        <is>
          <t>Lodis</t>
        </is>
      </c>
      <c r="AT135" s="24" t="inlineStr">
        <is>
          <t>Lodis</t>
        </is>
      </c>
      <c r="AU135" s="24" t="inlineStr">
        <is>
          <t>Lodis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e44b8d5a1806aad6b1d9c984ca948f46904e1b43a6bc59e97a18f4dfa00256d1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e44b8d5a1806aad6b1d9c984ca948f46904e1b43a6bc59e97a18f4dfa00256d1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2026-09-03T16:12:30.516927Z</t>
        </is>
      </c>
      <c r="BI135" s="24" t="inlineStr">
        <is>
          <t>["same_event","same_team_same_day","same_league_same_day"]</t>
        </is>
      </c>
      <c r="BJ135" s="25" t="n"/>
      <c r="BK135" s="26" t="n">
        <v>104</v>
      </c>
      <c r="BL135" s="27" t="n">
        <v>2.04</v>
      </c>
      <c r="BM135" s="28" t="n">
        <v>0.490196</v>
      </c>
      <c r="BN135" s="28" t="n"/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0728642db62e4a1c</t>
        </is>
      </c>
      <c r="B136" s="24" t="inlineStr">
        <is>
          <t>2026-09-03T16:12:31.510050Z</t>
        </is>
      </c>
      <c r="C136" s="24" t="inlineStr">
        <is>
          <t>2026-09-03T18:00:00Z</t>
        </is>
      </c>
      <c r="D136" s="24" t="inlineStr">
        <is>
          <t>98882</t>
        </is>
      </c>
      <c r="E136" s="24" t="inlineStr">
        <is>
          <t>LOL</t>
        </is>
      </c>
      <c r="F136" s="24" t="inlineStr">
        <is>
          <t>Dream Esports</t>
        </is>
      </c>
      <c r="G136" s="24" t="inlineStr">
        <is>
          <t>Dominion Goblins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-170</v>
      </c>
      <c r="M136" s="27" t="n">
        <v>1.588235</v>
      </c>
      <c r="N136" s="28" t="n">
        <v>0.62963</v>
      </c>
      <c r="O136" s="28" t="n">
        <v>0.516014</v>
      </c>
      <c r="P136" s="28" t="n"/>
      <c r="Q136" s="28" t="n">
        <v>-0.113616</v>
      </c>
      <c r="R136" s="26" t="n">
        <v>0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-170</v>
      </c>
      <c r="AA136" s="28" t="n">
        <v>0.63</v>
      </c>
      <c r="AB136" s="28" t="n">
        <v>0.00037</v>
      </c>
      <c r="AC136" s="30" t="n">
        <v>0.5881999999999999</v>
      </c>
      <c r="AD136" s="24" t="inlineStr">
        <is>
          <t>2026-09-04T04:34:39.570842Z</t>
        </is>
      </c>
      <c r="AE136" s="31" t="inlineStr">
        <is>
          <t>Neutral Elo baseline; executable ask 0.6300 (market_slug=aec-lol-domi-drm-2026-09-03).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Dream Esports</t>
        </is>
      </c>
      <c r="AQ136" s="24" t="inlineStr">
        <is>
          <t>Dream Esports</t>
        </is>
      </c>
      <c r="AR136" s="24" t="inlineStr">
        <is>
          <t>Dream Esports</t>
        </is>
      </c>
      <c r="AS136" s="24" t="inlineStr">
        <is>
          <t>Dominion Goblins</t>
        </is>
      </c>
      <c r="AT136" s="24" t="inlineStr">
        <is>
          <t>Dominion Goblins</t>
        </is>
      </c>
      <c r="AU136" s="24" t="inlineStr">
        <is>
          <t>Dominion Goblins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e44b8d5a1806aad6b1d9c984ca948f46904e1b43a6bc59e97a18f4dfa00256d1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e44b8d5a1806aad6b1d9c984ca948f46904e1b43a6bc59e97a18f4dfa00256d1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2026-09-03T16:12:30.672411Z</t>
        </is>
      </c>
      <c r="BI136" s="24" t="inlineStr">
        <is>
          <t>["same_event","same_team_same_day","same_league_same_day"]</t>
        </is>
      </c>
      <c r="BJ136" s="25" t="n"/>
      <c r="BK136" s="26" t="n">
        <v>-170</v>
      </c>
      <c r="BL136" s="27" t="n">
        <v>1.588235</v>
      </c>
      <c r="BM136" s="28" t="n">
        <v>0.62963</v>
      </c>
      <c r="BN136" s="28" t="n"/>
      <c r="BO136" s="28" t="n"/>
      <c r="BP136" s="25" t="n"/>
      <c r="BQ136" s="27" t="n">
        <v>1.588235</v>
      </c>
      <c r="BR136" s="28" t="n">
        <v>0.63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0.62963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371d2efdee6c45a1</t>
        </is>
      </c>
      <c r="B137" s="24" t="inlineStr">
        <is>
          <t>2026-09-04T04:37:13.977875Z</t>
        </is>
      </c>
      <c r="C137" s="24" t="inlineStr">
        <is>
          <t>2026-09-04T08:00:00Z</t>
        </is>
      </c>
      <c r="D137" s="24" t="inlineStr">
        <is>
          <t>101566</t>
        </is>
      </c>
      <c r="E137" s="24" t="inlineStr">
        <is>
          <t>LOL</t>
        </is>
      </c>
      <c r="F137" s="24" t="inlineStr">
        <is>
          <t>KT Rolster</t>
        </is>
      </c>
      <c r="G137" s="24" t="inlineStr">
        <is>
          <t>Dplus KIA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-186</v>
      </c>
      <c r="M137" s="27" t="n">
        <v>1.537634</v>
      </c>
      <c r="N137" s="28" t="n">
        <v>0.65035</v>
      </c>
      <c r="O137" s="28" t="n">
        <v>0.66932</v>
      </c>
      <c r="P137" s="28" t="n"/>
      <c r="Q137" s="28" t="n">
        <v>0.01897</v>
      </c>
      <c r="R137" s="26" t="n">
        <v>29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-186</v>
      </c>
      <c r="AA137" s="28" t="n">
        <v>0.65</v>
      </c>
      <c r="AB137" s="28" t="n">
        <v>-0.00035</v>
      </c>
      <c r="AC137" s="30" t="n">
        <v>0.5376</v>
      </c>
      <c r="AD137" s="24" t="inlineStr">
        <is>
          <t>2026-09-04T16:01:53.332266Z</t>
        </is>
      </c>
      <c r="AE137" s="31" t="inlineStr">
        <is>
          <t>Neutral Elo baseline; executable ask 0.6500 (market_slug=aec-lol-dk-kt-2026-09-04).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KT Rolster</t>
        </is>
      </c>
      <c r="AQ137" s="24" t="inlineStr">
        <is>
          <t>KT Rolster</t>
        </is>
      </c>
      <c r="AR137" s="24" t="inlineStr">
        <is>
          <t>KT Rolster</t>
        </is>
      </c>
      <c r="AS137" s="24" t="inlineStr">
        <is>
          <t>Dplus KIA</t>
        </is>
      </c>
      <c r="AT137" s="24" t="inlineStr">
        <is>
          <t>Dplus KIA</t>
        </is>
      </c>
      <c r="AU137" s="24" t="inlineStr">
        <is>
          <t>Dplus KIA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55a3995119c1407b3d6d90b9201cc4d7548a835b6b6e38bedad7b33de6103918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55a3995119c1407b3d6d90b9201cc4d7548a835b6b6e38bedad7b33de6103918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2026-09-04T04:37:12.829670Z</t>
        </is>
      </c>
      <c r="BI137" s="24" t="inlineStr">
        <is>
          <t>["same_event","same_team_same_day","same_league_same_day"]</t>
        </is>
      </c>
      <c r="BJ137" s="25" t="n"/>
      <c r="BK137" s="26" t="n">
        <v>-186</v>
      </c>
      <c r="BL137" s="27" t="n">
        <v>1.537634</v>
      </c>
      <c r="BM137" s="28" t="n">
        <v>0.65035</v>
      </c>
      <c r="BN137" s="28" t="n"/>
      <c r="BO137" s="28" t="n"/>
      <c r="BP137" s="25" t="n"/>
      <c r="BQ137" s="27" t="n">
        <v>1.537634</v>
      </c>
      <c r="BR137" s="28" t="n">
        <v>0.65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0.65035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75f64b0455a84828</t>
        </is>
      </c>
      <c r="B138" s="24" t="inlineStr">
        <is>
          <t>2026-09-04T04:37:13.977875Z</t>
        </is>
      </c>
      <c r="C138" s="24" t="inlineStr">
        <is>
          <t>2026-09-04T09:00:00Z</t>
        </is>
      </c>
      <c r="D138" s="24" t="inlineStr">
        <is>
          <t>100270</t>
        </is>
      </c>
      <c r="E138" s="24" t="inlineStr">
        <is>
          <t>LOL</t>
        </is>
      </c>
      <c r="F138" s="24" t="inlineStr">
        <is>
          <t>LGD Gaming</t>
        </is>
      </c>
      <c r="G138" s="24" t="inlineStr">
        <is>
          <t>Anyone's Legend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-223</v>
      </c>
      <c r="M138" s="27" t="n">
        <v>1.44843</v>
      </c>
      <c r="N138" s="28" t="n">
        <v>0.690402</v>
      </c>
      <c r="O138" s="28" t="n">
        <v>0.610449</v>
      </c>
      <c r="P138" s="28" t="n"/>
      <c r="Q138" s="28" t="n">
        <v>-0.079953</v>
      </c>
      <c r="R138" s="26" t="n">
        <v>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-223</v>
      </c>
      <c r="AA138" s="28" t="n">
        <v>0.6899999999999999</v>
      </c>
      <c r="AB138" s="28" t="n">
        <v>-0.000402</v>
      </c>
      <c r="AC138" s="30" t="n">
        <v>0.4484</v>
      </c>
      <c r="AD138" s="24" t="inlineStr">
        <is>
          <t>2026-09-04T16:01:53.733718Z</t>
        </is>
      </c>
      <c r="AE138" s="31" t="inlineStr">
        <is>
          <t>Neutral Elo baseline; executable ask 0.6900 (market_slug=aec-lol-al-lgd-2026-09-04).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LGD Gaming</t>
        </is>
      </c>
      <c r="AQ138" s="24" t="inlineStr">
        <is>
          <t>LGD Gaming</t>
        </is>
      </c>
      <c r="AR138" s="24" t="inlineStr">
        <is>
          <t>LGD Gaming</t>
        </is>
      </c>
      <c r="AS138" s="24" t="inlineStr">
        <is>
          <t>Anyone's Legend</t>
        </is>
      </c>
      <c r="AT138" s="24" t="inlineStr">
        <is>
          <t>Anyone's Legend</t>
        </is>
      </c>
      <c r="AU138" s="24" t="inlineStr">
        <is>
          <t>Anyone's Legend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55a3995119c1407b3d6d90b9201cc4d7548a835b6b6e38bedad7b33de6103918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55a3995119c1407b3d6d90b9201cc4d7548a835b6b6e38bedad7b33de6103918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2026-09-04T04:37:12.892199Z</t>
        </is>
      </c>
      <c r="BI138" s="24" t="inlineStr">
        <is>
          <t>["same_event","same_team_same_day","same_league_same_day"]</t>
        </is>
      </c>
      <c r="BJ138" s="25" t="n"/>
      <c r="BK138" s="26" t="n">
        <v>-223</v>
      </c>
      <c r="BL138" s="27" t="n">
        <v>1.44843</v>
      </c>
      <c r="BM138" s="28" t="n">
        <v>0.690402</v>
      </c>
      <c r="BN138" s="28" t="n"/>
      <c r="BO138" s="28" t="n"/>
      <c r="BP138" s="25" t="n"/>
      <c r="BQ138" s="27" t="n">
        <v>1.44843</v>
      </c>
      <c r="BR138" s="28" t="n">
        <v>0.6899999999999999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0.690402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0526051980a54f55</t>
        </is>
      </c>
      <c r="B139" s="24" t="inlineStr">
        <is>
          <t>2026-09-04T22:04:34.232577Z</t>
        </is>
      </c>
      <c r="C139" s="24" t="inlineStr">
        <is>
          <t>2026-09-05T04:00:00Z</t>
        </is>
      </c>
      <c r="D139" s="24" t="inlineStr">
        <is>
          <t>100274</t>
        </is>
      </c>
      <c r="E139" s="24" t="inlineStr">
        <is>
          <t>LOL</t>
        </is>
      </c>
      <c r="F139" s="24" t="inlineStr">
        <is>
          <t>Onetricks</t>
        </is>
      </c>
      <c r="G139" s="24" t="inlineStr">
        <is>
          <t>Gromp Esports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108</v>
      </c>
      <c r="M139" s="27" t="n">
        <v>2.08</v>
      </c>
      <c r="N139" s="28" t="n">
        <v>0.480769</v>
      </c>
      <c r="O139" s="28" t="n">
        <v>0.510683</v>
      </c>
      <c r="P139" s="28" t="n"/>
      <c r="Q139" s="28" t="n">
        <v>0.029914</v>
      </c>
      <c r="R139" s="26" t="n">
        <v>35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-104</v>
      </c>
      <c r="AA139" s="28" t="n">
        <v>0.51</v>
      </c>
      <c r="AB139" s="28" t="n">
        <v>0.029231</v>
      </c>
      <c r="AC139" s="30" t="n">
        <v>1.08</v>
      </c>
      <c r="AD139" s="24" t="inlineStr">
        <is>
          <t>2026-09-05T10:02:17.252341Z</t>
        </is>
      </c>
      <c r="AE139" s="31" t="inlineStr">
        <is>
          <t>Neutral Elo baseline; executable ask 0.4800 (market_slug=aec-lol-ger-onet-2026-09-05).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Onetricks</t>
        </is>
      </c>
      <c r="AQ139" s="24" t="inlineStr">
        <is>
          <t>Onetricks</t>
        </is>
      </c>
      <c r="AR139" s="24" t="inlineStr">
        <is>
          <t>Onetricks</t>
        </is>
      </c>
      <c r="AS139" s="24" t="inlineStr">
        <is>
          <t>Gromp Esports</t>
        </is>
      </c>
      <c r="AT139" s="24" t="inlineStr">
        <is>
          <t>Gromp Esports</t>
        </is>
      </c>
      <c r="AU139" s="24" t="inlineStr">
        <is>
          <t>Gromp Esports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60ad579bbdf7cea8aea2bde6b7a1e8b185e0fd7861c49d74d818fed4fbe362d0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60ad579bbdf7cea8aea2bde6b7a1e8b185e0fd7861c49d74d818fed4fbe362d0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2026-09-04T22:04:33.091746Z</t>
        </is>
      </c>
      <c r="BI139" s="24" t="inlineStr">
        <is>
          <t>["same_event","same_team_same_day","same_league_same_day"]</t>
        </is>
      </c>
      <c r="BJ139" s="25" t="n"/>
      <c r="BK139" s="26" t="n">
        <v>108</v>
      </c>
      <c r="BL139" s="27" t="n">
        <v>2.08</v>
      </c>
      <c r="BM139" s="28" t="n">
        <v>0.480769</v>
      </c>
      <c r="BN139" s="28" t="n"/>
      <c r="BO139" s="28" t="n"/>
      <c r="BP139" s="25" t="n"/>
      <c r="BQ139" s="27" t="n">
        <v>1.961538</v>
      </c>
      <c r="BR139" s="28" t="n">
        <v>0.51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0.480769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6e8312e7bbad43d6</t>
        </is>
      </c>
      <c r="B140" s="24" t="inlineStr">
        <is>
          <t>2026-09-05T04:44:17.486463Z</t>
        </is>
      </c>
      <c r="C140" s="24" t="inlineStr">
        <is>
          <t>2026-09-05T06:00:00Z</t>
        </is>
      </c>
      <c r="D140" s="24" t="inlineStr">
        <is>
          <t>100278</t>
        </is>
      </c>
      <c r="E140" s="24" t="inlineStr">
        <is>
          <t>LOL</t>
        </is>
      </c>
      <c r="F140" s="24" t="inlineStr">
        <is>
          <t>Top Esports</t>
        </is>
      </c>
      <c r="G140" s="24" t="inlineStr">
        <is>
          <t>Invictus Gaming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0.523354</v>
      </c>
      <c r="P140" s="28" t="n"/>
      <c r="Q140" s="28" t="n">
        <v>-0.007162</v>
      </c>
      <c r="R140" s="26" t="n">
        <v>16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-1</v>
      </c>
      <c r="AD140" s="24" t="inlineStr">
        <is>
          <t>2026-09-05T16:01:58.670009Z</t>
        </is>
      </c>
      <c r="AE140" s="31" t="inlineStr">
        <is>
          <t>Neutral Elo baseline; executable ask 0.5300 (market_slug=aec-lol-ig-tes-2026-09-05).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Top Esports</t>
        </is>
      </c>
      <c r="AQ140" s="24" t="inlineStr">
        <is>
          <t>Top Esports</t>
        </is>
      </c>
      <c r="AR140" s="24" t="inlineStr">
        <is>
          <t>Top Esports</t>
        </is>
      </c>
      <c r="AS140" s="24" t="inlineStr">
        <is>
          <t>Invictus Gaming</t>
        </is>
      </c>
      <c r="AT140" s="24" t="inlineStr">
        <is>
          <t>Invictus Gaming</t>
        </is>
      </c>
      <c r="AU140" s="24" t="inlineStr">
        <is>
          <t>Invictus Gaming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e256dc061870dad30797ba87433f0b0bb620ec8e75b67bece34cfea2f2a6d79d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e256dc061870dad30797ba87433f0b0bb620ec8e75b67bece34cfea2f2a6d79d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2026-09-05T04:44:16.133200Z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0.530516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eab9fb2c5d19410c</t>
        </is>
      </c>
      <c r="B141" s="24" t="inlineStr">
        <is>
          <t>2026-09-05T04:44:17.486463Z</t>
        </is>
      </c>
      <c r="C141" s="24" t="inlineStr">
        <is>
          <t>2026-09-05T08:00:00Z</t>
        </is>
      </c>
      <c r="D141" s="24" t="inlineStr">
        <is>
          <t>100280</t>
        </is>
      </c>
      <c r="E141" s="24" t="inlineStr">
        <is>
          <t>LOL</t>
        </is>
      </c>
      <c r="F141" s="24" t="inlineStr">
        <is>
          <t>Hanwha Life Esports</t>
        </is>
      </c>
      <c r="G141" s="24" t="inlineStr">
        <is>
          <t>Gen.G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138</v>
      </c>
      <c r="M141" s="27" t="n">
        <v>2.38</v>
      </c>
      <c r="N141" s="28" t="n">
        <v>0.420168</v>
      </c>
      <c r="O141" s="28" t="n">
        <v>0.54047</v>
      </c>
      <c r="P141" s="28" t="n"/>
      <c r="Q141" s="28" t="n">
        <v>0.120302</v>
      </c>
      <c r="R141" s="26" t="n">
        <v>80</v>
      </c>
      <c r="S141" s="29" t="n">
        <v>1.5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138</v>
      </c>
      <c r="AA141" s="28" t="n">
        <v>0.42</v>
      </c>
      <c r="AB141" s="28" t="n">
        <v>-0.000168</v>
      </c>
      <c r="AC141" s="30" t="n">
        <v>-1.5</v>
      </c>
      <c r="AD141" s="24" t="inlineStr">
        <is>
          <t>2026-09-05T16:01:58.951382Z</t>
        </is>
      </c>
      <c r="AE141" s="31" t="inlineStr">
        <is>
          <t>Neutral Elo baseline; executable ask 0.4200 (market_slug=aec-lol-gen-hle-2026-09-05).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Hanwha Life Esports</t>
        </is>
      </c>
      <c r="AQ141" s="24" t="inlineStr">
        <is>
          <t>Hanwha Life Esports</t>
        </is>
      </c>
      <c r="AR141" s="24" t="inlineStr">
        <is>
          <t>Hanwha Life Esports</t>
        </is>
      </c>
      <c r="AS141" s="24" t="inlineStr">
        <is>
          <t>Gen.G</t>
        </is>
      </c>
      <c r="AT141" s="24" t="inlineStr">
        <is>
          <t>Gen.G</t>
        </is>
      </c>
      <c r="AU141" s="24" t="inlineStr">
        <is>
          <t>Gen.G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e256dc061870dad30797ba87433f0b0bb620ec8e75b67bece34cfea2f2a6d79d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e256dc061870dad30797ba87433f0b0bb620ec8e75b67bece34cfea2f2a6d79d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2026-09-05T04:44:16.210113Z</t>
        </is>
      </c>
      <c r="BI141" s="24" t="inlineStr">
        <is>
          <t>["same_event","same_team_same_day","same_league_same_day"]</t>
        </is>
      </c>
      <c r="BJ141" s="25" t="n"/>
      <c r="BK141" s="26" t="n">
        <v>138</v>
      </c>
      <c r="BL141" s="27" t="n">
        <v>2.38</v>
      </c>
      <c r="BM141" s="28" t="n">
        <v>0.420168</v>
      </c>
      <c r="BN141" s="28" t="n"/>
      <c r="BO141" s="28" t="n"/>
      <c r="BP141" s="25" t="n"/>
      <c r="BQ141" s="27" t="n">
        <v>2.38</v>
      </c>
      <c r="BR141" s="28" t="n">
        <v>0.42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0.420168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36ba839d3207429e</t>
        </is>
      </c>
      <c r="B142" s="24" t="inlineStr">
        <is>
          <t>2026-09-05T04:44:17.486463Z</t>
        </is>
      </c>
      <c r="C142" s="24" t="inlineStr">
        <is>
          <t>2026-09-05T09:00:00Z</t>
        </is>
      </c>
      <c r="D142" s="24" t="inlineStr">
        <is>
          <t>100282</t>
        </is>
      </c>
      <c r="E142" s="24" t="inlineStr">
        <is>
          <t>LOL</t>
        </is>
      </c>
      <c r="F142" s="24" t="inlineStr">
        <is>
          <t>JD Gaming</t>
        </is>
      </c>
      <c r="G142" s="24" t="inlineStr">
        <is>
          <t>Ninjas in Pyjamas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113</v>
      </c>
      <c r="M142" s="27" t="n">
        <v>2.13</v>
      </c>
      <c r="N142" s="28" t="n">
        <v>0.469484</v>
      </c>
      <c r="O142" s="28" t="n">
        <v>0.550909</v>
      </c>
      <c r="P142" s="28" t="n"/>
      <c r="Q142" s="28" t="n">
        <v>0.081425</v>
      </c>
      <c r="R142" s="26" t="n">
        <v>61</v>
      </c>
      <c r="S142" s="29" t="n">
        <v>1.25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113</v>
      </c>
      <c r="AA142" s="28" t="n">
        <v>0.47</v>
      </c>
      <c r="AB142" s="28" t="n">
        <v>0.000516</v>
      </c>
      <c r="AC142" s="30" t="n">
        <v>1.4125</v>
      </c>
      <c r="AD142" s="24" t="inlineStr">
        <is>
          <t>2026-09-05T16:01:59.348497Z</t>
        </is>
      </c>
      <c r="AE142" s="31" t="inlineStr">
        <is>
          <t>Neutral Elo baseline; executable ask 0.4700 (market_slug=aec-lol-nip-jdg-2026-09-05).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JD Gaming</t>
        </is>
      </c>
      <c r="AQ142" s="24" t="inlineStr">
        <is>
          <t>JD Gaming</t>
        </is>
      </c>
      <c r="AR142" s="24" t="inlineStr">
        <is>
          <t>JD Gaming</t>
        </is>
      </c>
      <c r="AS142" s="24" t="inlineStr">
        <is>
          <t>Ninjas in Pyjamas</t>
        </is>
      </c>
      <c r="AT142" s="24" t="inlineStr">
        <is>
          <t>Ninjas in Pyjamas</t>
        </is>
      </c>
      <c r="AU142" s="24" t="inlineStr">
        <is>
          <t>Ninjas in Pyjamas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e256dc061870dad30797ba87433f0b0bb620ec8e75b67bece34cfea2f2a6d79d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e256dc061870dad30797ba87433f0b0bb620ec8e75b67bece34cfea2f2a6d79d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2026-09-05T04:44:16.286015Z</t>
        </is>
      </c>
      <c r="BI142" s="24" t="inlineStr">
        <is>
          <t>["same_event","same_team_same_day","same_league_same_day"]</t>
        </is>
      </c>
      <c r="BJ142" s="25" t="n"/>
      <c r="BK142" s="26" t="n">
        <v>113</v>
      </c>
      <c r="BL142" s="27" t="n">
        <v>2.13</v>
      </c>
      <c r="BM142" s="28" t="n">
        <v>0.469484</v>
      </c>
      <c r="BN142" s="28" t="n"/>
      <c r="BO142" s="28" t="n"/>
      <c r="BP142" s="25" t="n"/>
      <c r="BQ142" s="27" t="n">
        <v>2.13</v>
      </c>
      <c r="BR142" s="28" t="n">
        <v>0.47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0.469484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dd54f23060de40be</t>
        </is>
      </c>
      <c r="B143" s="24" t="inlineStr">
        <is>
          <t>2026-09-05T10:06:01.774678Z</t>
        </is>
      </c>
      <c r="C143" s="24" t="inlineStr">
        <is>
          <t>2026-09-05T16:00:00Z</t>
        </is>
      </c>
      <c r="D143" s="24" t="inlineStr">
        <is>
          <t>100687</t>
        </is>
      </c>
      <c r="E143" s="24" t="inlineStr">
        <is>
          <t>LOL</t>
        </is>
      </c>
      <c r="F143" s="24" t="inlineStr">
        <is>
          <t>paiN Gaming</t>
        </is>
      </c>
      <c r="G143" s="24" t="inlineStr">
        <is>
          <t>Vivo Keyd Stars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-203</v>
      </c>
      <c r="M143" s="27" t="n">
        <v>1.492611</v>
      </c>
      <c r="N143" s="28" t="n">
        <v>0.669967</v>
      </c>
      <c r="O143" s="28" t="n">
        <v>0.6830540000000001</v>
      </c>
      <c r="P143" s="28" t="n"/>
      <c r="Q143" s="28" t="n">
        <v>0.013087</v>
      </c>
      <c r="R143" s="26" t="n">
        <v>27</v>
      </c>
      <c r="S143" s="29" t="n">
        <v>1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1</v>
      </c>
      <c r="X143" s="26" t="n">
        <v>0</v>
      </c>
      <c r="Y143" s="25" t="n"/>
      <c r="Z143" s="26" t="n">
        <v>-203</v>
      </c>
      <c r="AA143" s="28" t="n">
        <v>0.67</v>
      </c>
      <c r="AB143" s="28" t="n">
        <v>3.3e-05</v>
      </c>
      <c r="AC143" s="30" t="n">
        <v>-1</v>
      </c>
      <c r="AD143" s="24" t="inlineStr">
        <is>
          <t>2026-09-29T22:04:04.887020Z</t>
        </is>
      </c>
      <c r="AE143" s="31" t="inlineStr">
        <is>
          <t>Neutral Elo baseline; executable ask 0.6700 (market_slug=aec-lol-vks-png-2026-09-05).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paiN Gaming</t>
        </is>
      </c>
      <c r="AQ143" s="24" t="inlineStr">
        <is>
          <t>paiN Gaming</t>
        </is>
      </c>
      <c r="AR143" s="24" t="inlineStr">
        <is>
          <t>paiN Gaming</t>
        </is>
      </c>
      <c r="AS143" s="24" t="inlineStr">
        <is>
          <t>Vivo Keyd Stars</t>
        </is>
      </c>
      <c r="AT143" s="24" t="inlineStr">
        <is>
          <t>Vivo Keyd Stars</t>
        </is>
      </c>
      <c r="AU143" s="24" t="inlineStr">
        <is>
          <t>Vivo Keyd Stars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ca3f75f120258ecf2f70b8a4e6a8ada5ba0cd1132762c539b6789737e5ec835d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ca3f75f120258ecf2f70b8a4e6a8ada5ba0cd1132762c539b6789737e5ec835d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2026-09-05T10:06:00.655342Z</t>
        </is>
      </c>
      <c r="BI143" s="24" t="inlineStr">
        <is>
          <t>["same_event","same_team_same_day","same_league_same_day"]</t>
        </is>
      </c>
      <c r="BJ143" s="25" t="n"/>
      <c r="BK143" s="26" t="n">
        <v>-203</v>
      </c>
      <c r="BL143" s="27" t="n">
        <v>1.492611</v>
      </c>
      <c r="BM143" s="28" t="n">
        <v>0.669967</v>
      </c>
      <c r="BN143" s="28" t="n"/>
      <c r="BO143" s="28" t="n"/>
      <c r="BP143" s="25" t="n"/>
      <c r="BQ143" s="27" t="n">
        <v>1.492611</v>
      </c>
      <c r="BR143" s="28" t="n">
        <v>0.67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0.669967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703c227ada884e36</t>
        </is>
      </c>
      <c r="B144" s="24" t="inlineStr">
        <is>
          <t>2026-09-05T16:06:11.425316Z</t>
        </is>
      </c>
      <c r="C144" s="24" t="inlineStr">
        <is>
          <t>2026-09-05T20:00:00Z</t>
        </is>
      </c>
      <c r="D144" s="24" t="inlineStr">
        <is>
          <t>101180</t>
        </is>
      </c>
      <c r="E144" s="24" t="inlineStr">
        <is>
          <t>LOL</t>
        </is>
      </c>
      <c r="F144" s="24" t="inlineStr">
        <is>
          <t>Cloud9</t>
        </is>
      </c>
      <c r="G144" s="24" t="inlineStr">
        <is>
          <t>Sentinels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-144</v>
      </c>
      <c r="M144" s="27" t="n">
        <v>1.694444</v>
      </c>
      <c r="N144" s="28" t="n">
        <v>0.590164</v>
      </c>
      <c r="O144" s="28" t="n">
        <v>0.512862</v>
      </c>
      <c r="P144" s="28" t="n"/>
      <c r="Q144" s="28" t="n">
        <v>-0.077302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-144</v>
      </c>
      <c r="AA144" s="28" t="n">
        <v>0.59</v>
      </c>
      <c r="AB144" s="28" t="n">
        <v>-0.000164</v>
      </c>
      <c r="AC144" s="30" t="n">
        <v>0.6944</v>
      </c>
      <c r="AD144" s="24" t="inlineStr">
        <is>
          <t>2026-09-06T04:33:48.515489Z</t>
        </is>
      </c>
      <c r="AE144" s="31" t="inlineStr">
        <is>
          <t>Neutral Elo baseline; executable ask 0.5900 (market_slug=aec-lol-sen-c9-2026-09-05).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Cloud9</t>
        </is>
      </c>
      <c r="AQ144" s="24" t="inlineStr">
        <is>
          <t>Cloud9</t>
        </is>
      </c>
      <c r="AR144" s="24" t="inlineStr">
        <is>
          <t>Cloud9</t>
        </is>
      </c>
      <c r="AS144" s="24" t="inlineStr">
        <is>
          <t>Sentinels</t>
        </is>
      </c>
      <c r="AT144" s="24" t="inlineStr">
        <is>
          <t>Sentinels</t>
        </is>
      </c>
      <c r="AU144" s="24" t="inlineStr">
        <is>
          <t>Sentinels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0c798f45d42262a85dc67a7d9ba7558b84e351df762af82172e3761ead9f6b32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0c798f45d42262a85dc67a7d9ba7558b84e351df762af82172e3761ead9f6b32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2026-09-05T16:06:09.953163Z</t>
        </is>
      </c>
      <c r="BI144" s="24" t="inlineStr">
        <is>
          <t>["same_event","same_team_same_day","same_league_same_day"]</t>
        </is>
      </c>
      <c r="BJ144" s="25" t="n"/>
      <c r="BK144" s="26" t="n">
        <v>-144</v>
      </c>
      <c r="BL144" s="27" t="n">
        <v>1.694444</v>
      </c>
      <c r="BM144" s="28" t="n">
        <v>0.590164</v>
      </c>
      <c r="BN144" s="28" t="n"/>
      <c r="BO144" s="28" t="n"/>
      <c r="BP144" s="25" t="n"/>
      <c r="BQ144" s="27" t="n">
        <v>1.694444</v>
      </c>
      <c r="BR144" s="28" t="n">
        <v>0.59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0.590164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8c1779dad16c4f26</t>
        </is>
      </c>
      <c r="B145" s="24" t="inlineStr">
        <is>
          <t>2026-09-06T04:36:30.279309Z</t>
        </is>
      </c>
      <c r="C145" s="24" t="inlineStr">
        <is>
          <t>2026-09-06T06:00:00Z</t>
        </is>
      </c>
      <c r="D145" s="24" t="inlineStr">
        <is>
          <t>103106</t>
        </is>
      </c>
      <c r="E145" s="24" t="inlineStr">
        <is>
          <t>LOL</t>
        </is>
      </c>
      <c r="F145" s="24" t="inlineStr">
        <is>
          <t>Invictus Gaming</t>
        </is>
      </c>
      <c r="G145" s="24" t="inlineStr">
        <is>
          <t>Team WE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-156</v>
      </c>
      <c r="M145" s="27" t="n">
        <v>1.641026</v>
      </c>
      <c r="N145" s="28" t="n">
        <v>0.609375</v>
      </c>
      <c r="O145" s="28" t="n">
        <v>0.52434</v>
      </c>
      <c r="P145" s="28" t="n"/>
      <c r="Q145" s="28" t="n">
        <v>-0.085035</v>
      </c>
      <c r="R145" s="26" t="n">
        <v>0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-156</v>
      </c>
      <c r="AA145" s="28" t="n">
        <v>0.61</v>
      </c>
      <c r="AB145" s="28" t="n">
        <v>0.000625</v>
      </c>
      <c r="AC145" s="30" t="n">
        <v>0.641</v>
      </c>
      <c r="AD145" s="24" t="inlineStr">
        <is>
          <t>2026-09-06T16:01:49.426040Z</t>
        </is>
      </c>
      <c r="AE145" s="31" t="inlineStr">
        <is>
          <t>Neutral Elo baseline; executable ask 0.6100 (market_slug=aec-lol-we-ig-2026-09-06).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Invictus Gaming</t>
        </is>
      </c>
      <c r="AQ145" s="24" t="inlineStr">
        <is>
          <t>Invictus Gaming</t>
        </is>
      </c>
      <c r="AR145" s="24" t="inlineStr">
        <is>
          <t>Invictus Gaming</t>
        </is>
      </c>
      <c r="AS145" s="24" t="inlineStr">
        <is>
          <t>Team WE</t>
        </is>
      </c>
      <c r="AT145" s="24" t="inlineStr">
        <is>
          <t>Team WE</t>
        </is>
      </c>
      <c r="AU145" s="24" t="inlineStr">
        <is>
          <t>Team WE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0d8ed55efe53c87fe53f3022f0881fa9bc185930a48aa23359ff61a2431b739f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0d8ed55efe53c87fe53f3022f0881fa9bc185930a48aa23359ff61a2431b739f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2026-09-06T04:36:27.698250Z</t>
        </is>
      </c>
      <c r="BI145" s="24" t="inlineStr">
        <is>
          <t>["same_event","same_team_same_day","same_league_same_day"]</t>
        </is>
      </c>
      <c r="BJ145" s="25" t="n"/>
      <c r="BK145" s="26" t="n">
        <v>-156</v>
      </c>
      <c r="BL145" s="27" t="n">
        <v>1.641026</v>
      </c>
      <c r="BM145" s="28" t="n">
        <v>0.609375</v>
      </c>
      <c r="BN145" s="28" t="n"/>
      <c r="BO145" s="28" t="n"/>
      <c r="BP145" s="25" t="n"/>
      <c r="BQ145" s="27" t="n">
        <v>1.641026</v>
      </c>
      <c r="BR145" s="28" t="n">
        <v>0.61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0.609375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774f833cfecc44ec</t>
        </is>
      </c>
      <c r="B146" s="24" t="inlineStr">
        <is>
          <t>2026-09-06T04:36:30.279309Z</t>
        </is>
      </c>
      <c r="C146" s="24" t="inlineStr">
        <is>
          <t>2026-09-06T08:00:00Z</t>
        </is>
      </c>
      <c r="D146" s="24" t="inlineStr">
        <is>
          <t>102376</t>
        </is>
      </c>
      <c r="E146" s="24" t="inlineStr">
        <is>
          <t>LOL</t>
        </is>
      </c>
      <c r="F146" s="24" t="inlineStr">
        <is>
          <t>T1</t>
        </is>
      </c>
      <c r="G146" s="24" t="inlineStr">
        <is>
          <t>Dplus KIA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138</v>
      </c>
      <c r="M146" s="27" t="n">
        <v>2.38</v>
      </c>
      <c r="N146" s="28" t="n">
        <v>0.420168</v>
      </c>
      <c r="O146" s="28" t="n">
        <v>0.599875</v>
      </c>
      <c r="P146" s="28" t="n"/>
      <c r="Q146" s="28" t="n">
        <v>0.179707</v>
      </c>
      <c r="R146" s="26" t="n">
        <v>100</v>
      </c>
      <c r="S146" s="29" t="n">
        <v>1.75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138</v>
      </c>
      <c r="AA146" s="28" t="n">
        <v>0.42</v>
      </c>
      <c r="AB146" s="28" t="n">
        <v>-0.000168</v>
      </c>
      <c r="AC146" s="30" t="n">
        <v>-1.75</v>
      </c>
      <c r="AD146" s="24" t="inlineStr">
        <is>
          <t>2026-09-06T16:01:49.746888Z</t>
        </is>
      </c>
      <c r="AE146" s="31" t="inlineStr">
        <is>
          <t>Neutral Elo baseline; executable ask 0.4200 (market_slug=aec-lol-dk-t1-2026-09-06).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T1</t>
        </is>
      </c>
      <c r="AQ146" s="24" t="inlineStr">
        <is>
          <t>T1</t>
        </is>
      </c>
      <c r="AR146" s="24" t="inlineStr">
        <is>
          <t>T1</t>
        </is>
      </c>
      <c r="AS146" s="24" t="inlineStr">
        <is>
          <t>Dplus KIA</t>
        </is>
      </c>
      <c r="AT146" s="24" t="inlineStr">
        <is>
          <t>Dplus KIA</t>
        </is>
      </c>
      <c r="AU146" s="24" t="inlineStr">
        <is>
          <t>Dplus KIA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0d8ed55efe53c87fe53f3022f0881fa9bc185930a48aa23359ff61a2431b739f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0d8ed55efe53c87fe53f3022f0881fa9bc185930a48aa23359ff61a2431b739f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2026-09-06T04:36:27.762925Z</t>
        </is>
      </c>
      <c r="BI146" s="24" t="inlineStr">
        <is>
          <t>["same_event","same_team_same_day","same_league_same_day"]</t>
        </is>
      </c>
      <c r="BJ146" s="25" t="n"/>
      <c r="BK146" s="26" t="n">
        <v>138</v>
      </c>
      <c r="BL146" s="27" t="n">
        <v>2.38</v>
      </c>
      <c r="BM146" s="28" t="n">
        <v>0.420168</v>
      </c>
      <c r="BN146" s="28" t="n"/>
      <c r="BO146" s="28" t="n"/>
      <c r="BP146" s="25" t="n"/>
      <c r="BQ146" s="27" t="n">
        <v>2.38</v>
      </c>
      <c r="BR146" s="28" t="n">
        <v>0.42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0.420168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61f6c12a95fc4202</t>
        </is>
      </c>
      <c r="B147" s="24" t="inlineStr">
        <is>
          <t>2026-09-06T04:36:30.279309Z</t>
        </is>
      </c>
      <c r="C147" s="24" t="inlineStr">
        <is>
          <t>2026-09-06T09:00:00Z</t>
        </is>
      </c>
      <c r="D147" s="24" t="inlineStr">
        <is>
          <t>103247</t>
        </is>
      </c>
      <c r="E147" s="24" t="inlineStr">
        <is>
          <t>LOL</t>
        </is>
      </c>
      <c r="F147" s="24" t="inlineStr">
        <is>
          <t>Ninjas in Pyjamas</t>
        </is>
      </c>
      <c r="G147" s="24" t="inlineStr">
        <is>
          <t>LGD Gaming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-178</v>
      </c>
      <c r="M147" s="27" t="n">
        <v>1.561798</v>
      </c>
      <c r="N147" s="28" t="n">
        <v>0.640288</v>
      </c>
      <c r="O147" s="28" t="n">
        <v>0.632953</v>
      </c>
      <c r="P147" s="28" t="n"/>
      <c r="Q147" s="28" t="n">
        <v>-0.007335</v>
      </c>
      <c r="R147" s="26" t="n">
        <v>16</v>
      </c>
      <c r="S147" s="29" t="n">
        <v>1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-178</v>
      </c>
      <c r="AA147" s="28" t="n">
        <v>0.64</v>
      </c>
      <c r="AB147" s="28" t="n">
        <v>-0.000288</v>
      </c>
      <c r="AC147" s="30" t="n">
        <v>-1</v>
      </c>
      <c r="AD147" s="24" t="inlineStr">
        <is>
          <t>2026-09-06T16:01:50.072552Z</t>
        </is>
      </c>
      <c r="AE147" s="31" t="inlineStr">
        <is>
          <t>Neutral Elo baseline; executable ask 0.6400 (market_slug=aec-lol-lgd-nip-2026-09-06).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Ninjas in Pyjamas</t>
        </is>
      </c>
      <c r="AQ147" s="24" t="inlineStr">
        <is>
          <t>Ninjas in Pyjamas</t>
        </is>
      </c>
      <c r="AR147" s="24" t="inlineStr">
        <is>
          <t>Ninjas in Pyjamas</t>
        </is>
      </c>
      <c r="AS147" s="24" t="inlineStr">
        <is>
          <t>LGD Gaming</t>
        </is>
      </c>
      <c r="AT147" s="24" t="inlineStr">
        <is>
          <t>LGD Gaming</t>
        </is>
      </c>
      <c r="AU147" s="24" t="inlineStr">
        <is>
          <t>LGD Gaming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0d8ed55efe53c87fe53f3022f0881fa9bc185930a48aa23359ff61a2431b739f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0d8ed55efe53c87fe53f3022f0881fa9bc185930a48aa23359ff61a2431b739f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2026-09-06T04:36:27.829936Z</t>
        </is>
      </c>
      <c r="BI147" s="24" t="inlineStr">
        <is>
          <t>["same_event","same_team_same_day","same_league_same_day"]</t>
        </is>
      </c>
      <c r="BJ147" s="25" t="n"/>
      <c r="BK147" s="26" t="n">
        <v>-178</v>
      </c>
      <c r="BL147" s="27" t="n">
        <v>1.561798</v>
      </c>
      <c r="BM147" s="28" t="n">
        <v>0.640288</v>
      </c>
      <c r="BN147" s="28" t="n"/>
      <c r="BO147" s="28" t="n"/>
      <c r="BP147" s="25" t="n"/>
      <c r="BQ147" s="27" t="n">
        <v>1.561798</v>
      </c>
      <c r="BR147" s="28" t="n">
        <v>0.64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0.640288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00953f8f953545fe</t>
        </is>
      </c>
      <c r="B148" s="24" t="inlineStr">
        <is>
          <t>2026-09-06T04:36:30.279309Z</t>
        </is>
      </c>
      <c r="C148" s="24" t="inlineStr">
        <is>
          <t>2026-09-06T10:00:00Z</t>
        </is>
      </c>
      <c r="D148" s="24" t="inlineStr">
        <is>
          <t>101543</t>
        </is>
      </c>
      <c r="E148" s="24" t="inlineStr">
        <is>
          <t>LOL</t>
        </is>
      </c>
      <c r="F148" s="24" t="inlineStr">
        <is>
          <t>⁠Movistar KOI Fénix</t>
        </is>
      </c>
      <c r="G148" s="24" t="inlineStr">
        <is>
          <t>Team Heretics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0.552962</v>
      </c>
      <c r="P148" s="28" t="n"/>
      <c r="Q148" s="28" t="n">
        <v>0.033731</v>
      </c>
      <c r="R148" s="26" t="n">
        <v>37</v>
      </c>
      <c r="S148" s="29" t="n">
        <v>1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2026-09-06T16:01:50.361054Z</t>
        </is>
      </c>
      <c r="AE148" s="31" t="inlineStr">
        <is>
          <t>Neutral Elo baseline; executable ask 0.5200 (market_slug=aec-lol-hrts-mkf-2026-09-06).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⁠Movistar KOI Fénix</t>
        </is>
      </c>
      <c r="AQ148" s="24" t="inlineStr">
        <is>
          <t>⁠Movistar KOI Fénix</t>
        </is>
      </c>
      <c r="AR148" s="24" t="inlineStr">
        <is>
          <t>⁠Movistar KOI Fénix</t>
        </is>
      </c>
      <c r="AS148" s="24" t="inlineStr">
        <is>
          <t>Team Heretics Academy</t>
        </is>
      </c>
      <c r="AT148" s="24" t="inlineStr">
        <is>
          <t>Team Heretics Academy</t>
        </is>
      </c>
      <c r="AU148" s="24" t="inlineStr">
        <is>
          <t>Team Heretics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0d8ed55efe53c87fe53f3022f0881fa9bc185930a48aa23359ff61a2431b739f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0d8ed55efe53c87fe53f3022f0881fa9bc185930a48aa23359ff61a2431b739f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2026-09-06T04:36:27.894024Z</t>
        </is>
      </c>
      <c r="BI148" s="24" t="inlineStr">
        <is>
          <t>["same_event","same_team_same_day","same_league_same_day"]</t>
        </is>
      </c>
      <c r="BJ148" s="25" t="n"/>
      <c r="BK148" s="26" t="n">
        <v>-108</v>
      </c>
      <c r="BL148" s="27" t="n">
        <v>1.925926</v>
      </c>
      <c r="BM148" s="28" t="n">
        <v>0.519231</v>
      </c>
      <c r="BN148" s="28" t="n"/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af19e00703064a3a</t>
        </is>
      </c>
      <c r="B149" s="24" t="inlineStr">
        <is>
          <t>2026-09-06T16:03:59.382966Z</t>
        </is>
      </c>
      <c r="C149" s="24" t="inlineStr">
        <is>
          <t>2026-09-06T20:00:00Z</t>
        </is>
      </c>
      <c r="D149" s="24" t="inlineStr">
        <is>
          <t>102087</t>
        </is>
      </c>
      <c r="E149" s="24" t="inlineStr">
        <is>
          <t>LOL</t>
        </is>
      </c>
      <c r="F149" s="24" t="inlineStr">
        <is>
          <t>FlyQuest</t>
        </is>
      </c>
      <c r="G149" s="24" t="inlineStr">
        <is>
          <t>Shopify Rebellion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-194</v>
      </c>
      <c r="M149" s="27" t="n">
        <v>1.515464</v>
      </c>
      <c r="N149" s="28" t="n">
        <v>0.659864</v>
      </c>
      <c r="O149" s="28" t="n">
        <v>0.581166</v>
      </c>
      <c r="P149" s="28" t="n"/>
      <c r="Q149" s="28" t="n">
        <v>-0.078698</v>
      </c>
      <c r="R149" s="26" t="n">
        <v>0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-194</v>
      </c>
      <c r="AA149" s="28" t="n">
        <v>0.66</v>
      </c>
      <c r="AB149" s="28" t="n">
        <v>0.000136</v>
      </c>
      <c r="AC149" s="30" t="n">
        <v>0.5155</v>
      </c>
      <c r="AD149" s="24" t="inlineStr">
        <is>
          <t>2026-09-06T22:02:55.367491Z</t>
        </is>
      </c>
      <c r="AE149" s="31" t="inlineStr">
        <is>
          <t>Neutral Elo baseline; executable ask 0.6600 (market_slug=aec-lol-sr-fly-2026-09-06).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FlyQuest</t>
        </is>
      </c>
      <c r="AQ149" s="24" t="inlineStr">
        <is>
          <t>FlyQuest</t>
        </is>
      </c>
      <c r="AR149" s="24" t="inlineStr">
        <is>
          <t>FlyQuest</t>
        </is>
      </c>
      <c r="AS149" s="24" t="inlineStr">
        <is>
          <t>Shopify Rebellion</t>
        </is>
      </c>
      <c r="AT149" s="24" t="inlineStr">
        <is>
          <t>Shopify Rebellion</t>
        </is>
      </c>
      <c r="AU149" s="24" t="inlineStr">
        <is>
          <t>Shopify Rebellion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35772be2aa5247fe7db89682c37f89294eacc9f178aa5f1d247f60dcdcdd48e0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35772be2aa5247fe7db89682c37f89294eacc9f178aa5f1d247f60dcdcdd48e0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2026-09-06T16:03:58.116364Z</t>
        </is>
      </c>
      <c r="BI149" s="24" t="inlineStr">
        <is>
          <t>["same_event","same_team_same_day","same_league_same_day"]</t>
        </is>
      </c>
      <c r="BJ149" s="25" t="n"/>
      <c r="BK149" s="26" t="n">
        <v>-194</v>
      </c>
      <c r="BL149" s="27" t="n">
        <v>1.515464</v>
      </c>
      <c r="BM149" s="28" t="n">
        <v>0.659864</v>
      </c>
      <c r="BN149" s="28" t="n"/>
      <c r="BO149" s="28" t="n"/>
      <c r="BP149" s="25" t="n"/>
      <c r="BQ149" s="27" t="n">
        <v>1.515464</v>
      </c>
      <c r="BR149" s="28" t="n">
        <v>0.66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0.659864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53dc455711da4a6a</t>
        </is>
      </c>
      <c r="B150" s="24" t="inlineStr">
        <is>
          <t>2026-09-07T10:03:22.964583Z</t>
        </is>
      </c>
      <c r="C150" s="24" t="inlineStr">
        <is>
          <t>2026-09-07T16:00:00Z</t>
        </is>
      </c>
      <c r="D150" s="24" t="inlineStr">
        <is>
          <t>102465</t>
        </is>
      </c>
      <c r="E150" s="24" t="inlineStr">
        <is>
          <t>LOL</t>
        </is>
      </c>
      <c r="F150" s="24" t="inlineStr">
        <is>
          <t>Ruddy Corporation</t>
        </is>
      </c>
      <c r="G150" s="24" t="inlineStr">
        <is>
          <t>Arctic Pandas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163</v>
      </c>
      <c r="M150" s="27" t="n">
        <v>2.63</v>
      </c>
      <c r="N150" s="28" t="n">
        <v>0.380228</v>
      </c>
      <c r="O150" s="28" t="n">
        <v>0.578699</v>
      </c>
      <c r="P150" s="28" t="n"/>
      <c r="Q150" s="28" t="n">
        <v>0.198471</v>
      </c>
      <c r="R150" s="26" t="n">
        <v>100</v>
      </c>
      <c r="S150" s="29" t="n">
        <v>2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233</v>
      </c>
      <c r="AA150" s="28" t="n">
        <v>0.3</v>
      </c>
      <c r="AB150" s="28" t="n">
        <v>-0.08022799999999999</v>
      </c>
      <c r="AC150" s="30" t="n">
        <v>-2</v>
      </c>
      <c r="AD150" s="24" t="inlineStr">
        <is>
          <t>2026-09-07T22:03:02.083362Z</t>
        </is>
      </c>
      <c r="AE150" s="31" t="inlineStr">
        <is>
          <t>Neutral Elo baseline; executable ask 0.3800 (market_slug=aec-lol-ap-rud-2026-09-07).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Ruddy Corporation</t>
        </is>
      </c>
      <c r="AQ150" s="24" t="inlineStr">
        <is>
          <t>Ruddy Corporation</t>
        </is>
      </c>
      <c r="AR150" s="24" t="inlineStr">
        <is>
          <t>Ruddy Corporation</t>
        </is>
      </c>
      <c r="AS150" s="24" t="inlineStr">
        <is>
          <t>Arctic Pandas</t>
        </is>
      </c>
      <c r="AT150" s="24" t="inlineStr">
        <is>
          <t>Arctic Pandas</t>
        </is>
      </c>
      <c r="AU150" s="24" t="inlineStr">
        <is>
          <t>Arctic Pandas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ea7ec9239fa191821f308820c1ee4df867938e26632f5fa20f672e01287abd83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ea7ec9239fa191821f308820c1ee4df867938e26632f5fa20f672e01287abd83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2026-09-07T10:03:21.413056Z</t>
        </is>
      </c>
      <c r="BI150" s="24" t="inlineStr">
        <is>
          <t>["same_event","same_team_same_day","same_league_same_day"]</t>
        </is>
      </c>
      <c r="BJ150" s="25" t="n"/>
      <c r="BK150" s="26" t="n">
        <v>163</v>
      </c>
      <c r="BL150" s="27" t="n">
        <v>2.63</v>
      </c>
      <c r="BM150" s="28" t="n">
        <v>0.380228</v>
      </c>
      <c r="BN150" s="28" t="n"/>
      <c r="BO150" s="28" t="n"/>
      <c r="BP150" s="25" t="n"/>
      <c r="BQ150" s="27" t="n">
        <v>3.33</v>
      </c>
      <c r="BR150" s="28" t="n">
        <v>0.3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0.380228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8f4dc2ccf4754e91</t>
        </is>
      </c>
      <c r="B151" s="24" t="inlineStr">
        <is>
          <t>2026-09-07T16:03:47.642088Z</t>
        </is>
      </c>
      <c r="C151" s="24" t="inlineStr">
        <is>
          <t>2026-09-07T18:00:00Z</t>
        </is>
      </c>
      <c r="D151" s="24" t="inlineStr">
        <is>
          <t>102506</t>
        </is>
      </c>
      <c r="E151" s="24" t="inlineStr">
        <is>
          <t>LOL</t>
        </is>
      </c>
      <c r="F151" s="24" t="inlineStr">
        <is>
          <t>The Otter Side</t>
        </is>
      </c>
      <c r="G151" s="24" t="inlineStr">
        <is>
          <t>Bubliki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-127</v>
      </c>
      <c r="M151" s="27" t="n">
        <v>1.787402</v>
      </c>
      <c r="N151" s="28" t="n">
        <v>0.5594710000000001</v>
      </c>
      <c r="O151" s="28" t="n">
        <v>0.58009</v>
      </c>
      <c r="P151" s="28" t="n"/>
      <c r="Q151" s="28" t="n">
        <v>0.020619</v>
      </c>
      <c r="R151" s="26" t="n">
        <v>30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-127</v>
      </c>
      <c r="AA151" s="28" t="n">
        <v>0.5600000000000001</v>
      </c>
      <c r="AB151" s="28" t="n">
        <v>0.000529</v>
      </c>
      <c r="AC151" s="30" t="n">
        <v>0.7874</v>
      </c>
      <c r="AD151" s="24" t="inlineStr">
        <is>
          <t>2026-09-07T22:03:02.528596Z</t>
        </is>
      </c>
      <c r="AE151" s="31" t="inlineStr">
        <is>
          <t>Neutral Elo baseline; executable ask 0.5600 (market_slug=aec-lol-bub-tos-2026-09-07).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The Otter Side</t>
        </is>
      </c>
      <c r="AQ151" s="24" t="inlineStr">
        <is>
          <t>The Otter Side</t>
        </is>
      </c>
      <c r="AR151" s="24" t="inlineStr">
        <is>
          <t>The Otter Side</t>
        </is>
      </c>
      <c r="AS151" s="24" t="inlineStr">
        <is>
          <t>Bubliki</t>
        </is>
      </c>
      <c r="AT151" s="24" t="inlineStr">
        <is>
          <t>Bubliki</t>
        </is>
      </c>
      <c r="AU151" s="24" t="inlineStr">
        <is>
          <t>Bubliki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c8da128bbd8924105b4c036d1a0127c7c17a0faf203d33a9ce18b806b31aceac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c8da128bbd8924105b4c036d1a0127c7c17a0faf203d33a9ce18b806b31aceac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2026-09-07T16:03:46.166417Z</t>
        </is>
      </c>
      <c r="BI151" s="24" t="inlineStr">
        <is>
          <t>["same_event","same_team_same_day","same_league_same_day"]</t>
        </is>
      </c>
      <c r="BJ151" s="25" t="n"/>
      <c r="BK151" s="26" t="n">
        <v>-127</v>
      </c>
      <c r="BL151" s="27" t="n">
        <v>1.787402</v>
      </c>
      <c r="BM151" s="28" t="n">
        <v>0.5594710000000001</v>
      </c>
      <c r="BN151" s="28" t="n"/>
      <c r="BO151" s="28" t="n"/>
      <c r="BP151" s="25" t="n"/>
      <c r="BQ151" s="27" t="n">
        <v>1.787402</v>
      </c>
      <c r="BR151" s="28" t="n">
        <v>0.5600000000000001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0.559471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ce56705070e7428b</t>
        </is>
      </c>
      <c r="B152" s="24" t="inlineStr">
        <is>
          <t>2026-09-07T16:03:47.642088Z</t>
        </is>
      </c>
      <c r="C152" s="24" t="inlineStr">
        <is>
          <t>2026-09-07T20:00:00Z</t>
        </is>
      </c>
      <c r="D152" s="24" t="inlineStr">
        <is>
          <t>102820</t>
        </is>
      </c>
      <c r="E152" s="24" t="inlineStr">
        <is>
          <t>LOL</t>
        </is>
      </c>
      <c r="F152" s="24" t="inlineStr">
        <is>
          <t>KaBuM! Ilha das Lendas</t>
        </is>
      </c>
      <c r="G152" s="24" t="inlineStr">
        <is>
          <t>INTZ e-Sports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122</v>
      </c>
      <c r="M152" s="27" t="n">
        <v>2.22</v>
      </c>
      <c r="N152" s="28" t="n">
        <v>0.45045</v>
      </c>
      <c r="O152" s="28" t="n">
        <v>0.503819</v>
      </c>
      <c r="P152" s="28" t="n"/>
      <c r="Q152" s="28" t="n">
        <v>0.053369</v>
      </c>
      <c r="R152" s="26" t="n">
        <v>47</v>
      </c>
      <c r="S152" s="29" t="n">
        <v>1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122</v>
      </c>
      <c r="AA152" s="28" t="n">
        <v>0.45</v>
      </c>
      <c r="AB152" s="28" t="n">
        <v>-0.00045</v>
      </c>
      <c r="AC152" s="30" t="n">
        <v>-1</v>
      </c>
      <c r="AD152" s="24" t="inlineStr">
        <is>
          <t>2026-09-08T04:32:40.464287Z</t>
        </is>
      </c>
      <c r="AE152" s="31" t="inlineStr">
        <is>
          <t>Neutral Elo baseline; executable ask 0.4500 (market_slug=aec-lol-itz-kbm-2026-09-07).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KaBuM! Ilha das Lendas</t>
        </is>
      </c>
      <c r="AQ152" s="24" t="inlineStr">
        <is>
          <t>KaBuM! Ilha das Lendas</t>
        </is>
      </c>
      <c r="AR152" s="24" t="inlineStr">
        <is>
          <t>KaBuM! Ilha das Lendas</t>
        </is>
      </c>
      <c r="AS152" s="24" t="inlineStr">
        <is>
          <t>INTZ e-Sports</t>
        </is>
      </c>
      <c r="AT152" s="24" t="inlineStr">
        <is>
          <t>INTZ e-Sports</t>
        </is>
      </c>
      <c r="AU152" s="24" t="inlineStr">
        <is>
          <t>INTZ e-Sports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c8da128bbd8924105b4c036d1a0127c7c17a0faf203d33a9ce18b806b31aceac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c8da128bbd8924105b4c036d1a0127c7c17a0faf203d33a9ce18b806b31aceac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2026-09-07T16:03:46.236177Z</t>
        </is>
      </c>
      <c r="BI152" s="24" t="inlineStr">
        <is>
          <t>["same_event","same_team_same_day","same_league_same_day"]</t>
        </is>
      </c>
      <c r="BJ152" s="25" t="n"/>
      <c r="BK152" s="26" t="n">
        <v>122</v>
      </c>
      <c r="BL152" s="27" t="n">
        <v>2.22</v>
      </c>
      <c r="BM152" s="28" t="n">
        <v>0.45045</v>
      </c>
      <c r="BN152" s="28" t="n"/>
      <c r="BO152" s="28" t="n"/>
      <c r="BP152" s="25" t="n"/>
      <c r="BQ152" s="27" t="n">
        <v>2.22</v>
      </c>
      <c r="BR152" s="28" t="n">
        <v>0.45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0.45045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d6b0ea13634e4956</t>
        </is>
      </c>
      <c r="B153" s="24" t="inlineStr">
        <is>
          <t>2026-09-07T22:04:57.350389Z</t>
        </is>
      </c>
      <c r="C153" s="24" t="inlineStr">
        <is>
          <t>2026-09-07T23:00:00Z</t>
        </is>
      </c>
      <c r="D153" s="24" t="inlineStr">
        <is>
          <t>102887</t>
        </is>
      </c>
      <c r="E153" s="24" t="inlineStr">
        <is>
          <t>LOL</t>
        </is>
      </c>
      <c r="F153" s="24" t="inlineStr">
        <is>
          <t>Fuego</t>
        </is>
      </c>
      <c r="G153" s="24" t="inlineStr">
        <is>
          <t>Zeu5 Esports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-223</v>
      </c>
      <c r="M153" s="27" t="n">
        <v>1.44843</v>
      </c>
      <c r="N153" s="28" t="n">
        <v>0.690402</v>
      </c>
      <c r="O153" s="28" t="n">
        <v>0.523689</v>
      </c>
      <c r="P153" s="28" t="n"/>
      <c r="Q153" s="28" t="n">
        <v>-0.166713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-223</v>
      </c>
      <c r="AA153" s="28" t="n">
        <v>0.6899999999999999</v>
      </c>
      <c r="AB153" s="28" t="n">
        <v>-0.000402</v>
      </c>
      <c r="AC153" s="30" t="n">
        <v>0.4484</v>
      </c>
      <c r="AD153" s="24" t="inlineStr">
        <is>
          <t>2026-09-08T04:32:41.179164Z</t>
        </is>
      </c>
      <c r="AE153" s="31" t="inlineStr">
        <is>
          <t>Neutral Elo baseline; executable ask 0.6900 (market_slug=aec-lol-z5-fue-2026-09-07).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Fuego</t>
        </is>
      </c>
      <c r="AQ153" s="24" t="inlineStr">
        <is>
          <t>Fuego</t>
        </is>
      </c>
      <c r="AR153" s="24" t="inlineStr">
        <is>
          <t>Fuego</t>
        </is>
      </c>
      <c r="AS153" s="24" t="inlineStr">
        <is>
          <t>Zeu5 Esports</t>
        </is>
      </c>
      <c r="AT153" s="24" t="inlineStr">
        <is>
          <t>Zeu5 Esports</t>
        </is>
      </c>
      <c r="AU153" s="24" t="inlineStr">
        <is>
          <t>Zeu5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9635253fbdfdf405add96dc2900a1cbff82998b1dc4fa3ec20e4da89e32ec8f5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9635253fbdfdf405add96dc2900a1cbff82998b1dc4fa3ec20e4da89e32ec8f5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2026-09-07T22:04:56.096898Z</t>
        </is>
      </c>
      <c r="BI153" s="24" t="inlineStr">
        <is>
          <t>["same_event","same_team_same_day","same_league_same_day"]</t>
        </is>
      </c>
      <c r="BJ153" s="25" t="n"/>
      <c r="BK153" s="26" t="n">
        <v>-223</v>
      </c>
      <c r="BL153" s="27" t="n">
        <v>1.44843</v>
      </c>
      <c r="BM153" s="28" t="n">
        <v>0.690402</v>
      </c>
      <c r="BN153" s="28" t="n"/>
      <c r="BO153" s="28" t="n"/>
      <c r="BP153" s="25" t="n"/>
      <c r="BQ153" s="27" t="n">
        <v>1.44843</v>
      </c>
      <c r="BR153" s="28" t="n">
        <v>0.6899999999999999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0.690402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b8f05aea8adc445e</t>
        </is>
      </c>
      <c r="B154" s="24" t="inlineStr">
        <is>
          <t>2026-09-08T04:36:08.778671Z</t>
        </is>
      </c>
      <c r="C154" s="24" t="inlineStr">
        <is>
          <t>2026-09-08T05:00:00Z</t>
        </is>
      </c>
      <c r="D154" s="24" t="inlineStr">
        <is>
          <t>103001</t>
        </is>
      </c>
      <c r="E154" s="24" t="inlineStr">
        <is>
          <t>LOL</t>
        </is>
      </c>
      <c r="F154" s="24" t="inlineStr">
        <is>
          <t>KT Rolster Challengers</t>
        </is>
      </c>
      <c r="G154" s="24" t="inlineStr">
        <is>
          <t>T1 Academy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-186</v>
      </c>
      <c r="M154" s="27" t="n">
        <v>1.537634</v>
      </c>
      <c r="N154" s="28" t="n">
        <v>0.65035</v>
      </c>
      <c r="O154" s="28" t="n">
        <v>0.535413</v>
      </c>
      <c r="P154" s="28" t="n"/>
      <c r="Q154" s="28" t="n">
        <v>-0.114937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-186</v>
      </c>
      <c r="AA154" s="28" t="n">
        <v>0.65</v>
      </c>
      <c r="AB154" s="28" t="n">
        <v>-0.00035</v>
      </c>
      <c r="AC154" s="30" t="n">
        <v>0.5376</v>
      </c>
      <c r="AD154" s="24" t="inlineStr">
        <is>
          <t>2026-09-08T16:03:31.232819Z</t>
        </is>
      </c>
      <c r="AE154" s="31" t="inlineStr">
        <is>
          <t>Neutral Elo baseline; executable ask 0.6500 (market_slug=aec-lol-t1a-ktc-2026-09-08).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KT Rolster Challengers</t>
        </is>
      </c>
      <c r="AQ154" s="24" t="inlineStr">
        <is>
          <t>KT Rolster Challengers</t>
        </is>
      </c>
      <c r="AR154" s="24" t="inlineStr">
        <is>
          <t>KT Rolster Challengers</t>
        </is>
      </c>
      <c r="AS154" s="24" t="inlineStr">
        <is>
          <t>T1 Academy</t>
        </is>
      </c>
      <c r="AT154" s="24" t="inlineStr">
        <is>
          <t>T1 Academy</t>
        </is>
      </c>
      <c r="AU154" s="24" t="inlineStr">
        <is>
          <t>T1 Academy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94331a30c9ae4094d36c9acc3dbc6c9c77a60df6b7dd2a123829f9ff406ddf4c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94331a30c9ae4094d36c9acc3dbc6c9c77a60df6b7dd2a123829f9ff406ddf4c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2026-09-08T04:36:07.608804Z</t>
        </is>
      </c>
      <c r="BI154" s="24" t="inlineStr">
        <is>
          <t>["same_event","same_team_same_day","same_league_same_day"]</t>
        </is>
      </c>
      <c r="BJ154" s="25" t="n"/>
      <c r="BK154" s="26" t="n">
        <v>-186</v>
      </c>
      <c r="BL154" s="27" t="n">
        <v>1.537634</v>
      </c>
      <c r="BM154" s="28" t="n">
        <v>0.65035</v>
      </c>
      <c r="BN154" s="28" t="n"/>
      <c r="BO154" s="28" t="n"/>
      <c r="BP154" s="25" t="n"/>
      <c r="BQ154" s="27" t="n">
        <v>1.537634</v>
      </c>
      <c r="BR154" s="28" t="n">
        <v>0.65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0.65035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5606de52a6674e2c</t>
        </is>
      </c>
      <c r="B155" s="24" t="inlineStr">
        <is>
          <t>2026-09-08T04:36:08.778671Z</t>
        </is>
      </c>
      <c r="C155" s="24" t="inlineStr">
        <is>
          <t>2026-09-08T08:00:00Z</t>
        </is>
      </c>
      <c r="D155" s="24" t="inlineStr">
        <is>
          <t>103033</t>
        </is>
      </c>
      <c r="E155" s="24" t="inlineStr">
        <is>
          <t>LOL</t>
        </is>
      </c>
      <c r="F155" s="24" t="inlineStr">
        <is>
          <t>Nongshim Esports Academy</t>
        </is>
      </c>
      <c r="G155" s="24" t="inlineStr">
        <is>
          <t>Dplus KIA Challengers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104</v>
      </c>
      <c r="M155" s="27" t="n">
        <v>2.04</v>
      </c>
      <c r="N155" s="28" t="n">
        <v>0.490196</v>
      </c>
      <c r="O155" s="28" t="n">
        <v>0.619904</v>
      </c>
      <c r="P155" s="28" t="n"/>
      <c r="Q155" s="28" t="n">
        <v>0.129708</v>
      </c>
      <c r="R155" s="26" t="n">
        <v>85</v>
      </c>
      <c r="S155" s="29" t="n">
        <v>1.5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104</v>
      </c>
      <c r="AA155" s="28" t="n">
        <v>0.49</v>
      </c>
      <c r="AB155" s="28" t="n">
        <v>-0.000196</v>
      </c>
      <c r="AC155" s="30" t="n">
        <v>1.56</v>
      </c>
      <c r="AD155" s="24" t="inlineStr">
        <is>
          <t>2026-09-08T16:03:31.775831Z</t>
        </is>
      </c>
      <c r="AE155" s="31" t="inlineStr">
        <is>
          <t>Neutral Elo baseline; executable ask 0.4900 (market_slug=aec-lol-dkc-nsea-2026-09-08).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Nongshim Esports Academy</t>
        </is>
      </c>
      <c r="AQ155" s="24" t="inlineStr">
        <is>
          <t>Nongshim Esports Academy</t>
        </is>
      </c>
      <c r="AR155" s="24" t="inlineStr">
        <is>
          <t>Nongshim Esports Academy</t>
        </is>
      </c>
      <c r="AS155" s="24" t="inlineStr">
        <is>
          <t>Dplus KIA Challengers</t>
        </is>
      </c>
      <c r="AT155" s="24" t="inlineStr">
        <is>
          <t>Dplus KIA Challengers</t>
        </is>
      </c>
      <c r="AU155" s="24" t="inlineStr">
        <is>
          <t>Dplus KIA Challengers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94331a30c9ae4094d36c9acc3dbc6c9c77a60df6b7dd2a123829f9ff406ddf4c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94331a30c9ae4094d36c9acc3dbc6c9c77a60df6b7dd2a123829f9ff406ddf4c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2026-09-08T04:36:07.680769Z</t>
        </is>
      </c>
      <c r="BI155" s="24" t="inlineStr">
        <is>
          <t>["same_event","same_team_same_day","same_league_same_day"]</t>
        </is>
      </c>
      <c r="BJ155" s="25" t="n"/>
      <c r="BK155" s="26" t="n">
        <v>104</v>
      </c>
      <c r="BL155" s="27" t="n">
        <v>2.04</v>
      </c>
      <c r="BM155" s="28" t="n">
        <v>0.490196</v>
      </c>
      <c r="BN155" s="28" t="n"/>
      <c r="BO155" s="28" t="n"/>
      <c r="BP155" s="25" t="n"/>
      <c r="BQ155" s="27" t="n">
        <v>2.04</v>
      </c>
      <c r="BR155" s="28" t="n">
        <v>0.49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0.490196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360143857747459a</t>
        </is>
      </c>
      <c r="B156" s="24" t="inlineStr">
        <is>
          <t>2026-09-08T04:36:08.778671Z</t>
        </is>
      </c>
      <c r="C156" s="24" t="inlineStr">
        <is>
          <t>2026-09-08T09:00:00Z</t>
        </is>
      </c>
      <c r="D156" s="24" t="inlineStr">
        <is>
          <t>104638</t>
        </is>
      </c>
      <c r="E156" s="24" t="inlineStr">
        <is>
          <t>LOL</t>
        </is>
      </c>
      <c r="F156" s="24" t="inlineStr">
        <is>
          <t>LGD Gaming</t>
        </is>
      </c>
      <c r="G156" s="24" t="inlineStr">
        <is>
          <t>Invictus Gaming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0.55443</v>
      </c>
      <c r="P156" s="28" t="n"/>
      <c r="Q156" s="28" t="n">
        <v>-0.085858</v>
      </c>
      <c r="R156" s="26" t="n">
        <v>0</v>
      </c>
      <c r="S156" s="29" t="n">
        <v>1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-178</v>
      </c>
      <c r="AA156" s="28" t="n">
        <v>0.64</v>
      </c>
      <c r="AB156" s="28" t="n">
        <v>-0.000288</v>
      </c>
      <c r="AC156" s="30" t="n">
        <v>0.5618</v>
      </c>
      <c r="AD156" s="24" t="inlineStr">
        <is>
          <t>2026-09-08T16:03:32.354499Z</t>
        </is>
      </c>
      <c r="AE156" s="31" t="inlineStr">
        <is>
          <t>Neutral Elo baseline; executable ask 0.6400 (market_slug=aec-lol-ig-lgd-2026-09-08).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LGD Gaming</t>
        </is>
      </c>
      <c r="AQ156" s="24" t="inlineStr">
        <is>
          <t>LGD Gaming</t>
        </is>
      </c>
      <c r="AR156" s="24" t="inlineStr">
        <is>
          <t>LGD Gaming</t>
        </is>
      </c>
      <c r="AS156" s="24" t="inlineStr">
        <is>
          <t>Invictus Gaming</t>
        </is>
      </c>
      <c r="AT156" s="24" t="inlineStr">
        <is>
          <t>Invictus Gaming</t>
        </is>
      </c>
      <c r="AU156" s="24" t="inlineStr">
        <is>
          <t>Invictus Gaming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94331a30c9ae4094d36c9acc3dbc6c9c77a60df6b7dd2a123829f9ff406ddf4c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94331a30c9ae4094d36c9acc3dbc6c9c77a60df6b7dd2a123829f9ff406ddf4c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2026-09-08T04:36:07.750784Z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>
        <v>1.561798</v>
      </c>
      <c r="BR156" s="28" t="n">
        <v>0.64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0.640288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2e7d7dde80f8450e</t>
        </is>
      </c>
      <c r="B157" s="24" t="inlineStr">
        <is>
          <t>2026-09-08T16:17:14.464731Z</t>
        </is>
      </c>
      <c r="C157" s="24" t="inlineStr">
        <is>
          <t>2026-09-08T20:00:00Z</t>
        </is>
      </c>
      <c r="D157" s="24" t="inlineStr">
        <is>
          <t>106443</t>
        </is>
      </c>
      <c r="E157" s="24" t="inlineStr">
        <is>
          <t>LOL</t>
        </is>
      </c>
      <c r="F157" s="24" t="inlineStr">
        <is>
          <t>KaBuM! Ilha das Lendas</t>
        </is>
      </c>
      <c r="G157" s="24" t="inlineStr">
        <is>
          <t>Vivo Keyd Stars Academy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104</v>
      </c>
      <c r="M157" s="27" t="n">
        <v>2.04</v>
      </c>
      <c r="N157" s="28" t="n">
        <v>0.490196</v>
      </c>
      <c r="O157" s="28" t="n">
        <v>0.529122</v>
      </c>
      <c r="P157" s="28" t="n"/>
      <c r="Q157" s="28" t="n">
        <v>0.038926</v>
      </c>
      <c r="R157" s="26" t="n">
        <v>39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104</v>
      </c>
      <c r="AA157" s="28" t="n">
        <v>0.49</v>
      </c>
      <c r="AB157" s="28" t="n">
        <v>-0.000196</v>
      </c>
      <c r="AC157" s="30" t="n">
        <v>1.04</v>
      </c>
      <c r="AD157" s="24" t="inlineStr">
        <is>
          <t>2026-09-09T04:32:57.372704Z</t>
        </is>
      </c>
      <c r="AE157" s="31" t="inlineStr">
        <is>
          <t>Neutral Elo baseline; executable ask 0.4900 (market_slug=aec-lol-vksa-kbm-2026-09-08).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KaBuM! Ilha das Lendas</t>
        </is>
      </c>
      <c r="AQ157" s="24" t="inlineStr">
        <is>
          <t>KaBuM! Ilha das Lendas</t>
        </is>
      </c>
      <c r="AR157" s="24" t="inlineStr">
        <is>
          <t>KaBuM! Ilha das Lendas</t>
        </is>
      </c>
      <c r="AS157" s="24" t="inlineStr">
        <is>
          <t>Vivo Keyd Stars Academy</t>
        </is>
      </c>
      <c r="AT157" s="24" t="inlineStr">
        <is>
          <t>Vivo Keyd Stars Academy</t>
        </is>
      </c>
      <c r="AU157" s="24" t="inlineStr">
        <is>
          <t>Vivo Keyd Stars Academy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3580155fadac5c9b61a6f23ca9f058e49690af6d7ba67b0c4f90a57d97cd2c32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3580155fadac5c9b61a6f23ca9f058e49690af6d7ba67b0c4f90a57d97cd2c32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2026-09-08T16:17:13.415076Z</t>
        </is>
      </c>
      <c r="BI157" s="24" t="inlineStr">
        <is>
          <t>["same_event","same_team_same_day","same_league_same_day"]</t>
        </is>
      </c>
      <c r="BJ157" s="25" t="n"/>
      <c r="BK157" s="26" t="n">
        <v>104</v>
      </c>
      <c r="BL157" s="27" t="n">
        <v>2.04</v>
      </c>
      <c r="BM157" s="28" t="n">
        <v>0.490196</v>
      </c>
      <c r="BN157" s="28" t="n"/>
      <c r="BO157" s="28" t="n"/>
      <c r="BP157" s="25" t="n"/>
      <c r="BQ157" s="27" t="n">
        <v>2.04</v>
      </c>
      <c r="BR157" s="28" t="n">
        <v>0.49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0.490196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70fb23c70c524d59</t>
        </is>
      </c>
      <c r="B158" s="24" t="inlineStr">
        <is>
          <t>2026-09-09T04:35:24.265619Z</t>
        </is>
      </c>
      <c r="C158" s="24" t="inlineStr">
        <is>
          <t>2026-09-09T08:00:00Z</t>
        </is>
      </c>
      <c r="D158" s="24" t="inlineStr">
        <is>
          <t>106961</t>
        </is>
      </c>
      <c r="E158" s="24" t="inlineStr">
        <is>
          <t>LOL</t>
        </is>
      </c>
      <c r="F158" s="24" t="inlineStr">
        <is>
          <t>Nongshim Esports Academy</t>
        </is>
      </c>
      <c r="G158" s="24" t="inlineStr">
        <is>
          <t>DN SOOPers Challengers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0.505745</v>
      </c>
      <c r="P158" s="28" t="n"/>
      <c r="Q158" s="28" t="n">
        <v>-0.074087</v>
      </c>
      <c r="R158" s="26" t="n">
        <v>0</v>
      </c>
      <c r="S158" s="29" t="n">
        <v>1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>
        <v>-138</v>
      </c>
      <c r="AA158" s="28" t="n">
        <v>0.58</v>
      </c>
      <c r="AB158" s="28" t="n">
        <v>0.000168</v>
      </c>
      <c r="AC158" s="30" t="n">
        <v>-1</v>
      </c>
      <c r="AD158" s="24" t="inlineStr">
        <is>
          <t>2026-09-09T16:02:31.301957Z</t>
        </is>
      </c>
      <c r="AE158" s="31" t="inlineStr">
        <is>
          <t>Neutral Elo baseline; executable ask 0.5800 (market_slug=aec-lol-dnsc-nsea-2026-09-09).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Nongshim Esports Academy</t>
        </is>
      </c>
      <c r="AQ158" s="24" t="inlineStr">
        <is>
          <t>Nongshim Esports Academy</t>
        </is>
      </c>
      <c r="AR158" s="24" t="inlineStr">
        <is>
          <t>Nongshim Esports Academy</t>
        </is>
      </c>
      <c r="AS158" s="24" t="inlineStr">
        <is>
          <t>DN SOOPers Challengers</t>
        </is>
      </c>
      <c r="AT158" s="24" t="inlineStr">
        <is>
          <t>DN SOOPers Challengers</t>
        </is>
      </c>
      <c r="AU158" s="24" t="inlineStr">
        <is>
          <t>DN SOOPers Challengers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28956bbc7f5db93be3b6cf14a5dd7055d66971a31741e2a25d3f2f8866f1600e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28956bbc7f5db93be3b6cf14a5dd7055d66971a31741e2a25d3f2f8866f1600e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2026-09-09T04:35:23.189454Z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>
        <v>1.724638</v>
      </c>
      <c r="BR158" s="28" t="n">
        <v>0.58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b1c8ee40a5d64ecb</t>
        </is>
      </c>
      <c r="B159" s="24" t="inlineStr">
        <is>
          <t>2026-09-10T04:36:19.105575Z</t>
        </is>
      </c>
      <c r="C159" s="24" t="inlineStr">
        <is>
          <t>2026-09-10T08:00:00Z</t>
        </is>
      </c>
      <c r="D159" s="24" t="inlineStr">
        <is>
          <t>106753</t>
        </is>
      </c>
      <c r="E159" s="24" t="inlineStr">
        <is>
          <t>LOL</t>
        </is>
      </c>
      <c r="F159" s="24" t="inlineStr">
        <is>
          <t>Dplus KIA Challengers</t>
        </is>
      </c>
      <c r="G159" s="24" t="inlineStr">
        <is>
          <t>T1 Academy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127</v>
      </c>
      <c r="M159" s="27" t="n">
        <v>2.27</v>
      </c>
      <c r="N159" s="28" t="n">
        <v>0.440529</v>
      </c>
      <c r="O159" s="28" t="n">
        <v>0.509159</v>
      </c>
      <c r="P159" s="28" t="n"/>
      <c r="Q159" s="28" t="n">
        <v>0.06863</v>
      </c>
      <c r="R159" s="26" t="n">
        <v>54</v>
      </c>
      <c r="S159" s="29" t="n">
        <v>1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127</v>
      </c>
      <c r="AA159" s="28" t="n">
        <v>0.44</v>
      </c>
      <c r="AB159" s="28" t="n">
        <v>-0.000529</v>
      </c>
      <c r="AC159" s="30" t="n">
        <v>-1</v>
      </c>
      <c r="AD159" s="24" t="inlineStr">
        <is>
          <t>2026-09-10T22:03:14.805388Z</t>
        </is>
      </c>
      <c r="AE159" s="31" t="inlineStr">
        <is>
          <t>Neutral Elo baseline; executable ask 0.4400 (market_slug=aec-lol-t1a-dkc-2026-09-10).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Dplus KIA Challengers</t>
        </is>
      </c>
      <c r="AQ159" s="24" t="inlineStr">
        <is>
          <t>Dplus KIA Challengers</t>
        </is>
      </c>
      <c r="AR159" s="24" t="inlineStr">
        <is>
          <t>Dplus KIA Challengers</t>
        </is>
      </c>
      <c r="AS159" s="24" t="inlineStr">
        <is>
          <t>T1 Academy</t>
        </is>
      </c>
      <c r="AT159" s="24" t="inlineStr">
        <is>
          <t>T1 Academy</t>
        </is>
      </c>
      <c r="AU159" s="24" t="inlineStr">
        <is>
          <t>T1 Academy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5ecca44a9bcc7294efb5544d3141862f40e37779b21035eb4123d48a6be5461c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5ecca44a9bcc7294efb5544d3141862f40e37779b21035eb4123d48a6be5461c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2026-09-10T04:36:17.849140Z</t>
        </is>
      </c>
      <c r="BI159" s="24" t="inlineStr">
        <is>
          <t>["same_event","same_team_same_day","same_league_same_day"]</t>
        </is>
      </c>
      <c r="BJ159" s="25" t="n"/>
      <c r="BK159" s="26" t="n">
        <v>127</v>
      </c>
      <c r="BL159" s="27" t="n">
        <v>2.27</v>
      </c>
      <c r="BM159" s="28" t="n">
        <v>0.440529</v>
      </c>
      <c r="BN159" s="28" t="n"/>
      <c r="BO159" s="28" t="n"/>
      <c r="BP159" s="25" t="n"/>
      <c r="BQ159" s="27" t="n">
        <v>2.27</v>
      </c>
      <c r="BR159" s="28" t="n">
        <v>0.44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0.440529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160" ht="36" customHeight="1">
      <c r="A160" s="24" t="inlineStr">
        <is>
          <t>8405db0350a94c0b</t>
        </is>
      </c>
      <c r="B160" s="24" t="inlineStr">
        <is>
          <t>2026-09-10T10:04:53.790237Z</t>
        </is>
      </c>
      <c r="C160" s="24" t="inlineStr">
        <is>
          <t>2026-09-10T15:00:00Z</t>
        </is>
      </c>
      <c r="D160" s="24" t="inlineStr">
        <is>
          <t>108074</t>
        </is>
      </c>
      <c r="E160" s="24" t="inlineStr">
        <is>
          <t>LOL</t>
        </is>
      </c>
      <c r="F160" s="24" t="inlineStr">
        <is>
          <t>Lodis</t>
        </is>
      </c>
      <c r="G160" s="24" t="inlineStr">
        <is>
          <t>BOMBA Team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122</v>
      </c>
      <c r="M160" s="27" t="n">
        <v>2.22</v>
      </c>
      <c r="N160" s="28" t="n">
        <v>0.45045</v>
      </c>
      <c r="O160" s="28" t="n">
        <v>0.626007</v>
      </c>
      <c r="P160" s="28" t="n"/>
      <c r="Q160" s="28" t="n">
        <v>0.175557</v>
      </c>
      <c r="R160" s="26" t="n">
        <v>100</v>
      </c>
      <c r="S160" s="29" t="n">
        <v>1.75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122</v>
      </c>
      <c r="AA160" s="28" t="n">
        <v>0.45</v>
      </c>
      <c r="AB160" s="28" t="n">
        <v>-0.00045</v>
      </c>
      <c r="AC160" s="30" t="n">
        <v>2.135</v>
      </c>
      <c r="AD160" s="24" t="inlineStr">
        <is>
          <t>2026-09-10T22:03:15.173178Z</t>
        </is>
      </c>
      <c r="AE160" s="31" t="inlineStr">
        <is>
          <t>Neutral Elo baseline; executable ask 0.4500 (market_slug=aec-lol-boom-lds-2026-09-10).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Lodis</t>
        </is>
      </c>
      <c r="AQ160" s="24" t="inlineStr">
        <is>
          <t>Lodis</t>
        </is>
      </c>
      <c r="AR160" s="24" t="inlineStr">
        <is>
          <t>Lodis</t>
        </is>
      </c>
      <c r="AS160" s="24" t="inlineStr">
        <is>
          <t>BOMBA Team</t>
        </is>
      </c>
      <c r="AT160" s="24" t="inlineStr">
        <is>
          <t>BOMBA Team</t>
        </is>
      </c>
      <c r="AU160" s="24" t="inlineStr">
        <is>
          <t>BOMBA Team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ac0dffeaffcd4fdc27530bd41f3f015b53b088e802c32ced1523803b49097dbc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ac0dffeaffcd4fdc27530bd41f3f015b53b088e802c32ced1523803b49097dbc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2026-09-10T10:04:52.645774Z</t>
        </is>
      </c>
      <c r="BI160" s="24" t="inlineStr">
        <is>
          <t>["same_event","same_team_same_day","same_league_same_day"]</t>
        </is>
      </c>
      <c r="BJ160" s="25" t="n"/>
      <c r="BK160" s="26" t="n">
        <v>122</v>
      </c>
      <c r="BL160" s="27" t="n">
        <v>2.22</v>
      </c>
      <c r="BM160" s="28" t="n">
        <v>0.45045</v>
      </c>
      <c r="BN160" s="28" t="n"/>
      <c r="BO160" s="28" t="n"/>
      <c r="BP160" s="25" t="n"/>
      <c r="BQ160" s="27" t="n">
        <v>2.22</v>
      </c>
      <c r="BR160" s="28" t="n">
        <v>0.45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0.45045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161" ht="36" customHeight="1">
      <c r="A161" s="24" t="inlineStr">
        <is>
          <t>27dcaec3fdd7468a</t>
        </is>
      </c>
      <c r="B161" s="24" t="inlineStr">
        <is>
          <t>2026-09-10T10:04:53.790237Z</t>
        </is>
      </c>
      <c r="C161" s="24" t="inlineStr">
        <is>
          <t>2026-09-10T16:00:00Z</t>
        </is>
      </c>
      <c r="D161" s="24" t="inlineStr">
        <is>
          <t>107247</t>
        </is>
      </c>
      <c r="E161" s="24" t="inlineStr">
        <is>
          <t>LOL</t>
        </is>
      </c>
      <c r="F161" s="24" t="inlineStr">
        <is>
          <t>MAGAZA</t>
        </is>
      </c>
      <c r="G161" s="24" t="inlineStr">
        <is>
          <t>The Secret Club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117</v>
      </c>
      <c r="M161" s="27" t="n">
        <v>2.17</v>
      </c>
      <c r="N161" s="28" t="n">
        <v>0.460829</v>
      </c>
      <c r="O161" s="28" t="n">
        <v>0.569707</v>
      </c>
      <c r="P161" s="28" t="n"/>
      <c r="Q161" s="28" t="n">
        <v>0.108878</v>
      </c>
      <c r="R161" s="26" t="n">
        <v>74</v>
      </c>
      <c r="S161" s="29" t="n">
        <v>1.5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117</v>
      </c>
      <c r="AA161" s="28" t="n">
        <v>0.46</v>
      </c>
      <c r="AB161" s="28" t="n">
        <v>-0.000829</v>
      </c>
      <c r="AC161" s="30" t="n">
        <v>-1.5</v>
      </c>
      <c r="AD161" s="24" t="inlineStr">
        <is>
          <t>2026-09-10T22:03:15.539909Z</t>
        </is>
      </c>
      <c r="AE161" s="31" t="inlineStr">
        <is>
          <t>Neutral Elo baseline; executable ask 0.4600 (market_slug=aec-lol-tsc-mgz-2026-09-10).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MAGAZA</t>
        </is>
      </c>
      <c r="AQ161" s="24" t="inlineStr">
        <is>
          <t>MAGAZA</t>
        </is>
      </c>
      <c r="AR161" s="24" t="inlineStr">
        <is>
          <t>MAGAZA</t>
        </is>
      </c>
      <c r="AS161" s="24" t="inlineStr">
        <is>
          <t>The Secret Club</t>
        </is>
      </c>
      <c r="AT161" s="24" t="inlineStr">
        <is>
          <t>The Secret Club</t>
        </is>
      </c>
      <c r="AU161" s="24" t="inlineStr">
        <is>
          <t>The Secret Club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ac0dffeaffcd4fdc27530bd41f3f015b53b088e802c32ced1523803b49097dbc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ac0dffeaffcd4fdc27530bd41f3f015b53b088e802c32ced1523803b49097dbc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2026-09-10T10:04:52.823548Z</t>
        </is>
      </c>
      <c r="BI161" s="24" t="inlineStr">
        <is>
          <t>["same_event","same_team_same_day","same_league_same_day"]</t>
        </is>
      </c>
      <c r="BJ161" s="25" t="n"/>
      <c r="BK161" s="26" t="n">
        <v>117</v>
      </c>
      <c r="BL161" s="27" t="n">
        <v>2.17</v>
      </c>
      <c r="BM161" s="28" t="n">
        <v>0.460829</v>
      </c>
      <c r="BN161" s="28" t="n"/>
      <c r="BO161" s="28" t="n"/>
      <c r="BP161" s="25" t="n"/>
      <c r="BQ161" s="27" t="n">
        <v>2.17</v>
      </c>
      <c r="BR161" s="28" t="n">
        <v>0.46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0.460829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162" ht="36" customHeight="1">
      <c r="A162" s="24" t="inlineStr">
        <is>
          <t>a755dd8fd04e4e3a</t>
        </is>
      </c>
      <c r="B162" s="24" t="inlineStr">
        <is>
          <t>2026-09-10T10:04:53.790237Z</t>
        </is>
      </c>
      <c r="C162" s="24" t="inlineStr">
        <is>
          <t>2026-09-10T16:00:00Z</t>
        </is>
      </c>
      <c r="D162" s="24" t="inlineStr">
        <is>
          <t>108686</t>
        </is>
      </c>
      <c r="E162" s="24" t="inlineStr">
        <is>
          <t>LOL</t>
        </is>
      </c>
      <c r="F162" s="24" t="inlineStr">
        <is>
          <t>Los Goccioles</t>
        </is>
      </c>
      <c r="G162" s="24" t="inlineStr">
        <is>
          <t>Zena Esports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178</v>
      </c>
      <c r="M162" s="27" t="n">
        <v>2.78</v>
      </c>
      <c r="N162" s="28" t="n">
        <v>0.359712</v>
      </c>
      <c r="O162" s="28" t="n">
        <v>0.511624</v>
      </c>
      <c r="P162" s="28" t="n"/>
      <c r="Q162" s="28" t="n">
        <v>0.151912</v>
      </c>
      <c r="R162" s="26" t="n">
        <v>96</v>
      </c>
      <c r="S162" s="29" t="n">
        <v>1.75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1</v>
      </c>
      <c r="X162" s="26" t="n">
        <v>0</v>
      </c>
      <c r="Y162" s="25" t="n"/>
      <c r="Z162" s="26" t="n">
        <v>178</v>
      </c>
      <c r="AA162" s="28" t="n">
        <v>0.36</v>
      </c>
      <c r="AB162" s="28" t="n">
        <v>0.000288</v>
      </c>
      <c r="AC162" s="30" t="n">
        <v>-1.75</v>
      </c>
      <c r="AD162" s="24" t="inlineStr">
        <is>
          <t>2026-09-10T22:03:15.872924Z</t>
        </is>
      </c>
      <c r="AE162" s="31" t="inlineStr">
        <is>
          <t>Neutral Elo baseline; executable ask 0.3600 (market_slug=aec-lol-zena-lgc-2026-09-10).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Los Goccioles</t>
        </is>
      </c>
      <c r="AQ162" s="24" t="inlineStr">
        <is>
          <t>Los Goccioles</t>
        </is>
      </c>
      <c r="AR162" s="24" t="inlineStr">
        <is>
          <t>Los Goccioles</t>
        </is>
      </c>
      <c r="AS162" s="24" t="inlineStr">
        <is>
          <t>Zena Esports</t>
        </is>
      </c>
      <c r="AT162" s="24" t="inlineStr">
        <is>
          <t>Zena Esports</t>
        </is>
      </c>
      <c r="AU162" s="24" t="inlineStr">
        <is>
          <t>Zena Esports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ac0dffeaffcd4fdc27530bd41f3f015b53b088e802c32ced1523803b49097dbc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ac0dffeaffcd4fdc27530bd41f3f015b53b088e802c32ced1523803b49097dbc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2026-09-10T10:04:52.903208Z</t>
        </is>
      </c>
      <c r="BI162" s="24" t="inlineStr">
        <is>
          <t>["same_event","same_team_same_day","same_league_same_day"]</t>
        </is>
      </c>
      <c r="BJ162" s="25" t="n"/>
      <c r="BK162" s="26" t="n">
        <v>178</v>
      </c>
      <c r="BL162" s="27" t="n">
        <v>2.78</v>
      </c>
      <c r="BM162" s="28" t="n">
        <v>0.359712</v>
      </c>
      <c r="BN162" s="28" t="n"/>
      <c r="BO162" s="28" t="n"/>
      <c r="BP162" s="25" t="n"/>
      <c r="BQ162" s="27" t="n">
        <v>2.78</v>
      </c>
      <c r="BR162" s="28" t="n">
        <v>0.36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0.359712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163" ht="36" customHeight="1">
      <c r="A163" s="24" t="inlineStr">
        <is>
          <t>a5603f1e9d9c4ad0</t>
        </is>
      </c>
      <c r="B163" s="24" t="inlineStr">
        <is>
          <t>2026-09-11T04:34:26.997768Z</t>
        </is>
      </c>
      <c r="C163" s="24" t="inlineStr">
        <is>
          <t>2026-09-11T08:00:00Z</t>
        </is>
      </c>
      <c r="D163" s="24" t="inlineStr">
        <is>
          <t>107794</t>
        </is>
      </c>
      <c r="E163" s="24" t="inlineStr">
        <is>
          <t>LOL</t>
        </is>
      </c>
      <c r="F163" s="24" t="inlineStr">
        <is>
          <t>KT Rolster Challengers</t>
        </is>
      </c>
      <c r="G163" s="24" t="inlineStr">
        <is>
          <t>DN SOOPers Challengers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-223</v>
      </c>
      <c r="M163" s="27" t="n">
        <v>1.44843</v>
      </c>
      <c r="N163" s="28" t="n">
        <v>0.690402</v>
      </c>
      <c r="O163" s="28" t="n">
        <v>0.531083</v>
      </c>
      <c r="P163" s="28" t="n"/>
      <c r="Q163" s="28" t="n">
        <v>-0.159319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-223</v>
      </c>
      <c r="AA163" s="28" t="n">
        <v>0.6899999999999999</v>
      </c>
      <c r="AB163" s="28" t="n">
        <v>-0.000402</v>
      </c>
      <c r="AC163" s="30" t="n">
        <v>0.4484</v>
      </c>
      <c r="AD163" s="24" t="inlineStr">
        <is>
          <t>2026-09-11T16:02:37.723334Z</t>
        </is>
      </c>
      <c r="AE163" s="31" t="inlineStr">
        <is>
          <t>Neutral Elo baseline; executable ask 0.6900 (market_slug=aec-lol-dnsc-ktc-2026-09-11).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KT Rolster Challengers</t>
        </is>
      </c>
      <c r="AQ163" s="24" t="inlineStr">
        <is>
          <t>KT Rolster Challengers</t>
        </is>
      </c>
      <c r="AR163" s="24" t="inlineStr">
        <is>
          <t>KT Rolster Challengers</t>
        </is>
      </c>
      <c r="AS163" s="24" t="inlineStr">
        <is>
          <t>DN SOOPers Challengers</t>
        </is>
      </c>
      <c r="AT163" s="24" t="inlineStr">
        <is>
          <t>DN SOOPers Challengers</t>
        </is>
      </c>
      <c r="AU163" s="24" t="inlineStr">
        <is>
          <t>DN SOOPers Challengers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18f5856f3209d8b791c7209d957c5ad9e5117cbac52794b811c08dcb5015b2e4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18f5856f3209d8b791c7209d957c5ad9e5117cbac52794b811c08dcb5015b2e4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2026-09-11T04:34:25.338087Z</t>
        </is>
      </c>
      <c r="BI163" s="24" t="inlineStr">
        <is>
          <t>["same_event","same_team_same_day","same_league_same_day"]</t>
        </is>
      </c>
      <c r="BJ163" s="25" t="n"/>
      <c r="BK163" s="26" t="n">
        <v>-223</v>
      </c>
      <c r="BL163" s="27" t="n">
        <v>1.44843</v>
      </c>
      <c r="BM163" s="28" t="n">
        <v>0.690402</v>
      </c>
      <c r="BN163" s="28" t="n"/>
      <c r="BO163" s="28" t="n"/>
      <c r="BP163" s="25" t="n"/>
      <c r="BQ163" s="27" t="n">
        <v>1.44843</v>
      </c>
      <c r="BR163" s="28" t="n">
        <v>0.6899999999999999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0.690402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164" ht="36" customHeight="1">
      <c r="A164" s="24" t="inlineStr">
        <is>
          <t>c6fef71aa95841a9</t>
        </is>
      </c>
      <c r="B164" s="24" t="inlineStr">
        <is>
          <t>2026-09-11T04:34:26.997768Z</t>
        </is>
      </c>
      <c r="C164" s="24" t="inlineStr">
        <is>
          <t>2026-09-11T09:00:00Z</t>
        </is>
      </c>
      <c r="D164" s="24" t="inlineStr">
        <is>
          <t>107763</t>
        </is>
      </c>
      <c r="E164" s="24" t="inlineStr">
        <is>
          <t>LOL</t>
        </is>
      </c>
      <c r="F164" s="24" t="inlineStr">
        <is>
          <t>1TAP Dino</t>
        </is>
      </c>
      <c r="G164" s="24" t="inlineStr">
        <is>
          <t>CyberCore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-194</v>
      </c>
      <c r="M164" s="27" t="n">
        <v>1.515464</v>
      </c>
      <c r="N164" s="28" t="n">
        <v>0.659864</v>
      </c>
      <c r="O164" s="28" t="n">
        <v>0.571708</v>
      </c>
      <c r="P164" s="28" t="n"/>
      <c r="Q164" s="28" t="n">
        <v>-0.088156</v>
      </c>
      <c r="R164" s="26" t="n">
        <v>0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-194</v>
      </c>
      <c r="AA164" s="28" t="n">
        <v>0.66</v>
      </c>
      <c r="AB164" s="28" t="n">
        <v>0.000136</v>
      </c>
      <c r="AC164" s="30" t="n">
        <v>-1</v>
      </c>
      <c r="AD164" s="24" t="inlineStr">
        <is>
          <t>2026-09-11T16:02:38.721452Z</t>
        </is>
      </c>
      <c r="AE164" s="31" t="inlineStr">
        <is>
          <t>Neutral Elo baseline; executable ask 0.6600 (market_slug=aec-lol-cbc-tda-2026-09-11).</t>
        </is>
      </c>
      <c r="AF164" s="31" t="inlineStr">
        <is>
          <t>Config-promoted esports baseline; gates enforced at log time.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1TAP Dino</t>
        </is>
      </c>
      <c r="AQ164" s="24" t="inlineStr">
        <is>
          <t>1TAP Dino</t>
        </is>
      </c>
      <c r="AR164" s="24" t="inlineStr">
        <is>
          <t>1TAP Dino</t>
        </is>
      </c>
      <c r="AS164" s="24" t="inlineStr">
        <is>
          <t>CyberCore Esports</t>
        </is>
      </c>
      <c r="AT164" s="24" t="inlineStr">
        <is>
          <t>CyberCore Esports</t>
        </is>
      </c>
      <c r="AU164" s="24" t="inlineStr">
        <is>
          <t>CyberCore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18f5856f3209d8b791c7209d957c5ad9e5117cbac52794b811c08dcb5015b2e4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18f5856f3209d8b791c7209d957c5ad9e5117cbac52794b811c08dcb5015b2e4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2026-09-11T04:34:25.499870Z</t>
        </is>
      </c>
      <c r="BI164" s="24" t="inlineStr">
        <is>
          <t>["same_event","same_team_same_day","same_league_same_day"]</t>
        </is>
      </c>
      <c r="BJ164" s="25" t="n"/>
      <c r="BK164" s="26" t="n">
        <v>-194</v>
      </c>
      <c r="BL164" s="27" t="n">
        <v>1.515464</v>
      </c>
      <c r="BM164" s="28" t="n">
        <v>0.659864</v>
      </c>
      <c r="BN164" s="28" t="n"/>
      <c r="BO164" s="28" t="n"/>
      <c r="BP164" s="25" t="n"/>
      <c r="BQ164" s="27" t="n">
        <v>1.515464</v>
      </c>
      <c r="BR164" s="28" t="n">
        <v>0.66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0.659864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165" ht="36" customHeight="1">
      <c r="A165" s="24" t="inlineStr">
        <is>
          <t>c21b21cc93aa4f7f</t>
        </is>
      </c>
      <c r="B165" s="24" t="inlineStr">
        <is>
          <t>2026-09-11T16:05:30.006458Z</t>
        </is>
      </c>
      <c r="C165" s="24" t="inlineStr">
        <is>
          <t>2026-09-11T21:00:00Z</t>
        </is>
      </c>
      <c r="D165" s="24" t="inlineStr">
        <is>
          <t>109359</t>
        </is>
      </c>
      <c r="E165" s="24" t="inlineStr">
        <is>
          <t>LOL</t>
        </is>
      </c>
      <c r="F165" s="24" t="inlineStr">
        <is>
          <t>Maryville University</t>
        </is>
      </c>
      <c r="G165" s="24" t="inlineStr">
        <is>
          <t>Cupid Esports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0.533006</v>
      </c>
      <c r="P165" s="28" t="n"/>
      <c r="Q165" s="28" t="n">
        <v>-0.037809</v>
      </c>
      <c r="R165" s="26" t="n">
        <v>1</v>
      </c>
      <c r="S165" s="29" t="n">
        <v>1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>
        <v>-133</v>
      </c>
      <c r="AA165" s="28" t="n">
        <v>0.57</v>
      </c>
      <c r="AB165" s="28" t="n">
        <v>-0.000815</v>
      </c>
      <c r="AC165" s="30" t="n">
        <v>0.7519</v>
      </c>
      <c r="AD165" s="24" t="inlineStr">
        <is>
          <t>2026-09-12T04:33:12.044611Z</t>
        </is>
      </c>
      <c r="AE165" s="31" t="inlineStr">
        <is>
          <t>Neutral Elo baseline; executable ask 0.5700 (market_slug=aec-lol-cpd-mvu-2026-09-11).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Maryville University</t>
        </is>
      </c>
      <c r="AQ165" s="24" t="inlineStr">
        <is>
          <t>Maryville University</t>
        </is>
      </c>
      <c r="AR165" s="24" t="inlineStr">
        <is>
          <t>Maryville University</t>
        </is>
      </c>
      <c r="AS165" s="24" t="inlineStr">
        <is>
          <t>Cupid Esports</t>
        </is>
      </c>
      <c r="AT165" s="24" t="inlineStr">
        <is>
          <t>Cupid Esports</t>
        </is>
      </c>
      <c r="AU165" s="24" t="inlineStr">
        <is>
          <t>Cupid Esports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5a146d14970e64f64e3732aae1db782a42e86dd12564b7aaaf8612db79cabe9c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5a146d14970e64f64e3732aae1db782a42e86dd12564b7aaaf8612db79cabe9c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2026-09-11T16:05:29.421892Z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>
        <v>1.75188</v>
      </c>
      <c r="BR165" s="28" t="n">
        <v>0.57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166" ht="36" customHeight="1">
      <c r="A166" s="24" t="inlineStr">
        <is>
          <t>c00f10a14ca24bff</t>
        </is>
      </c>
      <c r="B166" s="24" t="inlineStr">
        <is>
          <t>2026-09-12T04:38:19.161265Z</t>
        </is>
      </c>
      <c r="C166" s="24" t="inlineStr">
        <is>
          <t>2026-09-12T05:00:00Z</t>
        </is>
      </c>
      <c r="D166" s="24" t="inlineStr">
        <is>
          <t>107636</t>
        </is>
      </c>
      <c r="E166" s="24" t="inlineStr">
        <is>
          <t>LOL</t>
        </is>
      </c>
      <c r="F166" s="24" t="inlineStr">
        <is>
          <t>T1</t>
        </is>
      </c>
      <c r="G166" s="24" t="inlineStr">
        <is>
          <t>Hanwha Life Esports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-156</v>
      </c>
      <c r="M166" s="27" t="n">
        <v>1.641026</v>
      </c>
      <c r="N166" s="28" t="n">
        <v>0.609375</v>
      </c>
      <c r="O166" s="28" t="n">
        <v>0.5847869999999999</v>
      </c>
      <c r="P166" s="28" t="n"/>
      <c r="Q166" s="28" t="n">
        <v>-0.024588</v>
      </c>
      <c r="R166" s="26" t="n">
        <v>8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1</v>
      </c>
      <c r="Y166" s="25" t="n"/>
      <c r="Z166" s="26" t="n">
        <v>-156</v>
      </c>
      <c r="AA166" s="28" t="n">
        <v>0.61</v>
      </c>
      <c r="AB166" s="28" t="n">
        <v>0.000625</v>
      </c>
      <c r="AC166" s="30" t="n">
        <v>0.641</v>
      </c>
      <c r="AD166" s="24" t="inlineStr">
        <is>
          <t>2026-09-12T10:02:45.963754Z</t>
        </is>
      </c>
      <c r="AE166" s="31" t="inlineStr">
        <is>
          <t>Neutral Elo baseline; executable ask 0.6100 (market_slug=aec-lol-hle-t1-2026-09-12).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T1</t>
        </is>
      </c>
      <c r="AQ166" s="24" t="inlineStr">
        <is>
          <t>T1</t>
        </is>
      </c>
      <c r="AR166" s="24" t="inlineStr">
        <is>
          <t>T1</t>
        </is>
      </c>
      <c r="AS166" s="24" t="inlineStr">
        <is>
          <t>Hanwha Life Esports</t>
        </is>
      </c>
      <c r="AT166" s="24" t="inlineStr">
        <is>
          <t>Hanwha Life Esports</t>
        </is>
      </c>
      <c r="AU166" s="24" t="inlineStr">
        <is>
          <t>Hanwha Life Esports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59b90a79504cf4449e19f523b0f710fab325a05f922f88cfdec7eeb17385c0f2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59b90a79504cf4449e19f523b0f710fab325a05f922f88cfdec7eeb17385c0f2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2026-09-12T04:38:16.919167Z</t>
        </is>
      </c>
      <c r="BI166" s="24" t="inlineStr">
        <is>
          <t>["same_event","same_team_same_day","same_league_same_day"]</t>
        </is>
      </c>
      <c r="BJ166" s="25" t="n"/>
      <c r="BK166" s="26" t="n">
        <v>-156</v>
      </c>
      <c r="BL166" s="27" t="n">
        <v>1.641026</v>
      </c>
      <c r="BM166" s="28" t="n">
        <v>0.609375</v>
      </c>
      <c r="BN166" s="28" t="n"/>
      <c r="BO166" s="28" t="n"/>
      <c r="BP166" s="25" t="n"/>
      <c r="BQ166" s="27" t="n">
        <v>1.641026</v>
      </c>
      <c r="BR166" s="28" t="n">
        <v>0.61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0.609375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167" ht="36" customHeight="1">
      <c r="A167" s="24" t="inlineStr">
        <is>
          <t>9801598a8ebb40f0</t>
        </is>
      </c>
      <c r="B167" s="24" t="inlineStr">
        <is>
          <t>2026-09-12T04:38:19.161265Z</t>
        </is>
      </c>
      <c r="C167" s="24" t="inlineStr">
        <is>
          <t>2026-09-12T09:00:00Z</t>
        </is>
      </c>
      <c r="D167" s="24" t="inlineStr">
        <is>
          <t>107736</t>
        </is>
      </c>
      <c r="E167" s="24" t="inlineStr">
        <is>
          <t>LOL</t>
        </is>
      </c>
      <c r="F167" s="24" t="inlineStr">
        <is>
          <t>9Gaming</t>
        </is>
      </c>
      <c r="G167" s="24" t="inlineStr">
        <is>
          <t>MVK Academy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127</v>
      </c>
      <c r="M167" s="27" t="n">
        <v>2.27</v>
      </c>
      <c r="N167" s="28" t="n">
        <v>0.440529</v>
      </c>
      <c r="O167" s="28" t="n">
        <v>0.584692</v>
      </c>
      <c r="P167" s="28" t="n"/>
      <c r="Q167" s="28" t="n">
        <v>0.144163</v>
      </c>
      <c r="R167" s="26" t="n">
        <v>92</v>
      </c>
      <c r="S167" s="29" t="n">
        <v>1.75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127</v>
      </c>
      <c r="AA167" s="28" t="n">
        <v>0.44</v>
      </c>
      <c r="AB167" s="28" t="n">
        <v>-0.000529</v>
      </c>
      <c r="AC167" s="30" t="n">
        <v>2.2225</v>
      </c>
      <c r="AD167" s="24" t="inlineStr">
        <is>
          <t>2026-09-12T16:02:47.904295Z</t>
        </is>
      </c>
      <c r="AE167" s="31" t="inlineStr">
        <is>
          <t>Neutral Elo baseline; executable ask 0.4400 (market_slug=aec-lol-mvka-9g-2026-09-12).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9Gaming</t>
        </is>
      </c>
      <c r="AQ167" s="24" t="inlineStr">
        <is>
          <t>9Gaming</t>
        </is>
      </c>
      <c r="AR167" s="24" t="inlineStr">
        <is>
          <t>9Gaming</t>
        </is>
      </c>
      <c r="AS167" s="24" t="inlineStr">
        <is>
          <t>MVK Academy</t>
        </is>
      </c>
      <c r="AT167" s="24" t="inlineStr">
        <is>
          <t>MVK Academy</t>
        </is>
      </c>
      <c r="AU167" s="24" t="inlineStr">
        <is>
          <t>MVK Academy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59b90a79504cf4449e19f523b0f710fab325a05f922f88cfdec7eeb17385c0f2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59b90a79504cf4449e19f523b0f710fab325a05f922f88cfdec7eeb17385c0f2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2026-09-12T04:38:16.994403Z</t>
        </is>
      </c>
      <c r="BI167" s="24" t="inlineStr">
        <is>
          <t>["same_event","same_team_same_day","same_league_same_day"]</t>
        </is>
      </c>
      <c r="BJ167" s="25" t="n"/>
      <c r="BK167" s="26" t="n">
        <v>127</v>
      </c>
      <c r="BL167" s="27" t="n">
        <v>2.27</v>
      </c>
      <c r="BM167" s="28" t="n">
        <v>0.440529</v>
      </c>
      <c r="BN167" s="28" t="n"/>
      <c r="BO167" s="28" t="n"/>
      <c r="BP167" s="25" t="n"/>
      <c r="BQ167" s="27" t="n">
        <v>2.27</v>
      </c>
      <c r="BR167" s="28" t="n">
        <v>0.44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0.440529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168" ht="36" customHeight="1">
      <c r="A168" s="24" t="inlineStr">
        <is>
          <t>57565b6b9b2f470a</t>
        </is>
      </c>
      <c r="B168" s="24" t="inlineStr">
        <is>
          <t>2026-09-12T04:38:19.161265Z</t>
        </is>
      </c>
      <c r="C168" s="24" t="inlineStr">
        <is>
          <t>2026-09-12T09:00:00Z</t>
        </is>
      </c>
      <c r="D168" s="24" t="inlineStr">
        <is>
          <t>107731</t>
        </is>
      </c>
      <c r="E168" s="24" t="inlineStr">
        <is>
          <t>LOL</t>
        </is>
      </c>
      <c r="F168" s="24" t="inlineStr">
        <is>
          <t>Invictus Gaming</t>
        </is>
      </c>
      <c r="G168" s="24" t="inlineStr">
        <is>
          <t>Anyone's Legend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104</v>
      </c>
      <c r="M168" s="27" t="n">
        <v>2.04</v>
      </c>
      <c r="N168" s="28" t="n">
        <v>0.490196</v>
      </c>
      <c r="O168" s="28" t="n">
        <v>0.549323</v>
      </c>
      <c r="P168" s="28" t="n"/>
      <c r="Q168" s="28" t="n">
        <v>0.059127</v>
      </c>
      <c r="R168" s="26" t="n">
        <v>50</v>
      </c>
      <c r="S168" s="29" t="n">
        <v>1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104</v>
      </c>
      <c r="AA168" s="28" t="n">
        <v>0.49</v>
      </c>
      <c r="AB168" s="28" t="n">
        <v>-0.000196</v>
      </c>
      <c r="AC168" s="30" t="n">
        <v>1.04</v>
      </c>
      <c r="AD168" s="24" t="inlineStr">
        <is>
          <t>2026-09-12T16:02:48.249284Z</t>
        </is>
      </c>
      <c r="AE168" s="31" t="inlineStr">
        <is>
          <t>Neutral Elo baseline; executable ask 0.4900 (market_slug=aec-lol-al-ig-2026-09-12).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Invictus Gaming</t>
        </is>
      </c>
      <c r="AQ168" s="24" t="inlineStr">
        <is>
          <t>Invictus Gaming</t>
        </is>
      </c>
      <c r="AR168" s="24" t="inlineStr">
        <is>
          <t>Invictus Gaming</t>
        </is>
      </c>
      <c r="AS168" s="24" t="inlineStr">
        <is>
          <t>Anyone's Legend</t>
        </is>
      </c>
      <c r="AT168" s="24" t="inlineStr">
        <is>
          <t>Anyone's Legend</t>
        </is>
      </c>
      <c r="AU168" s="24" t="inlineStr">
        <is>
          <t>Anyone's Legend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59b90a79504cf4449e19f523b0f710fab325a05f922f88cfdec7eeb17385c0f2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59b90a79504cf4449e19f523b0f710fab325a05f922f88cfdec7eeb17385c0f2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2026-09-12T04:38:17.237954Z</t>
        </is>
      </c>
      <c r="BI168" s="24" t="inlineStr">
        <is>
          <t>["same_event","same_team_same_day","same_league_same_day"]</t>
        </is>
      </c>
      <c r="BJ168" s="25" t="n"/>
      <c r="BK168" s="26" t="n">
        <v>104</v>
      </c>
      <c r="BL168" s="27" t="n">
        <v>2.04</v>
      </c>
      <c r="BM168" s="28" t="n">
        <v>0.490196</v>
      </c>
      <c r="BN168" s="28" t="n"/>
      <c r="BO168" s="28" t="n"/>
      <c r="BP168" s="25" t="n"/>
      <c r="BQ168" s="27" t="n">
        <v>2.04</v>
      </c>
      <c r="BR168" s="28" t="n">
        <v>0.49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0.490196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169" ht="36" customHeight="1">
      <c r="A169" s="24" t="inlineStr">
        <is>
          <t>3da8bdcbf6574618</t>
        </is>
      </c>
      <c r="B169" s="24" t="inlineStr">
        <is>
          <t>2026-09-12T10:07:54.112744Z</t>
        </is>
      </c>
      <c r="C169" s="24" t="inlineStr">
        <is>
          <t>2026-09-12T15:00:00Z</t>
        </is>
      </c>
      <c r="D169" s="24" t="inlineStr">
        <is>
          <t>107866</t>
        </is>
      </c>
      <c r="E169" s="24" t="inlineStr">
        <is>
          <t>LOL</t>
        </is>
      </c>
      <c r="F169" s="24" t="inlineStr">
        <is>
          <t>Movistar KOI</t>
        </is>
      </c>
      <c r="G169" s="24" t="inlineStr">
        <is>
          <t>Team Vitality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113</v>
      </c>
      <c r="M169" s="27" t="n">
        <v>2.13</v>
      </c>
      <c r="N169" s="28" t="n">
        <v>0.469484</v>
      </c>
      <c r="O169" s="28" t="n">
        <v>0.62087</v>
      </c>
      <c r="P169" s="28" t="n"/>
      <c r="Q169" s="28" t="n">
        <v>0.151386</v>
      </c>
      <c r="R169" s="26" t="n">
        <v>96</v>
      </c>
      <c r="S169" s="29" t="n">
        <v>1.75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113</v>
      </c>
      <c r="AA169" s="28" t="n">
        <v>0.47</v>
      </c>
      <c r="AB169" s="28" t="n">
        <v>0.000516</v>
      </c>
      <c r="AC169" s="30" t="n">
        <v>-1.75</v>
      </c>
      <c r="AD169" s="24" t="inlineStr">
        <is>
          <t>2026-09-12T22:04:07.180261Z</t>
        </is>
      </c>
      <c r="AE169" s="31" t="inlineStr">
        <is>
          <t>Neutral Elo baseline; executable ask 0.4700 (market_slug=aec-lol-vit-mkoi-2026-09-12).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Movistar KOI</t>
        </is>
      </c>
      <c r="AQ169" s="24" t="inlineStr">
        <is>
          <t>Movistar KOI</t>
        </is>
      </c>
      <c r="AR169" s="24" t="inlineStr">
        <is>
          <t>Movistar KOI</t>
        </is>
      </c>
      <c r="AS169" s="24" t="inlineStr">
        <is>
          <t>Team Vitality</t>
        </is>
      </c>
      <c r="AT169" s="24" t="inlineStr">
        <is>
          <t>Team Vitality</t>
        </is>
      </c>
      <c r="AU169" s="24" t="inlineStr">
        <is>
          <t>Team Vitality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bc41c53e5df7beb4b802105a21bcc80226b4509dc6395a2603dc68099c942658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bc41c53e5df7beb4b802105a21bcc80226b4509dc6395a2603dc68099c942658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2026-09-12T10:07:52.402050Z</t>
        </is>
      </c>
      <c r="BI169" s="24" t="inlineStr">
        <is>
          <t>["same_event","same_team_same_day","same_league_same_day"]</t>
        </is>
      </c>
      <c r="BJ169" s="25" t="n"/>
      <c r="BK169" s="26" t="n">
        <v>113</v>
      </c>
      <c r="BL169" s="27" t="n">
        <v>2.13</v>
      </c>
      <c r="BM169" s="28" t="n">
        <v>0.469484</v>
      </c>
      <c r="BN169" s="28" t="n"/>
      <c r="BO169" s="28" t="n"/>
      <c r="BP169" s="25" t="n"/>
      <c r="BQ169" s="27" t="n">
        <v>2.13</v>
      </c>
      <c r="BR169" s="28" t="n">
        <v>0.47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0.469484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170" ht="36" customHeight="1">
      <c r="A170" s="24" t="inlineStr">
        <is>
          <t>fb961ef1e97449f8</t>
        </is>
      </c>
      <c r="B170" s="24" t="inlineStr">
        <is>
          <t>2026-09-15T04:40:52.352691Z</t>
        </is>
      </c>
      <c r="C170" s="24" t="inlineStr">
        <is>
          <t>2026-09-15T08:00:00Z</t>
        </is>
      </c>
      <c r="D170" s="24" t="inlineStr">
        <is>
          <t>112482</t>
        </is>
      </c>
      <c r="E170" s="24" t="inlineStr">
        <is>
          <t>LOL</t>
        </is>
      </c>
      <c r="F170" s="24" t="inlineStr">
        <is>
          <t>KT Rolster Challengers</t>
        </is>
      </c>
      <c r="G170" s="24" t="inlineStr">
        <is>
          <t>T1 Academy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-223</v>
      </c>
      <c r="M170" s="27" t="n">
        <v>1.44843</v>
      </c>
      <c r="N170" s="28" t="n">
        <v>0.690402</v>
      </c>
      <c r="O170" s="28" t="n">
        <v>0.566649</v>
      </c>
      <c r="P170" s="28" t="n"/>
      <c r="Q170" s="28" t="n">
        <v>-0.123753</v>
      </c>
      <c r="R170" s="26" t="n">
        <v>0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0.4484</v>
      </c>
      <c r="AD170" s="24" t="inlineStr">
        <is>
          <t>2026-09-15T16:06:21.809350Z</t>
        </is>
      </c>
      <c r="AE170" s="31" t="inlineStr">
        <is>
          <t>Neutral Elo baseline; executable ask 0.6900 (market_slug=aec-lol-t1a-ktc-2026-09-15).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KT Rolster Challengers</t>
        </is>
      </c>
      <c r="AQ170" s="24" t="inlineStr">
        <is>
          <t>KT Rolster Challengers</t>
        </is>
      </c>
      <c r="AR170" s="24" t="inlineStr">
        <is>
          <t>KT Rolster Challengers</t>
        </is>
      </c>
      <c r="AS170" s="24" t="inlineStr">
        <is>
          <t>T1 Academy</t>
        </is>
      </c>
      <c r="AT170" s="24" t="inlineStr">
        <is>
          <t>T1 Academy</t>
        </is>
      </c>
      <c r="AU170" s="24" t="inlineStr">
        <is>
          <t>T1 Academy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614959740b0dc3633da1891fdae28d4468783ac2e0eb843dcf20b23e7e6d87aa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614959740b0dc3633da1891fdae28d4468783ac2e0eb843dcf20b23e7e6d87aa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2026-09-15T04:40:19.357595Z</t>
        </is>
      </c>
      <c r="BI170" s="24" t="inlineStr">
        <is>
          <t>["same_event","same_team_same_day","same_league_same_day"]</t>
        </is>
      </c>
      <c r="BJ170" s="25" t="n"/>
      <c r="BK170" s="26" t="n">
        <v>-223</v>
      </c>
      <c r="BL170" s="27" t="n">
        <v>1.44843</v>
      </c>
      <c r="BM170" s="28" t="n">
        <v>0.690402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0.690402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171" ht="36" customHeight="1">
      <c r="A171" s="24" t="inlineStr">
        <is>
          <t>58fccc6265e442c9</t>
        </is>
      </c>
      <c r="B171" s="24" t="inlineStr">
        <is>
          <t>2026-09-17T04:47:02.630343Z</t>
        </is>
      </c>
      <c r="C171" s="24" t="inlineStr">
        <is>
          <t>2026-09-17T09:00:00Z</t>
        </is>
      </c>
      <c r="D171" s="24" t="inlineStr">
        <is>
          <t>112380</t>
        </is>
      </c>
      <c r="E171" s="24" t="inlineStr">
        <is>
          <t>LOL</t>
        </is>
      </c>
      <c r="F171" s="24" t="inlineStr">
        <is>
          <t>Invictus Gaming</t>
        </is>
      </c>
      <c r="G171" s="24" t="inlineStr">
        <is>
          <t>Top Esports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-133</v>
      </c>
      <c r="M171" s="27" t="n">
        <v>1.75188</v>
      </c>
      <c r="N171" s="28" t="n">
        <v>0.570815</v>
      </c>
      <c r="O171" s="28" t="n">
        <v>0.530729</v>
      </c>
      <c r="P171" s="28" t="n"/>
      <c r="Q171" s="28" t="n">
        <v>-0.040086</v>
      </c>
      <c r="R171" s="26" t="n">
        <v>0</v>
      </c>
      <c r="S171" s="29" t="n">
        <v>1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0</v>
      </c>
      <c r="X171" s="26" t="n">
        <v>1</v>
      </c>
      <c r="Y171" s="25" t="n"/>
      <c r="Z171" s="26" t="n">
        <v>-133</v>
      </c>
      <c r="AA171" s="28" t="n">
        <v>0.57</v>
      </c>
      <c r="AB171" s="28" t="n">
        <v>-0.000815</v>
      </c>
      <c r="AC171" s="30" t="n">
        <v>-1</v>
      </c>
      <c r="AD171" s="24" t="inlineStr">
        <is>
          <t>2026-09-18T07:16:10.811719Z</t>
        </is>
      </c>
      <c r="AE171" s="31" t="inlineStr">
        <is>
          <t>Neutral Elo baseline; executable ask 0.5700 (market_slug=aec-lol-tes-ig-2026-09-17).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Invictus Gaming</t>
        </is>
      </c>
      <c r="AQ171" s="24" t="inlineStr">
        <is>
          <t>Invictus Gaming</t>
        </is>
      </c>
      <c r="AR171" s="24" t="inlineStr">
        <is>
          <t>Invictus Gaming</t>
        </is>
      </c>
      <c r="AS171" s="24" t="inlineStr">
        <is>
          <t>Top Esports</t>
        </is>
      </c>
      <c r="AT171" s="24" t="inlineStr">
        <is>
          <t>Top Esports</t>
        </is>
      </c>
      <c r="AU171" s="24" t="inlineStr">
        <is>
          <t>Top Esports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5f2fd5cbe75da2b4ea997e8aa2760fe42cbfa4e974ba1e3f06239da591be2889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5f2fd5cbe75da2b4ea997e8aa2760fe42cbfa4e974ba1e3f06239da591be2889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2026-09-17T04:46:40.678580Z</t>
        </is>
      </c>
      <c r="BI171" s="24" t="inlineStr">
        <is>
          <t>["same_event","same_team_same_day","same_league_same_day"]</t>
        </is>
      </c>
      <c r="BJ171" s="25" t="n"/>
      <c r="BK171" s="26" t="n">
        <v>-133</v>
      </c>
      <c r="BL171" s="27" t="n">
        <v>1.75188</v>
      </c>
      <c r="BM171" s="28" t="n">
        <v>0.570815</v>
      </c>
      <c r="BN171" s="28" t="n"/>
      <c r="BO171" s="28" t="n"/>
      <c r="BP171" s="25" t="n"/>
      <c r="BQ171" s="27" t="n">
        <v>1.75188</v>
      </c>
      <c r="BR171" s="28" t="n">
        <v>0.57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0.570815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172" ht="36" customHeight="1">
      <c r="A172" s="24" t="inlineStr">
        <is>
          <t>887cfd1fd8244faf</t>
        </is>
      </c>
      <c r="B172" s="24" t="inlineStr">
        <is>
          <t>2026-09-18T08:16:25.237689Z</t>
        </is>
      </c>
      <c r="C172" s="24" t="inlineStr">
        <is>
          <t>2026-09-18T09:00:00Z</t>
        </is>
      </c>
      <c r="D172" s="24" t="inlineStr">
        <is>
          <t>113368</t>
        </is>
      </c>
      <c r="E172" s="24" t="inlineStr">
        <is>
          <t>LOL</t>
        </is>
      </c>
      <c r="F172" s="24" t="inlineStr">
        <is>
          <t>JD Gaming</t>
        </is>
      </c>
      <c r="G172" s="24" t="inlineStr">
        <is>
          <t>Team WE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-144</v>
      </c>
      <c r="M172" s="27" t="n">
        <v>1.694444</v>
      </c>
      <c r="N172" s="28" t="n">
        <v>0.590164</v>
      </c>
      <c r="O172" s="28" t="n">
        <v>0.561847</v>
      </c>
      <c r="P172" s="28" t="n"/>
      <c r="Q172" s="28" t="n">
        <v>-0.028317</v>
      </c>
      <c r="R172" s="26" t="n">
        <v>6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-156</v>
      </c>
      <c r="AA172" s="28" t="n">
        <v>0.61</v>
      </c>
      <c r="AB172" s="28" t="n">
        <v>0.019836</v>
      </c>
      <c r="AC172" s="30" t="n">
        <v>0.6944</v>
      </c>
      <c r="AD172" s="24" t="inlineStr">
        <is>
          <t>2026-09-18T16:30:01.539115Z</t>
        </is>
      </c>
      <c r="AE172" s="31" t="inlineStr">
        <is>
          <t>Neutral Elo baseline; executable ask 0.5900 (market_slug=aec-lol-we-jdg-2026-09-18).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JD Gaming</t>
        </is>
      </c>
      <c r="AQ172" s="24" t="inlineStr">
        <is>
          <t>JD Gaming</t>
        </is>
      </c>
      <c r="AR172" s="24" t="inlineStr">
        <is>
          <t>JD Gaming</t>
        </is>
      </c>
      <c r="AS172" s="24" t="inlineStr">
        <is>
          <t>Team WE</t>
        </is>
      </c>
      <c r="AT172" s="24" t="inlineStr">
        <is>
          <t>Team WE</t>
        </is>
      </c>
      <c r="AU172" s="24" t="inlineStr">
        <is>
          <t>Team WE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2e3a0988546bfdd2db305dbe94acd2be19d326a6dfe11508a5bc178efc5c721e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2e3a0988546bfdd2db305dbe94acd2be19d326a6dfe11508a5bc178efc5c721e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2026-09-18T08:00:05.629451Z</t>
        </is>
      </c>
      <c r="BI172" s="24" t="inlineStr">
        <is>
          <t>["same_event","same_team_same_day","same_league_same_day"]</t>
        </is>
      </c>
      <c r="BJ172" s="25" t="n"/>
      <c r="BK172" s="26" t="n">
        <v>-144</v>
      </c>
      <c r="BL172" s="27" t="n">
        <v>1.694444</v>
      </c>
      <c r="BM172" s="28" t="n">
        <v>0.590164</v>
      </c>
      <c r="BN172" s="28" t="n"/>
      <c r="BO172" s="28" t="n"/>
      <c r="BP172" s="25" t="n"/>
      <c r="BQ172" s="27" t="n">
        <v>1.641026</v>
      </c>
      <c r="BR172" s="28" t="n">
        <v>0.61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0.590164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173" ht="36" customHeight="1">
      <c r="A173" s="24" t="inlineStr">
        <is>
          <t>b161941fa3e74186</t>
        </is>
      </c>
      <c r="B173" s="24" t="inlineStr">
        <is>
          <t>2026-09-20T05:04:18.138481Z</t>
        </is>
      </c>
      <c r="C173" s="24" t="inlineStr">
        <is>
          <t>2026-09-20T09:00:00Z</t>
        </is>
      </c>
      <c r="D173" s="24" t="inlineStr">
        <is>
          <t>116686</t>
        </is>
      </c>
      <c r="E173" s="24" t="inlineStr">
        <is>
          <t>LOL</t>
        </is>
      </c>
      <c r="F173" s="24" t="inlineStr">
        <is>
          <t>CTBC Flying Oyster Academy</t>
        </is>
      </c>
      <c r="G173" s="24" t="inlineStr">
        <is>
          <t>⁠Movistar KOI Fénix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-156</v>
      </c>
      <c r="M173" s="27" t="n">
        <v>1.641026</v>
      </c>
      <c r="N173" s="28" t="n">
        <v>0.609375</v>
      </c>
      <c r="O173" s="28" t="n">
        <v>0.850003</v>
      </c>
      <c r="P173" s="28" t="n"/>
      <c r="Q173" s="28" t="n">
        <v>0.240628</v>
      </c>
      <c r="R173" s="26" t="n">
        <v>100</v>
      </c>
      <c r="S173" s="29" t="n">
        <v>2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-156</v>
      </c>
      <c r="AA173" s="28" t="n">
        <v>0.61</v>
      </c>
      <c r="AB173" s="28" t="n">
        <v>0.000625</v>
      </c>
      <c r="AC173" s="30" t="n">
        <v>1.2821</v>
      </c>
      <c r="AD173" s="24" t="inlineStr">
        <is>
          <t>2026-09-20T10:02:42.897266Z</t>
        </is>
      </c>
      <c r="AE173" s="31" t="inlineStr">
        <is>
          <t>Neutral Elo baseline; executable ask 0.6100 (market_slug=aec-lol-mkf-ctbca-2026-09-20).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CTBC Flying Oyster Academy</t>
        </is>
      </c>
      <c r="AQ173" s="24" t="inlineStr">
        <is>
          <t>CTBC Flying Oyster Academy</t>
        </is>
      </c>
      <c r="AR173" s="24" t="inlineStr">
        <is>
          <t>CTBC Flying Oyster Academy</t>
        </is>
      </c>
      <c r="AS173" s="24" t="inlineStr">
        <is>
          <t>⁠Movistar KOI Fénix</t>
        </is>
      </c>
      <c r="AT173" s="24" t="inlineStr">
        <is>
          <t>⁠Movistar KOI Fénix</t>
        </is>
      </c>
      <c r="AU173" s="24" t="inlineStr">
        <is>
          <t>⁠Movistar KOI Fénix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1b845a91da824ede090db79712887857178de6262e3a299201c094cb7a8b4b17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1b845a91da824ede090db79712887857178de6262e3a299201c094cb7a8b4b17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2026-09-20T05:03:27.308787Z</t>
        </is>
      </c>
      <c r="BI173" s="24" t="inlineStr">
        <is>
          <t>["same_event","same_team_same_day","same_league_same_day"]</t>
        </is>
      </c>
      <c r="BJ173" s="25" t="n"/>
      <c r="BK173" s="26" t="n">
        <v>-156</v>
      </c>
      <c r="BL173" s="27" t="n">
        <v>1.641026</v>
      </c>
      <c r="BM173" s="28" t="n">
        <v>0.609375</v>
      </c>
      <c r="BN173" s="28" t="n"/>
      <c r="BO173" s="28" t="n"/>
      <c r="BP173" s="25" t="n"/>
      <c r="BQ173" s="27" t="n">
        <v>1.641026</v>
      </c>
      <c r="BR173" s="28" t="n">
        <v>0.61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0.609375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174" ht="36" customHeight="1">
      <c r="A174" s="24" t="inlineStr">
        <is>
          <t>a5380fb05bbe41db</t>
        </is>
      </c>
      <c r="B174" s="24" t="inlineStr">
        <is>
          <t>2026-09-20T10:31:31.574053Z</t>
        </is>
      </c>
      <c r="C174" s="24" t="inlineStr">
        <is>
          <t>2026-09-20T15:00:00Z</t>
        </is>
      </c>
      <c r="D174" s="24" t="inlineStr">
        <is>
          <t>118250</t>
        </is>
      </c>
      <c r="E174" s="24" t="inlineStr">
        <is>
          <t>LOL</t>
        </is>
      </c>
      <c r="F174" s="24" t="inlineStr">
        <is>
          <t>Movistar KOI</t>
        </is>
      </c>
      <c r="G174" s="24" t="inlineStr">
        <is>
          <t>G2 Esports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-223</v>
      </c>
      <c r="M174" s="27" t="n">
        <v>1.44843</v>
      </c>
      <c r="N174" s="28" t="n">
        <v>0.690402</v>
      </c>
      <c r="O174" s="28" t="n">
        <v>0.583274</v>
      </c>
      <c r="P174" s="28" t="n"/>
      <c r="Q174" s="28" t="n">
        <v>-0.107128</v>
      </c>
      <c r="R174" s="26" t="n">
        <v>0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/>
      <c r="AA174" s="28" t="n"/>
      <c r="AB174" s="28" t="n"/>
      <c r="AC174" s="30" t="n">
        <v>0.4484</v>
      </c>
      <c r="AD174" s="24" t="inlineStr">
        <is>
          <t>2026-09-20T22:19:12.213348Z</t>
        </is>
      </c>
      <c r="AE174" s="31" t="inlineStr">
        <is>
          <t>Neutral Elo baseline; executable ask 0.6900 (market_slug=aec-lol-g2-mkoi-2026-09-20).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Movistar KOI</t>
        </is>
      </c>
      <c r="AQ174" s="24" t="inlineStr">
        <is>
          <t>Movistar KOI</t>
        </is>
      </c>
      <c r="AR174" s="24" t="inlineStr">
        <is>
          <t>Movistar KOI</t>
        </is>
      </c>
      <c r="AS174" s="24" t="inlineStr">
        <is>
          <t>G2 Esports</t>
        </is>
      </c>
      <c r="AT174" s="24" t="inlineStr">
        <is>
          <t>G2 Esports</t>
        </is>
      </c>
      <c r="AU174" s="24" t="inlineStr">
        <is>
          <t>G2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f46d3e6762f9f90d8eb0b80940c565a9e61dcc124ee01174399460a0e52a71e0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f46d3e6762f9f90d8eb0b80940c565a9e61dcc124ee01174399460a0e52a71e0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2026-09-20T10:31:00.247269Z</t>
        </is>
      </c>
      <c r="BI174" s="24" t="inlineStr">
        <is>
          <t>["same_event","same_team_same_day","same_league_same_day"]</t>
        </is>
      </c>
      <c r="BJ174" s="25" t="n"/>
      <c r="BK174" s="26" t="n">
        <v>-223</v>
      </c>
      <c r="BL174" s="27" t="n">
        <v>1.44843</v>
      </c>
      <c r="BM174" s="28" t="n">
        <v>0.690402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0.690402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175" ht="36" customHeight="1">
      <c r="A175" s="24" t="inlineStr">
        <is>
          <t>d8c6701cfd60437f</t>
        </is>
      </c>
      <c r="B175" s="24" t="inlineStr">
        <is>
          <t>2026-09-20T10:31:31.574053Z</t>
        </is>
      </c>
      <c r="C175" s="24" t="inlineStr">
        <is>
          <t>2026-09-20T16:00:00Z</t>
        </is>
      </c>
      <c r="D175" s="24" t="inlineStr">
        <is>
          <t>118357</t>
        </is>
      </c>
      <c r="E175" s="24" t="inlineStr">
        <is>
          <t>LOL</t>
        </is>
      </c>
      <c r="F175" s="24" t="inlineStr">
        <is>
          <t>paiN Gaming</t>
        </is>
      </c>
      <c r="G175" s="24" t="inlineStr">
        <is>
          <t>RED Canids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0.620486</v>
      </c>
      <c r="P175" s="28" t="n"/>
      <c r="Q175" s="28" t="n">
        <v>0.081315</v>
      </c>
      <c r="R175" s="26" t="n">
        <v>61</v>
      </c>
      <c r="S175" s="29" t="n">
        <v>1.25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0</v>
      </c>
      <c r="X175" s="26" t="n">
        <v>1</v>
      </c>
      <c r="Y175" s="25" t="n"/>
      <c r="Z175" s="26" t="n"/>
      <c r="AA175" s="28" t="n"/>
      <c r="AB175" s="28" t="n"/>
      <c r="AC175" s="30" t="n">
        <v>1.0684</v>
      </c>
      <c r="AD175" s="24" t="inlineStr">
        <is>
          <t>2026-09-20T22:19:12.684464Z</t>
        </is>
      </c>
      <c r="AE175" s="31" t="inlineStr">
        <is>
          <t>Neutral Elo baseline; executable ask 0.5400 (market_slug=aec-lol-red-png-2026-09-20).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paiN Gaming</t>
        </is>
      </c>
      <c r="AQ175" s="24" t="inlineStr">
        <is>
          <t>paiN Gaming</t>
        </is>
      </c>
      <c r="AR175" s="24" t="inlineStr">
        <is>
          <t>paiN Gaming</t>
        </is>
      </c>
      <c r="AS175" s="24" t="inlineStr">
        <is>
          <t>RED Canids</t>
        </is>
      </c>
      <c r="AT175" s="24" t="inlineStr">
        <is>
          <t>RED Canids</t>
        </is>
      </c>
      <c r="AU175" s="24" t="inlineStr">
        <is>
          <t>RED Canids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f46d3e6762f9f90d8eb0b80940c565a9e61dcc124ee01174399460a0e52a71e0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f46d3e6762f9f90d8eb0b80940c565a9e61dcc124ee01174399460a0e52a71e0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2026-09-20T10:31:00.329862Z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0.539171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176" ht="36" customHeight="1">
      <c r="A176" s="24" t="inlineStr">
        <is>
          <t>81b895da0b6c41c6</t>
        </is>
      </c>
      <c r="B176" s="24" t="inlineStr">
        <is>
          <t>2026-09-21T04:40:46.289130Z</t>
        </is>
      </c>
      <c r="C176" s="24" t="inlineStr">
        <is>
          <t>2026-09-21T07:00:00Z</t>
        </is>
      </c>
      <c r="D176" s="24" t="inlineStr">
        <is>
          <t>116692</t>
        </is>
      </c>
      <c r="E176" s="24" t="inlineStr">
        <is>
          <t>LOL</t>
        </is>
      </c>
      <c r="F176" s="24" t="inlineStr">
        <is>
          <t>Cupid Esports</t>
        </is>
      </c>
      <c r="G176" s="24" t="inlineStr">
        <is>
          <t>FENNEL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203</v>
      </c>
      <c r="M176" s="27" t="n">
        <v>3.03</v>
      </c>
      <c r="N176" s="28" t="n">
        <v>0.330033</v>
      </c>
      <c r="O176" s="28" t="n">
        <v>0.557226</v>
      </c>
      <c r="P176" s="28" t="n"/>
      <c r="Q176" s="28" t="n">
        <v>0.227193</v>
      </c>
      <c r="R176" s="26" t="n">
        <v>100</v>
      </c>
      <c r="S176" s="29" t="n">
        <v>2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0</v>
      </c>
      <c r="Y176" s="25" t="n"/>
      <c r="Z176" s="26" t="n"/>
      <c r="AA176" s="28" t="n"/>
      <c r="AB176" s="28" t="n"/>
      <c r="AC176" s="30" t="n">
        <v>-2</v>
      </c>
      <c r="AD176" s="24" t="inlineStr">
        <is>
          <t>2026-09-21T10:02:19.689128Z</t>
        </is>
      </c>
      <c r="AE176" s="31" t="inlineStr">
        <is>
          <t>Neutral Elo baseline; executable ask 0.3300 (market_slug=aec-lol-fnl-cpd-2026-09-21).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Cupid Esports</t>
        </is>
      </c>
      <c r="AQ176" s="24" t="inlineStr">
        <is>
          <t>Cupid Esports</t>
        </is>
      </c>
      <c r="AR176" s="24" t="inlineStr">
        <is>
          <t>Cupid Esports</t>
        </is>
      </c>
      <c r="AS176" s="24" t="inlineStr">
        <is>
          <t>FENNEL</t>
        </is>
      </c>
      <c r="AT176" s="24" t="inlineStr">
        <is>
          <t>FENNEL</t>
        </is>
      </c>
      <c r="AU176" s="24" t="inlineStr">
        <is>
          <t>FENNEL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33117600cf680413857d7c7377d7fcdbb9401327ac002c5be450878709155be2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33117600cf680413857d7c7377d7fcdbb9401327ac002c5be450878709155be2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2026-09-21T04:39:29.233516Z</t>
        </is>
      </c>
      <c r="BI176" s="24" t="inlineStr">
        <is>
          <t>["same_event","same_team_same_day","same_league_same_day"]</t>
        </is>
      </c>
      <c r="BJ176" s="25" t="n"/>
      <c r="BK176" s="26" t="n">
        <v>203</v>
      </c>
      <c r="BL176" s="27" t="n">
        <v>3.03</v>
      </c>
      <c r="BM176" s="28" t="n">
        <v>0.330033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0.330033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177" ht="36" customHeight="1">
      <c r="A177" s="24" t="inlineStr">
        <is>
          <t>ccaf4ef9ce4348eb</t>
        </is>
      </c>
      <c r="B177" s="24" t="inlineStr">
        <is>
          <t>2026-09-21T10:09:30.808492Z</t>
        </is>
      </c>
      <c r="C177" s="24" t="inlineStr">
        <is>
          <t>2026-09-21T11:00:00Z</t>
        </is>
      </c>
      <c r="D177" s="24" t="inlineStr">
        <is>
          <t>116730</t>
        </is>
      </c>
      <c r="E177" s="24" t="inlineStr">
        <is>
          <t>LOL</t>
        </is>
      </c>
      <c r="F177" s="24" t="inlineStr">
        <is>
          <t>Vivo Keyd Stars Academy</t>
        </is>
      </c>
      <c r="G177" s="24" t="inlineStr">
        <is>
          <t>FENNEL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108</v>
      </c>
      <c r="M177" s="27" t="n">
        <v>2.08</v>
      </c>
      <c r="N177" s="28" t="n">
        <v>0.480769</v>
      </c>
      <c r="O177" s="28" t="n">
        <v>0.6054040000000001</v>
      </c>
      <c r="P177" s="28" t="n"/>
      <c r="Q177" s="28" t="n">
        <v>0.124635</v>
      </c>
      <c r="R177" s="26" t="n">
        <v>82</v>
      </c>
      <c r="S177" s="29" t="n">
        <v>1.5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108</v>
      </c>
      <c r="AA177" s="28" t="n">
        <v>0.48</v>
      </c>
      <c r="AB177" s="28" t="n">
        <v>-0.000769</v>
      </c>
      <c r="AC177" s="30" t="n">
        <v>-1.5</v>
      </c>
      <c r="AD177" s="24" t="inlineStr">
        <is>
          <t>2026-09-21T16:11:17.288624Z</t>
        </is>
      </c>
      <c r="AE177" s="31" t="inlineStr">
        <is>
          <t>Neutral Elo baseline; executable ask 0.4800 (market_slug=aec-lol-fnl-vksa-2026-09-21).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Vivo Keyd Stars Academy</t>
        </is>
      </c>
      <c r="AQ177" s="24" t="inlineStr">
        <is>
          <t>Vivo Keyd Stars Academy</t>
        </is>
      </c>
      <c r="AR177" s="24" t="inlineStr">
        <is>
          <t>Vivo Keyd Stars Academy</t>
        </is>
      </c>
      <c r="AS177" s="24" t="inlineStr">
        <is>
          <t>FENNEL</t>
        </is>
      </c>
      <c r="AT177" s="24" t="inlineStr">
        <is>
          <t>FENNEL</t>
        </is>
      </c>
      <c r="AU177" s="24" t="inlineStr">
        <is>
          <t>FENNEL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8961da3257daaa1a0120e81b3290c3c573d875f56753dc5141867e2ff833a82f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8961da3257daaa1a0120e81b3290c3c573d875f56753dc5141867e2ff833a82f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2026-09-21T10:08:30.121145Z</t>
        </is>
      </c>
      <c r="BI177" s="24" t="inlineStr">
        <is>
          <t>["same_event","same_team_same_day","same_league_same_day"]</t>
        </is>
      </c>
      <c r="BJ177" s="25" t="n"/>
      <c r="BK177" s="26" t="n">
        <v>108</v>
      </c>
      <c r="BL177" s="27" t="n">
        <v>2.08</v>
      </c>
      <c r="BM177" s="28" t="n">
        <v>0.480769</v>
      </c>
      <c r="BN177" s="28" t="n"/>
      <c r="BO177" s="28" t="n"/>
      <c r="BP177" s="25" t="n"/>
      <c r="BQ177" s="27" t="n">
        <v>2.08</v>
      </c>
      <c r="BR177" s="28" t="n">
        <v>0.48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0.480769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178" ht="36" customHeight="1">
      <c r="A178" s="24" t="inlineStr">
        <is>
          <t>54e78dccc8694db0</t>
        </is>
      </c>
      <c r="B178" s="24" t="inlineStr">
        <is>
          <t>2026-09-21T10:09:30.808492Z</t>
        </is>
      </c>
      <c r="C178" s="24" t="inlineStr">
        <is>
          <t>2026-09-21T12:00:00Z</t>
        </is>
      </c>
      <c r="D178" s="24" t="inlineStr">
        <is>
          <t>116699</t>
        </is>
      </c>
      <c r="E178" s="24" t="inlineStr">
        <is>
          <t>LOL</t>
        </is>
      </c>
      <c r="F178" s="24" t="inlineStr">
        <is>
          <t>Saigon Warriors</t>
        </is>
      </c>
      <c r="G178" s="24" t="inlineStr">
        <is>
          <t>ZSK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138</v>
      </c>
      <c r="M178" s="27" t="n">
        <v>2.38</v>
      </c>
      <c r="N178" s="28" t="n">
        <v>0.420168</v>
      </c>
      <c r="O178" s="28" t="n">
        <v>0.565057</v>
      </c>
      <c r="P178" s="28" t="n"/>
      <c r="Q178" s="28" t="n">
        <v>0.144889</v>
      </c>
      <c r="R178" s="26" t="n">
        <v>92</v>
      </c>
      <c r="S178" s="29" t="n">
        <v>1.75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138</v>
      </c>
      <c r="AA178" s="28" t="n">
        <v>0.42</v>
      </c>
      <c r="AB178" s="28" t="n">
        <v>-0.000168</v>
      </c>
      <c r="AC178" s="30" t="n">
        <v>2.415</v>
      </c>
      <c r="AD178" s="24" t="inlineStr">
        <is>
          <t>2026-09-21T16:11:18.267756Z</t>
        </is>
      </c>
      <c r="AE178" s="31" t="inlineStr">
        <is>
          <t>Neutral Elo baseline; executable ask 0.4200 (market_slug=aec-lol-zsk-sgw-2026-09-21).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Saigon Warriors</t>
        </is>
      </c>
      <c r="AQ178" s="24" t="inlineStr">
        <is>
          <t>Saigon Warriors</t>
        </is>
      </c>
      <c r="AR178" s="24" t="inlineStr">
        <is>
          <t>Saigon Warriors</t>
        </is>
      </c>
      <c r="AS178" s="24" t="inlineStr">
        <is>
          <t>ZSK</t>
        </is>
      </c>
      <c r="AT178" s="24" t="inlineStr">
        <is>
          <t>ZSK</t>
        </is>
      </c>
      <c r="AU178" s="24" t="inlineStr">
        <is>
          <t>ZSK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8961da3257daaa1a0120e81b3290c3c573d875f56753dc5141867e2ff833a82f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8961da3257daaa1a0120e81b3290c3c573d875f56753dc5141867e2ff833a82f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2026-09-21T10:08:30.191485Z</t>
        </is>
      </c>
      <c r="BI178" s="24" t="inlineStr">
        <is>
          <t>["same_event","same_team_same_day","same_league_same_day"]</t>
        </is>
      </c>
      <c r="BJ178" s="25" t="n"/>
      <c r="BK178" s="26" t="n">
        <v>138</v>
      </c>
      <c r="BL178" s="27" t="n">
        <v>2.38</v>
      </c>
      <c r="BM178" s="28" t="n">
        <v>0.420168</v>
      </c>
      <c r="BN178" s="28" t="n"/>
      <c r="BO178" s="28" t="n"/>
      <c r="BP178" s="25" t="n"/>
      <c r="BQ178" s="27" t="n">
        <v>2.38</v>
      </c>
      <c r="BR178" s="28" t="n">
        <v>0.42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0.420168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179" ht="36" customHeight="1">
      <c r="A179" s="24" t="inlineStr">
        <is>
          <t>444d94a17adb4880</t>
        </is>
      </c>
      <c r="B179" s="24" t="inlineStr">
        <is>
          <t>2026-09-23T16:17:20.615768Z</t>
        </is>
      </c>
      <c r="C179" s="24" t="inlineStr">
        <is>
          <t>2026-09-23T17:00:00Z</t>
        </is>
      </c>
      <c r="D179" s="24" t="inlineStr">
        <is>
          <t>122366</t>
        </is>
      </c>
      <c r="E179" s="24" t="inlineStr">
        <is>
          <t>LOL</t>
        </is>
      </c>
      <c r="F179" s="24" t="inlineStr">
        <is>
          <t>The Otter Side</t>
        </is>
      </c>
      <c r="G179" s="24" t="inlineStr">
        <is>
          <t>CITA Kaizen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170</v>
      </c>
      <c r="M179" s="27" t="n">
        <v>2.7</v>
      </c>
      <c r="N179" s="28" t="n">
        <v>0.37037</v>
      </c>
      <c r="O179" s="28" t="n">
        <v>0.562905</v>
      </c>
      <c r="P179" s="28" t="n"/>
      <c r="Q179" s="28" t="n">
        <v>0.192535</v>
      </c>
      <c r="R179" s="26" t="n">
        <v>100</v>
      </c>
      <c r="S179" s="29" t="n">
        <v>2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1</v>
      </c>
      <c r="X179" s="26" t="n">
        <v>0</v>
      </c>
      <c r="Y179" s="25" t="n"/>
      <c r="Z179" s="26" t="n">
        <v>-163</v>
      </c>
      <c r="AA179" s="28" t="n">
        <v>0.62</v>
      </c>
      <c r="AB179" s="28" t="n">
        <v>0.24963</v>
      </c>
      <c r="AC179" s="30" t="n">
        <v>-2</v>
      </c>
      <c r="AD179" s="24" t="inlineStr">
        <is>
          <t>2026-09-23T22:28:22.607656Z</t>
        </is>
      </c>
      <c r="AE179" s="31" t="inlineStr">
        <is>
          <t>Neutral Elo baseline; executable ask 0.3700 (market_slug=aec-lol-ckz-tos-2026-09-23).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The Otter Side</t>
        </is>
      </c>
      <c r="AQ179" s="24" t="inlineStr">
        <is>
          <t>The Otter Side</t>
        </is>
      </c>
      <c r="AR179" s="24" t="inlineStr">
        <is>
          <t>The Otter Side</t>
        </is>
      </c>
      <c r="AS179" s="24" t="inlineStr">
        <is>
          <t>CITA Kaizen</t>
        </is>
      </c>
      <c r="AT179" s="24" t="inlineStr">
        <is>
          <t>CITA Kaizen</t>
        </is>
      </c>
      <c r="AU179" s="24" t="inlineStr">
        <is>
          <t>CITA Kaizen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465ce4ed869974960e64484eed8f34f6f37dfa02313d8e487ef5ee7a8f8a4ad0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465ce4ed869974960e64484eed8f34f6f37dfa02313d8e487ef5ee7a8f8a4ad0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2026-09-23T16:16:45.839135Z</t>
        </is>
      </c>
      <c r="BI179" s="24" t="inlineStr">
        <is>
          <t>["same_event","same_team_same_day","same_league_same_day"]</t>
        </is>
      </c>
      <c r="BJ179" s="25" t="n"/>
      <c r="BK179" s="26" t="n">
        <v>170</v>
      </c>
      <c r="BL179" s="27" t="n">
        <v>2.7</v>
      </c>
      <c r="BM179" s="28" t="n">
        <v>0.37037</v>
      </c>
      <c r="BN179" s="28" t="n"/>
      <c r="BO179" s="28" t="n"/>
      <c r="BP179" s="25" t="n"/>
      <c r="BQ179" s="27" t="n">
        <v>1.613497</v>
      </c>
      <c r="BR179" s="28" t="n">
        <v>0.62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0.37037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180" ht="36" customHeight="1">
      <c r="A180" s="24" t="inlineStr">
        <is>
          <t>b5425fa779a14e02</t>
        </is>
      </c>
      <c r="B180" s="24" t="inlineStr">
        <is>
          <t>2026-09-23T16:17:20.615768Z</t>
        </is>
      </c>
      <c r="C180" s="24" t="inlineStr">
        <is>
          <t>2026-09-23T17:00:00Z</t>
        </is>
      </c>
      <c r="D180" s="24" t="inlineStr">
        <is>
          <t>122365</t>
        </is>
      </c>
      <c r="E180" s="24" t="inlineStr">
        <is>
          <t>LOL</t>
        </is>
      </c>
      <c r="F180" s="24" t="inlineStr">
        <is>
          <t>Verdant</t>
        </is>
      </c>
      <c r="G180" s="24" t="inlineStr">
        <is>
          <t>SU Esports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156</v>
      </c>
      <c r="M180" s="27" t="n">
        <v>2.56</v>
      </c>
      <c r="N180" s="28" t="n">
        <v>0.390625</v>
      </c>
      <c r="O180" s="28" t="n">
        <v>0.6114889999999999</v>
      </c>
      <c r="P180" s="28" t="n"/>
      <c r="Q180" s="28" t="n">
        <v>0.220864</v>
      </c>
      <c r="R180" s="26" t="n">
        <v>100</v>
      </c>
      <c r="S180" s="29" t="n">
        <v>2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-2</v>
      </c>
      <c r="AD180" s="24" t="inlineStr">
        <is>
          <t>2026-09-23T22:28:23.432789Z</t>
        </is>
      </c>
      <c r="AE180" s="31" t="inlineStr">
        <is>
          <t>Neutral Elo baseline; executable ask 0.3900 (market_slug=aec-lol-su-vdn-2026-09-23).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Verdant</t>
        </is>
      </c>
      <c r="AQ180" s="24" t="inlineStr">
        <is>
          <t>Verdant</t>
        </is>
      </c>
      <c r="AR180" s="24" t="inlineStr">
        <is>
          <t>Verdant</t>
        </is>
      </c>
      <c r="AS180" s="24" t="inlineStr">
        <is>
          <t>SU Esports</t>
        </is>
      </c>
      <c r="AT180" s="24" t="inlineStr">
        <is>
          <t>SU Esports</t>
        </is>
      </c>
      <c r="AU180" s="24" t="inlineStr">
        <is>
          <t>SU Esports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465ce4ed869974960e64484eed8f34f6f37dfa02313d8e487ef5ee7a8f8a4ad0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465ce4ed869974960e64484eed8f34f6f37dfa02313d8e487ef5ee7a8f8a4ad0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2026-09-23T16:16:46.852937Z</t>
        </is>
      </c>
      <c r="BI180" s="24" t="inlineStr">
        <is>
          <t>["same_event","same_team_same_day","same_league_same_day"]</t>
        </is>
      </c>
      <c r="BJ180" s="25" t="n"/>
      <c r="BK180" s="26" t="n">
        <v>156</v>
      </c>
      <c r="BL180" s="27" t="n">
        <v>2.56</v>
      </c>
      <c r="BM180" s="28" t="n">
        <v>0.390625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0.390625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181" ht="36" customHeight="1">
      <c r="A181" s="24" t="inlineStr">
        <is>
          <t>7e471e406b614120</t>
        </is>
      </c>
      <c r="B181" s="24" t="inlineStr">
        <is>
          <t>2026-09-24T04:44:48.813401Z</t>
        </is>
      </c>
      <c r="C181" s="24" t="inlineStr">
        <is>
          <t>2026-09-24T09:00:00Z</t>
        </is>
      </c>
      <c r="D181" s="24" t="inlineStr">
        <is>
          <t>120070</t>
        </is>
      </c>
      <c r="E181" s="24" t="inlineStr">
        <is>
          <t>LOL</t>
        </is>
      </c>
      <c r="F181" s="24" t="inlineStr">
        <is>
          <t>KT Rolster Challengers</t>
        </is>
      </c>
      <c r="G181" s="24" t="inlineStr">
        <is>
          <t>⁠Movistar KOI Fénix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138</v>
      </c>
      <c r="M181" s="27" t="n">
        <v>2.38</v>
      </c>
      <c r="N181" s="28" t="n">
        <v>0.420168</v>
      </c>
      <c r="O181" s="28" t="n">
        <v>0.658269</v>
      </c>
      <c r="P181" s="28" t="n"/>
      <c r="Q181" s="28" t="n">
        <v>0.238101</v>
      </c>
      <c r="R181" s="26" t="n">
        <v>100</v>
      </c>
      <c r="S181" s="29" t="n">
        <v>2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1</v>
      </c>
      <c r="X181" s="26" t="n">
        <v>0</v>
      </c>
      <c r="Y181" s="25" t="n"/>
      <c r="Z181" s="26" t="n"/>
      <c r="AA181" s="28" t="n"/>
      <c r="AB181" s="28" t="n"/>
      <c r="AC181" s="30" t="n">
        <v>-2</v>
      </c>
      <c r="AD181" s="24" t="inlineStr">
        <is>
          <t>2026-09-24T10:02:55.508038Z</t>
        </is>
      </c>
      <c r="AE181" s="31" t="inlineStr">
        <is>
          <t>Neutral Elo baseline; executable ask 0.4200 (market_slug=aec-lol-mkf-ktc-2026-09-24).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KT Rolster Challengers</t>
        </is>
      </c>
      <c r="AQ181" s="24" t="inlineStr">
        <is>
          <t>KT Rolster Challengers</t>
        </is>
      </c>
      <c r="AR181" s="24" t="inlineStr">
        <is>
          <t>KT Rolster Challengers</t>
        </is>
      </c>
      <c r="AS181" s="24" t="inlineStr">
        <is>
          <t>⁠Movistar KOI Fénix</t>
        </is>
      </c>
      <c r="AT181" s="24" t="inlineStr">
        <is>
          <t>⁠Movistar KOI Fénix</t>
        </is>
      </c>
      <c r="AU181" s="24" t="inlineStr">
        <is>
          <t>⁠Movistar KOI Fénix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7c68077f8e5016ac4041c7fc9bcd4f7851f38e082dcea183b050d1886f626a6a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7c68077f8e5016ac4041c7fc9bcd4f7851f38e082dcea183b050d1886f626a6a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2026-09-24T04:44:02.444704Z</t>
        </is>
      </c>
      <c r="BI181" s="24" t="inlineStr">
        <is>
          <t>["same_event","same_team_same_day","same_league_same_day"]</t>
        </is>
      </c>
      <c r="BJ181" s="25" t="n"/>
      <c r="BK181" s="26" t="n">
        <v>138</v>
      </c>
      <c r="BL181" s="27" t="n">
        <v>2.38</v>
      </c>
      <c r="BM181" s="28" t="n">
        <v>0.420168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0.420168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182" ht="36" customHeight="1">
      <c r="A182" s="24" t="inlineStr">
        <is>
          <t>639774b2a2944c9d</t>
        </is>
      </c>
      <c r="B182" s="24" t="inlineStr">
        <is>
          <t>2026-09-24T10:13:06.296851Z</t>
        </is>
      </c>
      <c r="C182" s="24" t="inlineStr">
        <is>
          <t>2026-09-24T15:00:00Z</t>
        </is>
      </c>
      <c r="D182" s="24" t="inlineStr">
        <is>
          <t>124158</t>
        </is>
      </c>
      <c r="E182" s="24" t="inlineStr">
        <is>
          <t>LOL</t>
        </is>
      </c>
      <c r="F182" s="24" t="inlineStr">
        <is>
          <t>Kawaii Kiwis</t>
        </is>
      </c>
      <c r="G182" s="24" t="inlineStr">
        <is>
          <t>Guinea Pink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156</v>
      </c>
      <c r="M182" s="27" t="n">
        <v>2.56</v>
      </c>
      <c r="N182" s="28" t="n">
        <v>0.390625</v>
      </c>
      <c r="O182" s="28" t="n">
        <v>0.510101</v>
      </c>
      <c r="P182" s="28" t="n"/>
      <c r="Q182" s="28" t="n">
        <v>0.119476</v>
      </c>
      <c r="R182" s="26" t="n">
        <v>80</v>
      </c>
      <c r="S182" s="29" t="n">
        <v>1.5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0</v>
      </c>
      <c r="Y182" s="25" t="n"/>
      <c r="Z182" s="26" t="n"/>
      <c r="AA182" s="28" t="n"/>
      <c r="AB182" s="28" t="n"/>
      <c r="AC182" s="30" t="n">
        <v>-1.5</v>
      </c>
      <c r="AD182" s="24" t="inlineStr">
        <is>
          <t>2026-09-24T22:03:56.222733Z</t>
        </is>
      </c>
      <c r="AE182" s="31" t="inlineStr">
        <is>
          <t>Neutral Elo baseline; executable ask 0.3900 (market_slug=aec-lol-gp-kwk-2026-09-24).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Kawaii Kiwis</t>
        </is>
      </c>
      <c r="AQ182" s="24" t="inlineStr">
        <is>
          <t>Kawaii Kiwis</t>
        </is>
      </c>
      <c r="AR182" s="24" t="inlineStr">
        <is>
          <t>Kawaii Kiwis</t>
        </is>
      </c>
      <c r="AS182" s="24" t="inlineStr">
        <is>
          <t>Guinea Pink</t>
        </is>
      </c>
      <c r="AT182" s="24" t="inlineStr">
        <is>
          <t>Guinea Pink</t>
        </is>
      </c>
      <c r="AU182" s="24" t="inlineStr">
        <is>
          <t>Guinea Pink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8193ad7bec2317f09ab9c52b7a429a664f4bdfe47cd18ca751bc7d5296d751be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8193ad7bec2317f09ab9c52b7a429a664f4bdfe47cd18ca751bc7d5296d751be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2026-09-24T10:12:44.095115Z</t>
        </is>
      </c>
      <c r="BI182" s="24" t="inlineStr">
        <is>
          <t>["same_event","same_team_same_day","same_league_same_day"]</t>
        </is>
      </c>
      <c r="BJ182" s="25" t="n"/>
      <c r="BK182" s="26" t="n">
        <v>156</v>
      </c>
      <c r="BL182" s="27" t="n">
        <v>2.56</v>
      </c>
      <c r="BM182" s="28" t="n">
        <v>0.390625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0.390625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183" ht="36" customHeight="1">
      <c r="A183" s="24" t="inlineStr">
        <is>
          <t>8353d3f13c22418f</t>
        </is>
      </c>
      <c r="B183" s="24" t="inlineStr">
        <is>
          <t>2026-09-25T04:45:05.833268Z</t>
        </is>
      </c>
      <c r="C183" s="24" t="inlineStr">
        <is>
          <t>2026-09-25T09:00:00Z</t>
        </is>
      </c>
      <c r="D183" s="24" t="inlineStr">
        <is>
          <t>121729</t>
        </is>
      </c>
      <c r="E183" s="24" t="inlineStr">
        <is>
          <t>LOL</t>
        </is>
      </c>
      <c r="F183" s="24" t="inlineStr">
        <is>
          <t>Galions</t>
        </is>
      </c>
      <c r="G183" s="24" t="inlineStr">
        <is>
          <t>Solary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-117</v>
      </c>
      <c r="M183" s="27" t="n">
        <v>1.854701</v>
      </c>
      <c r="N183" s="28" t="n">
        <v>0.539171</v>
      </c>
      <c r="O183" s="28" t="n">
        <v>0.505466</v>
      </c>
      <c r="P183" s="28" t="n"/>
      <c r="Q183" s="28" t="n">
        <v>-0.033705</v>
      </c>
      <c r="R183" s="26" t="n">
        <v>3</v>
      </c>
      <c r="S183" s="29" t="n">
        <v>1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-178</v>
      </c>
      <c r="AA183" s="28" t="n">
        <v>0.64</v>
      </c>
      <c r="AB183" s="28" t="n">
        <v>0.100829</v>
      </c>
      <c r="AC183" s="30" t="n">
        <v>-1</v>
      </c>
      <c r="AD183" s="24" t="inlineStr">
        <is>
          <t>2026-09-25T10:02:47.810734Z</t>
        </is>
      </c>
      <c r="AE183" s="31" t="inlineStr">
        <is>
          <t>Neutral Elo baseline; executable ask 0.5400 (market_slug=aec-lol-sly-gal-2026-09-25).</t>
        </is>
      </c>
      <c r="AF183" s="31" t="inlineStr">
        <is>
          <t>Config-promoted esports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Galions</t>
        </is>
      </c>
      <c r="AQ183" s="24" t="inlineStr">
        <is>
          <t>Galions</t>
        </is>
      </c>
      <c r="AR183" s="24" t="inlineStr">
        <is>
          <t>Galions</t>
        </is>
      </c>
      <c r="AS183" s="24" t="inlineStr">
        <is>
          <t>Solary</t>
        </is>
      </c>
      <c r="AT183" s="24" t="inlineStr">
        <is>
          <t>Solary</t>
        </is>
      </c>
      <c r="AU183" s="24" t="inlineStr">
        <is>
          <t>Solary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3061e2d40901ad1435ccb09a54b216b1898a9be1ec38a0f6201e2371b92f1297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3061e2d40901ad1435ccb09a54b216b1898a9be1ec38a0f6201e2371b92f1297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2026-09-25T04:43:45.607884Z</t>
        </is>
      </c>
      <c r="BI183" s="24" t="inlineStr">
        <is>
          <t>["same_event","same_team_same_day","same_league_same_day"]</t>
        </is>
      </c>
      <c r="BJ183" s="25" t="n"/>
      <c r="BK183" s="26" t="n">
        <v>-117</v>
      </c>
      <c r="BL183" s="27" t="n">
        <v>1.854701</v>
      </c>
      <c r="BM183" s="28" t="n">
        <v>0.539171</v>
      </c>
      <c r="BN183" s="28" t="n"/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0.539171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184" ht="36" customHeight="1">
      <c r="A184" s="24" t="inlineStr">
        <is>
          <t>4f91d13ee55448b6</t>
        </is>
      </c>
      <c r="B184" s="24" t="inlineStr">
        <is>
          <t>2026-09-26T16:02:43.018712Z</t>
        </is>
      </c>
      <c r="C184" s="24" t="inlineStr">
        <is>
          <t>2026-09-26T19:00:00Z</t>
        </is>
      </c>
      <c r="D184" s="24" t="inlineStr">
        <is>
          <t>124779</t>
        </is>
      </c>
      <c r="E184" s="24" t="inlineStr">
        <is>
          <t>LOL</t>
        </is>
      </c>
      <c r="F184" s="24" t="inlineStr">
        <is>
          <t xml:space="preserve">PCIFIC </t>
        </is>
      </c>
      <c r="G184" s="24" t="inlineStr">
        <is>
          <t>Unicorns Of Love Sexy Edition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-213</v>
      </c>
      <c r="M184" s="27" t="n">
        <v>1.469484</v>
      </c>
      <c r="N184" s="28" t="n">
        <v>0.680511</v>
      </c>
      <c r="O184" s="28" t="n">
        <v>0.685547</v>
      </c>
      <c r="P184" s="28" t="n"/>
      <c r="Q184" s="28" t="n">
        <v>0.005036</v>
      </c>
      <c r="R184" s="26" t="n">
        <v>23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-317</v>
      </c>
      <c r="AA184" s="28" t="n">
        <v>0.76</v>
      </c>
      <c r="AB184" s="28" t="n">
        <v>0.079489</v>
      </c>
      <c r="AC184" s="30" t="n">
        <v>0.4695</v>
      </c>
      <c r="AD184" s="24" t="inlineStr">
        <is>
          <t>2026-09-26T22:04:34.557774Z</t>
        </is>
      </c>
      <c r="AE184" s="31" t="inlineStr">
        <is>
          <t>Neutral Elo baseline; executable ask 0.6800 (market_slug=aec-lol-use-pcific-2026-09-26).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 xml:space="preserve">PCIFIC </t>
        </is>
      </c>
      <c r="AQ184" s="24" t="inlineStr">
        <is>
          <t xml:space="preserve">PCIFIC </t>
        </is>
      </c>
      <c r="AR184" s="24" t="inlineStr">
        <is>
          <t xml:space="preserve">PCIFIC </t>
        </is>
      </c>
      <c r="AS184" s="24" t="inlineStr">
        <is>
          <t>Unicorns Of Love Sexy Edition</t>
        </is>
      </c>
      <c r="AT184" s="24" t="inlineStr">
        <is>
          <t>Unicorns Of Love Sexy Edition</t>
        </is>
      </c>
      <c r="AU184" s="24" t="inlineStr">
        <is>
          <t>Unicorns Of Love Sexy Edition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7a7e39758b1c5d2988b326696403f648ba363c3df0b14222ae6af0cdb0c0cc3e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7a7e39758b1c5d2988b326696403f648ba363c3df0b14222ae6af0cdb0c0cc3e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2026-09-26T16:02:17.517081Z</t>
        </is>
      </c>
      <c r="BI184" s="24" t="inlineStr">
        <is>
          <t>["same_event","same_team_same_day","same_league_same_day"]</t>
        </is>
      </c>
      <c r="BJ184" s="25" t="n"/>
      <c r="BK184" s="26" t="n">
        <v>-213</v>
      </c>
      <c r="BL184" s="27" t="n">
        <v>1.469484</v>
      </c>
      <c r="BM184" s="28" t="n">
        <v>0.680511</v>
      </c>
      <c r="BN184" s="28" t="n"/>
      <c r="BO184" s="28" t="n"/>
      <c r="BP184" s="25" t="n"/>
      <c r="BQ184" s="27" t="n">
        <v>1.315457</v>
      </c>
      <c r="BR184" s="28" t="n">
        <v>0.76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0.680511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185" ht="36" customHeight="1">
      <c r="A185" s="24" t="inlineStr">
        <is>
          <t>eed47ef6585146d9</t>
        </is>
      </c>
      <c r="B185" s="24" t="inlineStr">
        <is>
          <t>2026-09-27T16:27:24.440878Z</t>
        </is>
      </c>
      <c r="C185" s="24" t="inlineStr">
        <is>
          <t>2026-09-27T17:00:00Z</t>
        </is>
      </c>
      <c r="D185" s="24" t="inlineStr">
        <is>
          <t>129125</t>
        </is>
      </c>
      <c r="E185" s="24" t="inlineStr">
        <is>
          <t>LOL</t>
        </is>
      </c>
      <c r="F185" s="24" t="inlineStr">
        <is>
          <t>Skillcamp Esport</t>
        </is>
      </c>
      <c r="G185" s="24" t="inlineStr">
        <is>
          <t>Kaufland Hangry Knights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0.5714</v>
      </c>
      <c r="P185" s="28" t="n"/>
      <c r="Q185" s="28" t="n">
        <v>-0.008432</v>
      </c>
      <c r="R185" s="26" t="n">
        <v>16</v>
      </c>
      <c r="S185" s="29" t="n">
        <v>1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/>
      <c r="AA185" s="28" t="n"/>
      <c r="AB185" s="28" t="n"/>
      <c r="AC185" s="30" t="n">
        <v>0.7246</v>
      </c>
      <c r="AD185" s="24" t="inlineStr">
        <is>
          <t>2026-09-27T22:04:11.753814Z</t>
        </is>
      </c>
      <c r="AE185" s="31" t="inlineStr">
        <is>
          <t>Neutral Elo baseline; executable ask 0.5800 (market_slug=aec-lol-khk-sc-2026-09-27).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Skillcamp Esport</t>
        </is>
      </c>
      <c r="AQ185" s="24" t="inlineStr">
        <is>
          <t>Skillcamp Esport</t>
        </is>
      </c>
      <c r="AR185" s="24" t="inlineStr">
        <is>
          <t>Skillcamp Esport</t>
        </is>
      </c>
      <c r="AS185" s="24" t="inlineStr">
        <is>
          <t>Kaufland Hangry Knights</t>
        </is>
      </c>
      <c r="AT185" s="24" t="inlineStr">
        <is>
          <t>Kaufland Hangry Knights</t>
        </is>
      </c>
      <c r="AU185" s="24" t="inlineStr">
        <is>
          <t>Kaufland Hangry Knights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eff8232917eb230eb703b198344c889ea5f2d72143d42172b4bc91bc010e3a5c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eff8232917eb230eb703b198344c889ea5f2d72143d42172b4bc91bc010e3a5c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2026-09-27T16:26:39.864256Z</t>
        </is>
      </c>
      <c r="BI185" s="24" t="inlineStr">
        <is>
          <t>["same_event","same_team_same_day","same_league_same_day"]</t>
        </is>
      </c>
      <c r="BJ185" s="25" t="n"/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0.579832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186" ht="36" customHeight="1">
      <c r="A186" s="24" t="inlineStr">
        <is>
          <t>f98bf32a6ad04676</t>
        </is>
      </c>
      <c r="B186" s="24" t="inlineStr">
        <is>
          <t>2026-09-27T16:27:24.440878Z</t>
        </is>
      </c>
      <c r="C186" s="24" t="inlineStr">
        <is>
          <t>2026-09-27T19:00:00Z</t>
        </is>
      </c>
      <c r="D186" s="24" t="inlineStr">
        <is>
          <t>129132</t>
        </is>
      </c>
      <c r="E186" s="24" t="inlineStr">
        <is>
          <t>LOL</t>
        </is>
      </c>
      <c r="F186" s="24" t="inlineStr">
        <is>
          <t>Gamespace Mediterranean College Esports</t>
        </is>
      </c>
      <c r="G186" s="24" t="inlineStr">
        <is>
          <t>MAGAZA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170</v>
      </c>
      <c r="M186" s="27" t="n">
        <v>2.7</v>
      </c>
      <c r="N186" s="28" t="n">
        <v>0.37037</v>
      </c>
      <c r="O186" s="28" t="n">
        <v>0.577897</v>
      </c>
      <c r="P186" s="28" t="n"/>
      <c r="Q186" s="28" t="n">
        <v>0.207527</v>
      </c>
      <c r="R186" s="26" t="n">
        <v>100</v>
      </c>
      <c r="S186" s="29" t="n">
        <v>2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0</v>
      </c>
      <c r="X186" s="26" t="n">
        <v>1</v>
      </c>
      <c r="Y186" s="25" t="n"/>
      <c r="Z186" s="26" t="n">
        <v>170</v>
      </c>
      <c r="AA186" s="28" t="n">
        <v>0.37</v>
      </c>
      <c r="AB186" s="28" t="n">
        <v>-0.00037</v>
      </c>
      <c r="AC186" s="30" t="n">
        <v>3.4</v>
      </c>
      <c r="AD186" s="24" t="inlineStr">
        <is>
          <t>2026-09-27T22:04:12.264978Z</t>
        </is>
      </c>
      <c r="AE186" s="31" t="inlineStr">
        <is>
          <t>Neutral Elo baseline; executable ask 0.3700 (market_slug=aec-lol-mgz-gsmc-2026-09-27).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Gamespace Mediterranean College Esports</t>
        </is>
      </c>
      <c r="AQ186" s="24" t="inlineStr">
        <is>
          <t>Gamespace Mediterranean College Esports</t>
        </is>
      </c>
      <c r="AR186" s="24" t="inlineStr">
        <is>
          <t>Gamespace Mediterranean College Esports</t>
        </is>
      </c>
      <c r="AS186" s="24" t="inlineStr">
        <is>
          <t>MAGAZA</t>
        </is>
      </c>
      <c r="AT186" s="24" t="inlineStr">
        <is>
          <t>MAGAZA</t>
        </is>
      </c>
      <c r="AU186" s="24" t="inlineStr">
        <is>
          <t>MAGAZA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eff8232917eb230eb703b198344c889ea5f2d72143d42172b4bc91bc010e3a5c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eff8232917eb230eb703b198344c889ea5f2d72143d42172b4bc91bc010e3a5c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2026-09-27T16:27:03.350760Z</t>
        </is>
      </c>
      <c r="BI186" s="24" t="inlineStr">
        <is>
          <t>["same_event","same_team_same_day","same_league_same_day"]</t>
        </is>
      </c>
      <c r="BJ186" s="25" t="n"/>
      <c r="BK186" s="26" t="n">
        <v>170</v>
      </c>
      <c r="BL186" s="27" t="n">
        <v>2.7</v>
      </c>
      <c r="BM186" s="28" t="n">
        <v>0.37037</v>
      </c>
      <c r="BN186" s="28" t="n"/>
      <c r="BO186" s="28" t="n"/>
      <c r="BP186" s="25" t="n"/>
      <c r="BQ186" s="27" t="n">
        <v>2.7</v>
      </c>
      <c r="BR186" s="28" t="n">
        <v>0.37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0.37037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187" ht="36" customHeight="1">
      <c r="A187" s="24" t="inlineStr">
        <is>
          <t>c988cd36a2e043ee</t>
        </is>
      </c>
      <c r="B187" s="24" t="inlineStr">
        <is>
          <t>2026-09-27T16:27:24.440878Z</t>
        </is>
      </c>
      <c r="C187" s="24" t="inlineStr">
        <is>
          <t>2026-09-27T20:00:00Z</t>
        </is>
      </c>
      <c r="D187" s="24" t="inlineStr">
        <is>
          <t>125621</t>
        </is>
      </c>
      <c r="E187" s="24" t="inlineStr">
        <is>
          <t>LOL</t>
        </is>
      </c>
      <c r="F187" s="24" t="inlineStr">
        <is>
          <t>Team Liquid</t>
        </is>
      </c>
      <c r="G187" s="24" t="inlineStr">
        <is>
          <t>Cloud9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-186</v>
      </c>
      <c r="M187" s="27" t="n">
        <v>1.537634</v>
      </c>
      <c r="N187" s="28" t="n">
        <v>0.65035</v>
      </c>
      <c r="O187" s="28" t="n">
        <v>0.513109</v>
      </c>
      <c r="P187" s="28" t="n"/>
      <c r="Q187" s="28" t="n">
        <v>-0.137241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/>
      <c r="AA187" s="28" t="n"/>
      <c r="AB187" s="28" t="n"/>
      <c r="AC187" s="30" t="n">
        <v>0.5376</v>
      </c>
      <c r="AD187" s="24" t="inlineStr">
        <is>
          <t>2026-09-28T04:33:06.314555Z</t>
        </is>
      </c>
      <c r="AE187" s="31" t="inlineStr">
        <is>
          <t>Neutral Elo baseline; executable ask 0.6500 (market_slug=aec-lol-c9-tl-2026-09-27).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Team Liquid</t>
        </is>
      </c>
      <c r="AQ187" s="24" t="inlineStr">
        <is>
          <t>Team Liquid</t>
        </is>
      </c>
      <c r="AR187" s="24" t="inlineStr">
        <is>
          <t>Team Liquid</t>
        </is>
      </c>
      <c r="AS187" s="24" t="inlineStr">
        <is>
          <t>Cloud9</t>
        </is>
      </c>
      <c r="AT187" s="24" t="inlineStr">
        <is>
          <t>Cloud9</t>
        </is>
      </c>
      <c r="AU187" s="24" t="inlineStr">
        <is>
          <t>Cloud9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eff8232917eb230eb703b198344c889ea5f2d72143d42172b4bc91bc010e3a5c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eff8232917eb230eb703b198344c889ea5f2d72143d42172b4bc91bc010e3a5c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2026-09-27T16:27:03.518857Z</t>
        </is>
      </c>
      <c r="BI187" s="24" t="inlineStr">
        <is>
          <t>["same_event","same_team_same_day","same_league_same_day"]</t>
        </is>
      </c>
      <c r="BJ187" s="25" t="n"/>
      <c r="BK187" s="26" t="n">
        <v>-186</v>
      </c>
      <c r="BL187" s="27" t="n">
        <v>1.537634</v>
      </c>
      <c r="BM187" s="28" t="n">
        <v>0.65035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0.65035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188" ht="36" customHeight="1">
      <c r="A188" s="24" t="inlineStr">
        <is>
          <t>4476a71342024615</t>
        </is>
      </c>
      <c r="B188" s="24" t="inlineStr">
        <is>
          <t>2026-09-28T10:10:50.918145Z</t>
        </is>
      </c>
      <c r="C188" s="24" t="inlineStr">
        <is>
          <t>2026-09-28T16:00:00Z</t>
        </is>
      </c>
      <c r="D188" s="24" t="inlineStr">
        <is>
          <t>130707</t>
        </is>
      </c>
      <c r="E188" s="24" t="inlineStr">
        <is>
          <t>LOL</t>
        </is>
      </c>
      <c r="F188" s="24" t="inlineStr">
        <is>
          <t>Skillcamp Esport</t>
        </is>
      </c>
      <c r="G188" s="24" t="inlineStr">
        <is>
          <t>Anubis Gaming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212</v>
      </c>
      <c r="M188" s="27" t="n">
        <v>3.12</v>
      </c>
      <c r="N188" s="28" t="n">
        <v>0.320513</v>
      </c>
      <c r="O188" s="28" t="n">
        <v>0.595007</v>
      </c>
      <c r="P188" s="28" t="n"/>
      <c r="Q188" s="28" t="n">
        <v>0.274494</v>
      </c>
      <c r="R188" s="26" t="n">
        <v>100</v>
      </c>
      <c r="S188" s="29" t="n">
        <v>2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212</v>
      </c>
      <c r="AA188" s="28" t="n">
        <v>0.32</v>
      </c>
      <c r="AB188" s="28" t="n">
        <v>-0.000513</v>
      </c>
      <c r="AC188" s="30" t="n">
        <v>4.24</v>
      </c>
      <c r="AD188" s="24" t="inlineStr">
        <is>
          <t>2026-09-28T22:03:14.320935Z</t>
        </is>
      </c>
      <c r="AE188" s="31" t="inlineStr">
        <is>
          <t>Neutral Elo baseline; executable ask 0.3200 (market_slug=aec-lol-anb-sc-2026-09-28).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Skillcamp Esport</t>
        </is>
      </c>
      <c r="AQ188" s="24" t="inlineStr">
        <is>
          <t>Skillcamp Esport</t>
        </is>
      </c>
      <c r="AR188" s="24" t="inlineStr">
        <is>
          <t>Skillcamp Esport</t>
        </is>
      </c>
      <c r="AS188" s="24" t="inlineStr">
        <is>
          <t>Anubis Gaming</t>
        </is>
      </c>
      <c r="AT188" s="24" t="inlineStr">
        <is>
          <t>Anubis Gaming</t>
        </is>
      </c>
      <c r="AU188" s="24" t="inlineStr">
        <is>
          <t>Anubis Gaming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9367545d6f77aaffc00686fc2dac36c8e60da44437f07b6a0ce13ab266322ad4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9367545d6f77aaffc00686fc2dac36c8e60da44437f07b6a0ce13ab266322ad4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2026-09-28T10:09:44.889355Z</t>
        </is>
      </c>
      <c r="BI188" s="24" t="inlineStr">
        <is>
          <t>["same_event","same_team_same_day","same_league_same_day"]</t>
        </is>
      </c>
      <c r="BJ188" s="25" t="n"/>
      <c r="BK188" s="26" t="n">
        <v>212</v>
      </c>
      <c r="BL188" s="27" t="n">
        <v>3.12</v>
      </c>
      <c r="BM188" s="28" t="n">
        <v>0.320513</v>
      </c>
      <c r="BN188" s="28" t="n"/>
      <c r="BO188" s="28" t="n"/>
      <c r="BP188" s="25" t="n"/>
      <c r="BQ188" s="27" t="n">
        <v>3.12</v>
      </c>
      <c r="BR188" s="28" t="n">
        <v>0.32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0.320513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189" ht="36" customHeight="1">
      <c r="A189" s="24" t="inlineStr">
        <is>
          <t>22e025c3cde94e5c</t>
        </is>
      </c>
      <c r="B189" s="24" t="inlineStr">
        <is>
          <t>2026-09-28T16:13:24.617863Z</t>
        </is>
      </c>
      <c r="C189" s="24" t="inlineStr">
        <is>
          <t>2026-09-28T17:00:00Z</t>
        </is>
      </c>
      <c r="D189" s="24" t="inlineStr">
        <is>
          <t>130710</t>
        </is>
      </c>
      <c r="E189" s="24" t="inlineStr">
        <is>
          <t>LOL</t>
        </is>
      </c>
      <c r="F189" s="24" t="inlineStr">
        <is>
          <t>SU Esports</t>
        </is>
      </c>
      <c r="G189" s="24" t="inlineStr">
        <is>
          <t>BOMBA Team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113</v>
      </c>
      <c r="M189" s="27" t="n">
        <v>2.13</v>
      </c>
      <c r="N189" s="28" t="n">
        <v>0.469484</v>
      </c>
      <c r="O189" s="28" t="n">
        <v>0.584378</v>
      </c>
      <c r="P189" s="28" t="n"/>
      <c r="Q189" s="28" t="n">
        <v>0.114894</v>
      </c>
      <c r="R189" s="26" t="n">
        <v>77</v>
      </c>
      <c r="S189" s="29" t="n">
        <v>1.5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113</v>
      </c>
      <c r="AA189" s="28" t="n">
        <v>0.47</v>
      </c>
      <c r="AB189" s="28" t="n">
        <v>0.000516</v>
      </c>
      <c r="AC189" s="30" t="n">
        <v>1.695</v>
      </c>
      <c r="AD189" s="24" t="inlineStr">
        <is>
          <t>2026-09-28T22:03:14.822624Z</t>
        </is>
      </c>
      <c r="AE189" s="31" t="inlineStr">
        <is>
          <t>Neutral Elo baseline; executable ask 0.4700 (market_slug=aec-lol-boom-su-2026-09-28).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SU Esports</t>
        </is>
      </c>
      <c r="AQ189" s="24" t="inlineStr">
        <is>
          <t>SU Esports</t>
        </is>
      </c>
      <c r="AR189" s="24" t="inlineStr">
        <is>
          <t>SU Esports</t>
        </is>
      </c>
      <c r="AS189" s="24" t="inlineStr">
        <is>
          <t>BOMBA Team</t>
        </is>
      </c>
      <c r="AT189" s="24" t="inlineStr">
        <is>
          <t>BOMBA Team</t>
        </is>
      </c>
      <c r="AU189" s="24" t="inlineStr">
        <is>
          <t>BOMBA Team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8e759300cdf1c8e0ac8ed46c2449accefd2b70e547bc2b19858d0673427b9c5d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8e759300cdf1c8e0ac8ed46c2449accefd2b70e547bc2b19858d0673427b9c5d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2026-09-28T16:12:12.192792Z</t>
        </is>
      </c>
      <c r="BI189" s="24" t="inlineStr">
        <is>
          <t>["same_event","same_team_same_day","same_league_same_day"]</t>
        </is>
      </c>
      <c r="BJ189" s="25" t="n"/>
      <c r="BK189" s="26" t="n">
        <v>113</v>
      </c>
      <c r="BL189" s="27" t="n">
        <v>2.13</v>
      </c>
      <c r="BM189" s="28" t="n">
        <v>0.469484</v>
      </c>
      <c r="BN189" s="28" t="n"/>
      <c r="BO189" s="28" t="n"/>
      <c r="BP189" s="25" t="n"/>
      <c r="BQ189" s="27" t="n">
        <v>2.13</v>
      </c>
      <c r="BR189" s="28" t="n">
        <v>0.47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0.469484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190" ht="36" customHeight="1">
      <c r="A190" s="24" t="inlineStr">
        <is>
          <t>0604fccf0a314c2e</t>
        </is>
      </c>
      <c r="B190" s="24" t="inlineStr">
        <is>
          <t>2026-09-28T16:13:24.617863Z</t>
        </is>
      </c>
      <c r="C190" s="24" t="inlineStr">
        <is>
          <t>2026-09-28T19:00:00Z</t>
        </is>
      </c>
      <c r="D190" s="24" t="inlineStr">
        <is>
          <t>130720</t>
        </is>
      </c>
      <c r="E190" s="24" t="inlineStr">
        <is>
          <t>LOL</t>
        </is>
      </c>
      <c r="F190" s="24" t="inlineStr">
        <is>
          <t>Barça eSports</t>
        </is>
      </c>
      <c r="G190" s="24" t="inlineStr">
        <is>
          <t>Forsaken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223</v>
      </c>
      <c r="M190" s="27" t="n">
        <v>3.23</v>
      </c>
      <c r="N190" s="28" t="n">
        <v>0.309598</v>
      </c>
      <c r="O190" s="28" t="n">
        <v>0.53074</v>
      </c>
      <c r="P190" s="28" t="n"/>
      <c r="Q190" s="28" t="n">
        <v>0.221142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0</v>
      </c>
      <c r="Y190" s="25" t="n"/>
      <c r="Z190" s="26" t="n"/>
      <c r="AA190" s="28" t="n"/>
      <c r="AB190" s="28" t="n"/>
      <c r="AC190" s="30" t="n">
        <v>-2</v>
      </c>
      <c r="AD190" s="24" t="inlineStr">
        <is>
          <t>2026-09-28T22:03:15.220119Z</t>
        </is>
      </c>
      <c r="AE190" s="31" t="inlineStr">
        <is>
          <t>Neutral Elo baseline; executable ask 0.3100 (market_slug=aec-lol-fsk-bar-2026-09-28).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Barça eSports</t>
        </is>
      </c>
      <c r="AQ190" s="24" t="inlineStr">
        <is>
          <t>Barça eSports</t>
        </is>
      </c>
      <c r="AR190" s="24" t="inlineStr">
        <is>
          <t>Barça eSports</t>
        </is>
      </c>
      <c r="AS190" s="24" t="inlineStr">
        <is>
          <t>Forsaken</t>
        </is>
      </c>
      <c r="AT190" s="24" t="inlineStr">
        <is>
          <t>Forsaken</t>
        </is>
      </c>
      <c r="AU190" s="24" t="inlineStr">
        <is>
          <t>Forsaken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8e759300cdf1c8e0ac8ed46c2449accefd2b70e547bc2b19858d0673427b9c5d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8e759300cdf1c8e0ac8ed46c2449accefd2b70e547bc2b19858d0673427b9c5d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2026-09-28T16:12:46.339402Z</t>
        </is>
      </c>
      <c r="BI190" s="24" t="inlineStr">
        <is>
          <t>["same_event","same_team_same_day","same_league_same_day"]</t>
        </is>
      </c>
      <c r="BJ190" s="25" t="n"/>
      <c r="BK190" s="26" t="n">
        <v>223</v>
      </c>
      <c r="BL190" s="27" t="n">
        <v>3.23</v>
      </c>
      <c r="BM190" s="28" t="n">
        <v>0.309598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0.309598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191" ht="36" customHeight="1">
      <c r="A191" s="24" t="inlineStr">
        <is>
          <t>a30a9a7297b94256</t>
        </is>
      </c>
      <c r="B191" s="24" t="inlineStr">
        <is>
          <t>2026-09-28T22:07:40.987333Z</t>
        </is>
      </c>
      <c r="C191" s="24" t="inlineStr">
        <is>
          <t>2026-09-29T00:00:00Z</t>
        </is>
      </c>
      <c r="D191" s="24" t="inlineStr">
        <is>
          <t>127487</t>
        </is>
      </c>
      <c r="E191" s="24" t="inlineStr">
        <is>
          <t>LOL</t>
        </is>
      </c>
      <c r="F191" s="24" t="inlineStr">
        <is>
          <t>Malaysia</t>
        </is>
      </c>
      <c r="G191" s="24" t="inlineStr">
        <is>
          <t>United Arab Emirates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-203</v>
      </c>
      <c r="M191" s="27" t="n">
        <v>1.492611</v>
      </c>
      <c r="N191" s="28" t="n">
        <v>0.669967</v>
      </c>
      <c r="O191" s="28" t="n">
        <v>0.508928</v>
      </c>
      <c r="P191" s="28" t="n"/>
      <c r="Q191" s="28" t="n">
        <v>-0.161039</v>
      </c>
      <c r="R191" s="26" t="n">
        <v>0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>
        <v>-233</v>
      </c>
      <c r="AA191" s="28" t="n">
        <v>0.7</v>
      </c>
      <c r="AB191" s="28" t="n">
        <v>0.030033</v>
      </c>
      <c r="AC191" s="30" t="n">
        <v>0.4926</v>
      </c>
      <c r="AD191" s="24" t="inlineStr">
        <is>
          <t>2026-09-29T04:32:10.021965Z</t>
        </is>
      </c>
      <c r="AE191" s="31" t="inlineStr">
        <is>
          <t>Neutral Elo baseline; executable ask 0.6700 (market_slug=aec-lol-uae-mal-2026-09-29).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PAPER_CALL_MODEL_UNVALIDATED</t>
        </is>
      </c>
      <c r="AP191" s="24" t="inlineStr">
        <is>
          <t>Malaysia</t>
        </is>
      </c>
      <c r="AQ191" s="24" t="inlineStr">
        <is>
          <t>Malaysia</t>
        </is>
      </c>
      <c r="AR191" s="24" t="inlineStr">
        <is>
          <t>Malaysia</t>
        </is>
      </c>
      <c r="AS191" s="24" t="inlineStr">
        <is>
          <t>United Arab Emirates</t>
        </is>
      </c>
      <c r="AT191" s="24" t="inlineStr">
        <is>
          <t>United Arab Emirates</t>
        </is>
      </c>
      <c r="AU191" s="24" t="inlineStr">
        <is>
          <t>United Arab Emirates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7dc4f3ead2dfd3988865848e8161acdd5475158fb05204043c6deac76e9e03a1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7dc4f3ead2dfd3988865848e8161acdd5475158fb05204043c6deac76e9e03a1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2026-09-28T22:06:55.191006Z</t>
        </is>
      </c>
      <c r="BI191" s="24" t="inlineStr">
        <is>
          <t>["same_event","same_team_same_day","same_league_same_day"]</t>
        </is>
      </c>
      <c r="BJ191" s="25" t="n"/>
      <c r="BK191" s="26" t="n">
        <v>-203</v>
      </c>
      <c r="BL191" s="27" t="n">
        <v>1.492611</v>
      </c>
      <c r="BM191" s="28" t="n">
        <v>0.669967</v>
      </c>
      <c r="BN191" s="28" t="n"/>
      <c r="BO191" s="28" t="n"/>
      <c r="BP191" s="25" t="n"/>
      <c r="BQ191" s="27" t="n">
        <v>1.429185</v>
      </c>
      <c r="BR191" s="28" t="n">
        <v>0.7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0.669967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192" ht="36" customHeight="1">
      <c r="A192" s="24" t="inlineStr">
        <is>
          <t>76177b07bdbe4a52</t>
        </is>
      </c>
      <c r="B192" s="24" t="inlineStr">
        <is>
          <t>2026-09-28T22:07:40.987333Z</t>
        </is>
      </c>
      <c r="C192" s="24" t="inlineStr">
        <is>
          <t>2026-09-29T02:30:00Z</t>
        </is>
      </c>
      <c r="D192" s="24" t="inlineStr">
        <is>
          <t>127755</t>
        </is>
      </c>
      <c r="E192" s="24" t="inlineStr">
        <is>
          <t>LOL</t>
        </is>
      </c>
      <c r="F192" s="24" t="inlineStr">
        <is>
          <t>United Arab Emirates</t>
        </is>
      </c>
      <c r="G192" s="24" t="inlineStr">
        <is>
          <t>Saudi Arabia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-223</v>
      </c>
      <c r="M192" s="27" t="n">
        <v>1.44843</v>
      </c>
      <c r="N192" s="28" t="n">
        <v>0.690402</v>
      </c>
      <c r="O192" s="28" t="n">
        <v>0.508928</v>
      </c>
      <c r="P192" s="28" t="n"/>
      <c r="Q192" s="28" t="n">
        <v>-0.181474</v>
      </c>
      <c r="R192" s="26" t="n">
        <v>0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0.4484</v>
      </c>
      <c r="AD192" s="24" t="inlineStr">
        <is>
          <t>2026-09-29T04:32:10.491488Z</t>
        </is>
      </c>
      <c r="AE192" s="31" t="inlineStr">
        <is>
          <t>Neutral Elo baseline; executable ask 0.6900 (market_slug=aec-lol-ksa-uae-2026-09-29).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PAPER_CALL_MODEL_UNVALIDATED</t>
        </is>
      </c>
      <c r="AP192" s="24" t="inlineStr">
        <is>
          <t>United Arab Emirates</t>
        </is>
      </c>
      <c r="AQ192" s="24" t="inlineStr">
        <is>
          <t>United Arab Emirates</t>
        </is>
      </c>
      <c r="AR192" s="24" t="inlineStr">
        <is>
          <t>United Arab Emirates</t>
        </is>
      </c>
      <c r="AS192" s="24" t="inlineStr">
        <is>
          <t>Saudi Arabia</t>
        </is>
      </c>
      <c r="AT192" s="24" t="inlineStr">
        <is>
          <t>Saudi Arabia</t>
        </is>
      </c>
      <c r="AU192" s="24" t="inlineStr">
        <is>
          <t>Saudi Arabia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7dc4f3ead2dfd3988865848e8161acdd5475158fb05204043c6deac76e9e03a1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7dc4f3ead2dfd3988865848e8161acdd5475158fb05204043c6deac76e9e03a1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2026-09-28T22:07:06.670140Z</t>
        </is>
      </c>
      <c r="BI192" s="24" t="inlineStr">
        <is>
          <t>["same_event","same_team_same_day","same_league_same_day"]</t>
        </is>
      </c>
      <c r="BJ192" s="25" t="n"/>
      <c r="BK192" s="26" t="n">
        <v>-223</v>
      </c>
      <c r="BL192" s="27" t="n">
        <v>1.44843</v>
      </c>
      <c r="BM192" s="28" t="n">
        <v>0.690402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0.690402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193" ht="36" customHeight="1">
      <c r="A193" s="24" t="inlineStr">
        <is>
          <t>6c95e56776ae41b3</t>
        </is>
      </c>
      <c r="B193" s="24" t="inlineStr">
        <is>
          <t>2026-09-29T10:10:35.872287Z</t>
        </is>
      </c>
      <c r="C193" s="24" t="inlineStr">
        <is>
          <t>2026-09-29T16:00:00Z</t>
        </is>
      </c>
      <c r="D193" s="24" t="inlineStr">
        <is>
          <t>132269</t>
        </is>
      </c>
      <c r="E193" s="24" t="inlineStr">
        <is>
          <t>LOL</t>
        </is>
      </c>
      <c r="F193" s="24" t="inlineStr">
        <is>
          <t>NightBirds</t>
        </is>
      </c>
      <c r="G193" s="24" t="inlineStr">
        <is>
          <t xml:space="preserve">PCIFIC 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-133</v>
      </c>
      <c r="M193" s="27" t="n">
        <v>1.75188</v>
      </c>
      <c r="N193" s="28" t="n">
        <v>0.570815</v>
      </c>
      <c r="O193" s="28" t="n">
        <v>0.676889</v>
      </c>
      <c r="P193" s="28" t="n"/>
      <c r="Q193" s="28" t="n">
        <v>0.106074</v>
      </c>
      <c r="R193" s="26" t="n">
        <v>73</v>
      </c>
      <c r="S193" s="29" t="n">
        <v>1.25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0.9399</v>
      </c>
      <c r="AD193" s="24" t="inlineStr">
        <is>
          <t>2026-09-29T22:04:05.262243Z</t>
        </is>
      </c>
      <c r="AE193" s="31" t="inlineStr">
        <is>
          <t>Neutral Elo baseline; executable ask 0.5700 (market_slug=aec-lol-pcific-nbs-2026-09-29).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NightBirds</t>
        </is>
      </c>
      <c r="AQ193" s="24" t="inlineStr">
        <is>
          <t>NightBirds</t>
        </is>
      </c>
      <c r="AR193" s="24" t="inlineStr">
        <is>
          <t>NightBirds</t>
        </is>
      </c>
      <c r="AS193" s="24" t="inlineStr">
        <is>
          <t xml:space="preserve">PCIFIC </t>
        </is>
      </c>
      <c r="AT193" s="24" t="inlineStr">
        <is>
          <t xml:space="preserve">PCIFIC </t>
        </is>
      </c>
      <c r="AU193" s="24" t="inlineStr">
        <is>
          <t xml:space="preserve">PCIFIC 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a73d85dae9cc0fb78f07323292b2d9d2ab5c0e9482385ac3d47c947d84a95663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a73d85dae9cc0fb78f07323292b2d9d2ab5c0e9482385ac3d47c947d84a95663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2026-09-29T10:09:47.485504Z</t>
        </is>
      </c>
      <c r="BI193" s="24" t="inlineStr">
        <is>
          <t>["same_event","same_team_same_day","same_league_same_day"]</t>
        </is>
      </c>
      <c r="BJ193" s="25" t="n"/>
      <c r="BK193" s="26" t="n">
        <v>-133</v>
      </c>
      <c r="BL193" s="27" t="n">
        <v>1.75188</v>
      </c>
      <c r="BM193" s="28" t="n">
        <v>0.570815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0.570815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194" ht="36" customHeight="1">
      <c r="A194" s="24" t="inlineStr">
        <is>
          <t>996bb5a8535e4e78</t>
        </is>
      </c>
      <c r="B194" s="24" t="inlineStr">
        <is>
          <t>2026-09-29T10:10:35.872287Z</t>
        </is>
      </c>
      <c r="C194" s="24" t="inlineStr">
        <is>
          <t>2026-09-29T16:00:00Z</t>
        </is>
      </c>
      <c r="D194" s="24" t="inlineStr">
        <is>
          <t>132265</t>
        </is>
      </c>
      <c r="E194" s="24" t="inlineStr">
        <is>
          <t>LOL</t>
        </is>
      </c>
      <c r="F194" s="24" t="inlineStr">
        <is>
          <t>Gamespace Mediterranean College Esports</t>
        </is>
      </c>
      <c r="G194" s="24" t="inlineStr">
        <is>
          <t>Frites Esports Club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0.736484</v>
      </c>
      <c r="P194" s="28" t="n"/>
      <c r="Q194" s="28" t="n">
        <v>0.127109</v>
      </c>
      <c r="R194" s="26" t="n">
        <v>84</v>
      </c>
      <c r="S194" s="29" t="n">
        <v>1.5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0.9615</v>
      </c>
      <c r="AD194" s="24" t="inlineStr">
        <is>
          <t>2026-09-29T22:04:05.650269Z</t>
        </is>
      </c>
      <c r="AE194" s="31" t="inlineStr">
        <is>
          <t>Neutral Elo baseline; executable ask 0.6100 (market_slug=aec-lol-fec-gsmc-2026-09-29).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Gamespace Mediterranean College Esports</t>
        </is>
      </c>
      <c r="AQ194" s="24" t="inlineStr">
        <is>
          <t>Gamespace Mediterranean College Esports</t>
        </is>
      </c>
      <c r="AR194" s="24" t="inlineStr">
        <is>
          <t>Gamespace Mediterranean College Esports</t>
        </is>
      </c>
      <c r="AS194" s="24" t="inlineStr">
        <is>
          <t>Frites Esports Club</t>
        </is>
      </c>
      <c r="AT194" s="24" t="inlineStr">
        <is>
          <t>Frites Esports Club</t>
        </is>
      </c>
      <c r="AU194" s="24" t="inlineStr">
        <is>
          <t>Frites Esports Club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a73d85dae9cc0fb78f07323292b2d9d2ab5c0e9482385ac3d47c947d84a95663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a73d85dae9cc0fb78f07323292b2d9d2ab5c0e9482385ac3d47c947d84a95663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2026-09-29T10:09:47.547187Z</t>
        </is>
      </c>
      <c r="BI194" s="24" t="inlineStr">
        <is>
          <t>["same_event","same_team_same_day","same_league_same_day"]</t>
        </is>
      </c>
      <c r="BJ194" s="25" t="n"/>
      <c r="BK194" s="26" t="n">
        <v>-156</v>
      </c>
      <c r="BL194" s="27" t="n">
        <v>1.641026</v>
      </c>
      <c r="BM194" s="28" t="n">
        <v>0.609375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0.609375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195" ht="36" customHeight="1">
      <c r="A195" s="24" t="inlineStr">
        <is>
          <t>ceb968b09ee14649</t>
        </is>
      </c>
      <c r="B195" s="24" t="inlineStr">
        <is>
          <t>2026-09-30T04:40:53.915024Z</t>
        </is>
      </c>
      <c r="C195" s="24" t="inlineStr">
        <is>
          <t>2026-09-30T09:00:00Z</t>
        </is>
      </c>
      <c r="D195" s="24" t="inlineStr">
        <is>
          <t>131472</t>
        </is>
      </c>
      <c r="E195" s="24" t="inlineStr">
        <is>
          <t>LOL</t>
        </is>
      </c>
      <c r="F195" s="24" t="inlineStr">
        <is>
          <t>Galions</t>
        </is>
      </c>
      <c r="G195" s="24" t="inlineStr">
        <is>
          <t>T1 Academy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-156</v>
      </c>
      <c r="M195" s="27" t="n">
        <v>1.641026</v>
      </c>
      <c r="N195" s="28" t="n">
        <v>0.609375</v>
      </c>
      <c r="O195" s="28" t="n">
        <v>0.570825</v>
      </c>
      <c r="P195" s="28" t="n"/>
      <c r="Q195" s="28" t="n">
        <v>-0.03855</v>
      </c>
      <c r="R195" s="26" t="n">
        <v>1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/>
      <c r="AA195" s="28" t="n"/>
      <c r="AB195" s="28" t="n"/>
      <c r="AC195" s="30" t="n">
        <v>0.641</v>
      </c>
      <c r="AD195" s="24" t="inlineStr">
        <is>
          <t>2026-09-30T16:53:27.111062Z</t>
        </is>
      </c>
      <c r="AE195" s="31" t="inlineStr">
        <is>
          <t>Neutral Elo baseline; executable ask 0.6100 (market_slug=aec-lol-t1a-gal-2026-09-30).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Galions</t>
        </is>
      </c>
      <c r="AQ195" s="24" t="inlineStr">
        <is>
          <t>Galions</t>
        </is>
      </c>
      <c r="AR195" s="24" t="inlineStr">
        <is>
          <t>Galions</t>
        </is>
      </c>
      <c r="AS195" s="24" t="inlineStr">
        <is>
          <t>T1 Academy</t>
        </is>
      </c>
      <c r="AT195" s="24" t="inlineStr">
        <is>
          <t>T1 Academy</t>
        </is>
      </c>
      <c r="AU195" s="24" t="inlineStr">
        <is>
          <t>T1 Academy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c6395ef0caa8308030300cb60b620e40882d9a0c2f44dd84acd3d2110900b3f1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c6395ef0caa8308030300cb60b620e40882d9a0c2f44dd84acd3d2110900b3f1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2026-09-30T04:40:06.063706Z</t>
        </is>
      </c>
      <c r="BI195" s="24" t="inlineStr">
        <is>
          <t>["same_event","same_team_same_day","same_league_same_day"]</t>
        </is>
      </c>
      <c r="BJ195" s="25" t="n"/>
      <c r="BK195" s="26" t="n">
        <v>-156</v>
      </c>
      <c r="BL195" s="27" t="n">
        <v>1.641026</v>
      </c>
      <c r="BM195" s="28" t="n">
        <v>0.609375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0.609375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196" ht="36" customHeight="1">
      <c r="A196" s="24" t="inlineStr">
        <is>
          <t>6c33b94a018b4e22</t>
        </is>
      </c>
      <c r="B196" s="24" t="inlineStr">
        <is>
          <t>2026-09-30T10:10:36.661420Z</t>
        </is>
      </c>
      <c r="C196" s="24" t="inlineStr">
        <is>
          <t>2026-09-30T15:00:00Z</t>
        </is>
      </c>
      <c r="D196" s="24" t="inlineStr">
        <is>
          <t>133903</t>
        </is>
      </c>
      <c r="E196" s="24" t="inlineStr">
        <is>
          <t>LOL</t>
        </is>
      </c>
      <c r="F196" s="24" t="inlineStr">
        <is>
          <t>Unicorns Of Love Sexy Edition</t>
        </is>
      </c>
      <c r="G196" s="24" t="inlineStr">
        <is>
          <t>Kaufland Hangry Knights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100</v>
      </c>
      <c r="M196" s="27" t="n">
        <v>2</v>
      </c>
      <c r="N196" s="28" t="n">
        <v>0.5</v>
      </c>
      <c r="O196" s="28" t="n">
        <v>0.606851</v>
      </c>
      <c r="P196" s="28" t="n"/>
      <c r="Q196" s="28" t="n">
        <v>0.106851</v>
      </c>
      <c r="R196" s="26" t="n">
        <v>73</v>
      </c>
      <c r="S196" s="29" t="n">
        <v>1.5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1</v>
      </c>
      <c r="Y196" s="25" t="n"/>
      <c r="Z196" s="26" t="n">
        <v>100</v>
      </c>
      <c r="AA196" s="28" t="n">
        <v>0.5</v>
      </c>
      <c r="AB196" s="28" t="n">
        <v>0</v>
      </c>
      <c r="AC196" s="30" t="n">
        <v>-1.5</v>
      </c>
      <c r="AD196" s="24" t="inlineStr">
        <is>
          <t>2026-09-30T16:53:27.843552Z</t>
        </is>
      </c>
      <c r="AE196" s="31" t="inlineStr">
        <is>
          <t>Neutral Elo baseline; executable ask 0.5000 (market_slug=aec-lol-khk-use-2026-09-30).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Unicorns Of Love Sexy Edition</t>
        </is>
      </c>
      <c r="AQ196" s="24" t="inlineStr">
        <is>
          <t>Unicorns Of Love Sexy Edition</t>
        </is>
      </c>
      <c r="AR196" s="24" t="inlineStr">
        <is>
          <t>Unicorns Of Love Sexy Edition</t>
        </is>
      </c>
      <c r="AS196" s="24" t="inlineStr">
        <is>
          <t>Kaufland Hangry Knights</t>
        </is>
      </c>
      <c r="AT196" s="24" t="inlineStr">
        <is>
          <t>Kaufland Hangry Knights</t>
        </is>
      </c>
      <c r="AU196" s="24" t="inlineStr">
        <is>
          <t>Kaufland Hangry Knights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098147281a622325702a2a2df8d2d9925f4abeaaca914b1311dd3f4e7fcc2827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098147281a622325702a2a2df8d2d9925f4abeaaca914b1311dd3f4e7fcc2827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2026-09-30T10:10:03.329600Z</t>
        </is>
      </c>
      <c r="BI196" s="24" t="inlineStr">
        <is>
          <t>["same_event","same_team_same_day","same_league_same_day"]</t>
        </is>
      </c>
      <c r="BJ196" s="25" t="n"/>
      <c r="BK196" s="26" t="n">
        <v>100</v>
      </c>
      <c r="BL196" s="27" t="n">
        <v>2</v>
      </c>
      <c r="BM196" s="28" t="n">
        <v>0.5</v>
      </c>
      <c r="BN196" s="28" t="n"/>
      <c r="BO196" s="28" t="n"/>
      <c r="BP196" s="25" t="n"/>
      <c r="BQ196" s="27" t="n">
        <v>2</v>
      </c>
      <c r="BR196" s="28" t="n">
        <v>0.5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197" ht="36" customHeight="1">
      <c r="A197" s="24" t="inlineStr">
        <is>
          <t>e984eecd60494bca</t>
        </is>
      </c>
      <c r="B197" s="24" t="inlineStr">
        <is>
          <t>2026-09-30T17:59:15.100815Z</t>
        </is>
      </c>
      <c r="C197" s="24" t="inlineStr">
        <is>
          <t>2026-09-30T18:00:00Z</t>
        </is>
      </c>
      <c r="D197" s="24" t="inlineStr">
        <is>
          <t>133910</t>
        </is>
      </c>
      <c r="E197" s="24" t="inlineStr">
        <is>
          <t>LOL</t>
        </is>
      </c>
      <c r="F197" s="24" t="inlineStr">
        <is>
          <t>NightBirds</t>
        </is>
      </c>
      <c r="G197" s="24" t="inlineStr">
        <is>
          <t>Team Heretics Academy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113</v>
      </c>
      <c r="M197" s="27" t="n">
        <v>2.13</v>
      </c>
      <c r="N197" s="28" t="n">
        <v>0.469484</v>
      </c>
      <c r="O197" s="28" t="n">
        <v>0.502834</v>
      </c>
      <c r="P197" s="28" t="n"/>
      <c r="Q197" s="28" t="n">
        <v>0.03335</v>
      </c>
      <c r="R197" s="26" t="n">
        <v>37</v>
      </c>
      <c r="S197" s="29" t="n">
        <v>1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1.13</v>
      </c>
      <c r="AD197" s="24" t="inlineStr">
        <is>
          <t>2026-09-30T22:02:01.815584Z</t>
        </is>
      </c>
      <c r="AE197" s="31" t="inlineStr">
        <is>
          <t>Neutral Elo baseline; executable ask 0.4700 (market_slug=aec-lol-hrts-nbs-2026-09-30).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NightBirds</t>
        </is>
      </c>
      <c r="AQ197" s="24" t="inlineStr">
        <is>
          <t>NightBirds</t>
        </is>
      </c>
      <c r="AR197" s="24" t="inlineStr">
        <is>
          <t>NightBirds</t>
        </is>
      </c>
      <c r="AS197" s="24" t="inlineStr">
        <is>
          <t>Team Heretics Academy</t>
        </is>
      </c>
      <c r="AT197" s="24" t="inlineStr">
        <is>
          <t>Team Heretics Academy</t>
        </is>
      </c>
      <c r="AU197" s="24" t="inlineStr">
        <is>
          <t>Team Heretics Academy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9e6b9ffb01f2056842a13dc1761bc3dd6d2fc4af878fbedf6672e7387078b0e5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9e6b9ffb01f2056842a13dc1761bc3dd6d2fc4af878fbedf6672e7387078b0e5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2026-09-30T17:59:00.816285Z</t>
        </is>
      </c>
      <c r="BI197" s="24" t="inlineStr">
        <is>
          <t>["same_event","same_team_same_day","same_league_same_day"]</t>
        </is>
      </c>
      <c r="BJ197" s="25" t="n"/>
      <c r="BK197" s="26" t="n">
        <v>113</v>
      </c>
      <c r="BL197" s="27" t="n">
        <v>2.13</v>
      </c>
      <c r="BM197" s="28" t="n">
        <v>0.469484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0.469484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198" ht="36" customHeight="1">
      <c r="A198" s="24" t="inlineStr">
        <is>
          <t>aec5e8cff847470e</t>
        </is>
      </c>
      <c r="B198" s="24" t="inlineStr">
        <is>
          <t>2026-09-30T22:06:04.961019Z</t>
        </is>
      </c>
      <c r="C198" s="24" t="inlineStr">
        <is>
          <t>2026-10-01T00:00:00Z</t>
        </is>
      </c>
      <c r="D198" s="24" t="inlineStr">
        <is>
          <t>134504</t>
        </is>
      </c>
      <c r="E198" s="24" t="inlineStr">
        <is>
          <t>LOL</t>
        </is>
      </c>
      <c r="F198" s="24" t="inlineStr">
        <is>
          <t>Chinese Taipei</t>
        </is>
      </c>
      <c r="G198" s="24" t="inlineStr">
        <is>
          <t>Vietnam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-117</v>
      </c>
      <c r="M198" s="27" t="n">
        <v>1.854701</v>
      </c>
      <c r="N198" s="28" t="n">
        <v>0.539171</v>
      </c>
      <c r="O198" s="28" t="n">
        <v>0.561712</v>
      </c>
      <c r="P198" s="28" t="n"/>
      <c r="Q198" s="28" t="n">
        <v>0.022541</v>
      </c>
      <c r="R198" s="26" t="n">
        <v>31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/>
      <c r="AA198" s="28" t="n"/>
      <c r="AB198" s="28" t="n"/>
      <c r="AC198" s="30" t="n">
        <v>-1</v>
      </c>
      <c r="AD198" s="24" t="inlineStr">
        <is>
          <t>2026-10-01T04:32:36.325552Z</t>
        </is>
      </c>
      <c r="AE198" s="31" t="inlineStr">
        <is>
          <t>Neutral Elo baseline; executable ask 0.5400 (market_slug=aec-lol-vie-tpe-2026-10-01).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Chinese Taipei</t>
        </is>
      </c>
      <c r="AQ198" s="24" t="inlineStr">
        <is>
          <t>Chinese Taipei</t>
        </is>
      </c>
      <c r="AR198" s="24" t="inlineStr">
        <is>
          <t>Chinese Taipei</t>
        </is>
      </c>
      <c r="AS198" s="24" t="inlineStr">
        <is>
          <t>Vietnam</t>
        </is>
      </c>
      <c r="AT198" s="24" t="inlineStr">
        <is>
          <t>Vietnam</t>
        </is>
      </c>
      <c r="AU198" s="24" t="inlineStr">
        <is>
          <t>Vietnam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4ae997e0dcf9557feb2563b8fd3c6b42642c393e178c45f334e7f891f0d6134e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4ae997e0dcf9557feb2563b8fd3c6b42642c393e178c45f334e7f891f0d6134e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2026-09-30T22:05:28.338129Z</t>
        </is>
      </c>
      <c r="BI198" s="24" t="inlineStr">
        <is>
          <t>["same_event","same_team_same_day","same_league_same_day"]</t>
        </is>
      </c>
      <c r="BJ198" s="25" t="n"/>
      <c r="BK198" s="26" t="n">
        <v>-117</v>
      </c>
      <c r="BL198" s="27" t="n">
        <v>1.854701</v>
      </c>
      <c r="BM198" s="28" t="n">
        <v>0.539171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0.539171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199" ht="36" customHeight="1">
      <c r="A199" s="24" t="inlineStr">
        <is>
          <t>ccf74a30a1cd4c19</t>
        </is>
      </c>
      <c r="B199" s="24" t="inlineStr">
        <is>
          <t>2026-10-02T04:41:17.356830Z</t>
        </is>
      </c>
      <c r="C199" s="24" t="inlineStr">
        <is>
          <t>2026-10-02T09:00:00Z</t>
        </is>
      </c>
      <c r="D199" s="24" t="inlineStr">
        <is>
          <t>134698</t>
        </is>
      </c>
      <c r="E199" s="24" t="inlineStr">
        <is>
          <t>LOL</t>
        </is>
      </c>
      <c r="F199" s="24" t="inlineStr">
        <is>
          <t>T1 Academy</t>
        </is>
      </c>
      <c r="G199" s="24" t="inlineStr">
        <is>
          <t>Solary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-178</v>
      </c>
      <c r="M199" s="27" t="n">
        <v>1.561798</v>
      </c>
      <c r="N199" s="28" t="n">
        <v>0.640288</v>
      </c>
      <c r="O199" s="28" t="n">
        <v>0.5264720000000001</v>
      </c>
      <c r="P199" s="28" t="n"/>
      <c r="Q199" s="28" t="n">
        <v>-0.113816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1</v>
      </c>
      <c r="X199" s="26" t="n">
        <v>0</v>
      </c>
      <c r="Y199" s="25" t="n"/>
      <c r="Z199" s="26" t="n">
        <v>-178</v>
      </c>
      <c r="AA199" s="28" t="n">
        <v>0.64</v>
      </c>
      <c r="AB199" s="28" t="n">
        <v>-0.000288</v>
      </c>
      <c r="AC199" s="30" t="n">
        <v>0.5618</v>
      </c>
      <c r="AD199" s="24" t="inlineStr">
        <is>
          <t>2026-10-02T16:03:27.091078Z</t>
        </is>
      </c>
      <c r="AE199" s="31" t="inlineStr">
        <is>
          <t>Neutral Elo baseline; executable ask 0.6400 (market_slug=aec-lol-sly-t1a-2026-10-02).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T1 Academy</t>
        </is>
      </c>
      <c r="AQ199" s="24" t="inlineStr">
        <is>
          <t>T1 Academy</t>
        </is>
      </c>
      <c r="AR199" s="24" t="inlineStr">
        <is>
          <t>T1 Academy</t>
        </is>
      </c>
      <c r="AS199" s="24" t="inlineStr">
        <is>
          <t>Solary</t>
        </is>
      </c>
      <c r="AT199" s="24" t="inlineStr">
        <is>
          <t>Solary</t>
        </is>
      </c>
      <c r="AU199" s="24" t="inlineStr">
        <is>
          <t>Solary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e5c7115dd6d9422a78e604a54fe2af6e3fc8a40dfe8a58b0f763b2421e7c5f28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e5c7115dd6d9422a78e604a54fe2af6e3fc8a40dfe8a58b0f763b2421e7c5f28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2026-10-02T04:40:29.188931Z</t>
        </is>
      </c>
      <c r="BI199" s="24" t="inlineStr">
        <is>
          <t>["same_event","same_team_same_day","same_league_same_day"]</t>
        </is>
      </c>
      <c r="BJ199" s="25" t="n"/>
      <c r="BK199" s="26" t="n">
        <v>-178</v>
      </c>
      <c r="BL199" s="27" t="n">
        <v>1.561798</v>
      </c>
      <c r="BM199" s="28" t="n">
        <v>0.640288</v>
      </c>
      <c r="BN199" s="28" t="n"/>
      <c r="BO199" s="28" t="n"/>
      <c r="BP199" s="25" t="n"/>
      <c r="BQ199" s="27" t="n">
        <v>1.561798</v>
      </c>
      <c r="BR199" s="28" t="n">
        <v>0.64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0.640288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200" ht="36" customHeight="1">
      <c r="A200" s="24" t="inlineStr">
        <is>
          <t>7a72d44edf0f4a45</t>
        </is>
      </c>
      <c r="B200" s="24" t="inlineStr">
        <is>
          <t>2026-10-02T10:10:21.039140Z</t>
        </is>
      </c>
      <c r="C200" s="24" t="inlineStr">
        <is>
          <t>2026-10-02T15:00:00Z</t>
        </is>
      </c>
      <c r="D200" s="24" t="inlineStr">
        <is>
          <t>137359</t>
        </is>
      </c>
      <c r="E200" s="24" t="inlineStr">
        <is>
          <t>LOL</t>
        </is>
      </c>
      <c r="F200" s="24" t="inlineStr">
        <is>
          <t>UCAM Esports Club</t>
        </is>
      </c>
      <c r="G200" s="24" t="inlineStr">
        <is>
          <t>NightBirds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138</v>
      </c>
      <c r="M200" s="27" t="n">
        <v>2.38</v>
      </c>
      <c r="N200" s="28" t="n">
        <v>0.420168</v>
      </c>
      <c r="O200" s="28" t="n">
        <v>0.570955</v>
      </c>
      <c r="P200" s="28" t="n"/>
      <c r="Q200" s="28" t="n">
        <v>0.150787</v>
      </c>
      <c r="R200" s="26" t="n">
        <v>95</v>
      </c>
      <c r="S200" s="29" t="n">
        <v>1.75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loss</t>
        </is>
      </c>
      <c r="W200" s="26" t="n">
        <v>1</v>
      </c>
      <c r="X200" s="26" t="n">
        <v>0</v>
      </c>
      <c r="Y200" s="25" t="n"/>
      <c r="Z200" s="26" t="n"/>
      <c r="AA200" s="28" t="n"/>
      <c r="AB200" s="28" t="n"/>
      <c r="AC200" s="30" t="n">
        <v>-1.75</v>
      </c>
      <c r="AD200" s="24" t="inlineStr">
        <is>
          <t>2026-10-02T22:02:50.144314Z</t>
        </is>
      </c>
      <c r="AE200" s="31" t="inlineStr">
        <is>
          <t>Neutral Elo baseline; executable ask 0.4200 (market_slug=aec-lol-nbs-ucam-2026-10-02).</t>
        </is>
      </c>
      <c r="AF200" s="31" t="inlineStr">
        <is>
          <t>Config-promoted esports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UCAM Esports Club</t>
        </is>
      </c>
      <c r="AQ200" s="24" t="inlineStr">
        <is>
          <t>UCAM Esports Club</t>
        </is>
      </c>
      <c r="AR200" s="24" t="inlineStr">
        <is>
          <t>UCAM Esports Club</t>
        </is>
      </c>
      <c r="AS200" s="24" t="inlineStr">
        <is>
          <t>NightBirds</t>
        </is>
      </c>
      <c r="AT200" s="24" t="inlineStr">
        <is>
          <t>NightBirds</t>
        </is>
      </c>
      <c r="AU200" s="24" t="inlineStr">
        <is>
          <t>NightBirds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9c6bc14286af4930dd28fa534e95ad3234ad81355541cf3c07f9cb0c6b8e49ed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9c6bc14286af4930dd28fa534e95ad3234ad81355541cf3c07f9cb0c6b8e49ed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2026-10-02T10:09:45.042803Z</t>
        </is>
      </c>
      <c r="BI200" s="24" t="inlineStr">
        <is>
          <t>["same_event","same_team_same_day","same_league_same_day"]</t>
        </is>
      </c>
      <c r="BJ200" s="25" t="n"/>
      <c r="BK200" s="26" t="n">
        <v>138</v>
      </c>
      <c r="BL200" s="27" t="n">
        <v>2.38</v>
      </c>
      <c r="BM200" s="28" t="n">
        <v>0.420168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0.420168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201" ht="36" customHeight="1">
      <c r="A201" s="24" t="inlineStr">
        <is>
          <t>8f14053d9a8146ed</t>
        </is>
      </c>
      <c r="B201" s="24" t="inlineStr">
        <is>
          <t>2026-10-02T16:09:40.084721Z</t>
        </is>
      </c>
      <c r="C201" s="24" t="inlineStr">
        <is>
          <t>2026-10-02T18:00:00Z</t>
        </is>
      </c>
      <c r="D201" s="24" t="inlineStr">
        <is>
          <t>137362</t>
        </is>
      </c>
      <c r="E201" s="24" t="inlineStr">
        <is>
          <t>LOL</t>
        </is>
      </c>
      <c r="F201" s="24" t="inlineStr">
        <is>
          <t>Barça eSports</t>
        </is>
      </c>
      <c r="G201" s="24" t="inlineStr">
        <is>
          <t>BOMBA Team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-133</v>
      </c>
      <c r="M201" s="27" t="n">
        <v>1.75188</v>
      </c>
      <c r="N201" s="28" t="n">
        <v>0.570815</v>
      </c>
      <c r="O201" s="28" t="n">
        <v>0.503563</v>
      </c>
      <c r="P201" s="28" t="n"/>
      <c r="Q201" s="28" t="n">
        <v>-0.06725200000000001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2026-10-02T22:02:50.602228Z</t>
        </is>
      </c>
      <c r="AE201" s="31" t="inlineStr">
        <is>
          <t>Neutral Elo baseline; executable ask 0.5700 (market_slug=aec-lol-boom-bar-2026-10-02).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Barça eSports</t>
        </is>
      </c>
      <c r="AQ201" s="24" t="inlineStr">
        <is>
          <t>Barça eSports</t>
        </is>
      </c>
      <c r="AR201" s="24" t="inlineStr">
        <is>
          <t>Barça eSports</t>
        </is>
      </c>
      <c r="AS201" s="24" t="inlineStr">
        <is>
          <t>BOMBA Team</t>
        </is>
      </c>
      <c r="AT201" s="24" t="inlineStr">
        <is>
          <t>BOMBA Team</t>
        </is>
      </c>
      <c r="AU201" s="24" t="inlineStr">
        <is>
          <t>BOMBA Team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058080653a303b2a44ae99dbc324c5cfaa1ca37281b17cf8bbccf18872b9dca2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058080653a303b2a44ae99dbc324c5cfaa1ca37281b17cf8bbccf18872b9dca2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2026-10-02T16:09:16.182243Z</t>
        </is>
      </c>
      <c r="BI201" s="24" t="inlineStr">
        <is>
          <t>["same_event","same_team_same_day","same_league_same_day"]</t>
        </is>
      </c>
      <c r="BJ201" s="25" t="n"/>
      <c r="BK201" s="26" t="n">
        <v>-133</v>
      </c>
      <c r="BL201" s="27" t="n">
        <v>1.75188</v>
      </c>
      <c r="BM201" s="28" t="n">
        <v>0.570815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0.570815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202" ht="36" customHeight="1">
      <c r="A202" s="24" t="inlineStr">
        <is>
          <t>2f526b2100e04436</t>
        </is>
      </c>
      <c r="B202" s="24" t="inlineStr">
        <is>
          <t>2026-10-03T16:53:04.381999Z</t>
        </is>
      </c>
      <c r="C202" s="24" t="inlineStr">
        <is>
          <t>2026-10-03T20:00:00Z</t>
        </is>
      </c>
      <c r="D202" s="24" t="inlineStr">
        <is>
          <t>135657</t>
        </is>
      </c>
      <c r="E202" s="24" t="inlineStr">
        <is>
          <t>LOL</t>
        </is>
      </c>
      <c r="F202" s="24" t="inlineStr">
        <is>
          <t>LYON</t>
        </is>
      </c>
      <c r="G202" s="24" t="inlineStr">
        <is>
          <t>Cloud9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-223</v>
      </c>
      <c r="M202" s="27" t="n">
        <v>1.44843</v>
      </c>
      <c r="N202" s="28" t="n">
        <v>0.690402</v>
      </c>
      <c r="O202" s="28" t="n">
        <v>0.534531</v>
      </c>
      <c r="P202" s="28" t="n"/>
      <c r="Q202" s="28" t="n">
        <v>-0.155871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/>
      <c r="AA202" s="28" t="n"/>
      <c r="AB202" s="28" t="n"/>
      <c r="AC202" s="30" t="n">
        <v>0.4484</v>
      </c>
      <c r="AD202" s="24" t="inlineStr">
        <is>
          <t>2026-10-04T21:06:20.955882Z</t>
        </is>
      </c>
      <c r="AE202" s="31" t="inlineStr">
        <is>
          <t>Neutral Elo baseline; executable ask 0.6900 (market_slug=aec-lol-c9-ly-2026-10-03).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LYON</t>
        </is>
      </c>
      <c r="AQ202" s="24" t="inlineStr">
        <is>
          <t>LYON</t>
        </is>
      </c>
      <c r="AR202" s="24" t="inlineStr">
        <is>
          <t>LYON</t>
        </is>
      </c>
      <c r="AS202" s="24" t="inlineStr">
        <is>
          <t>Cloud9</t>
        </is>
      </c>
      <c r="AT202" s="24" t="inlineStr">
        <is>
          <t>Cloud9</t>
        </is>
      </c>
      <c r="AU202" s="24" t="inlineStr">
        <is>
          <t>Cloud9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7dd84946e8171bfb91879166ef376f6954d268d14622bb77392ddbee9f1cd18c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7dd84946e8171bfb91879166ef376f6954d268d14622bb77392ddbee9f1cd18c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2026-10-03T16:52:49.789788Z</t>
        </is>
      </c>
      <c r="BI202" s="24" t="inlineStr">
        <is>
          <t>["same_event","same_team_same_day","same_league_same_day"]</t>
        </is>
      </c>
      <c r="BJ202" s="25" t="n"/>
      <c r="BK202" s="26" t="n">
        <v>-223</v>
      </c>
      <c r="BL202" s="27" t="n">
        <v>1.44843</v>
      </c>
      <c r="BM202" s="28" t="n">
        <v>0.690402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0.690402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203" ht="36" customHeight="1">
      <c r="A203" s="24" t="inlineStr">
        <is>
          <t>25edd73d181545da</t>
        </is>
      </c>
      <c r="B203" s="24" t="inlineStr">
        <is>
          <t>2026-10-03T22:33:42.309505Z</t>
        </is>
      </c>
      <c r="C203" s="24" t="inlineStr">
        <is>
          <t>2026-10-04T07:00:00Z</t>
        </is>
      </c>
      <c r="D203" s="24" t="inlineStr">
        <is>
          <t>139902</t>
        </is>
      </c>
      <c r="E203" s="24" t="inlineStr">
        <is>
          <t>LOL</t>
        </is>
      </c>
      <c r="F203" s="24" t="inlineStr">
        <is>
          <t>BNK FEARX</t>
        </is>
      </c>
      <c r="G203" s="24" t="inlineStr">
        <is>
          <t>LGD Gaming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127</v>
      </c>
      <c r="M203" s="27" t="n">
        <v>2.27</v>
      </c>
      <c r="N203" s="28" t="n">
        <v>0.440529</v>
      </c>
      <c r="O203" s="28" t="n">
        <v>0.545669</v>
      </c>
      <c r="P203" s="28" t="n"/>
      <c r="Q203" s="28" t="n">
        <v>0.10514</v>
      </c>
      <c r="R203" s="26" t="n">
        <v>73</v>
      </c>
      <c r="S203" s="29" t="n">
        <v>1.25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2026-10-04T21:06:23.416123Z</t>
        </is>
      </c>
      <c r="AE203" s="31" t="inlineStr">
        <is>
          <t>Neutral Elo baseline; executable ask 0.4400 (market_slug=aec-lol-lgd-bfx-2026-10-04).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BNK FEARX</t>
        </is>
      </c>
      <c r="AQ203" s="24" t="inlineStr">
        <is>
          <t>BNK FEARX</t>
        </is>
      </c>
      <c r="AR203" s="24" t="inlineStr">
        <is>
          <t>BNK FEARX</t>
        </is>
      </c>
      <c r="AS203" s="24" t="inlineStr">
        <is>
          <t>LGD Gaming</t>
        </is>
      </c>
      <c r="AT203" s="24" t="inlineStr">
        <is>
          <t>LGD Gaming</t>
        </is>
      </c>
      <c r="AU203" s="24" t="inlineStr">
        <is>
          <t>LGD Gaming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55223e6a1465dbff2f9b3d3d31599ba7a43c04f3010a53f4e13de30086a4cc22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55223e6a1465dbff2f9b3d3d31599ba7a43c04f3010a53f4e13de30086a4cc22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2026-10-03T22:33:25.331331Z</t>
        </is>
      </c>
      <c r="BI203" s="24" t="inlineStr">
        <is>
          <t>["same_event","same_team_same_day","same_league_same_day"]</t>
        </is>
      </c>
      <c r="BJ203" s="25" t="n"/>
      <c r="BK203" s="26" t="n">
        <v>127</v>
      </c>
      <c r="BL203" s="27" t="n">
        <v>2.27</v>
      </c>
      <c r="BM203" s="28" t="n">
        <v>0.440529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0.440529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204" ht="36" customHeight="1">
      <c r="A204" s="24" t="inlineStr">
        <is>
          <t>abe05b1cd7304a6e</t>
        </is>
      </c>
      <c r="B204" s="24" t="inlineStr">
        <is>
          <t>2026-10-04T20:31:25.868273Z</t>
        </is>
      </c>
      <c r="C204" s="24" t="inlineStr">
        <is>
          <t>2026-10-05T09:00:00Z</t>
        </is>
      </c>
      <c r="D204" s="24" t="inlineStr">
        <is>
          <t>139903</t>
        </is>
      </c>
      <c r="E204" s="24" t="inlineStr">
        <is>
          <t>LOL</t>
        </is>
      </c>
      <c r="F204" s="24" t="inlineStr">
        <is>
          <t>FlyQuest</t>
        </is>
      </c>
      <c r="G204" s="24" t="inlineStr">
        <is>
          <t>Natus Vincere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-138</v>
      </c>
      <c r="M204" s="27" t="n">
        <v>1.724638</v>
      </c>
      <c r="N204" s="28" t="n">
        <v>0.579832</v>
      </c>
      <c r="O204" s="28" t="n">
        <v>0.6115390000000001</v>
      </c>
      <c r="P204" s="28" t="n"/>
      <c r="Q204" s="28" t="n">
        <v>0.031707</v>
      </c>
      <c r="R204" s="26" t="n">
        <v>36</v>
      </c>
      <c r="S204" s="29" t="n">
        <v>1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0.7246</v>
      </c>
      <c r="AD204" s="24" t="inlineStr">
        <is>
          <t>2026-10-05T16:05:01.181572Z</t>
        </is>
      </c>
      <c r="AE204" s="31" t="inlineStr">
        <is>
          <t>Neutral Elo baseline; executable ask 0.5800 (market_slug=aec-lol-navi-fly-2026-10-05).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FlyQuest</t>
        </is>
      </c>
      <c r="AQ204" s="24" t="inlineStr">
        <is>
          <t>FlyQuest</t>
        </is>
      </c>
      <c r="AR204" s="24" t="inlineStr">
        <is>
          <t>FlyQuest</t>
        </is>
      </c>
      <c r="AS204" s="24" t="inlineStr">
        <is>
          <t>Natus Vincere</t>
        </is>
      </c>
      <c r="AT204" s="24" t="inlineStr">
        <is>
          <t>Natus Vincere</t>
        </is>
      </c>
      <c r="AU204" s="24" t="inlineStr">
        <is>
          <t>Natus Vincere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9e41eaa587f37812fc56301fa123f17823292f759ce95923c3e14917718a6162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9e41eaa587f37812fc56301fa123f17823292f759ce95923c3e14917718a6162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2026-10-04T20:31:13.751153Z</t>
        </is>
      </c>
      <c r="BI204" s="24" t="inlineStr">
        <is>
          <t>["same_event","same_team_same_day","same_league_same_day"]</t>
        </is>
      </c>
      <c r="BJ204" s="25" t="n"/>
      <c r="BK204" s="26" t="n">
        <v>-138</v>
      </c>
      <c r="BL204" s="27" t="n">
        <v>1.724638</v>
      </c>
      <c r="BM204" s="28" t="n">
        <v>0.579832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n"/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205" ht="36" customHeight="1">
      <c r="A205" s="24" t="inlineStr">
        <is>
          <t>33967333f51c4c87</t>
        </is>
      </c>
      <c r="B205" s="24" t="inlineStr">
        <is>
          <t>2026-10-05T22:26:05.671132Z</t>
        </is>
      </c>
      <c r="C205" s="24" t="inlineStr">
        <is>
          <t>2026-10-06T09:00:00Z</t>
        </is>
      </c>
      <c r="D205" s="24" t="inlineStr">
        <is>
          <t>143496</t>
        </is>
      </c>
      <c r="E205" s="24" t="inlineStr">
        <is>
          <t>LOL</t>
        </is>
      </c>
      <c r="F205" s="24" t="inlineStr">
        <is>
          <t>LGD Gaming</t>
        </is>
      </c>
      <c r="G205" s="24" t="inlineStr">
        <is>
          <t>JD Gaming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-117</v>
      </c>
      <c r="M205" s="27" t="n">
        <v>1.854701</v>
      </c>
      <c r="N205" s="28" t="n">
        <v>0.539171</v>
      </c>
      <c r="O205" s="28" t="n">
        <v>0.524296</v>
      </c>
      <c r="P205" s="28" t="n"/>
      <c r="Q205" s="28" t="n">
        <v>-0.014875</v>
      </c>
      <c r="R205" s="26" t="n">
        <v>13</v>
      </c>
      <c r="S205" s="29" t="n">
        <v>1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loss</t>
        </is>
      </c>
      <c r="W205" s="26" t="n">
        <v>1</v>
      </c>
      <c r="X205" s="26" t="n">
        <v>0</v>
      </c>
      <c r="Y205" s="25" t="n"/>
      <c r="Z205" s="26" t="n">
        <v>-113</v>
      </c>
      <c r="AA205" s="28" t="n">
        <v>0.53</v>
      </c>
      <c r="AB205" s="28" t="n">
        <v>-0.009171</v>
      </c>
      <c r="AC205" s="30" t="n">
        <v>-1</v>
      </c>
      <c r="AD205" s="24" t="inlineStr">
        <is>
          <t>2026-10-06T16:04:31.026816Z</t>
        </is>
      </c>
      <c r="AE205" s="31" t="inlineStr">
        <is>
          <t>Neutral Elo baseline; executable ask 0.5400 (market_slug=aec-lol-jdg-lgd-2026-10-06).</t>
        </is>
      </c>
      <c r="AF205" s="31" t="inlineStr">
        <is>
          <t>Config-promoted esports baseline; gates enforced at log time.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LGD Gaming</t>
        </is>
      </c>
      <c r="AQ205" s="24" t="inlineStr">
        <is>
          <t>LGD Gaming</t>
        </is>
      </c>
      <c r="AR205" s="24" t="inlineStr">
        <is>
          <t>LGD Gaming</t>
        </is>
      </c>
      <c r="AS205" s="24" t="inlineStr">
        <is>
          <t>JD Gaming</t>
        </is>
      </c>
      <c r="AT205" s="24" t="inlineStr">
        <is>
          <t>JD Gaming</t>
        </is>
      </c>
      <c r="AU205" s="24" t="inlineStr">
        <is>
          <t>JD Gaming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f29d573bdc346de062cac628ea4489b84d7f7a51570c13c18b88e9a5fe12bbb3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f29d573bdc346de062cac628ea4489b84d7f7a51570c13c18b88e9a5fe12bbb3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2026-10-05T22:25:23.965782Z</t>
        </is>
      </c>
      <c r="BI205" s="24" t="inlineStr">
        <is>
          <t>["same_event","same_team_same_day","same_league_same_day"]</t>
        </is>
      </c>
      <c r="BJ205" s="25" t="n"/>
      <c r="BK205" s="26" t="n">
        <v>-117</v>
      </c>
      <c r="BL205" s="27" t="n">
        <v>1.854701</v>
      </c>
      <c r="BM205" s="28" t="n">
        <v>0.539171</v>
      </c>
      <c r="BN205" s="28" t="n"/>
      <c r="BO205" s="28" t="n"/>
      <c r="BP205" s="25" t="n"/>
      <c r="BQ205" s="27" t="n">
        <v>1.884956</v>
      </c>
      <c r="BR205" s="28" t="n">
        <v>0.53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  <row r="206" ht="36" customHeight="1">
      <c r="A206" s="24" t="inlineStr">
        <is>
          <t>4496e14ac5a64379</t>
        </is>
      </c>
      <c r="B206" s="24" t="inlineStr">
        <is>
          <t>2026-10-06T22:26:06.558378Z</t>
        </is>
      </c>
      <c r="C206" s="24" t="inlineStr">
        <is>
          <t>2026-10-07T09:00:00Z</t>
        </is>
      </c>
      <c r="D206" s="24" t="inlineStr">
        <is>
          <t>143499</t>
        </is>
      </c>
      <c r="E206" s="24" t="inlineStr">
        <is>
          <t>LOL</t>
        </is>
      </c>
      <c r="F206" s="24" t="inlineStr">
        <is>
          <t>Shopify Rebellion</t>
        </is>
      </c>
      <c r="G206" s="24" t="inlineStr">
        <is>
          <t>GAM Esports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144</v>
      </c>
      <c r="M206" s="27" t="n">
        <v>2.44</v>
      </c>
      <c r="N206" s="28" t="n">
        <v>0.409836</v>
      </c>
      <c r="O206" s="28" t="n">
        <v>0.596948</v>
      </c>
      <c r="P206" s="28" t="n"/>
      <c r="Q206" s="28" t="n">
        <v>0.187112</v>
      </c>
      <c r="R206" s="26" t="n">
        <v>100</v>
      </c>
      <c r="S206" s="29" t="n">
        <v>2</v>
      </c>
      <c r="T206" s="24" t="inlineStr">
        <is>
          <t>lol-tiered-elo-v6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Neutral Elo baseline; executable ask 0.4100 (market_slug=aec-lol-gam-sr-2026-10-07).</t>
        </is>
      </c>
      <c r="AF206" s="31" t="inlineStr">
        <is>
          <t>Config-promoted esports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Shopify Rebellion</t>
        </is>
      </c>
      <c r="AQ206" s="24" t="inlineStr">
        <is>
          <t>Shopify Rebellion</t>
        </is>
      </c>
      <c r="AR206" s="24" t="inlineStr">
        <is>
          <t>Shopify Rebellion</t>
        </is>
      </c>
      <c r="AS206" s="24" t="inlineStr">
        <is>
          <t>GAM Esports</t>
        </is>
      </c>
      <c r="AT206" s="24" t="inlineStr">
        <is>
          <t>GAM Esports</t>
        </is>
      </c>
      <c r="AU206" s="24" t="inlineStr">
        <is>
          <t>GAM Esports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e669231aab5beee5f198c05063ca9b15af46074b705ecd23d0d44f4ccce4fbb6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e669231aab5beee5f198c05063ca9b15af46074b705ecd23d0d44f4ccce4fbb6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2026-10-06T22:25:35.846879Z</t>
        </is>
      </c>
      <c r="BI206" s="24" t="inlineStr">
        <is>
          <t>["same_event","same_team_same_day","same_league_same_day"]</t>
        </is>
      </c>
      <c r="BJ206" s="25" t="n"/>
      <c r="BK206" s="26" t="n">
        <v>144</v>
      </c>
      <c r="BL206" s="27" t="n">
        <v>2.44</v>
      </c>
      <c r="BM206" s="28" t="n">
        <v>0.409836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"e669231aab5beee5f198c05063ca9b15af46074b705ecd23d0d44f4ccce4fbb6", "away_team": "Shopify Rebellion", "event_id": "143499", "event_start_utc": "2026-10-07T09:00:00Z", "features": {"away_elo": 1453.670775, "away_history_count": 72, "home_elo": 1542.604048, "home_history_count": 115}, "historical_source_observation_times_verified": false, "home_team": "GAM Esports", "inference_inputs": {"book_state": {"games_played": {"bo3:3:17572": 115, "bo3:3:18358": 72}, "inactivity_half_life_days": null, "inactivity_max_pull": null, "k": 48.0, "last_match_utc": {"bo3:3:17572": "2026-10-05T07:00:00Z", "bo3:3:18358": "2026-10-05T10:40:00Z"}, "minimum_reliable_games": null, "platt_intercept": 0.06641316742326765, "platt_slope": 0.7868066277927818, "ratings": {"bo3:3:17572": 1542.604048, "bo3:3:18358": 1453.670775},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["bo3:3:17572", "bo3:3:18358"]}, "market_type": "moneyline", "model_version": "lol-tiered-elo-v6", "observed_at_utc": "2026-10-06T22:25:25.507143+00:00", "probabilities": {"away": 0.403052, "home": 0.596948}, "replay_scope": "Exact serving book state, calibration, temperature, inactivity reference and thin-history adjustments; training provenance not certified.", "schema": "esports-elo-replay-v1", "snapshot_hash": "a1cc02a770badebe37add352725c9286332a0aff1ddcd5d0d4407cf8029c6a30", "sport": "LOL"}</t>
        </is>
      </c>
    </row>
    <row r="207" ht="36" customHeight="1">
      <c r="A207" s="24" t="inlineStr">
        <is>
          <t>4d2013ceb0c849b8</t>
        </is>
      </c>
      <c r="B207" s="24" t="inlineStr">
        <is>
          <t>2026-10-06T22:26:06.558378Z</t>
        </is>
      </c>
      <c r="C207" s="24" t="inlineStr">
        <is>
          <t>2026-10-07T11:00:00Z</t>
        </is>
      </c>
      <c r="D207" s="24" t="inlineStr">
        <is>
          <t>143500</t>
        </is>
      </c>
      <c r="E207" s="24" t="inlineStr">
        <is>
          <t>LOL</t>
        </is>
      </c>
      <c r="F207" s="24" t="inlineStr">
        <is>
          <t>Shopify Rebellion</t>
        </is>
      </c>
      <c r="G207" s="24" t="inlineStr">
        <is>
          <t>FlyQuest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-178</v>
      </c>
      <c r="M207" s="27" t="n">
        <v>1.561798</v>
      </c>
      <c r="N207" s="28" t="n">
        <v>0.640288</v>
      </c>
      <c r="O207" s="28" t="n">
        <v>0.555596</v>
      </c>
      <c r="P207" s="28" t="n"/>
      <c r="Q207" s="28" t="n">
        <v>-0.084692</v>
      </c>
      <c r="R207" s="26" t="n">
        <v>0</v>
      </c>
      <c r="S207" s="29" t="n">
        <v>1</v>
      </c>
      <c r="T207" s="24" t="inlineStr">
        <is>
          <t>lol-tiered-elo-v6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Neutral Elo baseline; executable ask 0.6400 (market_slug=aec-lol-fly-sr-2026-10-07).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Shopify Rebellion</t>
        </is>
      </c>
      <c r="AQ207" s="24" t="inlineStr">
        <is>
          <t>Shopify Rebellion</t>
        </is>
      </c>
      <c r="AR207" s="24" t="inlineStr">
        <is>
          <t>Shopify Rebellion</t>
        </is>
      </c>
      <c r="AS207" s="24" t="inlineStr">
        <is>
          <t>FlyQuest</t>
        </is>
      </c>
      <c r="AT207" s="24" t="inlineStr">
        <is>
          <t>FlyQuest</t>
        </is>
      </c>
      <c r="AU207" s="24" t="inlineStr">
        <is>
          <t>FlyQuest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e669231aab5beee5f198c05063ca9b15af46074b705ecd23d0d44f4ccce4fbb6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e669231aab5beee5f198c05063ca9b15af46074b705ecd23d0d44f4ccce4fbb6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2026-10-06T22:25:46.022169Z</t>
        </is>
      </c>
      <c r="BI207" s="24" t="inlineStr">
        <is>
          <t>["same_event","same_team_same_day","same_league_same_day"]</t>
        </is>
      </c>
      <c r="BJ207" s="25" t="n"/>
      <c r="BK207" s="26" t="n">
        <v>-178</v>
      </c>
      <c r="BL207" s="27" t="n">
        <v>1.561798</v>
      </c>
      <c r="BM207" s="28" t="n">
        <v>0.640288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"e669231aab5beee5f198c05063ca9b15af46074b705ecd23d0d44f4ccce4fbb6", "away_team": "Shopify Rebellion", "event_id": "143500", "event_start_utc": "2026-10-07T11:00:00Z", "features": {"away_elo": 1453.670775, "away_history_count": 72, "home_elo": 1497.784669, "home_history_count": 114}, "historical_source_observation_times_verified": false, "home_team": "FlyQuest", "inference_inputs": {"book_state": {"games_played": {"bo3:3:18027": 114, "bo3:3:18358": 72}, "inactivity_half_life_days": null, "inactivity_max_pull": null, "k": 48.0, "last_match_utc": {"bo3:3:18027": "2026-10-05T09:00:00Z", "bo3:3:18358": "2026-10-05T10:40:00Z"}, "minimum_reliable_games": null, "platt_intercept": 0.06641316742326765, "platt_slope": 0.7868066277927818, "ratings": {"bo3:3:18027": 1497.784669, "bo3:3:18358": 1453.670775},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["bo3:3:18027", "bo3:3:18358"]}, "market_type": "moneyline", "model_version": "lol-tiered-elo-v6", "observed_at_utc": "2026-10-06T22:25:25.507143+00:00", "probabilities": {"away": 0.444404, "home": 0.555596}, "replay_scope": "Exact serving book state, calibration, temperature, inactivity reference and thin-history adjustments; training provenance not certified.", "schema": "esports-elo-replay-v1", "snapshot_hash": "10f620eeff6fa8084afe07d81727848b0547c44702a3fac8764fbd1f5ee46fd4", "sport": "LOL"}</t>
        </is>
      </c>
    </row>
    <row r="208" ht="36" customHeight="1">
      <c r="A208" s="24" t="inlineStr">
        <is>
          <t>0d7b90d78f6b4561</t>
        </is>
      </c>
      <c r="B208" s="24" t="inlineStr">
        <is>
          <t>2026-10-06T22:26:06.558378Z</t>
        </is>
      </c>
      <c r="C208" s="24" t="inlineStr">
        <is>
          <t>2026-10-07T16:00:00Z</t>
        </is>
      </c>
      <c r="D208" s="24" t="inlineStr">
        <is>
          <t>142769</t>
        </is>
      </c>
      <c r="E208" s="24" t="inlineStr">
        <is>
          <t>LOL</t>
        </is>
      </c>
      <c r="F208" s="24" t="inlineStr">
        <is>
          <t>Unicorns Of Love Sexy Edition</t>
        </is>
      </c>
      <c r="G208" s="24" t="inlineStr">
        <is>
          <t>Kaufland Hangry Knights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163</v>
      </c>
      <c r="M208" s="27" t="n">
        <v>2.63</v>
      </c>
      <c r="N208" s="28" t="n">
        <v>0.380228</v>
      </c>
      <c r="O208" s="28" t="n">
        <v>0.546158</v>
      </c>
      <c r="P208" s="28" t="n"/>
      <c r="Q208" s="28" t="n">
        <v>0.16593</v>
      </c>
      <c r="R208" s="26" t="n">
        <v>100</v>
      </c>
      <c r="S208" s="29" t="n">
        <v>1.75</v>
      </c>
      <c r="T208" s="24" t="inlineStr">
        <is>
          <t>lol-tiered-elo-v6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Neutral Elo baseline; executable ask 0.3800 (market_slug=aec-lol-khk-use-2026-10-07).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Unicorns Of Love Sexy Edition</t>
        </is>
      </c>
      <c r="AQ208" s="24" t="inlineStr">
        <is>
          <t>Unicorns Of Love Sexy Edition</t>
        </is>
      </c>
      <c r="AR208" s="24" t="inlineStr">
        <is>
          <t>Unicorns Of Love Sexy Edition</t>
        </is>
      </c>
      <c r="AS208" s="24" t="inlineStr">
        <is>
          <t>Kaufland Hangry Knights</t>
        </is>
      </c>
      <c r="AT208" s="24" t="inlineStr">
        <is>
          <t>Kaufland Hangry Knights</t>
        </is>
      </c>
      <c r="AU208" s="24" t="inlineStr">
        <is>
          <t>Kaufland Hangry Knights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e669231aab5beee5f198c05063ca9b15af46074b705ecd23d0d44f4ccce4fbb6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e669231aab5beee5f198c05063ca9b15af46074b705ecd23d0d44f4ccce4fbb6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2026-10-06T22:25:46.115100Z</t>
        </is>
      </c>
      <c r="BI208" s="24" t="inlineStr">
        <is>
          <t>["same_event","same_team_same_day","same_league_same_day"]</t>
        </is>
      </c>
      <c r="BJ208" s="25" t="n"/>
      <c r="BK208" s="26" t="n">
        <v>163</v>
      </c>
      <c r="BL208" s="27" t="n">
        <v>2.63</v>
      </c>
      <c r="BM208" s="28" t="n">
        <v>0.380228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"e669231aab5beee5f198c05063ca9b15af46074b705ecd23d0d44f4ccce4fbb6", "away_team": "Unicorns Of Love Sexy Edition", "event_id": "142769", "event_start_utc": "2026-10-07T16:00:00Z", "features": {"away_elo": 1786.64817, "away_history_count": 146, "home_elo": 1722.623228, "home_history_count": 74}, "historical_source_observation_times_verified": false, "home_team": "Kaufland Hangry Knights", "inference_inputs": {"book_state": {"games_played": {"bo3:3:16963": 74, "bo3:3:17414": 146}, "inactivity_half_life_days": null, "inactivity_max_pull": null, "k": 48.0, "last_match_utc": {"bo3:3:16963": "2026-09-30T14:50:00Z", "bo3:3:17414": "2026-10-01T15:00:00Z"}, "minimum_reliable_games": null, "platt_intercept": 0.06641316742326765, "platt_slope": 0.7868066277927818, "ratings": {"bo3:3:16963": 1722.623228, "bo3:3:17414": 1786.64817},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["bo3:3:16963", "bo3:3:17414"]}, "market_type": "moneyline", "model_version": "lol-tiered-elo-v6", "observed_at_utc": "2026-10-06T22:25:25.507143+00:00", "probabilities": {"away": 0.546158, "home": 0.453842}, "replay_scope": "Exact serving book state, calibration, temperature, inactivity reference and thin-history adjustments; training provenance not certified.", "schema": "esports-elo-replay-v1", "snapshot_hash": "1641aca9075bfcd5e1e4c42cacdf9686719bac31bcb8ab37f430186782e5510a", "sport": "LOL"}</t>
        </is>
      </c>
    </row>
    <row r="209" ht="36" customHeight="1">
      <c r="A209" s="24" t="inlineStr">
        <is>
          <t>ea80743efb1042c9</t>
        </is>
      </c>
      <c r="B209" s="24" t="inlineStr">
        <is>
          <t>2026-10-06T22:26:06.558378Z</t>
        </is>
      </c>
      <c r="C209" s="24" t="inlineStr">
        <is>
          <t>2026-10-07T16:00:00Z</t>
        </is>
      </c>
      <c r="D209" s="24" t="inlineStr">
        <is>
          <t>142771</t>
        </is>
      </c>
      <c r="E209" s="24" t="inlineStr">
        <is>
          <t>LOL</t>
        </is>
      </c>
      <c r="F209" s="24" t="inlineStr">
        <is>
          <t>G2 NORD</t>
        </is>
      </c>
      <c r="G209" s="24" t="inlineStr">
        <is>
          <t>Team Heretics Academy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-150</v>
      </c>
      <c r="M209" s="27" t="n">
        <v>1.666667</v>
      </c>
      <c r="N209" s="28" t="n">
        <v>0.6</v>
      </c>
      <c r="O209" s="28" t="n">
        <v>0.507711</v>
      </c>
      <c r="P209" s="28" t="n"/>
      <c r="Q209" s="28" t="n">
        <v>-0.092289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Neutral Elo baseline; executable ask 0.6000 (market_slug=aec-lol-hrts-g2n-2026-10-07).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G2 NORD</t>
        </is>
      </c>
      <c r="AQ209" s="24" t="inlineStr">
        <is>
          <t>G2 NORD</t>
        </is>
      </c>
      <c r="AR209" s="24" t="inlineStr">
        <is>
          <t>G2 NORD</t>
        </is>
      </c>
      <c r="AS209" s="24" t="inlineStr">
        <is>
          <t>Team Heretics Academy</t>
        </is>
      </c>
      <c r="AT209" s="24" t="inlineStr">
        <is>
          <t>Team Heretics Academy</t>
        </is>
      </c>
      <c r="AU209" s="24" t="inlineStr">
        <is>
          <t>Team Heretics Academy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e669231aab5beee5f198c05063ca9b15af46074b705ecd23d0d44f4ccce4fbb6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e669231aab5beee5f198c05063ca9b15af46074b705ecd23d0d44f4ccce4fbb6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2026-10-06T22:25:56.333090Z</t>
        </is>
      </c>
      <c r="BI209" s="24" t="inlineStr">
        <is>
          <t>["same_event","same_team_same_day","same_league_same_day"]</t>
        </is>
      </c>
      <c r="BJ209" s="25" t="n"/>
      <c r="BK209" s="26" t="n">
        <v>-150</v>
      </c>
      <c r="BL209" s="27" t="n">
        <v>1.666667</v>
      </c>
      <c r="BM209" s="28" t="n">
        <v>0.6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n"/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"e669231aab5beee5f198c05063ca9b15af46074b705ecd23d0d44f4ccce4fbb6", "away_team": "G2 NORD", "event_id": "142771", "event_start_utc": "2026-10-07T16:00:00Z", "features": {"away_elo": 1916.811779, "away_history_count": 61, "home_elo": 1892.657889, "home_history_count": 157}, "historical_source_observation_times_verified": false, "home_team": "Team Heretics Academy", "inference_inputs": {"book_state": {"games_played": {"bo3:3:16945": 157, "bo3:3:22411": 61}, "inactivity_half_life_days": null, "inactivity_max_pull": null, "k": 48.0, "last_match_utc": {"bo3:3:16945": "2026-09-30T17:30:00Z", "bo3:3:22411": "2026-09-30T16:35:00Z"}, "minimum_reliable_games": null, "platt_intercept": 0.06641316742326765, "platt_slope": 0.7868066277927818, "ratings": {"bo3:3:16945": 1892.657889, "bo3:3:22411": 1916.811779},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["bo3:3:16945", "bo3:3:22411"]}, "market_type": "moneyline", "model_version": "lol-tiered-elo-v6", "observed_at_utc": "2026-10-06T22:25:25.507143+00:00", "probabilities": {"away": 0.507711, "home": 0.492289}, "replay_scope": "Exact serving book state, calibration, temperature, inactivity reference and thin-history adjustments; training provenance not certified.", "schema": "esports-elo-replay-v1", "snapshot_hash": "745fa96b0a908fa8a54d7683111edc4af13ed9b8ca0517c655acbae05e65795c", "sport": "LOL"}</t>
        </is>
      </c>
    </row>
    <row r="210" ht="36" customHeight="1">
      <c r="A210" s="24" t="inlineStr">
        <is>
          <t>a8edc2ac380f4cf6</t>
        </is>
      </c>
      <c r="B210" s="24" t="inlineStr">
        <is>
          <t>2026-10-06T22:26:06.558378Z</t>
        </is>
      </c>
      <c r="C210" s="24" t="inlineStr">
        <is>
          <t>2026-10-07T21:00:00Z</t>
        </is>
      </c>
      <c r="D210" s="24" t="inlineStr">
        <is>
          <t>144660</t>
        </is>
      </c>
      <c r="E210" s="24" t="inlineStr">
        <is>
          <t>LOL</t>
        </is>
      </c>
      <c r="F210" s="24" t="inlineStr">
        <is>
          <t>Maryville University</t>
        </is>
      </c>
      <c r="G210" s="24" t="inlineStr">
        <is>
          <t>Disguised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212</v>
      </c>
      <c r="M210" s="27" t="n">
        <v>3.12</v>
      </c>
      <c r="N210" s="28" t="n">
        <v>0.320513</v>
      </c>
      <c r="O210" s="28" t="n">
        <v>0.718247</v>
      </c>
      <c r="P210" s="28" t="n"/>
      <c r="Q210" s="28" t="n">
        <v>0.397734</v>
      </c>
      <c r="R210" s="26" t="n">
        <v>100</v>
      </c>
      <c r="S210" s="29" t="n">
        <v>2</v>
      </c>
      <c r="T210" s="24" t="inlineStr">
        <is>
          <t>lol-tiered-elo-v6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Neutral Elo baseline; executable ask 0.3200 (market_slug=aec-lol-dsg-mvu-2026-10-07).</t>
        </is>
      </c>
      <c r="AF210" s="31" t="inlineStr">
        <is>
          <t>Config-promoted esports baseline; gates enforced at log time.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Maryville University</t>
        </is>
      </c>
      <c r="AQ210" s="24" t="inlineStr">
        <is>
          <t>Maryville University</t>
        </is>
      </c>
      <c r="AR210" s="24" t="inlineStr">
        <is>
          <t>Maryville University</t>
        </is>
      </c>
      <c r="AS210" s="24" t="inlineStr">
        <is>
          <t>Disguised</t>
        </is>
      </c>
      <c r="AT210" s="24" t="inlineStr">
        <is>
          <t>Disguised</t>
        </is>
      </c>
      <c r="AU210" s="24" t="inlineStr">
        <is>
          <t>Disguised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e669231aab5beee5f198c05063ca9b15af46074b705ecd23d0d44f4ccce4fbb6</t>
        </is>
      </c>
      <c r="BB210" s="24" t="inlineStr">
        <is>
          <t>neutral_elo</t>
        </is>
      </c>
      <c r="BC210" s="24" t="inlineStr">
        <is>
          <t>lol-tiered-elo-v6</t>
        </is>
      </c>
      <c r="BD210" s="24" t="inlineStr">
        <is>
          <t>e669231aab5beee5f198c05063ca9b15af46074b705ecd23d0d44f4ccce4fbb6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lol-tiered-elo-v6</t>
        </is>
      </c>
      <c r="BH210" s="24" t="inlineStr">
        <is>
          <t>2026-10-06T22:26:06.541945Z</t>
        </is>
      </c>
      <c r="BI210" s="24" t="inlineStr">
        <is>
          <t>["same_event","same_team_same_day","same_league_same_day"]</t>
        </is>
      </c>
      <c r="BJ210" s="25" t="n"/>
      <c r="BK210" s="26" t="n">
        <v>212</v>
      </c>
      <c r="BL210" s="27" t="n">
        <v>3.12</v>
      </c>
      <c r="BM210" s="28" t="n">
        <v>0.320513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n"/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"e669231aab5beee5f198c05063ca9b15af46074b705ecd23d0d44f4ccce4fbb6", "away_team": "Maryville University", "event_id": "144660", "event_start_utc": "2026-10-07T21:00:00Z", "features": {"away_elo": 1646.662988, "away_history_count": 38, "home_elo": 1354.432648, "home_history_count": 67}, "historical_source_observation_times_verified": false, "home_team": "Disguised", "inference_inputs": {"book_state": {"games_played": {"bo3:3:16807": 67, "bo3:3:17077": 38}, "inactivity_half_life_days": null, "inactivity_max_pull": null, "k": 48.0, "last_match_utc": {"bo3:3:16807": "2026-09-06T21:45:00Z", "bo3:3:17077": "2026-10-05T21:00:00Z"}, "minimum_reliable_games": null, "platt_intercept": 0.06641316742326765, "platt_slope": 0.7868066277927818, "ratings": {"bo3:3:16807": 1354.432648, "bo3:3:17077": 1646.662988},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"2026-10-06T22:25:25.507143+00:00", "team_ids": ["bo3:3:16807", "bo3:3:17077"]}, "market_type": "moneyline", "model_version": "lol-tiered-elo-v6", "observed_at_utc": "2026-10-06T22:25:25.507143+00:00", "probabilities": {"away": 0.718247, "home": 0.281753}, "replay_scope": "Exact serving book state, calibration, temperature, inactivity reference and thin-history adjustments; training provenance not certified.", "schema": "esports-elo-replay-v1", "snapshot_hash": "02872a08071111d998018facd70075414cb67dbd056b333d338af579a3162252",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2026-10-06T22:29:16Z</dcterms:created>
  <dcterms:modified xmlns:dcterms="http://purl.org/dc/terms/" xmlns:xsi="http://www.w3.org/2001/XMLSchema-instance" xsi:type="dcterms:W3CDTF">2026-10-06T22:29:16Z</dcterms:modified>
</cp:coreProperties>
</file>