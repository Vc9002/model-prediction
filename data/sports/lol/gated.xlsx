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215" headerRowCount="1">
  <autoFilter ref="A1:DQ215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COUNTA('Picks'!$A$2:$A$215)</f>
        <v/>
      </c>
      <c r="C4" s="6">
        <f>COUNTIF('Picks'!$U$2:$U$215,"open")</f>
        <v/>
      </c>
      <c r="E4" s="6">
        <f>COUNTIF('Picks'!$U$2:$U$215,"settled")</f>
        <v/>
      </c>
      <c r="G4" s="6">
        <f>IF(COUNTIFS('Picks'!$U$2:$U$215,"settled",'Picks'!$V$2:$V$215,"win")+COUNTIFS('Picks'!$U$2:$U$215,"settled",'Picks'!$V$2:$V$215,"loss")&gt;=$L$2,"Ready","Insufficient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COUNTIF('Picks'!$BX$2:$BX$215,"&gt;0")</f>
        <v/>
      </c>
      <c r="C7" s="6">
        <f>COUNTIFS('Picks'!$BX$2:$BX$215,"&gt;0",'Picks'!$V$2:$V$215,"win")&amp;"-"&amp;COUNTIFS('Picks'!$BX$2:$BX$215,"&gt;0",'Picks'!$V$2:$V$215,"loss")</f>
        <v/>
      </c>
      <c r="E7" s="7">
        <f>IFERROR(COUNTIFS('Picks'!$BX$2:$BX$215,"&gt;0",'Picks'!$V$2:$V$215,"win")/(COUNTIFS('Picks'!$BX$2:$BX$215,"&gt;0",'Picks'!$V$2:$V$215,"win")+COUNTIFS('Picks'!$BX$2:$BX$215,"&gt;0",'Picks'!$V$2:$V$215,"loss")),0)</f>
        <v/>
      </c>
      <c r="G7" s="7">
        <f>IFERROR(SUM('Picks'!$BY$2:$BY$215)/SUM('Picks'!$BX$2:$BX$215),0)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SUM('Picks'!$BY$2:$BY$215)</f>
        <v/>
      </c>
      <c r="C10" s="9">
        <f>IFERROR(AVERAGEIF('Picks'!$AB$2:$AB$215,"&lt;&gt;",'Picks'!$AB$2:$AB$215),0)</f>
        <v/>
      </c>
      <c r="E10" s="6">
        <f>COUNTIFS('Picks'!$AM$2:$AM$215,"QUALIFIED_SHADOW_CALL",'Picks'!$U$2:$U$215,"settled")</f>
        <v/>
      </c>
      <c r="G10" s="8">
        <f>SUMIFS('Picks'!$AC$2:$AC$215,'Picks'!$AM$2:$AM$215,"QUALIFIED_SHADOW_CALL")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COUNTIFS('Picks'!$H$2:$H$215,$A14,'Picks'!$U$2:$U$215,"settled")</f>
        <v/>
      </c>
      <c r="C14" s="13">
        <f>COUNTIFS('Picks'!$H$2:$H$215,$A14,'Picks'!$U$2:$U$215,"settled",'Picks'!$V$2:$V$215,"win")</f>
        <v/>
      </c>
      <c r="D14" s="13">
        <f>COUNTIFS('Picks'!$H$2:$H$215,$A14,'Picks'!$U$2:$U$215,"settled",'Picks'!$V$2:$V$215,"loss")</f>
        <v/>
      </c>
      <c r="E14" s="14">
        <f>IFERROR(C14/(C14+D14),0)</f>
        <v/>
      </c>
      <c r="F14" s="15">
        <f>SUMIFS('Picks'!$BY$2:$BY$215,'Picks'!$H$2:$H$215,$A14)</f>
        <v/>
      </c>
      <c r="G14" s="16">
        <f>IFERROR(AVERAGEIFS('Picks'!$AB$2:$AB$215,'Picks'!$H$2:$H$215,$A14,'Picks'!$U$2:$U$215,"settled"),0)</f>
        <v/>
      </c>
    </row>
    <row r="15">
      <c r="A15" s="17" t="inlineStr">
        <is>
          <t>spread</t>
        </is>
      </c>
      <c r="B15" s="18">
        <f>COUNTIFS('Picks'!$H$2:$H$215,$A15,'Picks'!$U$2:$U$215,"settled")</f>
        <v/>
      </c>
      <c r="C15" s="18">
        <f>COUNTIFS('Picks'!$H$2:$H$215,$A15,'Picks'!$U$2:$U$215,"settled",'Picks'!$V$2:$V$215,"win")</f>
        <v/>
      </c>
      <c r="D15" s="18">
        <f>COUNTIFS('Picks'!$H$2:$H$215,$A15,'Picks'!$U$2:$U$215,"settled",'Picks'!$V$2:$V$215,"loss")</f>
        <v/>
      </c>
      <c r="E15" s="19">
        <f>IFERROR(C15/(C15+D15),0)</f>
        <v/>
      </c>
      <c r="F15" s="20">
        <f>SUMIFS('Picks'!$BY$2:$BY$215,'Picks'!$H$2:$H$215,$A15)</f>
        <v/>
      </c>
      <c r="G15" s="21">
        <f>IFERROR(AVERAGEIFS('Picks'!$AB$2:$AB$215,'Picks'!$H$2:$H$215,$A15,'Picks'!$U$2:$U$215,"settled"),0)</f>
        <v/>
      </c>
    </row>
    <row r="16">
      <c r="A16" s="12" t="inlineStr">
        <is>
          <t>total</t>
        </is>
      </c>
      <c r="B16" s="13">
        <f>COUNTIFS('Picks'!$H$2:$H$215,$A16,'Picks'!$U$2:$U$215,"settled")</f>
        <v/>
      </c>
      <c r="C16" s="13">
        <f>COUNTIFS('Picks'!$H$2:$H$215,$A16,'Picks'!$U$2:$U$215,"settled",'Picks'!$V$2:$V$215,"win")</f>
        <v/>
      </c>
      <c r="D16" s="13">
        <f>COUNTIFS('Picks'!$H$2:$H$215,$A16,'Picks'!$U$2:$U$215,"settled",'Picks'!$V$2:$V$215,"loss")</f>
        <v/>
      </c>
      <c r="E16" s="14">
        <f>IFERROR(C16/(C16+D16),0)</f>
        <v/>
      </c>
      <c r="F16" s="15">
        <f>SUMIFS('Picks'!$BY$2:$BY$215,'Picks'!$H$2:$H$215,$A16)</f>
        <v/>
      </c>
      <c r="G16" s="16">
        <f>IFERROR(AVERAGEIFS('Picks'!$AB$2:$AB$215,'Picks'!$H$2:$H$215,$A16,'Picks'!$U$2:$U$215,"settled"),0)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e7b27a6351004271</t>
        </is>
      </c>
      <c r="B2" s="24" t="inlineStr">
        <is>
          <t>2026-08-04T16:54:52.896251Z</t>
        </is>
      </c>
      <c r="C2" s="24" t="inlineStr">
        <is>
          <t>2026-08-04T18:00:00Z</t>
        </is>
      </c>
      <c r="D2" s="24" t="inlineStr">
        <is>
          <t>68688</t>
        </is>
      </c>
      <c r="E2" s="24" t="inlineStr">
        <is>
          <t>LOL</t>
        </is>
      </c>
      <c r="F2" s="24" t="inlineStr">
        <is>
          <t>Joblife</t>
        </is>
      </c>
      <c r="G2" s="24" t="inlineStr">
        <is>
          <t>ZYB Esport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-104</v>
      </c>
      <c r="M2" s="27" t="n">
        <v>1.961538</v>
      </c>
      <c r="N2" s="28" t="n">
        <v>0.509804</v>
      </c>
      <c r="O2" s="28" t="n">
        <v>0.530674</v>
      </c>
      <c r="P2" s="28" t="n"/>
      <c r="Q2" s="28" t="n">
        <v>0.02087</v>
      </c>
      <c r="R2" s="26" t="n">
        <v>30</v>
      </c>
      <c r="S2" s="29" t="n">
        <v>1</v>
      </c>
      <c r="T2" s="24" t="inlineStr">
        <is>
          <t>lol-tiered-elo-v6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-104</v>
      </c>
      <c r="AA2" s="28" t="n">
        <v>0.51</v>
      </c>
      <c r="AB2" s="28" t="n">
        <v>0.000196</v>
      </c>
      <c r="AC2" s="30" t="n">
        <v>0.9615</v>
      </c>
      <c r="AD2" s="24" t="inlineStr">
        <is>
          <t>2026-08-04T22:00:06.736199Z</t>
        </is>
      </c>
      <c r="AE2" s="31" t="inlineStr">
        <is>
          <t>Neutral Elo baseline; executable ask 0.5100 (market_slug=aec-lol-zyb-jl-2026-08-04).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Joblife</t>
        </is>
      </c>
      <c r="AQ2" s="24" t="inlineStr">
        <is>
          <t>Joblife</t>
        </is>
      </c>
      <c r="AR2" s="24" t="inlineStr">
        <is>
          <t>Joblife</t>
        </is>
      </c>
      <c r="AS2" s="24" t="inlineStr">
        <is>
          <t>ZYB Esport</t>
        </is>
      </c>
      <c r="AT2" s="24" t="inlineStr">
        <is>
          <t>ZYB Esport</t>
        </is>
      </c>
      <c r="AU2" s="24" t="inlineStr">
        <is>
          <t>ZYB Esport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5bcf4e232e6e233164ffd78633a5487d986e0433e7ea70b93f7ff1c53933694d</t>
        </is>
      </c>
      <c r="BB2" s="24" t="inlineStr">
        <is>
          <t>neutral_elo</t>
        </is>
      </c>
      <c r="BC2" s="24" t="inlineStr">
        <is>
          <t>lol-tiered-elo-v6</t>
        </is>
      </c>
      <c r="BD2" s="24" t="inlineStr">
        <is>
          <t>5bcf4e232e6e233164ffd78633a5487d986e0433e7ea70b93f7ff1c53933694d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lol-tiered-elo-v6</t>
        </is>
      </c>
      <c r="BH2" s="24" t="inlineStr">
        <is>
          <t>2026-08-04T16:54:19.630031Z</t>
        </is>
      </c>
      <c r="BI2" s="24" t="inlineStr">
        <is>
          <t>["same_event","same_team_same_day","same_league_same_day"]</t>
        </is>
      </c>
      <c r="BJ2" s="25" t="n"/>
      <c r="BK2" s="26" t="n">
        <v>-104</v>
      </c>
      <c r="BL2" s="27" t="n">
        <v>1.961538</v>
      </c>
      <c r="BM2" s="28" t="n">
        <v>0.509804</v>
      </c>
      <c r="BN2" s="28" t="n"/>
      <c r="BO2" s="28" t="n"/>
      <c r="BP2" s="25" t="n"/>
      <c r="BQ2" s="27" t="n">
        <v>1.961538</v>
      </c>
      <c r="BR2" s="28" t="n">
        <v>0.51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0.509804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3f74d898ac9646d8</t>
        </is>
      </c>
      <c r="B3" s="24" t="inlineStr">
        <is>
          <t>2026-08-04T18:08:50.279200Z</t>
        </is>
      </c>
      <c r="C3" s="24" t="inlineStr">
        <is>
          <t>2026-08-04T20:00:00Z</t>
        </is>
      </c>
      <c r="D3" s="24" t="inlineStr">
        <is>
          <t>69144</t>
        </is>
      </c>
      <c r="E3" s="24" t="inlineStr">
        <is>
          <t>LOL</t>
        </is>
      </c>
      <c r="F3" s="24" t="inlineStr">
        <is>
          <t>INTZ e-Sports</t>
        </is>
      </c>
      <c r="G3" s="24" t="inlineStr">
        <is>
          <t>Vivo Keyd Stars Academy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122</v>
      </c>
      <c r="M3" s="27" t="n">
        <v>2.22</v>
      </c>
      <c r="N3" s="28" t="n">
        <v>0.45045</v>
      </c>
      <c r="O3" s="28" t="n">
        <v>0.56541</v>
      </c>
      <c r="P3" s="28" t="n"/>
      <c r="Q3" s="28" t="n">
        <v>0.11496</v>
      </c>
      <c r="R3" s="26" t="n">
        <v>77</v>
      </c>
      <c r="S3" s="29" t="n">
        <v>1</v>
      </c>
      <c r="T3" s="24" t="inlineStr">
        <is>
          <t>lol-tiered-elo-v6</t>
        </is>
      </c>
      <c r="U3" s="24" t="inlineStr">
        <is>
          <t>settled</t>
        </is>
      </c>
      <c r="V3" s="24" t="inlineStr">
        <is>
          <t>loss</t>
        </is>
      </c>
      <c r="W3" s="26" t="n">
        <v>1</v>
      </c>
      <c r="X3" s="26" t="n">
        <v>0</v>
      </c>
      <c r="Y3" s="25" t="n"/>
      <c r="Z3" s="26" t="n">
        <v>122</v>
      </c>
      <c r="AA3" s="28" t="n">
        <v>0.45</v>
      </c>
      <c r="AB3" s="28" t="n">
        <v>-0.00045</v>
      </c>
      <c r="AC3" s="30" t="n">
        <v>-1</v>
      </c>
      <c r="AD3" s="24" t="inlineStr">
        <is>
          <t>2026-08-04T22:00:08.029029Z</t>
        </is>
      </c>
      <c r="AE3" s="31" t="inlineStr">
        <is>
          <t>Neutral Elo baseline; executable ask 0.4500 (market_slug=aec-lol-vksa-itz-2026-08-04).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INTZ e-Sports</t>
        </is>
      </c>
      <c r="AQ3" s="24" t="inlineStr">
        <is>
          <t>INTZ e-Sports</t>
        </is>
      </c>
      <c r="AR3" s="24" t="inlineStr">
        <is>
          <t>INTZ e-Sports</t>
        </is>
      </c>
      <c r="AS3" s="24" t="inlineStr">
        <is>
          <t>Vivo Keyd Stars Academy</t>
        </is>
      </c>
      <c r="AT3" s="24" t="inlineStr">
        <is>
          <t>Vivo Keyd Stars Academy</t>
        </is>
      </c>
      <c r="AU3" s="24" t="inlineStr">
        <is>
          <t>Vivo Keyd Stars Academy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581bb511aff842f9af01d132a2c739b65878388c9d1d8f1182f28b3c271e9a2c</t>
        </is>
      </c>
      <c r="BB3" s="24" t="inlineStr">
        <is>
          <t>neutral_elo</t>
        </is>
      </c>
      <c r="BC3" s="24" t="inlineStr">
        <is>
          <t>lol-tiered-elo-v6</t>
        </is>
      </c>
      <c r="BD3" s="24" t="inlineStr">
        <is>
          <t>581bb511aff842f9af01d132a2c739b65878388c9d1d8f1182f28b3c271e9a2c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lol-tiered-elo-v6</t>
        </is>
      </c>
      <c r="BH3" s="24" t="inlineStr">
        <is>
          <t>2026-08-04T18:08:14.538966Z</t>
        </is>
      </c>
      <c r="BI3" s="24" t="inlineStr">
        <is>
          <t>["same_event","same_team_same_day","same_league_same_day"]</t>
        </is>
      </c>
      <c r="BJ3" s="25" t="n"/>
      <c r="BK3" s="26" t="n">
        <v>122</v>
      </c>
      <c r="BL3" s="27" t="n">
        <v>2.22</v>
      </c>
      <c r="BM3" s="28" t="n">
        <v>0.45045</v>
      </c>
      <c r="BN3" s="28" t="n"/>
      <c r="BO3" s="28" t="n"/>
      <c r="BP3" s="25" t="n"/>
      <c r="BQ3" s="27" t="n">
        <v>2.22</v>
      </c>
      <c r="BR3" s="28" t="n">
        <v>0.45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0.45045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826e1c0eddf0473f</t>
        </is>
      </c>
      <c r="B4" s="24" t="inlineStr">
        <is>
          <t>2026-08-04T18:08:50.279200Z</t>
        </is>
      </c>
      <c r="C4" s="24" t="inlineStr">
        <is>
          <t>2026-08-04T20:00:00Z</t>
        </is>
      </c>
      <c r="D4" s="24" t="inlineStr">
        <is>
          <t>69141</t>
        </is>
      </c>
      <c r="E4" s="24" t="inlineStr">
        <is>
          <t>LOL</t>
        </is>
      </c>
      <c r="F4" s="24" t="inlineStr">
        <is>
          <t>Vitality.Bee</t>
        </is>
      </c>
      <c r="G4" s="24" t="inlineStr">
        <is>
          <t>Karmine Corp Blue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-194</v>
      </c>
      <c r="M4" s="27" t="n">
        <v>1.515464</v>
      </c>
      <c r="N4" s="28" t="n">
        <v>0.659864</v>
      </c>
      <c r="O4" s="28" t="n">
        <v>0.663313</v>
      </c>
      <c r="P4" s="28" t="n"/>
      <c r="Q4" s="28" t="n">
        <v>0.003449</v>
      </c>
      <c r="R4" s="26" t="n">
        <v>22</v>
      </c>
      <c r="S4" s="29" t="n">
        <v>1.75</v>
      </c>
      <c r="T4" s="24" t="inlineStr">
        <is>
          <t>lol-tiered-elo-v6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-194</v>
      </c>
      <c r="AA4" s="28" t="n">
        <v>0.66</v>
      </c>
      <c r="AB4" s="28" t="n">
        <v>0.000136</v>
      </c>
      <c r="AC4" s="30" t="n">
        <v>0.9021</v>
      </c>
      <c r="AD4" s="24" t="inlineStr">
        <is>
          <t>2026-08-04T22:00:09.282327Z</t>
        </is>
      </c>
      <c r="AE4" s="31" t="inlineStr">
        <is>
          <t>Neutral Elo baseline; executable ask 0.6600 (market_slug=aec-lol-kcb-vitb-2026-08-04).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Vitality.Bee</t>
        </is>
      </c>
      <c r="AQ4" s="24" t="inlineStr">
        <is>
          <t>Vitality.Bee</t>
        </is>
      </c>
      <c r="AR4" s="24" t="inlineStr">
        <is>
          <t>Vitality.Bee</t>
        </is>
      </c>
      <c r="AS4" s="24" t="inlineStr">
        <is>
          <t>Karmine Corp Blue</t>
        </is>
      </c>
      <c r="AT4" s="24" t="inlineStr">
        <is>
          <t>Karmine Corp Blue</t>
        </is>
      </c>
      <c r="AU4" s="24" t="inlineStr">
        <is>
          <t>Karmine Corp Blue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581bb511aff842f9af01d132a2c739b65878388c9d1d8f1182f28b3c271e9a2c</t>
        </is>
      </c>
      <c r="BB4" s="24" t="inlineStr">
        <is>
          <t>neutral_elo</t>
        </is>
      </c>
      <c r="BC4" s="24" t="inlineStr">
        <is>
          <t>lol-tiered-elo-v6</t>
        </is>
      </c>
      <c r="BD4" s="24" t="inlineStr">
        <is>
          <t>581bb511aff842f9af01d132a2c739b65878388c9d1d8f1182f28b3c271e9a2c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lol-tiered-elo-v6</t>
        </is>
      </c>
      <c r="BH4" s="24" t="inlineStr">
        <is>
          <t>2026-08-04T18:08:15.286337Z</t>
        </is>
      </c>
      <c r="BI4" s="24" t="inlineStr">
        <is>
          <t>["same_event","same_team_same_day","same_league_same_day"]</t>
        </is>
      </c>
      <c r="BJ4" s="25" t="n"/>
      <c r="BK4" s="26" t="n">
        <v>-194</v>
      </c>
      <c r="BL4" s="27" t="n">
        <v>1.515464</v>
      </c>
      <c r="BM4" s="28" t="n">
        <v>0.659864</v>
      </c>
      <c r="BN4" s="28" t="n"/>
      <c r="BO4" s="28" t="n"/>
      <c r="BP4" s="25" t="n"/>
      <c r="BQ4" s="27" t="n">
        <v>1.515464</v>
      </c>
      <c r="BR4" s="28" t="n">
        <v>0.66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0.659864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e87b40da89ed44aa</t>
        </is>
      </c>
      <c r="B5" s="24" t="inlineStr">
        <is>
          <t>2026-08-04T18:08:50.279200Z</t>
        </is>
      </c>
      <c r="C5" s="24" t="inlineStr">
        <is>
          <t>2026-08-04T21:00:00Z</t>
        </is>
      </c>
      <c r="D5" s="24" t="inlineStr">
        <is>
          <t>69233</t>
        </is>
      </c>
      <c r="E5" s="24" t="inlineStr">
        <is>
          <t>LOL</t>
        </is>
      </c>
      <c r="F5" s="24" t="inlineStr">
        <is>
          <t>Team Solid</t>
        </is>
      </c>
      <c r="G5" s="24" t="inlineStr">
        <is>
          <t>RED Academy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203</v>
      </c>
      <c r="M5" s="27" t="n">
        <v>3.03</v>
      </c>
      <c r="N5" s="28" t="n">
        <v>0.330033</v>
      </c>
      <c r="O5" s="28" t="n">
        <v>0.552115</v>
      </c>
      <c r="P5" s="28" t="n"/>
      <c r="Q5" s="28" t="n">
        <v>0.222082</v>
      </c>
      <c r="R5" s="26" t="n">
        <v>100</v>
      </c>
      <c r="S5" s="29" t="n">
        <v>1</v>
      </c>
      <c r="T5" s="24" t="inlineStr">
        <is>
          <t>lol-tiered-elo-v6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>
        <v>203</v>
      </c>
      <c r="AA5" s="28" t="n">
        <v>0.33</v>
      </c>
      <c r="AB5" s="28" t="n">
        <v>-3.3e-05</v>
      </c>
      <c r="AC5" s="30" t="n">
        <v>-1</v>
      </c>
      <c r="AD5" s="24" t="inlineStr">
        <is>
          <t>2026-08-05T01:06:40.231508Z</t>
        </is>
      </c>
      <c r="AE5" s="31" t="inlineStr">
        <is>
          <t>Neutral Elo baseline; executable ask 0.3300 (market_slug=aec-lol-reda-tse-2026-08-04).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Team Solid</t>
        </is>
      </c>
      <c r="AQ5" s="24" t="inlineStr">
        <is>
          <t>Team Solid</t>
        </is>
      </c>
      <c r="AR5" s="24" t="inlineStr">
        <is>
          <t>Team Solid</t>
        </is>
      </c>
      <c r="AS5" s="24" t="inlineStr">
        <is>
          <t>RED Academy</t>
        </is>
      </c>
      <c r="AT5" s="24" t="inlineStr">
        <is>
          <t>RED Academy</t>
        </is>
      </c>
      <c r="AU5" s="24" t="inlineStr">
        <is>
          <t>RED Academy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581bb511aff842f9af01d132a2c739b65878388c9d1d8f1182f28b3c271e9a2c</t>
        </is>
      </c>
      <c r="BB5" s="24" t="inlineStr">
        <is>
          <t>neutral_elo</t>
        </is>
      </c>
      <c r="BC5" s="24" t="inlineStr">
        <is>
          <t>lol-tiered-elo-v6</t>
        </is>
      </c>
      <c r="BD5" s="24" t="inlineStr">
        <is>
          <t>581bb511aff842f9af01d132a2c739b65878388c9d1d8f1182f28b3c271e9a2c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lol-tiered-elo-v6</t>
        </is>
      </c>
      <c r="BH5" s="24" t="inlineStr">
        <is>
          <t>2026-08-04T18:08:16.814975Z</t>
        </is>
      </c>
      <c r="BI5" s="24" t="inlineStr">
        <is>
          <t>["same_event","same_team_same_day","same_league_same_day"]</t>
        </is>
      </c>
      <c r="BJ5" s="25" t="n"/>
      <c r="BK5" s="26" t="n">
        <v>203</v>
      </c>
      <c r="BL5" s="27" t="n">
        <v>3.03</v>
      </c>
      <c r="BM5" s="28" t="n">
        <v>0.330033</v>
      </c>
      <c r="BN5" s="28" t="n"/>
      <c r="BO5" s="28" t="n"/>
      <c r="BP5" s="25" t="n"/>
      <c r="BQ5" s="27" t="n">
        <v>3.03</v>
      </c>
      <c r="BR5" s="28" t="n">
        <v>0.33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0.330033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74ff8cb85b6c4687</t>
        </is>
      </c>
      <c r="B6" s="24" t="inlineStr">
        <is>
          <t>2026-08-04T18:08:50.279200Z</t>
        </is>
      </c>
      <c r="C6" s="24" t="inlineStr">
        <is>
          <t>2026-08-04T22:00:00Z</t>
        </is>
      </c>
      <c r="D6" s="24" t="inlineStr">
        <is>
          <t>69273</t>
        </is>
      </c>
      <c r="E6" s="24" t="inlineStr">
        <is>
          <t>LOL</t>
        </is>
      </c>
      <c r="F6" s="24" t="inlineStr">
        <is>
          <t>RMD Gaming</t>
        </is>
      </c>
      <c r="G6" s="24" t="inlineStr">
        <is>
          <t>7REX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-113</v>
      </c>
      <c r="M6" s="27" t="n">
        <v>1.884956</v>
      </c>
      <c r="N6" s="28" t="n">
        <v>0.530516</v>
      </c>
      <c r="O6" s="28" t="n">
        <v>0.610688</v>
      </c>
      <c r="P6" s="28" t="n"/>
      <c r="Q6" s="28" t="n">
        <v>0.08017199999999999</v>
      </c>
      <c r="R6" s="26" t="n">
        <v>60</v>
      </c>
      <c r="S6" s="29" t="n">
        <v>1.5</v>
      </c>
      <c r="T6" s="24" t="inlineStr">
        <is>
          <t>lol-tiered-elo-v6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-113</v>
      </c>
      <c r="AA6" s="28" t="n">
        <v>0.53</v>
      </c>
      <c r="AB6" s="28" t="n">
        <v>-0.000516</v>
      </c>
      <c r="AC6" s="30" t="n">
        <v>1.3274</v>
      </c>
      <c r="AD6" s="24" t="inlineStr">
        <is>
          <t>2026-08-05T01:06:42.280534Z</t>
        </is>
      </c>
      <c r="AE6" s="31" t="inlineStr">
        <is>
          <t>Neutral Elo baseline; executable ask 0.5300 (market_slug=aec-lol-7rex-rmd-2026-08-04).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RMD Gaming</t>
        </is>
      </c>
      <c r="AQ6" s="24" t="inlineStr">
        <is>
          <t>RMD Gaming</t>
        </is>
      </c>
      <c r="AR6" s="24" t="inlineStr">
        <is>
          <t>RMD Gaming</t>
        </is>
      </c>
      <c r="AS6" s="24" t="inlineStr">
        <is>
          <t>7REX</t>
        </is>
      </c>
      <c r="AT6" s="24" t="inlineStr">
        <is>
          <t>7REX</t>
        </is>
      </c>
      <c r="AU6" s="24" t="inlineStr">
        <is>
          <t>7REX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581bb511aff842f9af01d132a2c739b65878388c9d1d8f1182f28b3c271e9a2c</t>
        </is>
      </c>
      <c r="BB6" s="24" t="inlineStr">
        <is>
          <t>neutral_elo</t>
        </is>
      </c>
      <c r="BC6" s="24" t="inlineStr">
        <is>
          <t>lol-tiered-elo-v6</t>
        </is>
      </c>
      <c r="BD6" s="24" t="inlineStr">
        <is>
          <t>581bb511aff842f9af01d132a2c739b65878388c9d1d8f1182f28b3c271e9a2c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lol-tiered-elo-v6</t>
        </is>
      </c>
      <c r="BH6" s="24" t="inlineStr">
        <is>
          <t>2026-08-04T18:08:17.591273Z</t>
        </is>
      </c>
      <c r="BI6" s="24" t="inlineStr">
        <is>
          <t>["same_event","same_team_same_day","same_league_same_day"]</t>
        </is>
      </c>
      <c r="BJ6" s="25" t="n"/>
      <c r="BK6" s="26" t="n">
        <v>-113</v>
      </c>
      <c r="BL6" s="27" t="n">
        <v>1.884956</v>
      </c>
      <c r="BM6" s="28" t="n">
        <v>0.530516</v>
      </c>
      <c r="BN6" s="28" t="n"/>
      <c r="BO6" s="28" t="n"/>
      <c r="BP6" s="25" t="n"/>
      <c r="BQ6" s="27" t="n">
        <v>1.884956</v>
      </c>
      <c r="BR6" s="28" t="n">
        <v>0.53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0.530516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3e2ddc0f60084cb5</t>
        </is>
      </c>
      <c r="B7" s="24" t="inlineStr">
        <is>
          <t>2026-08-04T22:03:07.434111Z</t>
        </is>
      </c>
      <c r="C7" s="24" t="inlineStr">
        <is>
          <t>2026-08-04T23:00:00Z</t>
        </is>
      </c>
      <c r="D7" s="24" t="inlineStr">
        <is>
          <t>69304</t>
        </is>
      </c>
      <c r="E7" s="24" t="inlineStr">
        <is>
          <t>LOL</t>
        </is>
      </c>
      <c r="F7" s="24" t="inlineStr">
        <is>
          <t>paiN Gaming Academy</t>
        </is>
      </c>
      <c r="G7" s="24" t="inlineStr">
        <is>
          <t>KaBuM! Ilha das Lendas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-117</v>
      </c>
      <c r="M7" s="27" t="n">
        <v>1.854701</v>
      </c>
      <c r="N7" s="28" t="n">
        <v>0.539171</v>
      </c>
      <c r="O7" s="28" t="n">
        <v>0.542093</v>
      </c>
      <c r="P7" s="28" t="n"/>
      <c r="Q7" s="28" t="n">
        <v>0.002922</v>
      </c>
      <c r="R7" s="26" t="n">
        <v>21</v>
      </c>
      <c r="S7" s="29" t="n">
        <v>1</v>
      </c>
      <c r="T7" s="24" t="inlineStr">
        <is>
          <t>lol-tiered-elo-v6</t>
        </is>
      </c>
      <c r="U7" s="24" t="inlineStr">
        <is>
          <t>settled</t>
        </is>
      </c>
      <c r="V7" s="24" t="inlineStr">
        <is>
          <t>loss</t>
        </is>
      </c>
      <c r="W7" s="26" t="n">
        <v>0</v>
      </c>
      <c r="X7" s="26" t="n">
        <v>1</v>
      </c>
      <c r="Y7" s="25" t="n"/>
      <c r="Z7" s="26" t="n">
        <v>-117</v>
      </c>
      <c r="AA7" s="28" t="n">
        <v>0.54</v>
      </c>
      <c r="AB7" s="28" t="n">
        <v>0.000829</v>
      </c>
      <c r="AC7" s="30" t="n">
        <v>-1</v>
      </c>
      <c r="AD7" s="24" t="inlineStr">
        <is>
          <t>2026-08-05T01:06:44.159759Z</t>
        </is>
      </c>
      <c r="AE7" s="31" t="inlineStr">
        <is>
          <t>Neutral Elo baseline; executable ask 0.5400 (market_slug=aec-lol-kbm-pnga-2026-08-04).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paiN Gaming Academy</t>
        </is>
      </c>
      <c r="AQ7" s="24" t="inlineStr">
        <is>
          <t>paiN Gaming Academy</t>
        </is>
      </c>
      <c r="AR7" s="24" t="inlineStr">
        <is>
          <t>paiN Gaming Academy</t>
        </is>
      </c>
      <c r="AS7" s="24" t="inlineStr">
        <is>
          <t>KaBuM! Ilha das Lendas</t>
        </is>
      </c>
      <c r="AT7" s="24" t="inlineStr">
        <is>
          <t>KaBuM! Ilha das Lendas</t>
        </is>
      </c>
      <c r="AU7" s="24" t="inlineStr">
        <is>
          <t>KaBuM! Ilha das Lendas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97b6e7d388d98e9492a794fb2cdef05114fd516a988a71f95285158326a46434</t>
        </is>
      </c>
      <c r="BB7" s="24" t="inlineStr">
        <is>
          <t>neutral_elo</t>
        </is>
      </c>
      <c r="BC7" s="24" t="inlineStr">
        <is>
          <t>lol-tiered-elo-v6</t>
        </is>
      </c>
      <c r="BD7" s="24" t="inlineStr">
        <is>
          <t>97b6e7d388d98e9492a794fb2cdef05114fd516a988a71f95285158326a46434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lol-tiered-elo-v6</t>
        </is>
      </c>
      <c r="BH7" s="24" t="inlineStr">
        <is>
          <t>2026-08-04T22:02:38.695907Z</t>
        </is>
      </c>
      <c r="BI7" s="24" t="inlineStr">
        <is>
          <t>["same_event","same_team_same_day","same_league_same_day"]</t>
        </is>
      </c>
      <c r="BJ7" s="25" t="n"/>
      <c r="BK7" s="26" t="n">
        <v>-117</v>
      </c>
      <c r="BL7" s="27" t="n">
        <v>1.854701</v>
      </c>
      <c r="BM7" s="28" t="n">
        <v>0.539171</v>
      </c>
      <c r="BN7" s="28" t="n"/>
      <c r="BO7" s="28" t="n"/>
      <c r="BP7" s="25" t="n"/>
      <c r="BQ7" s="27" t="n">
        <v>1.854701</v>
      </c>
      <c r="BR7" s="28" t="n">
        <v>0.54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0.539171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2ed3a33fa9b847a4</t>
        </is>
      </c>
      <c r="B8" s="24" t="inlineStr">
        <is>
          <t>2026-08-05T04:39:12.089327Z</t>
        </is>
      </c>
      <c r="C8" s="24" t="inlineStr">
        <is>
          <t>2026-08-05T05:00:00Z</t>
        </is>
      </c>
      <c r="D8" s="24" t="inlineStr">
        <is>
          <t>69507</t>
        </is>
      </c>
      <c r="E8" s="24" t="inlineStr">
        <is>
          <t>LOL</t>
        </is>
      </c>
      <c r="F8" s="24" t="inlineStr">
        <is>
          <t>Nongshim Esports Academy</t>
        </is>
      </c>
      <c r="G8" s="24" t="inlineStr">
        <is>
          <t>Dplus KIA Challengers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-104</v>
      </c>
      <c r="M8" s="27" t="n">
        <v>1.961538</v>
      </c>
      <c r="N8" s="28" t="n">
        <v>0.509804</v>
      </c>
      <c r="O8" s="28" t="n">
        <v>0.675544</v>
      </c>
      <c r="P8" s="28" t="n"/>
      <c r="Q8" s="28" t="n">
        <v>0.16574</v>
      </c>
      <c r="R8" s="26" t="n">
        <v>100</v>
      </c>
      <c r="S8" s="29" t="n">
        <v>1.75</v>
      </c>
      <c r="T8" s="24" t="inlineStr">
        <is>
          <t>lol-tiered-elo-v6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1</v>
      </c>
      <c r="Y8" s="25" t="n"/>
      <c r="Z8" s="26" t="n">
        <v>-104</v>
      </c>
      <c r="AA8" s="28" t="n">
        <v>0.51</v>
      </c>
      <c r="AB8" s="28" t="n">
        <v>0.000196</v>
      </c>
      <c r="AC8" s="30" t="n">
        <v>1.6827</v>
      </c>
      <c r="AD8" s="24" t="inlineStr">
        <is>
          <t>2026-08-05T10:18:21.257965Z</t>
        </is>
      </c>
      <c r="AE8" s="31" t="inlineStr">
        <is>
          <t>Neutral Elo baseline; executable ask 0.5100 (market_slug=aec-lol-dkc-nsea-2026-08-05).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Nongshim Esports Academy</t>
        </is>
      </c>
      <c r="AQ8" s="24" t="inlineStr">
        <is>
          <t>Nongshim Esports Academy</t>
        </is>
      </c>
      <c r="AR8" s="24" t="inlineStr">
        <is>
          <t>Nongshim Esports Academy</t>
        </is>
      </c>
      <c r="AS8" s="24" t="inlineStr">
        <is>
          <t>Dplus KIA Challengers</t>
        </is>
      </c>
      <c r="AT8" s="24" t="inlineStr">
        <is>
          <t>Dplus KIA Challengers</t>
        </is>
      </c>
      <c r="AU8" s="24" t="inlineStr">
        <is>
          <t>Dplus KIA Challengers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9a8d5ad7f045de5eb1cb17aea82bbcf9812b40ca30a6256eba6436fea9a94482</t>
        </is>
      </c>
      <c r="BB8" s="24" t="inlineStr">
        <is>
          <t>neutral_elo</t>
        </is>
      </c>
      <c r="BC8" s="24" t="inlineStr">
        <is>
          <t>lol-tiered-elo-v6</t>
        </is>
      </c>
      <c r="BD8" s="24" t="inlineStr">
        <is>
          <t>9a8d5ad7f045de5eb1cb17aea82bbcf9812b40ca30a6256eba6436fea9a94482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lol-tiered-elo-v6</t>
        </is>
      </c>
      <c r="BH8" s="24" t="inlineStr">
        <is>
          <t>2026-08-05T04:38:10.815485Z</t>
        </is>
      </c>
      <c r="BI8" s="24" t="inlineStr">
        <is>
          <t>["same_event","same_team_same_day","same_league_same_day"]</t>
        </is>
      </c>
      <c r="BJ8" s="25" t="n"/>
      <c r="BK8" s="26" t="n">
        <v>-104</v>
      </c>
      <c r="BL8" s="27" t="n">
        <v>1.961538</v>
      </c>
      <c r="BM8" s="28" t="n">
        <v>0.509804</v>
      </c>
      <c r="BN8" s="28" t="n"/>
      <c r="BO8" s="28" t="n"/>
      <c r="BP8" s="25" t="n"/>
      <c r="BQ8" s="27" t="n">
        <v>1.961538</v>
      </c>
      <c r="BR8" s="28" t="n">
        <v>0.51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0.509804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b9619cd820234cc5</t>
        </is>
      </c>
      <c r="B9" s="24" t="inlineStr">
        <is>
          <t>2026-08-05T04:39:12.089327Z</t>
        </is>
      </c>
      <c r="C9" s="24" t="inlineStr">
        <is>
          <t>2026-08-05T08:00:00Z</t>
        </is>
      </c>
      <c r="D9" s="24" t="inlineStr">
        <is>
          <t>69511</t>
        </is>
      </c>
      <c r="E9" s="24" t="inlineStr">
        <is>
          <t>LOL</t>
        </is>
      </c>
      <c r="F9" s="24" t="inlineStr">
        <is>
          <t>New Meta</t>
        </is>
      </c>
      <c r="G9" s="24" t="inlineStr">
        <is>
          <t>FENNEL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-223</v>
      </c>
      <c r="M9" s="27" t="n">
        <v>1.44843</v>
      </c>
      <c r="N9" s="28" t="n">
        <v>0.690402</v>
      </c>
      <c r="O9" s="28" t="n">
        <v>0.692195</v>
      </c>
      <c r="P9" s="28" t="n"/>
      <c r="Q9" s="28" t="n">
        <v>0.001793</v>
      </c>
      <c r="R9" s="26" t="n">
        <v>21</v>
      </c>
      <c r="S9" s="29" t="n">
        <v>2</v>
      </c>
      <c r="T9" s="24" t="inlineStr">
        <is>
          <t>lol-tiered-elo-v6</t>
        </is>
      </c>
      <c r="U9" s="24" t="inlineStr">
        <is>
          <t>settled</t>
        </is>
      </c>
      <c r="V9" s="24" t="inlineStr">
        <is>
          <t>win</t>
        </is>
      </c>
      <c r="W9" s="26" t="n">
        <v>0</v>
      </c>
      <c r="X9" s="26" t="n">
        <v>1</v>
      </c>
      <c r="Y9" s="25" t="n"/>
      <c r="Z9" s="26" t="n">
        <v>-223</v>
      </c>
      <c r="AA9" s="28" t="n">
        <v>0.6899999999999999</v>
      </c>
      <c r="AB9" s="28" t="n">
        <v>-0.000402</v>
      </c>
      <c r="AC9" s="30" t="n">
        <v>0.8969</v>
      </c>
      <c r="AD9" s="24" t="inlineStr">
        <is>
          <t>2026-08-05T10:41:50.735529Z</t>
        </is>
      </c>
      <c r="AE9" s="31" t="inlineStr">
        <is>
          <t>Neutral Elo baseline; executable ask 0.6900 (market_slug=aec-lol-fnl-nme-2026-08-05).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New Meta</t>
        </is>
      </c>
      <c r="AQ9" s="24" t="inlineStr">
        <is>
          <t>New Meta</t>
        </is>
      </c>
      <c r="AR9" s="24" t="inlineStr">
        <is>
          <t>New Meta</t>
        </is>
      </c>
      <c r="AS9" s="24" t="inlineStr">
        <is>
          <t>FENNEL</t>
        </is>
      </c>
      <c r="AT9" s="24" t="inlineStr">
        <is>
          <t>FENNEL</t>
        </is>
      </c>
      <c r="AU9" s="24" t="inlineStr">
        <is>
          <t>FENNEL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9a8d5ad7f045de5eb1cb17aea82bbcf9812b40ca30a6256eba6436fea9a94482</t>
        </is>
      </c>
      <c r="BB9" s="24" t="inlineStr">
        <is>
          <t>neutral_elo</t>
        </is>
      </c>
      <c r="BC9" s="24" t="inlineStr">
        <is>
          <t>lol-tiered-elo-v6</t>
        </is>
      </c>
      <c r="BD9" s="24" t="inlineStr">
        <is>
          <t>9a8d5ad7f045de5eb1cb17aea82bbcf9812b40ca30a6256eba6436fea9a94482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lol-tiered-elo-v6</t>
        </is>
      </c>
      <c r="BH9" s="24" t="inlineStr">
        <is>
          <t>2026-08-05T04:38:12.003217Z</t>
        </is>
      </c>
      <c r="BI9" s="24" t="inlineStr">
        <is>
          <t>["same_event","same_team_same_day","same_league_same_day"]</t>
        </is>
      </c>
      <c r="BJ9" s="25" t="n"/>
      <c r="BK9" s="26" t="n">
        <v>-223</v>
      </c>
      <c r="BL9" s="27" t="n">
        <v>1.44843</v>
      </c>
      <c r="BM9" s="28" t="n">
        <v>0.690402</v>
      </c>
      <c r="BN9" s="28" t="n"/>
      <c r="BO9" s="28" t="n"/>
      <c r="BP9" s="25" t="n"/>
      <c r="BQ9" s="27" t="n">
        <v>1.44843</v>
      </c>
      <c r="BR9" s="28" t="n">
        <v>0.6899999999999999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0.690402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628efea63f93409f</t>
        </is>
      </c>
      <c r="B10" s="24" t="inlineStr">
        <is>
          <t>2026-08-05T04:39:12.089327Z</t>
        </is>
      </c>
      <c r="C10" s="24" t="inlineStr">
        <is>
          <t>2026-08-05T08:00:00Z</t>
        </is>
      </c>
      <c r="D10" s="24" t="inlineStr">
        <is>
          <t>69512</t>
        </is>
      </c>
      <c r="E10" s="24" t="inlineStr">
        <is>
          <t>LOL</t>
        </is>
      </c>
      <c r="F10" s="24" t="inlineStr">
        <is>
          <t>Nongshim Red Force</t>
        </is>
      </c>
      <c r="G10" s="24" t="inlineStr">
        <is>
          <t>HANJIN BRION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-233</v>
      </c>
      <c r="M10" s="27" t="n">
        <v>1.429185</v>
      </c>
      <c r="N10" s="28" t="n">
        <v>0.6997</v>
      </c>
      <c r="O10" s="28" t="n">
        <v>0.7818929999999999</v>
      </c>
      <c r="P10" s="28" t="n"/>
      <c r="Q10" s="28" t="n">
        <v>0.082193</v>
      </c>
      <c r="R10" s="26" t="n">
        <v>61</v>
      </c>
      <c r="S10" s="29" t="n">
        <v>2</v>
      </c>
      <c r="T10" s="24" t="inlineStr">
        <is>
          <t>lol-tiered-elo-v6</t>
        </is>
      </c>
      <c r="U10" s="24" t="inlineStr">
        <is>
          <t>settled</t>
        </is>
      </c>
      <c r="V10" s="24" t="inlineStr">
        <is>
          <t>loss</t>
        </is>
      </c>
      <c r="W10" s="26" t="n">
        <v>0</v>
      </c>
      <c r="X10" s="26" t="n">
        <v>1</v>
      </c>
      <c r="Y10" s="25" t="n"/>
      <c r="Z10" s="26" t="n">
        <v>-233</v>
      </c>
      <c r="AA10" s="28" t="n">
        <v>0.7</v>
      </c>
      <c r="AB10" s="28" t="n">
        <v>0.0003</v>
      </c>
      <c r="AC10" s="30" t="n">
        <v>-2</v>
      </c>
      <c r="AD10" s="24" t="inlineStr">
        <is>
          <t>2026-08-05T10:41:52.466844Z</t>
        </is>
      </c>
      <c r="AE10" s="31" t="inlineStr">
        <is>
          <t>Neutral Elo baseline; executable ask 0.7000 (market_slug=aec-lol-bro-ns-2026-08-05).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Nongshim Red Force</t>
        </is>
      </c>
      <c r="AQ10" s="24" t="inlineStr">
        <is>
          <t>Nongshim Red Force</t>
        </is>
      </c>
      <c r="AR10" s="24" t="inlineStr">
        <is>
          <t>Nongshim Red Force</t>
        </is>
      </c>
      <c r="AS10" s="24" t="inlineStr">
        <is>
          <t>HANJIN BRION</t>
        </is>
      </c>
      <c r="AT10" s="24" t="inlineStr">
        <is>
          <t>HANJIN BRION</t>
        </is>
      </c>
      <c r="AU10" s="24" t="inlineStr">
        <is>
          <t>HANJIN BRION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9a8d5ad7f045de5eb1cb17aea82bbcf9812b40ca30a6256eba6436fea9a94482</t>
        </is>
      </c>
      <c r="BB10" s="24" t="inlineStr">
        <is>
          <t>neutral_elo</t>
        </is>
      </c>
      <c r="BC10" s="24" t="inlineStr">
        <is>
          <t>lol-tiered-elo-v6</t>
        </is>
      </c>
      <c r="BD10" s="24" t="inlineStr">
        <is>
          <t>9a8d5ad7f045de5eb1cb17aea82bbcf9812b40ca30a6256eba6436fea9a94482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lol-tiered-elo-v6</t>
        </is>
      </c>
      <c r="BH10" s="24" t="inlineStr">
        <is>
          <t>2026-08-05T04:38:12.947438Z</t>
        </is>
      </c>
      <c r="BI10" s="24" t="inlineStr">
        <is>
          <t>["same_event","same_team_same_day","same_league_same_day"]</t>
        </is>
      </c>
      <c r="BJ10" s="25" t="n"/>
      <c r="BK10" s="26" t="n">
        <v>-233</v>
      </c>
      <c r="BL10" s="27" t="n">
        <v>1.429185</v>
      </c>
      <c r="BM10" s="28" t="n">
        <v>0.6997</v>
      </c>
      <c r="BN10" s="28" t="n"/>
      <c r="BO10" s="28" t="n"/>
      <c r="BP10" s="25" t="n"/>
      <c r="BQ10" s="27" t="n">
        <v>1.429185</v>
      </c>
      <c r="BR10" s="28" t="n">
        <v>0.7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0.6997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27ca4687f26448c7</t>
        </is>
      </c>
      <c r="B11" s="24" t="inlineStr">
        <is>
          <t>2026-08-05T04:39:12.089327Z</t>
        </is>
      </c>
      <c r="C11" s="24" t="inlineStr">
        <is>
          <t>2026-08-05T10:00:00Z</t>
        </is>
      </c>
      <c r="D11" s="24" t="inlineStr">
        <is>
          <t>69539</t>
        </is>
      </c>
      <c r="E11" s="24" t="inlineStr">
        <is>
          <t>LOL</t>
        </is>
      </c>
      <c r="F11" s="24" t="inlineStr">
        <is>
          <t>Gen.G</t>
        </is>
      </c>
      <c r="G11" s="24" t="inlineStr">
        <is>
          <t>Hanwha Life Esports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-108</v>
      </c>
      <c r="M11" s="27" t="n">
        <v>1.925926</v>
      </c>
      <c r="N11" s="28" t="n">
        <v>0.519231</v>
      </c>
      <c r="O11" s="28" t="n">
        <v>0.6212029999999999</v>
      </c>
      <c r="P11" s="28" t="n"/>
      <c r="Q11" s="28" t="n">
        <v>0.101972</v>
      </c>
      <c r="R11" s="26" t="n">
        <v>71</v>
      </c>
      <c r="S11" s="29" t="n">
        <v>1.5</v>
      </c>
      <c r="T11" s="24" t="inlineStr">
        <is>
          <t>lol-tiered-elo-v6</t>
        </is>
      </c>
      <c r="U11" s="24" t="inlineStr">
        <is>
          <t>settled</t>
        </is>
      </c>
      <c r="V11" s="24" t="inlineStr">
        <is>
          <t>loss</t>
        </is>
      </c>
      <c r="W11" s="26" t="n">
        <v>1</v>
      </c>
      <c r="X11" s="26" t="n">
        <v>0</v>
      </c>
      <c r="Y11" s="25" t="n"/>
      <c r="Z11" s="26" t="n">
        <v>-108</v>
      </c>
      <c r="AA11" s="28" t="n">
        <v>0.52</v>
      </c>
      <c r="AB11" s="28" t="n">
        <v>0.000769</v>
      </c>
      <c r="AC11" s="30" t="n">
        <v>-1.5</v>
      </c>
      <c r="AD11" s="24" t="inlineStr">
        <is>
          <t>2026-08-05T17:01:20.926489Z</t>
        </is>
      </c>
      <c r="AE11" s="31" t="inlineStr">
        <is>
          <t>Neutral Elo baseline; executable ask 0.5200 (market_slug=aec-lol-hle-gen-2026-08-05).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Gen.G</t>
        </is>
      </c>
      <c r="AQ11" s="24" t="inlineStr">
        <is>
          <t>Gen.G</t>
        </is>
      </c>
      <c r="AR11" s="24" t="inlineStr">
        <is>
          <t>Gen.G</t>
        </is>
      </c>
      <c r="AS11" s="24" t="inlineStr">
        <is>
          <t>Hanwha Life Esports</t>
        </is>
      </c>
      <c r="AT11" s="24" t="inlineStr">
        <is>
          <t>Hanwha Life Esports</t>
        </is>
      </c>
      <c r="AU11" s="24" t="inlineStr">
        <is>
          <t>Hanwha Life Esports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9a8d5ad7f045de5eb1cb17aea82bbcf9812b40ca30a6256eba6436fea9a94482</t>
        </is>
      </c>
      <c r="BB11" s="24" t="inlineStr">
        <is>
          <t>neutral_elo</t>
        </is>
      </c>
      <c r="BC11" s="24" t="inlineStr">
        <is>
          <t>lol-tiered-elo-v6</t>
        </is>
      </c>
      <c r="BD11" s="24" t="inlineStr">
        <is>
          <t>9a8d5ad7f045de5eb1cb17aea82bbcf9812b40ca30a6256eba6436fea9a94482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lol-tiered-elo-v6</t>
        </is>
      </c>
      <c r="BH11" s="24" t="inlineStr">
        <is>
          <t>2026-08-05T04:38:15.141988Z</t>
        </is>
      </c>
      <c r="BI11" s="24" t="inlineStr">
        <is>
          <t>["same_event","same_team_same_day","same_league_same_day"]</t>
        </is>
      </c>
      <c r="BJ11" s="25" t="n"/>
      <c r="BK11" s="26" t="n">
        <v>-108</v>
      </c>
      <c r="BL11" s="27" t="n">
        <v>1.925926</v>
      </c>
      <c r="BM11" s="28" t="n">
        <v>0.519231</v>
      </c>
      <c r="BN11" s="28" t="n"/>
      <c r="BO11" s="28" t="n"/>
      <c r="BP11" s="25" t="n"/>
      <c r="BQ11" s="27" t="n">
        <v>1.925926</v>
      </c>
      <c r="BR11" s="28" t="n">
        <v>0.52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0.519231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6e173ced17ed423c</t>
        </is>
      </c>
      <c r="B12" s="24" t="inlineStr">
        <is>
          <t>2026-08-05T13:56:43.896254Z</t>
        </is>
      </c>
      <c r="C12" s="24" t="inlineStr">
        <is>
          <t>2026-08-05T17:00:00Z</t>
        </is>
      </c>
      <c r="D12" s="24" t="inlineStr">
        <is>
          <t>69871</t>
        </is>
      </c>
      <c r="E12" s="24" t="inlineStr">
        <is>
          <t>LOL</t>
        </is>
      </c>
      <c r="F12" s="24" t="inlineStr">
        <is>
          <t>Kaufland Hangry Knights</t>
        </is>
      </c>
      <c r="G12" s="24" t="inlineStr">
        <is>
          <t>TeamOrangeGaming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104</v>
      </c>
      <c r="M12" s="27" t="n">
        <v>2.04</v>
      </c>
      <c r="N12" s="28" t="n">
        <v>0.490196</v>
      </c>
      <c r="O12" s="28" t="n">
        <v>0.54899</v>
      </c>
      <c r="P12" s="28" t="n"/>
      <c r="Q12" s="28" t="n">
        <v>0.058794</v>
      </c>
      <c r="R12" s="26" t="n">
        <v>49</v>
      </c>
      <c r="S12" s="29" t="n">
        <v>1</v>
      </c>
      <c r="T12" s="24" t="inlineStr">
        <is>
          <t>lol-tiered-elo-v6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1</v>
      </c>
      <c r="Y12" s="25" t="n"/>
      <c r="Z12" s="26" t="n">
        <v>104</v>
      </c>
      <c r="AA12" s="28" t="n">
        <v>0.49</v>
      </c>
      <c r="AB12" s="28" t="n">
        <v>-0.000196</v>
      </c>
      <c r="AC12" s="30" t="n">
        <v>1.04</v>
      </c>
      <c r="AD12" s="24" t="inlineStr">
        <is>
          <t>2026-08-05T21:00:26.797637Z</t>
        </is>
      </c>
      <c r="AE12" s="31" t="inlineStr">
        <is>
          <t>Neutral Elo baseline; executable ask 0.4900 (market_slug=aec-lol-tog-khk-2026-08-05).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Kaufland Hangry Knights</t>
        </is>
      </c>
      <c r="AQ12" s="24" t="inlineStr">
        <is>
          <t>Kaufland Hangry Knights</t>
        </is>
      </c>
      <c r="AR12" s="24" t="inlineStr">
        <is>
          <t>Kaufland Hangry Knights</t>
        </is>
      </c>
      <c r="AS12" s="24" t="inlineStr">
        <is>
          <t>TeamOrangeGaming</t>
        </is>
      </c>
      <c r="AT12" s="24" t="inlineStr">
        <is>
          <t>TeamOrangeGaming</t>
        </is>
      </c>
      <c r="AU12" s="24" t="inlineStr">
        <is>
          <t>TeamOrangeGaming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3b2b7fa569f62411a6dc2753c695e98717a67f225e8074aac963d117b250c28b</t>
        </is>
      </c>
      <c r="BB12" s="24" t="inlineStr">
        <is>
          <t>neutral_elo</t>
        </is>
      </c>
      <c r="BC12" s="24" t="inlineStr">
        <is>
          <t>lol-tiered-elo-v6</t>
        </is>
      </c>
      <c r="BD12" s="24" t="inlineStr">
        <is>
          <t>3b2b7fa569f62411a6dc2753c695e98717a67f225e8074aac963d117b250c28b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lol-tiered-elo-v6</t>
        </is>
      </c>
      <c r="BH12" s="24" t="inlineStr">
        <is>
          <t>2026-08-05T13:56:13.554249Z</t>
        </is>
      </c>
      <c r="BI12" s="24" t="inlineStr">
        <is>
          <t>["same_event","same_team_same_day","same_league_same_day"]</t>
        </is>
      </c>
      <c r="BJ12" s="25" t="n"/>
      <c r="BK12" s="26" t="n">
        <v>104</v>
      </c>
      <c r="BL12" s="27" t="n">
        <v>2.04</v>
      </c>
      <c r="BM12" s="28" t="n">
        <v>0.490196</v>
      </c>
      <c r="BN12" s="28" t="n"/>
      <c r="BO12" s="28" t="n"/>
      <c r="BP12" s="25" t="n"/>
      <c r="BQ12" s="27" t="n">
        <v>2.04</v>
      </c>
      <c r="BR12" s="28" t="n">
        <v>0.49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0.490196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9576f1967f7d4d0a</t>
        </is>
      </c>
      <c r="B13" s="24" t="inlineStr">
        <is>
          <t>2026-08-05T13:56:43.896254Z</t>
        </is>
      </c>
      <c r="C13" s="24" t="inlineStr">
        <is>
          <t>2026-08-05T17:00:00Z</t>
        </is>
      </c>
      <c r="D13" s="24" t="inlineStr">
        <is>
          <t>70569</t>
        </is>
      </c>
      <c r="E13" s="24" t="inlineStr">
        <is>
          <t>LOL</t>
        </is>
      </c>
      <c r="F13" s="24" t="inlineStr">
        <is>
          <t>devils.one inStreamly</t>
        </is>
      </c>
      <c r="G13" s="24" t="inlineStr">
        <is>
          <t>BOMBA Team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-113</v>
      </c>
      <c r="M13" s="27" t="n">
        <v>1.884956</v>
      </c>
      <c r="N13" s="28" t="n">
        <v>0.530516</v>
      </c>
      <c r="O13" s="28" t="n">
        <v>0.761043</v>
      </c>
      <c r="P13" s="28" t="n"/>
      <c r="Q13" s="28" t="n">
        <v>0.230527</v>
      </c>
      <c r="R13" s="26" t="n">
        <v>100</v>
      </c>
      <c r="S13" s="29" t="n">
        <v>2</v>
      </c>
      <c r="T13" s="24" t="inlineStr">
        <is>
          <t>lol-tiered-elo-v6</t>
        </is>
      </c>
      <c r="U13" s="24" t="inlineStr">
        <is>
          <t>settled</t>
        </is>
      </c>
      <c r="V13" s="24" t="inlineStr">
        <is>
          <t>loss</t>
        </is>
      </c>
      <c r="W13" s="26" t="n">
        <v>1</v>
      </c>
      <c r="X13" s="26" t="n">
        <v>0</v>
      </c>
      <c r="Y13" s="25" t="n"/>
      <c r="Z13" s="26" t="n">
        <v>-113</v>
      </c>
      <c r="AA13" s="28" t="n">
        <v>0.53</v>
      </c>
      <c r="AB13" s="28" t="n">
        <v>-0.000516</v>
      </c>
      <c r="AC13" s="30" t="n">
        <v>-2</v>
      </c>
      <c r="AD13" s="24" t="inlineStr">
        <is>
          <t>2026-08-05T21:00:28.179885Z</t>
        </is>
      </c>
      <c r="AE13" s="31" t="inlineStr">
        <is>
          <t>Neutral Elo baseline; executable ask 0.5300 (market_slug=aec-lol-boom-dv1-2026-08-05).</t>
        </is>
      </c>
      <c r="AF13" s="31" t="inlineStr">
        <is>
          <t>Config-promoted esports baseline; gates enforced at log time.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devils.one inStreamly</t>
        </is>
      </c>
      <c r="AQ13" s="24" t="inlineStr">
        <is>
          <t>devils.one inStreamly</t>
        </is>
      </c>
      <c r="AR13" s="24" t="inlineStr">
        <is>
          <t>devils.one inStreamly</t>
        </is>
      </c>
      <c r="AS13" s="24" t="inlineStr">
        <is>
          <t>BOMBA Team</t>
        </is>
      </c>
      <c r="AT13" s="24" t="inlineStr">
        <is>
          <t>BOMBA Team</t>
        </is>
      </c>
      <c r="AU13" s="24" t="inlineStr">
        <is>
          <t>BOMBA Team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3b2b7fa569f62411a6dc2753c695e98717a67f225e8074aac963d117b250c28b</t>
        </is>
      </c>
      <c r="BB13" s="24" t="inlineStr">
        <is>
          <t>neutral_elo</t>
        </is>
      </c>
      <c r="BC13" s="24" t="inlineStr">
        <is>
          <t>lol-tiered-elo-v6</t>
        </is>
      </c>
      <c r="BD13" s="24" t="inlineStr">
        <is>
          <t>3b2b7fa569f62411a6dc2753c695e98717a67f225e8074aac963d117b250c28b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lol-tiered-elo-v6</t>
        </is>
      </c>
      <c r="BH13" s="24" t="inlineStr">
        <is>
          <t>2026-08-05T13:56:15.101150Z</t>
        </is>
      </c>
      <c r="BI13" s="24" t="inlineStr">
        <is>
          <t>["same_event","same_team_same_day","same_league_same_day"]</t>
        </is>
      </c>
      <c r="BJ13" s="25" t="n"/>
      <c r="BK13" s="26" t="n">
        <v>-113</v>
      </c>
      <c r="BL13" s="27" t="n">
        <v>1.884956</v>
      </c>
      <c r="BM13" s="28" t="n">
        <v>0.530516</v>
      </c>
      <c r="BN13" s="28" t="n"/>
      <c r="BO13" s="28" t="n"/>
      <c r="BP13" s="25" t="n"/>
      <c r="BQ13" s="27" t="n">
        <v>1.884956</v>
      </c>
      <c r="BR13" s="28" t="n">
        <v>0.53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0.530516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5aba4246ebc54cde</t>
        </is>
      </c>
      <c r="B14" s="24" t="inlineStr">
        <is>
          <t>2026-08-05T17:05:09.750488Z</t>
        </is>
      </c>
      <c r="C14" s="24" t="inlineStr">
        <is>
          <t>2026-08-05T17:30:00Z</t>
        </is>
      </c>
      <c r="D14" s="24" t="inlineStr">
        <is>
          <t>69931</t>
        </is>
      </c>
      <c r="E14" s="24" t="inlineStr">
        <is>
          <t>LOL</t>
        </is>
      </c>
      <c r="F14" s="24" t="inlineStr">
        <is>
          <t>⁠Movistar KOI Fénix</t>
        </is>
      </c>
      <c r="G14" s="24" t="inlineStr">
        <is>
          <t>UCAM Esports Club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104</v>
      </c>
      <c r="M14" s="27" t="n">
        <v>2.04</v>
      </c>
      <c r="N14" s="28" t="n">
        <v>0.490196</v>
      </c>
      <c r="O14" s="28" t="n">
        <v>0.597761</v>
      </c>
      <c r="P14" s="28" t="n"/>
      <c r="Q14" s="28" t="n">
        <v>0.107565</v>
      </c>
      <c r="R14" s="26" t="n">
        <v>74</v>
      </c>
      <c r="S14" s="29" t="n">
        <v>1.25</v>
      </c>
      <c r="T14" s="24" t="inlineStr">
        <is>
          <t>lol-tiered-elo-v6</t>
        </is>
      </c>
      <c r="U14" s="24" t="inlineStr">
        <is>
          <t>settled</t>
        </is>
      </c>
      <c r="V14" s="24" t="inlineStr">
        <is>
          <t>loss</t>
        </is>
      </c>
      <c r="W14" s="26" t="n">
        <v>1</v>
      </c>
      <c r="X14" s="26" t="n">
        <v>0</v>
      </c>
      <c r="Y14" s="25" t="n"/>
      <c r="Z14" s="26" t="n">
        <v>104</v>
      </c>
      <c r="AA14" s="28" t="n">
        <v>0.49</v>
      </c>
      <c r="AB14" s="28" t="n">
        <v>-0.000196</v>
      </c>
      <c r="AC14" s="30" t="n">
        <v>-1.25</v>
      </c>
      <c r="AD14" s="24" t="inlineStr">
        <is>
          <t>2026-08-06T00:22:39.894311Z</t>
        </is>
      </c>
      <c r="AE14" s="31" t="inlineStr">
        <is>
          <t>Neutral Elo baseline; executable ask 0.4900 (market_slug=aec-lol-ucam-mkf-2026-08-05).</t>
        </is>
      </c>
      <c r="AF14" s="31" t="inlineStr">
        <is>
          <t>Config-promoted esports baseline; gates enforced at log time.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⁠Movistar KOI Fénix</t>
        </is>
      </c>
      <c r="AQ14" s="24" t="inlineStr">
        <is>
          <t>⁠Movistar KOI Fénix</t>
        </is>
      </c>
      <c r="AR14" s="24" t="inlineStr">
        <is>
          <t>⁠Movistar KOI Fénix</t>
        </is>
      </c>
      <c r="AS14" s="24" t="inlineStr">
        <is>
          <t>UCAM Esports Club</t>
        </is>
      </c>
      <c r="AT14" s="24" t="inlineStr">
        <is>
          <t>UCAM Esports Club</t>
        </is>
      </c>
      <c r="AU14" s="24" t="inlineStr">
        <is>
          <t>UCAM Esports Club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4863ace20696b49ac8d86afb992436652bb1bb2b13aa3380a50818cc662a18c0</t>
        </is>
      </c>
      <c r="BB14" s="24" t="inlineStr">
        <is>
          <t>neutral_elo</t>
        </is>
      </c>
      <c r="BC14" s="24" t="inlineStr">
        <is>
          <t>lol-tiered-elo-v6</t>
        </is>
      </c>
      <c r="BD14" s="24" t="inlineStr">
        <is>
          <t>4863ace20696b49ac8d86afb992436652bb1bb2b13aa3380a50818cc662a18c0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lol-tiered-elo-v6</t>
        </is>
      </c>
      <c r="BH14" s="24" t="inlineStr">
        <is>
          <t>2026-08-05T17:04:41.345485Z</t>
        </is>
      </c>
      <c r="BI14" s="24" t="inlineStr">
        <is>
          <t>["same_event","same_team_same_day","same_league_same_day"]</t>
        </is>
      </c>
      <c r="BJ14" s="25" t="n"/>
      <c r="BK14" s="26" t="n">
        <v>104</v>
      </c>
      <c r="BL14" s="27" t="n">
        <v>2.04</v>
      </c>
      <c r="BM14" s="28" t="n">
        <v>0.490196</v>
      </c>
      <c r="BN14" s="28" t="n"/>
      <c r="BO14" s="28" t="n"/>
      <c r="BP14" s="25" t="n"/>
      <c r="BQ14" s="27" t="n">
        <v>2.04</v>
      </c>
      <c r="BR14" s="28" t="n">
        <v>0.49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0.490196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fd5dccee94bf4dc4</t>
        </is>
      </c>
      <c r="B15" s="24" t="inlineStr">
        <is>
          <t>2026-08-05T17:05:09.750488Z</t>
        </is>
      </c>
      <c r="C15" s="24" t="inlineStr">
        <is>
          <t>2026-08-05T19:00:00Z</t>
        </is>
      </c>
      <c r="D15" s="24" t="inlineStr">
        <is>
          <t>70045</t>
        </is>
      </c>
      <c r="E15" s="24" t="inlineStr">
        <is>
          <t>LOL</t>
        </is>
      </c>
      <c r="F15" s="24" t="inlineStr">
        <is>
          <t>Ici Japon Corp. Esport</t>
        </is>
      </c>
      <c r="G15" s="24" t="inlineStr">
        <is>
          <t>ZYB Esport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104</v>
      </c>
      <c r="M15" s="27" t="n">
        <v>2.04</v>
      </c>
      <c r="N15" s="28" t="n">
        <v>0.490196</v>
      </c>
      <c r="O15" s="28" t="n">
        <v>0.598437</v>
      </c>
      <c r="P15" s="28" t="n"/>
      <c r="Q15" s="28" t="n">
        <v>0.108241</v>
      </c>
      <c r="R15" s="26" t="n">
        <v>74</v>
      </c>
      <c r="S15" s="29" t="n">
        <v>1.25</v>
      </c>
      <c r="T15" s="24" t="inlineStr">
        <is>
          <t>lol-tiered-elo-v6</t>
        </is>
      </c>
      <c r="U15" s="24" t="inlineStr">
        <is>
          <t>settled</t>
        </is>
      </c>
      <c r="V15" s="24" t="inlineStr">
        <is>
          <t>win</t>
        </is>
      </c>
      <c r="W15" s="26" t="n">
        <v>1</v>
      </c>
      <c r="X15" s="26" t="n">
        <v>0</v>
      </c>
      <c r="Y15" s="25" t="n"/>
      <c r="Z15" s="26" t="n">
        <v>104</v>
      </c>
      <c r="AA15" s="28" t="n">
        <v>0.49</v>
      </c>
      <c r="AB15" s="28" t="n">
        <v>-0.000196</v>
      </c>
      <c r="AC15" s="30" t="n">
        <v>1.3</v>
      </c>
      <c r="AD15" s="24" t="inlineStr">
        <is>
          <t>2026-08-05T21:00:30.682074Z</t>
        </is>
      </c>
      <c r="AE15" s="31" t="inlineStr">
        <is>
          <t>Neutral Elo baseline; executable ask 0.4900 (market_slug=aec-lol-zyb-ijc-2026-08-05).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Ici Japon Corp. Esport</t>
        </is>
      </c>
      <c r="AQ15" s="24" t="inlineStr">
        <is>
          <t>Ici Japon Corp. Esport</t>
        </is>
      </c>
      <c r="AR15" s="24" t="inlineStr">
        <is>
          <t>Ici Japon Corp. Esport</t>
        </is>
      </c>
      <c r="AS15" s="24" t="inlineStr">
        <is>
          <t>ZYB Esport</t>
        </is>
      </c>
      <c r="AT15" s="24" t="inlineStr">
        <is>
          <t>ZYB Esport</t>
        </is>
      </c>
      <c r="AU15" s="24" t="inlineStr">
        <is>
          <t>ZYB Esport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4863ace20696b49ac8d86afb992436652bb1bb2b13aa3380a50818cc662a18c0</t>
        </is>
      </c>
      <c r="BB15" s="24" t="inlineStr">
        <is>
          <t>neutral_elo</t>
        </is>
      </c>
      <c r="BC15" s="24" t="inlineStr">
        <is>
          <t>lol-tiered-elo-v6</t>
        </is>
      </c>
      <c r="BD15" s="24" t="inlineStr">
        <is>
          <t>4863ace20696b49ac8d86afb992436652bb1bb2b13aa3380a50818cc662a18c0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lol-tiered-elo-v6</t>
        </is>
      </c>
      <c r="BH15" s="24" t="inlineStr">
        <is>
          <t>2026-08-05T17:04:46.146013Z</t>
        </is>
      </c>
      <c r="BI15" s="24" t="inlineStr">
        <is>
          <t>["same_event","same_team_same_day","same_league_same_day"]</t>
        </is>
      </c>
      <c r="BJ15" s="25" t="n"/>
      <c r="BK15" s="26" t="n">
        <v>104</v>
      </c>
      <c r="BL15" s="27" t="n">
        <v>2.04</v>
      </c>
      <c r="BM15" s="28" t="n">
        <v>0.490196</v>
      </c>
      <c r="BN15" s="28" t="n"/>
      <c r="BO15" s="28" t="n"/>
      <c r="BP15" s="25" t="n"/>
      <c r="BQ15" s="27" t="n">
        <v>2.04</v>
      </c>
      <c r="BR15" s="28" t="n">
        <v>0.49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0.490196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f748468d26b045e0</t>
        </is>
      </c>
      <c r="B16" s="24" t="inlineStr">
        <is>
          <t>2026-08-05T17:05:09.750488Z</t>
        </is>
      </c>
      <c r="C16" s="24" t="inlineStr">
        <is>
          <t>2026-08-05T21:00:00Z</t>
        </is>
      </c>
      <c r="D16" s="24" t="inlineStr">
        <is>
          <t>70349</t>
        </is>
      </c>
      <c r="E16" s="24" t="inlineStr">
        <is>
          <t>LOL</t>
        </is>
      </c>
      <c r="F16" s="24" t="inlineStr">
        <is>
          <t>Winthrop University</t>
        </is>
      </c>
      <c r="G16" s="24" t="inlineStr">
        <is>
          <t>Blue Otter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-138</v>
      </c>
      <c r="M16" s="27" t="n">
        <v>1.724638</v>
      </c>
      <c r="N16" s="28" t="n">
        <v>0.579832</v>
      </c>
      <c r="O16" s="28" t="n">
        <v>0.67052</v>
      </c>
      <c r="P16" s="28" t="n"/>
      <c r="Q16" s="28" t="n">
        <v>0.090688</v>
      </c>
      <c r="R16" s="26" t="n">
        <v>65</v>
      </c>
      <c r="S16" s="29" t="n">
        <v>1.75</v>
      </c>
      <c r="T16" s="24" t="inlineStr">
        <is>
          <t>lol-tiered-elo-v6</t>
        </is>
      </c>
      <c r="U16" s="24" t="inlineStr">
        <is>
          <t>settled</t>
        </is>
      </c>
      <c r="V16" s="24" t="inlineStr">
        <is>
          <t>win</t>
        </is>
      </c>
      <c r="W16" s="26" t="n">
        <v>1</v>
      </c>
      <c r="X16" s="26" t="n">
        <v>0</v>
      </c>
      <c r="Y16" s="25" t="n"/>
      <c r="Z16" s="26" t="n">
        <v>-138</v>
      </c>
      <c r="AA16" s="28" t="n">
        <v>0.58</v>
      </c>
      <c r="AB16" s="28" t="n">
        <v>0.000168</v>
      </c>
      <c r="AC16" s="30" t="n">
        <v>1.2681</v>
      </c>
      <c r="AD16" s="24" t="inlineStr">
        <is>
          <t>2026-08-06T00:22:41.224121Z</t>
        </is>
      </c>
      <c r="AE16" s="31" t="inlineStr">
        <is>
          <t>Neutral Elo baseline; executable ask 0.5800 (market_slug=aec-lol-blue-wu-2026-08-05).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Winthrop University</t>
        </is>
      </c>
      <c r="AQ16" s="24" t="inlineStr">
        <is>
          <t>Winthrop University</t>
        </is>
      </c>
      <c r="AR16" s="24" t="inlineStr">
        <is>
          <t>Winthrop University</t>
        </is>
      </c>
      <c r="AS16" s="24" t="inlineStr">
        <is>
          <t>Blue Otter</t>
        </is>
      </c>
      <c r="AT16" s="24" t="inlineStr">
        <is>
          <t>Blue Otter</t>
        </is>
      </c>
      <c r="AU16" s="24" t="inlineStr">
        <is>
          <t>Blue Otter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4863ace20696b49ac8d86afb992436652bb1bb2b13aa3380a50818cc662a18c0</t>
        </is>
      </c>
      <c r="BB16" s="24" t="inlineStr">
        <is>
          <t>neutral_elo</t>
        </is>
      </c>
      <c r="BC16" s="24" t="inlineStr">
        <is>
          <t>lol-tiered-elo-v6</t>
        </is>
      </c>
      <c r="BD16" s="24" t="inlineStr">
        <is>
          <t>4863ace20696b49ac8d86afb992436652bb1bb2b13aa3380a50818cc662a18c0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lol-tiered-elo-v6</t>
        </is>
      </c>
      <c r="BH16" s="24" t="inlineStr">
        <is>
          <t>2026-08-05T17:04:49.037567Z</t>
        </is>
      </c>
      <c r="BI16" s="24" t="inlineStr">
        <is>
          <t>["same_event","same_team_same_day","same_league_same_day"]</t>
        </is>
      </c>
      <c r="BJ16" s="25" t="n"/>
      <c r="BK16" s="26" t="n">
        <v>-138</v>
      </c>
      <c r="BL16" s="27" t="n">
        <v>1.724638</v>
      </c>
      <c r="BM16" s="28" t="n">
        <v>0.579832</v>
      </c>
      <c r="BN16" s="28" t="n"/>
      <c r="BO16" s="28" t="n"/>
      <c r="BP16" s="25" t="n"/>
      <c r="BQ16" s="27" t="n">
        <v>1.724638</v>
      </c>
      <c r="BR16" s="28" t="n">
        <v>0.58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0.579832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2eb7c6071ec843f9</t>
        </is>
      </c>
      <c r="B17" s="24" t="inlineStr">
        <is>
          <t>2026-08-06T00:24:51.570056Z</t>
        </is>
      </c>
      <c r="C17" s="24" t="inlineStr">
        <is>
          <t>2026-08-06T07:00:00Z</t>
        </is>
      </c>
      <c r="D17" s="24" t="inlineStr">
        <is>
          <t>70560</t>
        </is>
      </c>
      <c r="E17" s="24" t="inlineStr">
        <is>
          <t>LOL</t>
        </is>
      </c>
      <c r="F17" s="24" t="inlineStr">
        <is>
          <t>ThunderTalk Gaming</t>
        </is>
      </c>
      <c r="G17" s="24" t="inlineStr">
        <is>
          <t>LGD Gaming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-108</v>
      </c>
      <c r="M17" s="27" t="n">
        <v>1.925926</v>
      </c>
      <c r="N17" s="28" t="n">
        <v>0.519231</v>
      </c>
      <c r="O17" s="28" t="n">
        <v>0.601292</v>
      </c>
      <c r="P17" s="28" t="n"/>
      <c r="Q17" s="28" t="n">
        <v>0.082061</v>
      </c>
      <c r="R17" s="26" t="n">
        <v>61</v>
      </c>
      <c r="S17" s="29" t="n">
        <v>1.25</v>
      </c>
      <c r="T17" s="24" t="inlineStr">
        <is>
          <t>lol-tiered-elo-v6</t>
        </is>
      </c>
      <c r="U17" s="24" t="inlineStr">
        <is>
          <t>settled</t>
        </is>
      </c>
      <c r="V17" s="24" t="inlineStr">
        <is>
          <t>loss</t>
        </is>
      </c>
      <c r="W17" s="26" t="n">
        <v>1</v>
      </c>
      <c r="X17" s="26" t="n">
        <v>0</v>
      </c>
      <c r="Y17" s="25" t="n"/>
      <c r="Z17" s="26" t="n"/>
      <c r="AA17" s="28" t="n"/>
      <c r="AB17" s="28" t="n"/>
      <c r="AC17" s="30" t="n">
        <v>-1.25</v>
      </c>
      <c r="AD17" s="24" t="inlineStr">
        <is>
          <t>2026-08-06T18:57:07.746334Z</t>
        </is>
      </c>
      <c r="AE17" s="31" t="inlineStr">
        <is>
          <t>Neutral Elo baseline; executable ask 0.5200 (market_slug=aec-lol-lgd-tt-2026-08-06).</t>
        </is>
      </c>
      <c r="AF17" s="31" t="inlineStr">
        <is>
          <t>Config-promoted esports baseline; gates enforced at log time.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ThunderTalk Gaming</t>
        </is>
      </c>
      <c r="AQ17" s="24" t="inlineStr">
        <is>
          <t>ThunderTalk Gaming</t>
        </is>
      </c>
      <c r="AR17" s="24" t="inlineStr">
        <is>
          <t>ThunderTalk Gaming</t>
        </is>
      </c>
      <c r="AS17" s="24" t="inlineStr">
        <is>
          <t>LGD Gaming</t>
        </is>
      </c>
      <c r="AT17" s="24" t="inlineStr">
        <is>
          <t>LGD Gaming</t>
        </is>
      </c>
      <c r="AU17" s="24" t="inlineStr">
        <is>
          <t>LGD Gaming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4304963c152f1e881f634fa0b66ab59152f3edd6692257c1d27d76a5cb0a3df3</t>
        </is>
      </c>
      <c r="BB17" s="24" t="inlineStr">
        <is>
          <t>neutral_elo</t>
        </is>
      </c>
      <c r="BC17" s="24" t="inlineStr">
        <is>
          <t>lol-tiered-elo-v6</t>
        </is>
      </c>
      <c r="BD17" s="24" t="inlineStr">
        <is>
          <t>4304963c152f1e881f634fa0b66ab59152f3edd6692257c1d27d76a5cb0a3df3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lol-tiered-elo-v6</t>
        </is>
      </c>
      <c r="BH17" s="24" t="inlineStr">
        <is>
          <t>2026-08-06T00:24:36.724531Z</t>
        </is>
      </c>
      <c r="BI17" s="24" t="inlineStr">
        <is>
          <t>["same_event","same_team_same_day","same_league_same_day"]</t>
        </is>
      </c>
      <c r="BJ17" s="25" t="n"/>
      <c r="BK17" s="26" t="n">
        <v>-108</v>
      </c>
      <c r="BL17" s="27" t="n">
        <v>1.925926</v>
      </c>
      <c r="BM17" s="28" t="n">
        <v>0.519231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0.519231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0808601b9aa64343</t>
        </is>
      </c>
      <c r="B18" s="24" t="inlineStr">
        <is>
          <t>2026-08-06T00:24:51.570056Z</t>
        </is>
      </c>
      <c r="C18" s="24" t="inlineStr">
        <is>
          <t>2026-08-06T09:00:00Z</t>
        </is>
      </c>
      <c r="D18" s="24" t="inlineStr">
        <is>
          <t>70573</t>
        </is>
      </c>
      <c r="E18" s="24" t="inlineStr">
        <is>
          <t>LOL</t>
        </is>
      </c>
      <c r="F18" s="24" t="inlineStr">
        <is>
          <t>Ground Zero Gaming</t>
        </is>
      </c>
      <c r="G18" s="24" t="inlineStr">
        <is>
          <t>Fukuoka SoftBank Hawks Gaming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117</v>
      </c>
      <c r="M18" s="27" t="n">
        <v>2.17</v>
      </c>
      <c r="N18" s="28" t="n">
        <v>0.460829</v>
      </c>
      <c r="O18" s="28" t="n">
        <v>0.677029</v>
      </c>
      <c r="P18" s="28" t="n"/>
      <c r="Q18" s="28" t="n">
        <v>0.2162</v>
      </c>
      <c r="R18" s="26" t="n">
        <v>100</v>
      </c>
      <c r="S18" s="29" t="n">
        <v>1.75</v>
      </c>
      <c r="T18" s="24" t="inlineStr">
        <is>
          <t>lol-tiered-elo-v6</t>
        </is>
      </c>
      <c r="U18" s="24" t="inlineStr">
        <is>
          <t>settled</t>
        </is>
      </c>
      <c r="V18" s="24" t="inlineStr">
        <is>
          <t>loss</t>
        </is>
      </c>
      <c r="W18" s="26" t="n">
        <v>1</v>
      </c>
      <c r="X18" s="26" t="n">
        <v>0</v>
      </c>
      <c r="Y18" s="25" t="n"/>
      <c r="Z18" s="26" t="n"/>
      <c r="AA18" s="28" t="n"/>
      <c r="AB18" s="28" t="n"/>
      <c r="AC18" s="30" t="n">
        <v>-1.75</v>
      </c>
      <c r="AD18" s="24" t="inlineStr">
        <is>
          <t>2026-08-06T18:57:09.560328Z</t>
        </is>
      </c>
      <c r="AE18" s="31" t="inlineStr">
        <is>
          <t>Neutral Elo baseline; executable ask 0.4600 (market_slug=aec-lol-shg-gz-2026-08-06).</t>
        </is>
      </c>
      <c r="AF18" s="31" t="inlineStr">
        <is>
          <t>Config-promoted esports baseline; gates enforced at log time.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Ground Zero Gaming</t>
        </is>
      </c>
      <c r="AQ18" s="24" t="inlineStr">
        <is>
          <t>Ground Zero Gaming</t>
        </is>
      </c>
      <c r="AR18" s="24" t="inlineStr">
        <is>
          <t>Ground Zero Gaming</t>
        </is>
      </c>
      <c r="AS18" s="24" t="inlineStr">
        <is>
          <t>Fukuoka SoftBank Hawks Gaming</t>
        </is>
      </c>
      <c r="AT18" s="24" t="inlineStr">
        <is>
          <t>Fukuoka SoftBank Hawks Gaming</t>
        </is>
      </c>
      <c r="AU18" s="24" t="inlineStr">
        <is>
          <t>Fukuoka SoftBank Hawks Gaming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4304963c152f1e881f634fa0b66ab59152f3edd6692257c1d27d76a5cb0a3df3</t>
        </is>
      </c>
      <c r="BB18" s="24" t="inlineStr">
        <is>
          <t>neutral_elo</t>
        </is>
      </c>
      <c r="BC18" s="24" t="inlineStr">
        <is>
          <t>lol-tiered-elo-v6</t>
        </is>
      </c>
      <c r="BD18" s="24" t="inlineStr">
        <is>
          <t>4304963c152f1e881f634fa0b66ab59152f3edd6692257c1d27d76a5cb0a3df3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lol-tiered-elo-v6</t>
        </is>
      </c>
      <c r="BH18" s="24" t="inlineStr">
        <is>
          <t>2026-08-06T00:24:37.742493Z</t>
        </is>
      </c>
      <c r="BI18" s="24" t="inlineStr">
        <is>
          <t>["same_event","same_team_same_day","same_league_same_day"]</t>
        </is>
      </c>
      <c r="BJ18" s="25" t="n"/>
      <c r="BK18" s="26" t="n">
        <v>117</v>
      </c>
      <c r="BL18" s="27" t="n">
        <v>2.17</v>
      </c>
      <c r="BM18" s="28" t="n">
        <v>0.460829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0.460829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f337824fc1014320</t>
        </is>
      </c>
      <c r="B19" s="24" t="inlineStr">
        <is>
          <t>2026-08-06T00:24:51.570056Z</t>
        </is>
      </c>
      <c r="C19" s="24" t="inlineStr">
        <is>
          <t>2026-08-06T16:00:00Z</t>
        </is>
      </c>
      <c r="D19" s="24" t="inlineStr">
        <is>
          <t>70790</t>
        </is>
      </c>
      <c r="E19" s="24" t="inlineStr">
        <is>
          <t>LOL</t>
        </is>
      </c>
      <c r="F19" s="24" t="inlineStr">
        <is>
          <t>Baam Esports</t>
        </is>
      </c>
      <c r="G19" s="24" t="inlineStr">
        <is>
          <t>One More Esports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-144</v>
      </c>
      <c r="M19" s="27" t="n">
        <v>1.694444</v>
      </c>
      <c r="N19" s="28" t="n">
        <v>0.590164</v>
      </c>
      <c r="O19" s="28" t="n">
        <v>0.764249</v>
      </c>
      <c r="P19" s="28" t="n"/>
      <c r="Q19" s="28" t="n">
        <v>0.174085</v>
      </c>
      <c r="R19" s="26" t="n">
        <v>100</v>
      </c>
      <c r="S19" s="29" t="n">
        <v>2</v>
      </c>
      <c r="T19" s="24" t="inlineStr">
        <is>
          <t>lol-tiered-elo-v6</t>
        </is>
      </c>
      <c r="U19" s="24" t="inlineStr">
        <is>
          <t>settled</t>
        </is>
      </c>
      <c r="V19" s="24" t="inlineStr">
        <is>
          <t>win</t>
        </is>
      </c>
      <c r="W19" s="26" t="n">
        <v>1</v>
      </c>
      <c r="X19" s="26" t="n">
        <v>0</v>
      </c>
      <c r="Y19" s="25" t="n"/>
      <c r="Z19" s="26" t="n"/>
      <c r="AA19" s="28" t="n"/>
      <c r="AB19" s="28" t="n"/>
      <c r="AC19" s="30" t="n">
        <v>1.3889</v>
      </c>
      <c r="AD19" s="24" t="inlineStr">
        <is>
          <t>2026-08-06T18:57:11.315585Z</t>
        </is>
      </c>
      <c r="AE19" s="31" t="inlineStr">
        <is>
          <t>Neutral Elo baseline; executable ask 0.5900 (market_slug=aec-lol-one-bam-2026-08-06).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Baam Esports</t>
        </is>
      </c>
      <c r="AQ19" s="24" t="inlineStr">
        <is>
          <t>Baam Esports</t>
        </is>
      </c>
      <c r="AR19" s="24" t="inlineStr">
        <is>
          <t>Baam Esports</t>
        </is>
      </c>
      <c r="AS19" s="24" t="inlineStr">
        <is>
          <t>One More Esports</t>
        </is>
      </c>
      <c r="AT19" s="24" t="inlineStr">
        <is>
          <t>One More Esports</t>
        </is>
      </c>
      <c r="AU19" s="24" t="inlineStr">
        <is>
          <t>One More Esports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4304963c152f1e881f634fa0b66ab59152f3edd6692257c1d27d76a5cb0a3df3</t>
        </is>
      </c>
      <c r="BB19" s="24" t="inlineStr">
        <is>
          <t>neutral_elo</t>
        </is>
      </c>
      <c r="BC19" s="24" t="inlineStr">
        <is>
          <t>lol-tiered-elo-v6</t>
        </is>
      </c>
      <c r="BD19" s="24" t="inlineStr">
        <is>
          <t>4304963c152f1e881f634fa0b66ab59152f3edd6692257c1d27d76a5cb0a3df3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lol-tiered-elo-v6</t>
        </is>
      </c>
      <c r="BH19" s="24" t="inlineStr">
        <is>
          <t>2026-08-06T00:24:42.381233Z</t>
        </is>
      </c>
      <c r="BI19" s="24" t="inlineStr">
        <is>
          <t>["same_event","same_team_same_day","same_league_same_day"]</t>
        </is>
      </c>
      <c r="BJ19" s="25" t="n"/>
      <c r="BK19" s="26" t="n">
        <v>-144</v>
      </c>
      <c r="BL19" s="27" t="n">
        <v>1.694444</v>
      </c>
      <c r="BM19" s="28" t="n">
        <v>0.590164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0.590164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19c128d8df7b49bb</t>
        </is>
      </c>
      <c r="B20" s="24" t="inlineStr">
        <is>
          <t>2026-08-06T00:24:51.570056Z</t>
        </is>
      </c>
      <c r="C20" s="24" t="inlineStr">
        <is>
          <t>2026-08-06T17:00:00Z</t>
        </is>
      </c>
      <c r="D20" s="24" t="inlineStr">
        <is>
          <t>70860</t>
        </is>
      </c>
      <c r="E20" s="24" t="inlineStr">
        <is>
          <t>LOL</t>
        </is>
      </c>
      <c r="F20" s="24" t="inlineStr">
        <is>
          <t>Skillcamp Esport</t>
        </is>
      </c>
      <c r="G20" s="24" t="inlineStr">
        <is>
          <t>Karmine Corp Blue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-150</v>
      </c>
      <c r="M20" s="27" t="n">
        <v>1.666667</v>
      </c>
      <c r="N20" s="28" t="n">
        <v>0.6</v>
      </c>
      <c r="O20" s="28" t="n">
        <v>0.742815</v>
      </c>
      <c r="P20" s="28" t="n"/>
      <c r="Q20" s="28" t="n">
        <v>0.142815</v>
      </c>
      <c r="R20" s="26" t="n">
        <v>91</v>
      </c>
      <c r="S20" s="29" t="n">
        <v>2</v>
      </c>
      <c r="T20" s="24" t="inlineStr">
        <is>
          <t>lol-tiered-elo-v6</t>
        </is>
      </c>
      <c r="U20" s="24" t="inlineStr">
        <is>
          <t>settled</t>
        </is>
      </c>
      <c r="V20" s="24" t="inlineStr">
        <is>
          <t>loss</t>
        </is>
      </c>
      <c r="W20" s="26" t="n">
        <v>1</v>
      </c>
      <c r="X20" s="26" t="n">
        <v>0</v>
      </c>
      <c r="Y20" s="25" t="n"/>
      <c r="Z20" s="26" t="n"/>
      <c r="AA20" s="28" t="n"/>
      <c r="AB20" s="28" t="n"/>
      <c r="AC20" s="30" t="n">
        <v>-2</v>
      </c>
      <c r="AD20" s="24" t="inlineStr">
        <is>
          <t>2026-08-06T18:57:13.006126Z</t>
        </is>
      </c>
      <c r="AE20" s="31" t="inlineStr">
        <is>
          <t>Neutral Elo baseline; executable ask 0.6000 (market_slug=aec-lol-kcb-sc-2026-08-06).</t>
        </is>
      </c>
      <c r="AF20" s="31" t="inlineStr">
        <is>
          <t>Config-promoted esports baseline; gates enforced at log time.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Skillcamp Esport</t>
        </is>
      </c>
      <c r="AQ20" s="24" t="inlineStr">
        <is>
          <t>Skillcamp Esport</t>
        </is>
      </c>
      <c r="AR20" s="24" t="inlineStr">
        <is>
          <t>Skillcamp Esport</t>
        </is>
      </c>
      <c r="AS20" s="24" t="inlineStr">
        <is>
          <t>Karmine Corp Blue</t>
        </is>
      </c>
      <c r="AT20" s="24" t="inlineStr">
        <is>
          <t>Karmine Corp Blue</t>
        </is>
      </c>
      <c r="AU20" s="24" t="inlineStr">
        <is>
          <t>Karmine Corp Blue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4304963c152f1e881f634fa0b66ab59152f3edd6692257c1d27d76a5cb0a3df3</t>
        </is>
      </c>
      <c r="BB20" s="24" t="inlineStr">
        <is>
          <t>neutral_elo</t>
        </is>
      </c>
      <c r="BC20" s="24" t="inlineStr">
        <is>
          <t>lol-tiered-elo-v6</t>
        </is>
      </c>
      <c r="BD20" s="24" t="inlineStr">
        <is>
          <t>4304963c152f1e881f634fa0b66ab59152f3edd6692257c1d27d76a5cb0a3df3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lol-tiered-elo-v6</t>
        </is>
      </c>
      <c r="BH20" s="24" t="inlineStr">
        <is>
          <t>2026-08-06T00:24:43.466107Z</t>
        </is>
      </c>
      <c r="BI20" s="24" t="inlineStr">
        <is>
          <t>["same_event","same_team_same_day","same_league_same_day"]</t>
        </is>
      </c>
      <c r="BJ20" s="25" t="n"/>
      <c r="BK20" s="26" t="n">
        <v>-150</v>
      </c>
      <c r="BL20" s="27" t="n">
        <v>1.666667</v>
      </c>
      <c r="BM20" s="28" t="n">
        <v>0.6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0.6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fab2311131514378</t>
        </is>
      </c>
      <c r="B21" s="24" t="inlineStr">
        <is>
          <t>2026-08-06T00:24:51.570056Z</t>
        </is>
      </c>
      <c r="C21" s="24" t="inlineStr">
        <is>
          <t>2026-08-06T18:00:00Z</t>
        </is>
      </c>
      <c r="D21" s="24" t="inlineStr">
        <is>
          <t>70903</t>
        </is>
      </c>
      <c r="E21" s="24" t="inlineStr">
        <is>
          <t>LOL</t>
        </is>
      </c>
      <c r="F21" s="24" t="inlineStr">
        <is>
          <t>Zena Esports</t>
        </is>
      </c>
      <c r="G21" s="24" t="inlineStr">
        <is>
          <t>GMBLERS ESPORTS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113</v>
      </c>
      <c r="M21" s="27" t="n">
        <v>2.13</v>
      </c>
      <c r="N21" s="28" t="n">
        <v>0.469484</v>
      </c>
      <c r="O21" s="28" t="n">
        <v>0.630956</v>
      </c>
      <c r="P21" s="28" t="n"/>
      <c r="Q21" s="28" t="n">
        <v>0.161472</v>
      </c>
      <c r="R21" s="26" t="n">
        <v>100</v>
      </c>
      <c r="S21" s="29" t="n">
        <v>1.5</v>
      </c>
      <c r="T21" s="24" t="inlineStr">
        <is>
          <t>lol-tiered-elo-v6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1</v>
      </c>
      <c r="Y21" s="25" t="n"/>
      <c r="Z21" s="26" t="n"/>
      <c r="AA21" s="28" t="n"/>
      <c r="AB21" s="28" t="n"/>
      <c r="AC21" s="30" t="n">
        <v>1.695</v>
      </c>
      <c r="AD21" s="24" t="inlineStr">
        <is>
          <t>2026-08-06T18:57:14.772492Z</t>
        </is>
      </c>
      <c r="AE21" s="31" t="inlineStr">
        <is>
          <t>Neutral Elo baseline; executable ask 0.4700 (market_slug=aec-lol-gmb-zena-2026-08-06).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Zena Esports</t>
        </is>
      </c>
      <c r="AQ21" s="24" t="inlineStr">
        <is>
          <t>Zena Esports</t>
        </is>
      </c>
      <c r="AR21" s="24" t="inlineStr">
        <is>
          <t>Zena Esports</t>
        </is>
      </c>
      <c r="AS21" s="24" t="inlineStr">
        <is>
          <t>GMBLERS ESPORTS</t>
        </is>
      </c>
      <c r="AT21" s="24" t="inlineStr">
        <is>
          <t>GMBLERS ESPORTS</t>
        </is>
      </c>
      <c r="AU21" s="24" t="inlineStr">
        <is>
          <t>GMBLERS ESPORTS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4304963c152f1e881f634fa0b66ab59152f3edd6692257c1d27d76a5cb0a3df3</t>
        </is>
      </c>
      <c r="BB21" s="24" t="inlineStr">
        <is>
          <t>neutral_elo</t>
        </is>
      </c>
      <c r="BC21" s="24" t="inlineStr">
        <is>
          <t>lol-tiered-elo-v6</t>
        </is>
      </c>
      <c r="BD21" s="24" t="inlineStr">
        <is>
          <t>4304963c152f1e881f634fa0b66ab59152f3edd6692257c1d27d76a5cb0a3df3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lol-tiered-elo-v6</t>
        </is>
      </c>
      <c r="BH21" s="24" t="inlineStr">
        <is>
          <t>2026-08-06T00:24:47.491847Z</t>
        </is>
      </c>
      <c r="BI21" s="24" t="inlineStr">
        <is>
          <t>["same_event","same_team_same_day","same_league_same_day"]</t>
        </is>
      </c>
      <c r="BJ21" s="25" t="n"/>
      <c r="BK21" s="26" t="n">
        <v>113</v>
      </c>
      <c r="BL21" s="27" t="n">
        <v>2.13</v>
      </c>
      <c r="BM21" s="28" t="n">
        <v>0.469484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0.469484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a2df408e417748e0</t>
        </is>
      </c>
      <c r="B22" s="24" t="inlineStr">
        <is>
          <t>2026-08-07T15:24:10.407714Z</t>
        </is>
      </c>
      <c r="C22" s="24" t="inlineStr">
        <is>
          <t>2026-08-07T16:00:00Z</t>
        </is>
      </c>
      <c r="D22" s="24" t="inlineStr">
        <is>
          <t>71980</t>
        </is>
      </c>
      <c r="E22" s="24" t="inlineStr">
        <is>
          <t>LOL</t>
        </is>
      </c>
      <c r="F22" s="24" t="inlineStr">
        <is>
          <t>TITANS</t>
        </is>
      </c>
      <c r="G22" s="24" t="inlineStr">
        <is>
          <t>Aeterna Esports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-117</v>
      </c>
      <c r="M22" s="27" t="n">
        <v>1.854701</v>
      </c>
      <c r="N22" s="28" t="n">
        <v>0.539171</v>
      </c>
      <c r="O22" s="28" t="n">
        <v>0.637212</v>
      </c>
      <c r="P22" s="28" t="n"/>
      <c r="Q22" s="28" t="n">
        <v>0.098041</v>
      </c>
      <c r="R22" s="26" t="n">
        <v>69</v>
      </c>
      <c r="S22" s="29" t="n">
        <v>1.5</v>
      </c>
      <c r="T22" s="24" t="inlineStr">
        <is>
          <t>lol-tiered-elo-v6</t>
        </is>
      </c>
      <c r="U22" s="24" t="inlineStr">
        <is>
          <t>settled</t>
        </is>
      </c>
      <c r="V22" s="24" t="inlineStr">
        <is>
          <t>win</t>
        </is>
      </c>
      <c r="W22" s="26" t="n">
        <v>0</v>
      </c>
      <c r="X22" s="26" t="n">
        <v>1</v>
      </c>
      <c r="Y22" s="25" t="n"/>
      <c r="Z22" s="26" t="n">
        <v>-117</v>
      </c>
      <c r="AA22" s="28" t="n">
        <v>0.54</v>
      </c>
      <c r="AB22" s="28" t="n">
        <v>0.000829</v>
      </c>
      <c r="AC22" s="30" t="n">
        <v>1.2821</v>
      </c>
      <c r="AD22" s="24" t="inlineStr">
        <is>
          <t>2026-08-07T18:27:28.802280Z</t>
        </is>
      </c>
      <c r="AE22" s="31" t="inlineStr">
        <is>
          <t>Neutral Elo baseline; executable ask 0.5400 (market_slug=aec-lol-aee-tts-2026-08-07).</t>
        </is>
      </c>
      <c r="AF22" s="31" t="inlineStr">
        <is>
          <t>Config-promoted esports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TITANS</t>
        </is>
      </c>
      <c r="AQ22" s="24" t="inlineStr">
        <is>
          <t>TITANS</t>
        </is>
      </c>
      <c r="AR22" s="24" t="inlineStr">
        <is>
          <t>TITANS</t>
        </is>
      </c>
      <c r="AS22" s="24" t="inlineStr">
        <is>
          <t>Aeterna Esports</t>
        </is>
      </c>
      <c r="AT22" s="24" t="inlineStr">
        <is>
          <t>Aeterna Esports</t>
        </is>
      </c>
      <c r="AU22" s="24" t="inlineStr">
        <is>
          <t>Aeterna Esports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326a42c58f2a208dee1dc4f634e9901156f475883f7f16a3237a5e1b513fa5f9</t>
        </is>
      </c>
      <c r="BB22" s="24" t="inlineStr">
        <is>
          <t>neutral_elo</t>
        </is>
      </c>
      <c r="BC22" s="24" t="inlineStr">
        <is>
          <t>lol-tiered-elo-v6</t>
        </is>
      </c>
      <c r="BD22" s="24" t="inlineStr">
        <is>
          <t>326a42c58f2a208dee1dc4f634e9901156f475883f7f16a3237a5e1b513fa5f9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lol-tiered-elo-v6</t>
        </is>
      </c>
      <c r="BH22" s="24" t="inlineStr">
        <is>
          <t>2026-08-07T15:23:54.049058Z</t>
        </is>
      </c>
      <c r="BI22" s="24" t="inlineStr">
        <is>
          <t>["same_event","same_team_same_day","same_league_same_day"]</t>
        </is>
      </c>
      <c r="BJ22" s="25" t="n"/>
      <c r="BK22" s="26" t="n">
        <v>-117</v>
      </c>
      <c r="BL22" s="27" t="n">
        <v>1.854701</v>
      </c>
      <c r="BM22" s="28" t="n">
        <v>0.539171</v>
      </c>
      <c r="BN22" s="28" t="n"/>
      <c r="BO22" s="28" t="n"/>
      <c r="BP22" s="25" t="n"/>
      <c r="BQ22" s="27" t="n">
        <v>1.854701</v>
      </c>
      <c r="BR22" s="28" t="n">
        <v>0.54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0.539171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08d6e9eb272449c2</t>
        </is>
      </c>
      <c r="B23" s="24" t="inlineStr">
        <is>
          <t>2026-08-07T18:31:20.691239Z</t>
        </is>
      </c>
      <c r="C23" s="24" t="inlineStr">
        <is>
          <t>2026-08-07T19:00:00Z</t>
        </is>
      </c>
      <c r="D23" s="24" t="inlineStr">
        <is>
          <t>72342</t>
        </is>
      </c>
      <c r="E23" s="24" t="inlineStr">
        <is>
          <t>LOL</t>
        </is>
      </c>
      <c r="F23" s="24" t="inlineStr">
        <is>
          <t>Colossal Gaming</t>
        </is>
      </c>
      <c r="G23" s="24" t="inlineStr">
        <is>
          <t>GMBLERS ESPORTS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117</v>
      </c>
      <c r="M23" s="27" t="n">
        <v>2.17</v>
      </c>
      <c r="N23" s="28" t="n">
        <v>0.460829</v>
      </c>
      <c r="O23" s="28" t="n">
        <v>0.576862</v>
      </c>
      <c r="P23" s="28" t="n"/>
      <c r="Q23" s="28" t="n">
        <v>0.116033</v>
      </c>
      <c r="R23" s="26" t="n">
        <v>78</v>
      </c>
      <c r="S23" s="29" t="n">
        <v>1.25</v>
      </c>
      <c r="T23" s="24" t="inlineStr">
        <is>
          <t>lol-tiered-elo-v6</t>
        </is>
      </c>
      <c r="U23" s="24" t="inlineStr">
        <is>
          <t>settled</t>
        </is>
      </c>
      <c r="V23" s="24" t="inlineStr">
        <is>
          <t>loss</t>
        </is>
      </c>
      <c r="W23" s="26" t="n">
        <v>1</v>
      </c>
      <c r="X23" s="26" t="n">
        <v>0</v>
      </c>
      <c r="Y23" s="25" t="n"/>
      <c r="Z23" s="26" t="n">
        <v>117</v>
      </c>
      <c r="AA23" s="28" t="n">
        <v>0.46</v>
      </c>
      <c r="AB23" s="28" t="n">
        <v>-0.000829</v>
      </c>
      <c r="AC23" s="30" t="n">
        <v>-1.25</v>
      </c>
      <c r="AD23" s="24" t="inlineStr">
        <is>
          <t>2026-08-07T21:55:35.351876Z</t>
        </is>
      </c>
      <c r="AE23" s="31" t="inlineStr">
        <is>
          <t>Neutral Elo baseline; executable ask 0.4600 (market_slug=aec-lol-gmb-cg-2026-08-07).</t>
        </is>
      </c>
      <c r="AF23" s="31" t="inlineStr">
        <is>
          <t>Config-promoted esports baseline; gates enforced at log time.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Colossal Gaming</t>
        </is>
      </c>
      <c r="AQ23" s="24" t="inlineStr">
        <is>
          <t>Colossal Gaming</t>
        </is>
      </c>
      <c r="AR23" s="24" t="inlineStr">
        <is>
          <t>Colossal Gaming</t>
        </is>
      </c>
      <c r="AS23" s="24" t="inlineStr">
        <is>
          <t>GMBLERS ESPORTS</t>
        </is>
      </c>
      <c r="AT23" s="24" t="inlineStr">
        <is>
          <t>GMBLERS ESPORTS</t>
        </is>
      </c>
      <c r="AU23" s="24" t="inlineStr">
        <is>
          <t>GMBLERS ESPORTS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d3791916ff32605dd2265e280637577dccc694ea8768ae90edb98370e9029821</t>
        </is>
      </c>
      <c r="BB23" s="24" t="inlineStr">
        <is>
          <t>neutral_elo</t>
        </is>
      </c>
      <c r="BC23" s="24" t="inlineStr">
        <is>
          <t>lol-tiered-elo-v6</t>
        </is>
      </c>
      <c r="BD23" s="24" t="inlineStr">
        <is>
          <t>d3791916ff32605dd2265e280637577dccc694ea8768ae90edb98370e9029821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lol-tiered-elo-v6</t>
        </is>
      </c>
      <c r="BH23" s="24" t="inlineStr">
        <is>
          <t>2026-08-07T18:31:07.695348Z</t>
        </is>
      </c>
      <c r="BI23" s="24" t="inlineStr">
        <is>
          <t>["same_event","same_team_same_day","same_league_same_day"]</t>
        </is>
      </c>
      <c r="BJ23" s="25" t="n"/>
      <c r="BK23" s="26" t="n">
        <v>117</v>
      </c>
      <c r="BL23" s="27" t="n">
        <v>2.17</v>
      </c>
      <c r="BM23" s="28" t="n">
        <v>0.460829</v>
      </c>
      <c r="BN23" s="28" t="n"/>
      <c r="BO23" s="28" t="n"/>
      <c r="BP23" s="25" t="n"/>
      <c r="BQ23" s="27" t="n">
        <v>2.17</v>
      </c>
      <c r="BR23" s="28" t="n">
        <v>0.46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0.460829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61b949111ab54871</t>
        </is>
      </c>
      <c r="B24" s="24" t="inlineStr">
        <is>
          <t>2026-08-07T18:31:20.691239Z</t>
        </is>
      </c>
      <c r="C24" s="24" t="inlineStr">
        <is>
          <t>2026-08-07T21:00:00Z</t>
        </is>
      </c>
      <c r="D24" s="24" t="inlineStr">
        <is>
          <t>72428</t>
        </is>
      </c>
      <c r="E24" s="24" t="inlineStr">
        <is>
          <t>LOL</t>
        </is>
      </c>
      <c r="F24" s="24" t="inlineStr">
        <is>
          <t>Fluxo W7M</t>
        </is>
      </c>
      <c r="G24" s="24" t="inlineStr">
        <is>
          <t>Vivo Keyd Stars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108</v>
      </c>
      <c r="M24" s="27" t="n">
        <v>2.08</v>
      </c>
      <c r="N24" s="28" t="n">
        <v>0.480769</v>
      </c>
      <c r="O24" s="28" t="n">
        <v>0.695648</v>
      </c>
      <c r="P24" s="28" t="n"/>
      <c r="Q24" s="28" t="n">
        <v>0.214879</v>
      </c>
      <c r="R24" s="26" t="n">
        <v>100</v>
      </c>
      <c r="S24" s="29" t="n">
        <v>2</v>
      </c>
      <c r="T24" s="24" t="inlineStr">
        <is>
          <t>lol-tiered-elo-v6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1</v>
      </c>
      <c r="Y24" s="25" t="n"/>
      <c r="Z24" s="26" t="n">
        <v>108</v>
      </c>
      <c r="AA24" s="28" t="n">
        <v>0.48</v>
      </c>
      <c r="AB24" s="28" t="n">
        <v>-0.000769</v>
      </c>
      <c r="AC24" s="30" t="n">
        <v>2.16</v>
      </c>
      <c r="AD24" s="24" t="inlineStr">
        <is>
          <t>2026-08-08T01:00:24.091656Z</t>
        </is>
      </c>
      <c r="AE24" s="31" t="inlineStr">
        <is>
          <t>Neutral Elo baseline; executable ask 0.4800 (market_slug=aec-lol-vks-fxw7-2026-08-07).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Fluxo W7M</t>
        </is>
      </c>
      <c r="AQ24" s="24" t="inlineStr">
        <is>
          <t>Fluxo W7M</t>
        </is>
      </c>
      <c r="AR24" s="24" t="inlineStr">
        <is>
          <t>Fluxo W7M</t>
        </is>
      </c>
      <c r="AS24" s="24" t="inlineStr">
        <is>
          <t>Vivo Keyd Stars</t>
        </is>
      </c>
      <c r="AT24" s="24" t="inlineStr">
        <is>
          <t>Vivo Keyd Stars</t>
        </is>
      </c>
      <c r="AU24" s="24" t="inlineStr">
        <is>
          <t>Vivo Keyd Stars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d3791916ff32605dd2265e280637577dccc694ea8768ae90edb98370e9029821</t>
        </is>
      </c>
      <c r="BB24" s="24" t="inlineStr">
        <is>
          <t>neutral_elo</t>
        </is>
      </c>
      <c r="BC24" s="24" t="inlineStr">
        <is>
          <t>lol-tiered-elo-v6</t>
        </is>
      </c>
      <c r="BD24" s="24" t="inlineStr">
        <is>
          <t>d3791916ff32605dd2265e280637577dccc694ea8768ae90edb98370e9029821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lol-tiered-elo-v6</t>
        </is>
      </c>
      <c r="BH24" s="24" t="inlineStr">
        <is>
          <t>2026-08-07T18:31:08.212012Z</t>
        </is>
      </c>
      <c r="BI24" s="24" t="inlineStr">
        <is>
          <t>["same_event","same_team_same_day","same_league_same_day"]</t>
        </is>
      </c>
      <c r="BJ24" s="25" t="n"/>
      <c r="BK24" s="26" t="n">
        <v>108</v>
      </c>
      <c r="BL24" s="27" t="n">
        <v>2.08</v>
      </c>
      <c r="BM24" s="28" t="n">
        <v>0.480769</v>
      </c>
      <c r="BN24" s="28" t="n"/>
      <c r="BO24" s="28" t="n"/>
      <c r="BP24" s="25" t="n"/>
      <c r="BQ24" s="27" t="n">
        <v>2.08</v>
      </c>
      <c r="BR24" s="28" t="n">
        <v>0.48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0.480769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b2976f2bae944bad</t>
        </is>
      </c>
      <c r="B25" s="24" t="inlineStr">
        <is>
          <t>2026-08-07T18:31:20.691239Z</t>
        </is>
      </c>
      <c r="C25" s="24" t="inlineStr">
        <is>
          <t>2026-08-07T21:00:00Z</t>
        </is>
      </c>
      <c r="D25" s="24" t="inlineStr">
        <is>
          <t>72438</t>
        </is>
      </c>
      <c r="E25" s="24" t="inlineStr">
        <is>
          <t>LOL</t>
        </is>
      </c>
      <c r="F25" s="24" t="inlineStr">
        <is>
          <t>Dorado Gaming</t>
        </is>
      </c>
      <c r="G25" s="24" t="inlineStr">
        <is>
          <t>Blue Otter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108</v>
      </c>
      <c r="M25" s="27" t="n">
        <v>2.08</v>
      </c>
      <c r="N25" s="28" t="n">
        <v>0.480769</v>
      </c>
      <c r="O25" s="28" t="n">
        <v>0.627171</v>
      </c>
      <c r="P25" s="28" t="n"/>
      <c r="Q25" s="28" t="n">
        <v>0.146402</v>
      </c>
      <c r="R25" s="26" t="n">
        <v>93</v>
      </c>
      <c r="S25" s="29" t="n">
        <v>1.5</v>
      </c>
      <c r="T25" s="24" t="inlineStr">
        <is>
          <t>lol-tiered-elo-v6</t>
        </is>
      </c>
      <c r="U25" s="24" t="inlineStr">
        <is>
          <t>settled</t>
        </is>
      </c>
      <c r="V25" s="24" t="inlineStr">
        <is>
          <t>win</t>
        </is>
      </c>
      <c r="W25" s="26" t="n">
        <v>1</v>
      </c>
      <c r="X25" s="26" t="n">
        <v>0</v>
      </c>
      <c r="Y25" s="25" t="n"/>
      <c r="Z25" s="26" t="n">
        <v>108</v>
      </c>
      <c r="AA25" s="28" t="n">
        <v>0.48</v>
      </c>
      <c r="AB25" s="28" t="n">
        <v>-0.000769</v>
      </c>
      <c r="AC25" s="30" t="n">
        <v>1.62</v>
      </c>
      <c r="AD25" s="24" t="inlineStr">
        <is>
          <t>2026-08-08T01:00:25.636641Z</t>
        </is>
      </c>
      <c r="AE25" s="31" t="inlineStr">
        <is>
          <t>Neutral Elo baseline; executable ask 0.4800 (market_slug=aec-lol-blue-dog-2026-08-07).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Dorado Gaming</t>
        </is>
      </c>
      <c r="AQ25" s="24" t="inlineStr">
        <is>
          <t>Dorado Gaming</t>
        </is>
      </c>
      <c r="AR25" s="24" t="inlineStr">
        <is>
          <t>Dorado Gaming</t>
        </is>
      </c>
      <c r="AS25" s="24" t="inlineStr">
        <is>
          <t>Blue Otter</t>
        </is>
      </c>
      <c r="AT25" s="24" t="inlineStr">
        <is>
          <t>Blue Otter</t>
        </is>
      </c>
      <c r="AU25" s="24" t="inlineStr">
        <is>
          <t>Blue Otter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d3791916ff32605dd2265e280637577dccc694ea8768ae90edb98370e9029821</t>
        </is>
      </c>
      <c r="BB25" s="24" t="inlineStr">
        <is>
          <t>neutral_elo</t>
        </is>
      </c>
      <c r="BC25" s="24" t="inlineStr">
        <is>
          <t>lol-tiered-elo-v6</t>
        </is>
      </c>
      <c r="BD25" s="24" t="inlineStr">
        <is>
          <t>d3791916ff32605dd2265e280637577dccc694ea8768ae90edb98370e9029821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lol-tiered-elo-v6</t>
        </is>
      </c>
      <c r="BH25" s="24" t="inlineStr">
        <is>
          <t>2026-08-07T18:31:08.974236Z</t>
        </is>
      </c>
      <c r="BI25" s="24" t="inlineStr">
        <is>
          <t>["same_event","same_team_same_day","same_league_same_day"]</t>
        </is>
      </c>
      <c r="BJ25" s="25" t="n"/>
      <c r="BK25" s="26" t="n">
        <v>108</v>
      </c>
      <c r="BL25" s="27" t="n">
        <v>2.08</v>
      </c>
      <c r="BM25" s="28" t="n">
        <v>0.480769</v>
      </c>
      <c r="BN25" s="28" t="n"/>
      <c r="BO25" s="28" t="n"/>
      <c r="BP25" s="25" t="n"/>
      <c r="BQ25" s="27" t="n">
        <v>2.08</v>
      </c>
      <c r="BR25" s="28" t="n">
        <v>0.48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0.480769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aff095fa71c54ac3</t>
        </is>
      </c>
      <c r="B26" s="24" t="inlineStr">
        <is>
          <t>2026-08-08T04:08:13.997006Z</t>
        </is>
      </c>
      <c r="C26" s="24" t="inlineStr">
        <is>
          <t>2026-08-08T08:00:00Z</t>
        </is>
      </c>
      <c r="D26" s="24" t="inlineStr">
        <is>
          <t>72722</t>
        </is>
      </c>
      <c r="E26" s="24" t="inlineStr">
        <is>
          <t>LOL</t>
        </is>
      </c>
      <c r="F26" s="24" t="inlineStr">
        <is>
          <t>Hanwha Life Esports</t>
        </is>
      </c>
      <c r="G26" s="24" t="inlineStr">
        <is>
          <t>T1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-108</v>
      </c>
      <c r="M26" s="27" t="n">
        <v>1.925926</v>
      </c>
      <c r="N26" s="28" t="n">
        <v>0.519231</v>
      </c>
      <c r="O26" s="28" t="n">
        <v>0.6042650000000001</v>
      </c>
      <c r="P26" s="28" t="n"/>
      <c r="Q26" s="28" t="n">
        <v>0.085034</v>
      </c>
      <c r="R26" s="26" t="n">
        <v>63</v>
      </c>
      <c r="S26" s="29" t="n">
        <v>1.25</v>
      </c>
      <c r="T26" s="24" t="inlineStr">
        <is>
          <t>lol-tiered-elo-v6</t>
        </is>
      </c>
      <c r="U26" s="24" t="inlineStr">
        <is>
          <t>settled</t>
        </is>
      </c>
      <c r="V26" s="24" t="inlineStr">
        <is>
          <t>loss</t>
        </is>
      </c>
      <c r="W26" s="26" t="n">
        <v>1</v>
      </c>
      <c r="X26" s="26" t="n">
        <v>0</v>
      </c>
      <c r="Y26" s="25" t="n"/>
      <c r="Z26" s="26" t="n">
        <v>-108</v>
      </c>
      <c r="AA26" s="28" t="n">
        <v>0.52</v>
      </c>
      <c r="AB26" s="28" t="n">
        <v>0.000769</v>
      </c>
      <c r="AC26" s="30" t="n">
        <v>-1.25</v>
      </c>
      <c r="AD26" s="24" t="inlineStr">
        <is>
          <t>2026-08-08T18:35:17.621067Z</t>
        </is>
      </c>
      <c r="AE26" s="31" t="inlineStr">
        <is>
          <t>Neutral Elo baseline; executable ask 0.5200 (market_slug=aec-lol-t1-hle-2026-08-08).</t>
        </is>
      </c>
      <c r="AF26" s="31" t="inlineStr">
        <is>
          <t>Config-promoted esports baseline; gates enforced at log time.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Hanwha Life Esports</t>
        </is>
      </c>
      <c r="AQ26" s="24" t="inlineStr">
        <is>
          <t>Hanwha Life Esports</t>
        </is>
      </c>
      <c r="AR26" s="24" t="inlineStr">
        <is>
          <t>Hanwha Life Esports</t>
        </is>
      </c>
      <c r="AS26" s="24" t="inlineStr">
        <is>
          <t>T1</t>
        </is>
      </c>
      <c r="AT26" s="24" t="inlineStr">
        <is>
          <t>T1</t>
        </is>
      </c>
      <c r="AU26" s="24" t="inlineStr">
        <is>
          <t>T1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bf9cdce4c802d1882a68b32132fa41472ff922cbbe74a73c6db7662d3c059566</t>
        </is>
      </c>
      <c r="BB26" s="24" t="inlineStr">
        <is>
          <t>neutral_elo</t>
        </is>
      </c>
      <c r="BC26" s="24" t="inlineStr">
        <is>
          <t>lol-tiered-elo-v6</t>
        </is>
      </c>
      <c r="BD26" s="24" t="inlineStr">
        <is>
          <t>bf9cdce4c802d1882a68b32132fa41472ff922cbbe74a73c6db7662d3c059566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lol-tiered-elo-v6</t>
        </is>
      </c>
      <c r="BH26" s="24" t="inlineStr">
        <is>
          <t>2026-08-08T04:07:52.255455Z</t>
        </is>
      </c>
      <c r="BI26" s="24" t="inlineStr">
        <is>
          <t>["same_event","same_team_same_day","same_league_same_day"]</t>
        </is>
      </c>
      <c r="BJ26" s="25" t="n"/>
      <c r="BK26" s="26" t="n">
        <v>-108</v>
      </c>
      <c r="BL26" s="27" t="n">
        <v>1.925926</v>
      </c>
      <c r="BM26" s="28" t="n">
        <v>0.519231</v>
      </c>
      <c r="BN26" s="28" t="n"/>
      <c r="BO26" s="28" t="n"/>
      <c r="BP26" s="25" t="n"/>
      <c r="BQ26" s="27" t="n">
        <v>1.925926</v>
      </c>
      <c r="BR26" s="28" t="n">
        <v>0.52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0.519231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ef76fb2f21f24ad2</t>
        </is>
      </c>
      <c r="B27" s="24" t="inlineStr">
        <is>
          <t>2026-08-09T05:18:45.420775Z</t>
        </is>
      </c>
      <c r="C27" s="24" t="inlineStr">
        <is>
          <t>2026-08-09T09:00:00Z</t>
        </is>
      </c>
      <c r="D27" s="24" t="inlineStr">
        <is>
          <t>74251</t>
        </is>
      </c>
      <c r="E27" s="24" t="inlineStr">
        <is>
          <t>LOL</t>
        </is>
      </c>
      <c r="F27" s="24" t="inlineStr">
        <is>
          <t>Ground Zero Gaming</t>
        </is>
      </c>
      <c r="G27" s="24" t="inlineStr">
        <is>
          <t>CTBC Flying Oyster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-170</v>
      </c>
      <c r="M27" s="27" t="n">
        <v>1.588235</v>
      </c>
      <c r="N27" s="28" t="n">
        <v>0.62963</v>
      </c>
      <c r="O27" s="28" t="n">
        <v>0.729245</v>
      </c>
      <c r="P27" s="28" t="n"/>
      <c r="Q27" s="28" t="n">
        <v>0.099615</v>
      </c>
      <c r="R27" s="26" t="n">
        <v>70</v>
      </c>
      <c r="S27" s="29" t="n">
        <v>2</v>
      </c>
      <c r="T27" s="24" t="inlineStr">
        <is>
          <t>lol-tiered-elo-v6</t>
        </is>
      </c>
      <c r="U27" s="24" t="inlineStr">
        <is>
          <t>settled</t>
        </is>
      </c>
      <c r="V27" s="24" t="inlineStr">
        <is>
          <t>win</t>
        </is>
      </c>
      <c r="W27" s="26" t="n">
        <v>0</v>
      </c>
      <c r="X27" s="26" t="n">
        <v>1</v>
      </c>
      <c r="Y27" s="25" t="n"/>
      <c r="Z27" s="26" t="n">
        <v>-170</v>
      </c>
      <c r="AA27" s="28" t="n">
        <v>0.63</v>
      </c>
      <c r="AB27" s="28" t="n">
        <v>0.00037</v>
      </c>
      <c r="AC27" s="30" t="n">
        <v>1.1765</v>
      </c>
      <c r="AD27" s="24" t="inlineStr">
        <is>
          <t>2026-08-09T13:57:33.774019Z</t>
        </is>
      </c>
      <c r="AE27" s="31" t="inlineStr">
        <is>
          <t>Neutral Elo baseline; executable ask 0.6300 (market_slug=aec-lol-cfo-gz-2026-08-09).</t>
        </is>
      </c>
      <c r="AF27" s="31" t="inlineStr">
        <is>
          <t>Config-promoted esports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Ground Zero Gaming</t>
        </is>
      </c>
      <c r="AQ27" s="24" t="inlineStr">
        <is>
          <t>Ground Zero Gaming</t>
        </is>
      </c>
      <c r="AR27" s="24" t="inlineStr">
        <is>
          <t>Ground Zero Gaming</t>
        </is>
      </c>
      <c r="AS27" s="24" t="inlineStr">
        <is>
          <t>CTBC Flying Oyster</t>
        </is>
      </c>
      <c r="AT27" s="24" t="inlineStr">
        <is>
          <t>CTBC Flying Oyster</t>
        </is>
      </c>
      <c r="AU27" s="24" t="inlineStr">
        <is>
          <t>CTBC Flying Oyster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d1af9b18c2d3ace9d47f74a1570e11714c592a6d92bd30ded3db42a502b40cf2</t>
        </is>
      </c>
      <c r="BB27" s="24" t="inlineStr">
        <is>
          <t>neutral_elo</t>
        </is>
      </c>
      <c r="BC27" s="24" t="inlineStr">
        <is>
          <t>lol-tiered-elo-v6</t>
        </is>
      </c>
      <c r="BD27" s="24" t="inlineStr">
        <is>
          <t>d1af9b18c2d3ace9d47f74a1570e11714c592a6d92bd30ded3db42a502b40cf2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lol-tiered-elo-v6</t>
        </is>
      </c>
      <c r="BH27" s="24" t="inlineStr">
        <is>
          <t>2026-08-09T05:18:28.821389Z</t>
        </is>
      </c>
      <c r="BI27" s="24" t="inlineStr">
        <is>
          <t>["same_event","same_team_same_day","same_league_same_day"]</t>
        </is>
      </c>
      <c r="BJ27" s="25" t="n"/>
      <c r="BK27" s="26" t="n">
        <v>-170</v>
      </c>
      <c r="BL27" s="27" t="n">
        <v>1.588235</v>
      </c>
      <c r="BM27" s="28" t="n">
        <v>0.62963</v>
      </c>
      <c r="BN27" s="28" t="n"/>
      <c r="BO27" s="28" t="n"/>
      <c r="BP27" s="25" t="n"/>
      <c r="BQ27" s="27" t="n">
        <v>1.588235</v>
      </c>
      <c r="BR27" s="28" t="n">
        <v>0.63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0.62963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263f1c6669de4b3d</t>
        </is>
      </c>
      <c r="B28" s="24" t="inlineStr">
        <is>
          <t>2026-08-09T05:18:45.420775Z</t>
        </is>
      </c>
      <c r="C28" s="24" t="inlineStr">
        <is>
          <t>2026-08-09T10:00:00Z</t>
        </is>
      </c>
      <c r="D28" s="24" t="inlineStr">
        <is>
          <t>73672</t>
        </is>
      </c>
      <c r="E28" s="24" t="inlineStr">
        <is>
          <t>LOL</t>
        </is>
      </c>
      <c r="F28" s="24" t="inlineStr">
        <is>
          <t>Lille Esport</t>
        </is>
      </c>
      <c r="G28" s="24" t="inlineStr">
        <is>
          <t>Crystal Rose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122</v>
      </c>
      <c r="M28" s="27" t="n">
        <v>2.22</v>
      </c>
      <c r="N28" s="28" t="n">
        <v>0.45045</v>
      </c>
      <c r="O28" s="28" t="n">
        <v>0.582694</v>
      </c>
      <c r="P28" s="28" t="n"/>
      <c r="Q28" s="28" t="n">
        <v>0.132244</v>
      </c>
      <c r="R28" s="26" t="n">
        <v>86</v>
      </c>
      <c r="S28" s="29" t="n">
        <v>1.25</v>
      </c>
      <c r="T28" s="24" t="inlineStr">
        <is>
          <t>lol-tiered-elo-v6</t>
        </is>
      </c>
      <c r="U28" s="24" t="inlineStr">
        <is>
          <t>settled</t>
        </is>
      </c>
      <c r="V28" s="24" t="inlineStr">
        <is>
          <t>loss</t>
        </is>
      </c>
      <c r="W28" s="26" t="n">
        <v>1</v>
      </c>
      <c r="X28" s="26" t="n">
        <v>0</v>
      </c>
      <c r="Y28" s="25" t="n"/>
      <c r="Z28" s="26" t="n">
        <v>122</v>
      </c>
      <c r="AA28" s="28" t="n">
        <v>0.45</v>
      </c>
      <c r="AB28" s="28" t="n">
        <v>-0.00045</v>
      </c>
      <c r="AC28" s="30" t="n">
        <v>-1.25</v>
      </c>
      <c r="AD28" s="24" t="inlineStr">
        <is>
          <t>2026-08-09T13:57:35.640453Z</t>
        </is>
      </c>
      <c r="AE28" s="31" t="inlineStr">
        <is>
          <t>Neutral Elo baseline; executable ask 0.4500 (market_slug=aec-lol-cr-lil-2026-08-09).</t>
        </is>
      </c>
      <c r="AF28" s="31" t="inlineStr">
        <is>
          <t>Config-promoted esports baseline; gates enforced at log time.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Lille Esport</t>
        </is>
      </c>
      <c r="AQ28" s="24" t="inlineStr">
        <is>
          <t>Lille Esport</t>
        </is>
      </c>
      <c r="AR28" s="24" t="inlineStr">
        <is>
          <t>Lille Esport</t>
        </is>
      </c>
      <c r="AS28" s="24" t="inlineStr">
        <is>
          <t>Crystal Rose</t>
        </is>
      </c>
      <c r="AT28" s="24" t="inlineStr">
        <is>
          <t>Crystal Rose</t>
        </is>
      </c>
      <c r="AU28" s="24" t="inlineStr">
        <is>
          <t>Crystal Rose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d1af9b18c2d3ace9d47f74a1570e11714c592a6d92bd30ded3db42a502b40cf2</t>
        </is>
      </c>
      <c r="BB28" s="24" t="inlineStr">
        <is>
          <t>neutral_elo</t>
        </is>
      </c>
      <c r="BC28" s="24" t="inlineStr">
        <is>
          <t>lol-tiered-elo-v6</t>
        </is>
      </c>
      <c r="BD28" s="24" t="inlineStr">
        <is>
          <t>d1af9b18c2d3ace9d47f74a1570e11714c592a6d92bd30ded3db42a502b40cf2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lol-tiered-elo-v6</t>
        </is>
      </c>
      <c r="BH28" s="24" t="inlineStr">
        <is>
          <t>2026-08-09T05:18:30.559189Z</t>
        </is>
      </c>
      <c r="BI28" s="24" t="inlineStr">
        <is>
          <t>["same_event","same_team_same_day","same_league_same_day"]</t>
        </is>
      </c>
      <c r="BJ28" s="25" t="n"/>
      <c r="BK28" s="26" t="n">
        <v>122</v>
      </c>
      <c r="BL28" s="27" t="n">
        <v>2.22</v>
      </c>
      <c r="BM28" s="28" t="n">
        <v>0.45045</v>
      </c>
      <c r="BN28" s="28" t="n"/>
      <c r="BO28" s="28" t="n"/>
      <c r="BP28" s="25" t="n"/>
      <c r="BQ28" s="27" t="n">
        <v>2.22</v>
      </c>
      <c r="BR28" s="28" t="n">
        <v>0.45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0.45045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24df49f279214e35</t>
        </is>
      </c>
      <c r="B29" s="24" t="inlineStr">
        <is>
          <t>2026-08-09T05:18:45.420775Z</t>
        </is>
      </c>
      <c r="C29" s="24" t="inlineStr">
        <is>
          <t>2026-08-09T11:00:00Z</t>
        </is>
      </c>
      <c r="D29" s="24" t="inlineStr">
        <is>
          <t>73685</t>
        </is>
      </c>
      <c r="E29" s="24" t="inlineStr">
        <is>
          <t>LOL</t>
        </is>
      </c>
      <c r="F29" s="24" t="inlineStr">
        <is>
          <t>Caldya Esport</t>
        </is>
      </c>
      <c r="G29" s="24" t="inlineStr">
        <is>
          <t>Team High Ground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194</v>
      </c>
      <c r="M29" s="27" t="n">
        <v>2.94</v>
      </c>
      <c r="N29" s="28" t="n">
        <v>0.340136</v>
      </c>
      <c r="O29" s="28" t="n">
        <v>0.596541</v>
      </c>
      <c r="P29" s="28" t="n"/>
      <c r="Q29" s="28" t="n">
        <v>0.256405</v>
      </c>
      <c r="R29" s="26" t="n">
        <v>100</v>
      </c>
      <c r="S29" s="29" t="n">
        <v>1.25</v>
      </c>
      <c r="T29" s="24" t="inlineStr">
        <is>
          <t>lol-tiered-elo-v6</t>
        </is>
      </c>
      <c r="U29" s="24" t="inlineStr">
        <is>
          <t>settled</t>
        </is>
      </c>
      <c r="V29" s="24" t="inlineStr">
        <is>
          <t>win</t>
        </is>
      </c>
      <c r="W29" s="26" t="n">
        <v>0</v>
      </c>
      <c r="X29" s="26" t="n">
        <v>1</v>
      </c>
      <c r="Y29" s="25" t="n"/>
      <c r="Z29" s="26" t="n">
        <v>194</v>
      </c>
      <c r="AA29" s="28" t="n">
        <v>0.34</v>
      </c>
      <c r="AB29" s="28" t="n">
        <v>-0.000136</v>
      </c>
      <c r="AC29" s="30" t="n">
        <v>2.425</v>
      </c>
      <c r="AD29" s="24" t="inlineStr">
        <is>
          <t>2026-08-09T13:57:37.478717Z</t>
        </is>
      </c>
      <c r="AE29" s="31" t="inlineStr">
        <is>
          <t>Neutral Elo baseline; executable ask 0.3400 (market_slug=aec-lol-thg-cla-2026-08-09).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Caldya Esport</t>
        </is>
      </c>
      <c r="AQ29" s="24" t="inlineStr">
        <is>
          <t>Caldya Esport</t>
        </is>
      </c>
      <c r="AR29" s="24" t="inlineStr">
        <is>
          <t>Caldya Esport</t>
        </is>
      </c>
      <c r="AS29" s="24" t="inlineStr">
        <is>
          <t>Team High Ground</t>
        </is>
      </c>
      <c r="AT29" s="24" t="inlineStr">
        <is>
          <t>Team High Ground</t>
        </is>
      </c>
      <c r="AU29" s="24" t="inlineStr">
        <is>
          <t>Team High Ground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d1af9b18c2d3ace9d47f74a1570e11714c592a6d92bd30ded3db42a502b40cf2</t>
        </is>
      </c>
      <c r="BB29" s="24" t="inlineStr">
        <is>
          <t>neutral_elo</t>
        </is>
      </c>
      <c r="BC29" s="24" t="inlineStr">
        <is>
          <t>lol-tiered-elo-v6</t>
        </is>
      </c>
      <c r="BD29" s="24" t="inlineStr">
        <is>
          <t>d1af9b18c2d3ace9d47f74a1570e11714c592a6d92bd30ded3db42a502b40cf2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lol-tiered-elo-v6</t>
        </is>
      </c>
      <c r="BH29" s="24" t="inlineStr">
        <is>
          <t>2026-08-09T05:18:32.128818Z</t>
        </is>
      </c>
      <c r="BI29" s="24" t="inlineStr">
        <is>
          <t>["same_event","same_team_same_day","same_league_same_day"]</t>
        </is>
      </c>
      <c r="BJ29" s="25" t="n"/>
      <c r="BK29" s="26" t="n">
        <v>194</v>
      </c>
      <c r="BL29" s="27" t="n">
        <v>2.94</v>
      </c>
      <c r="BM29" s="28" t="n">
        <v>0.340136</v>
      </c>
      <c r="BN29" s="28" t="n"/>
      <c r="BO29" s="28" t="n"/>
      <c r="BP29" s="25" t="n"/>
      <c r="BQ29" s="27" t="n">
        <v>2.94</v>
      </c>
      <c r="BR29" s="28" t="n">
        <v>0.34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0.340136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5f002fe33b814e96</t>
        </is>
      </c>
      <c r="B30" s="24" t="inlineStr">
        <is>
          <t>2026-08-09T05:18:45.420775Z</t>
        </is>
      </c>
      <c r="C30" s="24" t="inlineStr">
        <is>
          <t>2026-08-09T12:00:00Z</t>
        </is>
      </c>
      <c r="D30" s="24" t="inlineStr">
        <is>
          <t>73703</t>
        </is>
      </c>
      <c r="E30" s="24" t="inlineStr">
        <is>
          <t>LOL</t>
        </is>
      </c>
      <c r="F30" s="24" t="inlineStr">
        <is>
          <t>Karmine Corp Blue Stars</t>
        </is>
      </c>
      <c r="G30" s="24" t="inlineStr">
        <is>
          <t>Ancient Ones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133</v>
      </c>
      <c r="M30" s="27" t="n">
        <v>2.33</v>
      </c>
      <c r="N30" s="28" t="n">
        <v>0.429185</v>
      </c>
      <c r="O30" s="28" t="n">
        <v>0.530903</v>
      </c>
      <c r="P30" s="28" t="n"/>
      <c r="Q30" s="28" t="n">
        <v>0.101718</v>
      </c>
      <c r="R30" s="26" t="n">
        <v>71</v>
      </c>
      <c r="S30" s="29" t="n">
        <v>1</v>
      </c>
      <c r="T30" s="24" t="inlineStr">
        <is>
          <t>lol-tiered-elo-v6</t>
        </is>
      </c>
      <c r="U30" s="24" t="inlineStr">
        <is>
          <t>settled</t>
        </is>
      </c>
      <c r="V30" s="24" t="inlineStr">
        <is>
          <t>loss</t>
        </is>
      </c>
      <c r="W30" s="26" t="n">
        <v>1</v>
      </c>
      <c r="X30" s="26" t="n">
        <v>0</v>
      </c>
      <c r="Y30" s="25" t="n"/>
      <c r="Z30" s="26" t="n">
        <v>133</v>
      </c>
      <c r="AA30" s="28" t="n">
        <v>0.43</v>
      </c>
      <c r="AB30" s="28" t="n">
        <v>0.000815</v>
      </c>
      <c r="AC30" s="30" t="n">
        <v>-1</v>
      </c>
      <c r="AD30" s="24" t="inlineStr">
        <is>
          <t>2026-08-09T13:57:39.316962Z</t>
        </is>
      </c>
      <c r="AE30" s="31" t="inlineStr">
        <is>
          <t>Neutral Elo baseline; executable ask 0.4300 (market_slug=aec-lol-ao-kcbs-2026-08-09).</t>
        </is>
      </c>
      <c r="AF30" s="31" t="inlineStr">
        <is>
          <t>Config-promoted esports baseline; gates enforced at log time.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Karmine Corp Blue Stars</t>
        </is>
      </c>
      <c r="AQ30" s="24" t="inlineStr">
        <is>
          <t>Karmine Corp Blue Stars</t>
        </is>
      </c>
      <c r="AR30" s="24" t="inlineStr">
        <is>
          <t>Karmine Corp Blue Stars</t>
        </is>
      </c>
      <c r="AS30" s="24" t="inlineStr">
        <is>
          <t>Ancient Ones</t>
        </is>
      </c>
      <c r="AT30" s="24" t="inlineStr">
        <is>
          <t>Ancient Ones</t>
        </is>
      </c>
      <c r="AU30" s="24" t="inlineStr">
        <is>
          <t>Ancient Ones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d1af9b18c2d3ace9d47f74a1570e11714c592a6d92bd30ded3db42a502b40cf2</t>
        </is>
      </c>
      <c r="BB30" s="24" t="inlineStr">
        <is>
          <t>neutral_elo</t>
        </is>
      </c>
      <c r="BC30" s="24" t="inlineStr">
        <is>
          <t>lol-tiered-elo-v6</t>
        </is>
      </c>
      <c r="BD30" s="24" t="inlineStr">
        <is>
          <t>d1af9b18c2d3ace9d47f74a1570e11714c592a6d92bd30ded3db42a502b40cf2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lol-tiered-elo-v6</t>
        </is>
      </c>
      <c r="BH30" s="24" t="inlineStr">
        <is>
          <t>2026-08-09T05:18:32.672561Z</t>
        </is>
      </c>
      <c r="BI30" s="24" t="inlineStr">
        <is>
          <t>["same_event","same_team_same_day","same_league_same_day"]</t>
        </is>
      </c>
      <c r="BJ30" s="25" t="n"/>
      <c r="BK30" s="26" t="n">
        <v>133</v>
      </c>
      <c r="BL30" s="27" t="n">
        <v>2.33</v>
      </c>
      <c r="BM30" s="28" t="n">
        <v>0.429185</v>
      </c>
      <c r="BN30" s="28" t="n"/>
      <c r="BO30" s="28" t="n"/>
      <c r="BP30" s="25" t="n"/>
      <c r="BQ30" s="27" t="n">
        <v>2.33</v>
      </c>
      <c r="BR30" s="28" t="n">
        <v>0.43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0.429185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edd341c8b9284f91</t>
        </is>
      </c>
      <c r="B31" s="24" t="inlineStr">
        <is>
          <t>2026-08-09T14:01:53.524228Z</t>
        </is>
      </c>
      <c r="C31" s="24" t="inlineStr">
        <is>
          <t>2026-08-09T16:00:00Z</t>
        </is>
      </c>
      <c r="D31" s="24" t="inlineStr">
        <is>
          <t>73792</t>
        </is>
      </c>
      <c r="E31" s="24" t="inlineStr">
        <is>
          <t>LOL</t>
        </is>
      </c>
      <c r="F31" s="24" t="inlineStr">
        <is>
          <t>Vivo Keyd Stars</t>
        </is>
      </c>
      <c r="G31" s="24" t="inlineStr">
        <is>
          <t>LOUD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133</v>
      </c>
      <c r="M31" s="27" t="n">
        <v>2.33</v>
      </c>
      <c r="N31" s="28" t="n">
        <v>0.429185</v>
      </c>
      <c r="O31" s="28" t="n">
        <v>0.565457</v>
      </c>
      <c r="P31" s="28" t="n"/>
      <c r="Q31" s="28" t="n">
        <v>0.136272</v>
      </c>
      <c r="R31" s="26" t="n">
        <v>88</v>
      </c>
      <c r="S31" s="29" t="n">
        <v>1</v>
      </c>
      <c r="T31" s="24" t="inlineStr">
        <is>
          <t>lol-tiered-elo-v6</t>
        </is>
      </c>
      <c r="U31" s="24" t="inlineStr">
        <is>
          <t>settled</t>
        </is>
      </c>
      <c r="V31" s="24" t="inlineStr">
        <is>
          <t>loss</t>
        </is>
      </c>
      <c r="W31" s="26" t="n">
        <v>0</v>
      </c>
      <c r="X31" s="26" t="n">
        <v>1</v>
      </c>
      <c r="Y31" s="25" t="n"/>
      <c r="Z31" s="26" t="n">
        <v>133</v>
      </c>
      <c r="AA31" s="28" t="n">
        <v>0.43</v>
      </c>
      <c r="AB31" s="28" t="n">
        <v>0.000815</v>
      </c>
      <c r="AC31" s="30" t="n">
        <v>-1</v>
      </c>
      <c r="AD31" s="24" t="inlineStr">
        <is>
          <t>2026-08-09T20:26:22.511553Z</t>
        </is>
      </c>
      <c r="AE31" s="31" t="inlineStr">
        <is>
          <t>Neutral Elo baseline; executable ask 0.4300 (market_slug=aec-lol-lll-vks-2026-08-09).</t>
        </is>
      </c>
      <c r="AF31" s="31" t="inlineStr">
        <is>
          <t>Config-promoted esports baseline; gates enforced at log time.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Vivo Keyd Stars</t>
        </is>
      </c>
      <c r="AQ31" s="24" t="inlineStr">
        <is>
          <t>Vivo Keyd Stars</t>
        </is>
      </c>
      <c r="AR31" s="24" t="inlineStr">
        <is>
          <t>Vivo Keyd Stars</t>
        </is>
      </c>
      <c r="AS31" s="24" t="inlineStr">
        <is>
          <t>LOUD</t>
        </is>
      </c>
      <c r="AT31" s="24" t="inlineStr">
        <is>
          <t>LOUD</t>
        </is>
      </c>
      <c r="AU31" s="24" t="inlineStr">
        <is>
          <t>LOUD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b58ac9e03c1a5d9a8ba8b54127b580955d4aa64f9a40d7b31d028c52dfb61e0d</t>
        </is>
      </c>
      <c r="BB31" s="24" t="inlineStr">
        <is>
          <t>neutral_elo</t>
        </is>
      </c>
      <c r="BC31" s="24" t="inlineStr">
        <is>
          <t>lol-tiered-elo-v6</t>
        </is>
      </c>
      <c r="BD31" s="24" t="inlineStr">
        <is>
          <t>b58ac9e03c1a5d9a8ba8b54127b580955d4aa64f9a40d7b31d028c52dfb61e0d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lol-tiered-elo-v6</t>
        </is>
      </c>
      <c r="BH31" s="24" t="inlineStr">
        <is>
          <t>2026-08-09T14:01:44.268334Z</t>
        </is>
      </c>
      <c r="BI31" s="24" t="inlineStr">
        <is>
          <t>["same_event","same_team_same_day","same_league_same_day"]</t>
        </is>
      </c>
      <c r="BJ31" s="25" t="n"/>
      <c r="BK31" s="26" t="n">
        <v>133</v>
      </c>
      <c r="BL31" s="27" t="n">
        <v>2.33</v>
      </c>
      <c r="BM31" s="28" t="n">
        <v>0.429185</v>
      </c>
      <c r="BN31" s="28" t="n"/>
      <c r="BO31" s="28" t="n"/>
      <c r="BP31" s="25" t="n"/>
      <c r="BQ31" s="27" t="n">
        <v>2.33</v>
      </c>
      <c r="BR31" s="28" t="n">
        <v>0.43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0.429185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c01c667fc7be4da6</t>
        </is>
      </c>
      <c r="B32" s="24" t="inlineStr">
        <is>
          <t>2026-08-10T05:41:28.453324Z</t>
        </is>
      </c>
      <c r="C32" s="24" t="inlineStr">
        <is>
          <t>2026-08-10T06:00:00Z</t>
        </is>
      </c>
      <c r="D32" s="24" t="inlineStr">
        <is>
          <t>74303</t>
        </is>
      </c>
      <c r="E32" s="24" t="inlineStr">
        <is>
          <t>LOL</t>
        </is>
      </c>
      <c r="F32" s="24" t="inlineStr">
        <is>
          <t>Gen.G</t>
        </is>
      </c>
      <c r="G32" s="24" t="inlineStr">
        <is>
          <t>Hanwha Life Esports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144</v>
      </c>
      <c r="M32" s="27" t="n">
        <v>2.44</v>
      </c>
      <c r="N32" s="28" t="n">
        <v>0.409836</v>
      </c>
      <c r="O32" s="28" t="n">
        <v>0.555268</v>
      </c>
      <c r="P32" s="28" t="n"/>
      <c r="Q32" s="28" t="n">
        <v>0.145432</v>
      </c>
      <c r="R32" s="26" t="n">
        <v>93</v>
      </c>
      <c r="S32" s="29" t="n">
        <v>1</v>
      </c>
      <c r="T32" s="24" t="inlineStr">
        <is>
          <t>lol-tiered-elo-v6</t>
        </is>
      </c>
      <c r="U32" s="24" t="inlineStr">
        <is>
          <t>settled</t>
        </is>
      </c>
      <c r="V32" s="24" t="inlineStr">
        <is>
          <t>win</t>
        </is>
      </c>
      <c r="W32" s="26" t="n">
        <v>0</v>
      </c>
      <c r="X32" s="26" t="n">
        <v>1</v>
      </c>
      <c r="Y32" s="25" t="n"/>
      <c r="Z32" s="26" t="n">
        <v>144</v>
      </c>
      <c r="AA32" s="28" t="n">
        <v>0.41</v>
      </c>
      <c r="AB32" s="28" t="n">
        <v>0.000164</v>
      </c>
      <c r="AC32" s="30" t="n">
        <v>1.44</v>
      </c>
      <c r="AD32" s="24" t="inlineStr">
        <is>
          <t>2026-08-10T16:33:38.329597Z</t>
        </is>
      </c>
      <c r="AE32" s="31" t="inlineStr">
        <is>
          <t>Neutral Elo baseline; executable ask 0.4100 (market_slug=aec-lol-hle-gen-2026-08-10).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Gen.G</t>
        </is>
      </c>
      <c r="AQ32" s="24" t="inlineStr">
        <is>
          <t>Gen.G</t>
        </is>
      </c>
      <c r="AR32" s="24" t="inlineStr">
        <is>
          <t>Gen.G</t>
        </is>
      </c>
      <c r="AS32" s="24" t="inlineStr">
        <is>
          <t>Hanwha Life Esports</t>
        </is>
      </c>
      <c r="AT32" s="24" t="inlineStr">
        <is>
          <t>Hanwha Life Esports</t>
        </is>
      </c>
      <c r="AU32" s="24" t="inlineStr">
        <is>
          <t>Hanwha Life Esports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1315e3fd57f39b5e423c7478ae4d488c4fac6a7f2c4f64188933b2184d22eecf</t>
        </is>
      </c>
      <c r="BB32" s="24" t="inlineStr">
        <is>
          <t>neutral_elo</t>
        </is>
      </c>
      <c r="BC32" s="24" t="inlineStr">
        <is>
          <t>lol-tiered-elo-v6</t>
        </is>
      </c>
      <c r="BD32" s="24" t="inlineStr">
        <is>
          <t>1315e3fd57f39b5e423c7478ae4d488c4fac6a7f2c4f64188933b2184d22eecf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lol-tiered-elo-v6</t>
        </is>
      </c>
      <c r="BH32" s="24" t="inlineStr">
        <is>
          <t>2026-08-10T05:41:12.074053Z</t>
        </is>
      </c>
      <c r="BI32" s="24" t="inlineStr">
        <is>
          <t>["same_event","same_team_same_day","same_league_same_day"]</t>
        </is>
      </c>
      <c r="BJ32" s="25" t="n"/>
      <c r="BK32" s="26" t="n">
        <v>144</v>
      </c>
      <c r="BL32" s="27" t="n">
        <v>2.44</v>
      </c>
      <c r="BM32" s="28" t="n">
        <v>0.409836</v>
      </c>
      <c r="BN32" s="28" t="n"/>
      <c r="BO32" s="28" t="n"/>
      <c r="BP32" s="25" t="n"/>
      <c r="BQ32" s="27" t="n">
        <v>2.44</v>
      </c>
      <c r="BR32" s="28" t="n">
        <v>0.41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0.409836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df6a5dbff3d0458c</t>
        </is>
      </c>
      <c r="B33" s="24" t="inlineStr">
        <is>
          <t>2026-08-10T05:41:28.453324Z</t>
        </is>
      </c>
      <c r="C33" s="24" t="inlineStr">
        <is>
          <t>2026-08-10T15:00:00Z</t>
        </is>
      </c>
      <c r="D33" s="24" t="inlineStr">
        <is>
          <t>74409</t>
        </is>
      </c>
      <c r="E33" s="24" t="inlineStr">
        <is>
          <t>LOL</t>
        </is>
      </c>
      <c r="F33" s="24" t="inlineStr">
        <is>
          <t>Team Vitality</t>
        </is>
      </c>
      <c r="G33" s="24" t="inlineStr">
        <is>
          <t>SK Gaming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-194</v>
      </c>
      <c r="M33" s="27" t="n">
        <v>1.515464</v>
      </c>
      <c r="N33" s="28" t="n">
        <v>0.659864</v>
      </c>
      <c r="O33" s="28" t="n">
        <v>0.702856</v>
      </c>
      <c r="P33" s="28" t="n"/>
      <c r="Q33" s="28" t="n">
        <v>0.042992</v>
      </c>
      <c r="R33" s="26" t="n">
        <v>41</v>
      </c>
      <c r="S33" s="29" t="n">
        <v>2</v>
      </c>
      <c r="T33" s="24" t="inlineStr">
        <is>
          <t>lol-tiered-elo-v6</t>
        </is>
      </c>
      <c r="U33" s="24" t="inlineStr">
        <is>
          <t>settled</t>
        </is>
      </c>
      <c r="V33" s="24" t="inlineStr">
        <is>
          <t>win</t>
        </is>
      </c>
      <c r="W33" s="26" t="n">
        <v>1</v>
      </c>
      <c r="X33" s="26" t="n">
        <v>0</v>
      </c>
      <c r="Y33" s="25" t="n"/>
      <c r="Z33" s="26" t="n">
        <v>-194</v>
      </c>
      <c r="AA33" s="28" t="n">
        <v>0.66</v>
      </c>
      <c r="AB33" s="28" t="n">
        <v>0.000136</v>
      </c>
      <c r="AC33" s="30" t="n">
        <v>1.0309</v>
      </c>
      <c r="AD33" s="24" t="inlineStr">
        <is>
          <t>2026-08-10T16:33:39.823234Z</t>
        </is>
      </c>
      <c r="AE33" s="31" t="inlineStr">
        <is>
          <t>Neutral Elo baseline; executable ask 0.6600 (market_slug=aec-lol-sk-vit-2026-08-10).</t>
        </is>
      </c>
      <c r="AF33" s="31" t="inlineStr">
        <is>
          <t>Config-promoted esports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Team Vitality</t>
        </is>
      </c>
      <c r="AQ33" s="24" t="inlineStr">
        <is>
          <t>Team Vitality</t>
        </is>
      </c>
      <c r="AR33" s="24" t="inlineStr">
        <is>
          <t>Team Vitality</t>
        </is>
      </c>
      <c r="AS33" s="24" t="inlineStr">
        <is>
          <t>SK Gaming</t>
        </is>
      </c>
      <c r="AT33" s="24" t="inlineStr">
        <is>
          <t>SK Gaming</t>
        </is>
      </c>
      <c r="AU33" s="24" t="inlineStr">
        <is>
          <t>SK Gaming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1315e3fd57f39b5e423c7478ae4d488c4fac6a7f2c4f64188933b2184d22eecf</t>
        </is>
      </c>
      <c r="BB33" s="24" t="inlineStr">
        <is>
          <t>neutral_elo</t>
        </is>
      </c>
      <c r="BC33" s="24" t="inlineStr">
        <is>
          <t>lol-tiered-elo-v6</t>
        </is>
      </c>
      <c r="BD33" s="24" t="inlineStr">
        <is>
          <t>1315e3fd57f39b5e423c7478ae4d488c4fac6a7f2c4f64188933b2184d22eecf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lol-tiered-elo-v6</t>
        </is>
      </c>
      <c r="BH33" s="24" t="inlineStr">
        <is>
          <t>2026-08-10T05:41:14.500661Z</t>
        </is>
      </c>
      <c r="BI33" s="24" t="inlineStr">
        <is>
          <t>["same_event","same_team_same_day","same_league_same_day"]</t>
        </is>
      </c>
      <c r="BJ33" s="25" t="n"/>
      <c r="BK33" s="26" t="n">
        <v>-194</v>
      </c>
      <c r="BL33" s="27" t="n">
        <v>1.515464</v>
      </c>
      <c r="BM33" s="28" t="n">
        <v>0.659864</v>
      </c>
      <c r="BN33" s="28" t="n"/>
      <c r="BO33" s="28" t="n"/>
      <c r="BP33" s="25" t="n"/>
      <c r="BQ33" s="27" t="n">
        <v>1.515464</v>
      </c>
      <c r="BR33" s="28" t="n">
        <v>0.66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0.659864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4c4ec81221174a4b</t>
        </is>
      </c>
      <c r="B34" s="24" t="inlineStr">
        <is>
          <t>2026-08-10T16:36:52.218705Z</t>
        </is>
      </c>
      <c r="C34" s="24" t="inlineStr">
        <is>
          <t>2026-08-11T10:00:00Z</t>
        </is>
      </c>
      <c r="D34" s="24" t="inlineStr">
        <is>
          <t>75102</t>
        </is>
      </c>
      <c r="E34" s="24" t="inlineStr">
        <is>
          <t>LOL</t>
        </is>
      </c>
      <c r="F34" s="24" t="inlineStr">
        <is>
          <t>Dplus KIA Challengers</t>
        </is>
      </c>
      <c r="G34" s="24" t="inlineStr">
        <is>
          <t>Nongshim Esports Academy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104</v>
      </c>
      <c r="M34" s="27" t="n">
        <v>2.04</v>
      </c>
      <c r="N34" s="28" t="n">
        <v>0.490196</v>
      </c>
      <c r="O34" s="28" t="n">
        <v>0.600293</v>
      </c>
      <c r="P34" s="28" t="n"/>
      <c r="Q34" s="28" t="n">
        <v>0.110097</v>
      </c>
      <c r="R34" s="26" t="n">
        <v>75</v>
      </c>
      <c r="S34" s="29" t="n">
        <v>1.25</v>
      </c>
      <c r="T34" s="24" t="inlineStr">
        <is>
          <t>lol-tiered-elo-v6</t>
        </is>
      </c>
      <c r="U34" s="24" t="inlineStr">
        <is>
          <t>settled</t>
        </is>
      </c>
      <c r="V34" s="24" t="inlineStr">
        <is>
          <t>win</t>
        </is>
      </c>
      <c r="W34" s="26" t="n">
        <v>1</v>
      </c>
      <c r="X34" s="26" t="n">
        <v>0</v>
      </c>
      <c r="Y34" s="25" t="n"/>
      <c r="Z34" s="26" t="n"/>
      <c r="AA34" s="28" t="n"/>
      <c r="AB34" s="28" t="n"/>
      <c r="AC34" s="30" t="n">
        <v>1.3</v>
      </c>
      <c r="AD34" s="24" t="inlineStr">
        <is>
          <t>2026-08-11T16:30:34.417488Z</t>
        </is>
      </c>
      <c r="AE34" s="31" t="inlineStr">
        <is>
          <t>Neutral Elo baseline; executable ask 0.4900 (market_slug=aec-lol-nsea-dkc-2026-08-11).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Dplus KIA Challengers</t>
        </is>
      </c>
      <c r="AQ34" s="24" t="inlineStr">
        <is>
          <t>Dplus KIA Challengers</t>
        </is>
      </c>
      <c r="AR34" s="24" t="inlineStr">
        <is>
          <t>Dplus KIA Challengers</t>
        </is>
      </c>
      <c r="AS34" s="24" t="inlineStr">
        <is>
          <t>Nongshim Esports Academy</t>
        </is>
      </c>
      <c r="AT34" s="24" t="inlineStr">
        <is>
          <t>Nongshim Esports Academy</t>
        </is>
      </c>
      <c r="AU34" s="24" t="inlineStr">
        <is>
          <t>Nongshim Esports Academy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b17a7ad5927b03dc324401003ec664ab1757d0145d4b926e56b78e2895a058ba</t>
        </is>
      </c>
      <c r="BB34" s="24" t="inlineStr">
        <is>
          <t>neutral_elo</t>
        </is>
      </c>
      <c r="BC34" s="24" t="inlineStr">
        <is>
          <t>lol-tiered-elo-v6</t>
        </is>
      </c>
      <c r="BD34" s="24" t="inlineStr">
        <is>
          <t>b17a7ad5927b03dc324401003ec664ab1757d0145d4b926e56b78e2895a058ba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lol-tiered-elo-v6</t>
        </is>
      </c>
      <c r="BH34" s="24" t="inlineStr">
        <is>
          <t>2026-08-10T16:36:37.130668Z</t>
        </is>
      </c>
      <c r="BI34" s="24" t="inlineStr">
        <is>
          <t>["same_event","same_team_same_day","same_league_same_day"]</t>
        </is>
      </c>
      <c r="BJ34" s="25" t="n"/>
      <c r="BK34" s="26" t="n">
        <v>104</v>
      </c>
      <c r="BL34" s="27" t="n">
        <v>2.04</v>
      </c>
      <c r="BM34" s="28" t="n">
        <v>0.490196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0.490196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598b9f7e255a49a7</t>
        </is>
      </c>
      <c r="B35" s="24" t="inlineStr">
        <is>
          <t>2026-08-11T16:56:35.179095Z</t>
        </is>
      </c>
      <c r="C35" s="24" t="inlineStr">
        <is>
          <t>2026-08-11T17:00:00Z</t>
        </is>
      </c>
      <c r="D35" s="24" t="inlineStr">
        <is>
          <t>75397</t>
        </is>
      </c>
      <c r="E35" s="24" t="inlineStr">
        <is>
          <t>LOL</t>
        </is>
      </c>
      <c r="F35" s="24" t="inlineStr">
        <is>
          <t>Forsaken</t>
        </is>
      </c>
      <c r="G35" s="24" t="inlineStr">
        <is>
          <t>Lodis</t>
        </is>
      </c>
      <c r="H35" s="24" t="inlineStr">
        <is>
          <t>moneyline</t>
        </is>
      </c>
      <c r="I35" s="24" t="inlineStr">
        <is>
          <t>away</t>
        </is>
      </c>
      <c r="J35" s="25" t="n"/>
      <c r="K35" s="24" t="inlineStr">
        <is>
          <t>polymarket_us</t>
        </is>
      </c>
      <c r="L35" s="26" t="n">
        <v>156</v>
      </c>
      <c r="M35" s="27" t="n">
        <v>2.56</v>
      </c>
      <c r="N35" s="28" t="n">
        <v>0.390625</v>
      </c>
      <c r="O35" s="28" t="n">
        <v>0.758714</v>
      </c>
      <c r="P35" s="28" t="n"/>
      <c r="Q35" s="28" t="n">
        <v>0.368089</v>
      </c>
      <c r="R35" s="26" t="n">
        <v>100</v>
      </c>
      <c r="S35" s="29" t="n">
        <v>2</v>
      </c>
      <c r="T35" s="24" t="inlineStr">
        <is>
          <t>lol-tiered-elo-v6</t>
        </is>
      </c>
      <c r="U35" s="24" t="inlineStr">
        <is>
          <t>settled</t>
        </is>
      </c>
      <c r="V35" s="24" t="inlineStr">
        <is>
          <t>win</t>
        </is>
      </c>
      <c r="W35" s="26" t="n">
        <v>1</v>
      </c>
      <c r="X35" s="26" t="n">
        <v>0</v>
      </c>
      <c r="Y35" s="25" t="n"/>
      <c r="Z35" s="26" t="n">
        <v>156</v>
      </c>
      <c r="AA35" s="28" t="n">
        <v>0.39</v>
      </c>
      <c r="AB35" s="28" t="n">
        <v>-0.000625</v>
      </c>
      <c r="AC35" s="30" t="n">
        <v>3.12</v>
      </c>
      <c r="AD35" s="24" t="inlineStr">
        <is>
          <t>2026-08-11T23:00:56.742225Z</t>
        </is>
      </c>
      <c r="AE35" s="31" t="inlineStr">
        <is>
          <t>Neutral Elo baseline; executable ask 0.3900 (market_slug=aec-lol-lds-fsk-2026-08-11).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Forsaken</t>
        </is>
      </c>
      <c r="AQ35" s="24" t="inlineStr">
        <is>
          <t>Forsaken</t>
        </is>
      </c>
      <c r="AR35" s="24" t="inlineStr">
        <is>
          <t>Forsaken</t>
        </is>
      </c>
      <c r="AS35" s="24" t="inlineStr">
        <is>
          <t>Lodis</t>
        </is>
      </c>
      <c r="AT35" s="24" t="inlineStr">
        <is>
          <t>Lodis</t>
        </is>
      </c>
      <c r="AU35" s="24" t="inlineStr">
        <is>
          <t>Lodis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ed7267b514f407c2093b515500eb4a8b26567d3f07ecbd95b89717fa166d10fd</t>
        </is>
      </c>
      <c r="BB35" s="24" t="inlineStr">
        <is>
          <t>neutral_elo</t>
        </is>
      </c>
      <c r="BC35" s="24" t="inlineStr">
        <is>
          <t>lol-tiered-elo-v6</t>
        </is>
      </c>
      <c r="BD35" s="24" t="inlineStr">
        <is>
          <t>ed7267b514f407c2093b515500eb4a8b26567d3f07ecbd95b89717fa166d10fd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lol-tiered-elo-v6</t>
        </is>
      </c>
      <c r="BH35" s="24" t="inlineStr">
        <is>
          <t>2026-08-11T16:56:16.156478Z</t>
        </is>
      </c>
      <c r="BI35" s="24" t="inlineStr">
        <is>
          <t>["same_event","same_team_same_day","same_league_same_day"]</t>
        </is>
      </c>
      <c r="BJ35" s="25" t="n"/>
      <c r="BK35" s="26" t="n">
        <v>156</v>
      </c>
      <c r="BL35" s="27" t="n">
        <v>2.56</v>
      </c>
      <c r="BM35" s="28" t="n">
        <v>0.390625</v>
      </c>
      <c r="BN35" s="28" t="n"/>
      <c r="BO35" s="28" t="n"/>
      <c r="BP35" s="25" t="n"/>
      <c r="BQ35" s="27" t="n">
        <v>2.56</v>
      </c>
      <c r="BR35" s="28" t="n">
        <v>0.39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0.390625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a7431973bdd148ae</t>
        </is>
      </c>
      <c r="B36" s="24" t="inlineStr">
        <is>
          <t>2026-08-11T19:58:42.464012Z</t>
        </is>
      </c>
      <c r="C36" s="24" t="inlineStr">
        <is>
          <t>2026-08-11T20:00:00Z</t>
        </is>
      </c>
      <c r="D36" s="24" t="inlineStr">
        <is>
          <t>75895</t>
        </is>
      </c>
      <c r="E36" s="24" t="inlineStr">
        <is>
          <t>LOL</t>
        </is>
      </c>
      <c r="F36" s="24" t="inlineStr">
        <is>
          <t>7REX</t>
        </is>
      </c>
      <c r="G36" s="24" t="inlineStr">
        <is>
          <t>Team Solid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-104</v>
      </c>
      <c r="M36" s="27" t="n">
        <v>1.961538</v>
      </c>
      <c r="N36" s="28" t="n">
        <v>0.509804</v>
      </c>
      <c r="O36" s="28" t="n">
        <v>0.571583</v>
      </c>
      <c r="P36" s="28" t="n"/>
      <c r="Q36" s="28" t="n">
        <v>0.061779</v>
      </c>
      <c r="R36" s="26" t="n">
        <v>51</v>
      </c>
      <c r="S36" s="29" t="n">
        <v>1.25</v>
      </c>
      <c r="T36" s="24" t="inlineStr">
        <is>
          <t>lol-tiered-elo-v6</t>
        </is>
      </c>
      <c r="U36" s="24" t="inlineStr">
        <is>
          <t>settled</t>
        </is>
      </c>
      <c r="V36" s="24" t="inlineStr">
        <is>
          <t>win</t>
        </is>
      </c>
      <c r="W36" s="26" t="n">
        <v>1</v>
      </c>
      <c r="X36" s="26" t="n">
        <v>0</v>
      </c>
      <c r="Y36" s="25" t="n"/>
      <c r="Z36" s="26" t="n">
        <v>-104</v>
      </c>
      <c r="AA36" s="28" t="n">
        <v>0.51</v>
      </c>
      <c r="AB36" s="28" t="n">
        <v>0.000196</v>
      </c>
      <c r="AC36" s="30" t="n">
        <v>1.2019</v>
      </c>
      <c r="AD36" s="24" t="inlineStr">
        <is>
          <t>2026-08-11T23:00:58.174000Z</t>
        </is>
      </c>
      <c r="AE36" s="31" t="inlineStr">
        <is>
          <t>Neutral Elo baseline; executable ask 0.5100 (market_slug=aec-lol-tse-7rex-2026-08-11).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7REX</t>
        </is>
      </c>
      <c r="AQ36" s="24" t="inlineStr">
        <is>
          <t>7REX</t>
        </is>
      </c>
      <c r="AR36" s="24" t="inlineStr">
        <is>
          <t>7REX</t>
        </is>
      </c>
      <c r="AS36" s="24" t="inlineStr">
        <is>
          <t>Team Solid</t>
        </is>
      </c>
      <c r="AT36" s="24" t="inlineStr">
        <is>
          <t>Team Solid</t>
        </is>
      </c>
      <c r="AU36" s="24" t="inlineStr">
        <is>
          <t>Team Solid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42520e1cbdeac477d4933d02c42aaf237b6f0d38e18175043ec37cabaabcb7e4</t>
        </is>
      </c>
      <c r="BB36" s="24" t="inlineStr">
        <is>
          <t>neutral_elo</t>
        </is>
      </c>
      <c r="BC36" s="24" t="inlineStr">
        <is>
          <t>lol-tiered-elo-v6</t>
        </is>
      </c>
      <c r="BD36" s="24" t="inlineStr">
        <is>
          <t>42520e1cbdeac477d4933d02c42aaf237b6f0d38e18175043ec37cabaabcb7e4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lol-tiered-elo-v6</t>
        </is>
      </c>
      <c r="BH36" s="24" t="inlineStr">
        <is>
          <t>2026-08-11T19:58:26.471210Z</t>
        </is>
      </c>
      <c r="BI36" s="24" t="inlineStr">
        <is>
          <t>["same_event","same_team_same_day","same_league_same_day"]</t>
        </is>
      </c>
      <c r="BJ36" s="25" t="n"/>
      <c r="BK36" s="26" t="n">
        <v>-104</v>
      </c>
      <c r="BL36" s="27" t="n">
        <v>1.961538</v>
      </c>
      <c r="BM36" s="28" t="n">
        <v>0.509804</v>
      </c>
      <c r="BN36" s="28" t="n"/>
      <c r="BO36" s="28" t="n"/>
      <c r="BP36" s="25" t="n"/>
      <c r="BQ36" s="27" t="n">
        <v>1.961538</v>
      </c>
      <c r="BR36" s="28" t="n">
        <v>0.51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0.509804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301a5c1d3d894ace</t>
        </is>
      </c>
      <c r="B37" s="24" t="inlineStr">
        <is>
          <t>2026-08-11T19:58:42.464012Z</t>
        </is>
      </c>
      <c r="C37" s="24" t="inlineStr">
        <is>
          <t>2026-08-11T23:00:00Z</t>
        </is>
      </c>
      <c r="D37" s="24" t="inlineStr">
        <is>
          <t>76011</t>
        </is>
      </c>
      <c r="E37" s="24" t="inlineStr">
        <is>
          <t>LOL</t>
        </is>
      </c>
      <c r="F37" s="24" t="inlineStr">
        <is>
          <t>SDM Tigres</t>
        </is>
      </c>
      <c r="G37" s="24" t="inlineStr">
        <is>
          <t>Kits Esports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-104</v>
      </c>
      <c r="M37" s="27" t="n">
        <v>1.961538</v>
      </c>
      <c r="N37" s="28" t="n">
        <v>0.509804</v>
      </c>
      <c r="O37" s="28" t="n">
        <v>0.546502</v>
      </c>
      <c r="P37" s="28" t="n"/>
      <c r="Q37" s="28" t="n">
        <v>0.036698</v>
      </c>
      <c r="R37" s="26" t="n">
        <v>38</v>
      </c>
      <c r="S37" s="29" t="n">
        <v>1</v>
      </c>
      <c r="T37" s="24" t="inlineStr">
        <is>
          <t>lol-tiered-elo-v6</t>
        </is>
      </c>
      <c r="U37" s="24" t="inlineStr">
        <is>
          <t>settled</t>
        </is>
      </c>
      <c r="V37" s="24" t="inlineStr">
        <is>
          <t>win</t>
        </is>
      </c>
      <c r="W37" s="26" t="n">
        <v>0</v>
      </c>
      <c r="X37" s="26" t="n">
        <v>1</v>
      </c>
      <c r="Y37" s="25" t="n"/>
      <c r="Z37" s="26" t="n">
        <v>-104</v>
      </c>
      <c r="AA37" s="28" t="n">
        <v>0.51</v>
      </c>
      <c r="AB37" s="28" t="n">
        <v>0.000196</v>
      </c>
      <c r="AC37" s="30" t="n">
        <v>0.9615</v>
      </c>
      <c r="AD37" s="24" t="inlineStr">
        <is>
          <t>2026-08-12T05:13:11.246785Z</t>
        </is>
      </c>
      <c r="AE37" s="31" t="inlineStr">
        <is>
          <t>Neutral Elo baseline; executable ask 0.5100 (market_slug=aec-lol-kits-sdm-2026-08-11).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SDM Tigres</t>
        </is>
      </c>
      <c r="AQ37" s="24" t="inlineStr">
        <is>
          <t>SDM Tigres</t>
        </is>
      </c>
      <c r="AR37" s="24" t="inlineStr">
        <is>
          <t>SDM Tigres</t>
        </is>
      </c>
      <c r="AS37" s="24" t="inlineStr">
        <is>
          <t>Kits Esports</t>
        </is>
      </c>
      <c r="AT37" s="24" t="inlineStr">
        <is>
          <t>Kits Esports</t>
        </is>
      </c>
      <c r="AU37" s="24" t="inlineStr">
        <is>
          <t>Kits Esports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42520e1cbdeac477d4933d02c42aaf237b6f0d38e18175043ec37cabaabcb7e4</t>
        </is>
      </c>
      <c r="BB37" s="24" t="inlineStr">
        <is>
          <t>neutral_elo</t>
        </is>
      </c>
      <c r="BC37" s="24" t="inlineStr">
        <is>
          <t>lol-tiered-elo-v6</t>
        </is>
      </c>
      <c r="BD37" s="24" t="inlineStr">
        <is>
          <t>42520e1cbdeac477d4933d02c42aaf237b6f0d38e18175043ec37cabaabcb7e4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lol-tiered-elo-v6</t>
        </is>
      </c>
      <c r="BH37" s="24" t="inlineStr">
        <is>
          <t>2026-08-11T19:58:26.927703Z</t>
        </is>
      </c>
      <c r="BI37" s="24" t="inlineStr">
        <is>
          <t>["same_event","same_team_same_day","same_league_same_day"]</t>
        </is>
      </c>
      <c r="BJ37" s="25" t="n"/>
      <c r="BK37" s="26" t="n">
        <v>-104</v>
      </c>
      <c r="BL37" s="27" t="n">
        <v>1.961538</v>
      </c>
      <c r="BM37" s="28" t="n">
        <v>0.509804</v>
      </c>
      <c r="BN37" s="28" t="n"/>
      <c r="BO37" s="28" t="n"/>
      <c r="BP37" s="25" t="n"/>
      <c r="BQ37" s="27" t="n">
        <v>1.961538</v>
      </c>
      <c r="BR37" s="28" t="n">
        <v>0.51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0.509804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113fbe2b75544462</t>
        </is>
      </c>
      <c r="B38" s="24" t="inlineStr">
        <is>
          <t>2026-08-12T05:16:40.582345Z</t>
        </is>
      </c>
      <c r="C38" s="24" t="inlineStr">
        <is>
          <t>2026-08-12T08:00:00Z</t>
        </is>
      </c>
      <c r="D38" s="24" t="inlineStr">
        <is>
          <t>76176</t>
        </is>
      </c>
      <c r="E38" s="24" t="inlineStr">
        <is>
          <t>LOL</t>
        </is>
      </c>
      <c r="F38" s="24" t="inlineStr">
        <is>
          <t>Nongshim Red Force</t>
        </is>
      </c>
      <c r="G38" s="24" t="inlineStr">
        <is>
          <t>DN SOOPers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150</v>
      </c>
      <c r="M38" s="27" t="n">
        <v>2.5</v>
      </c>
      <c r="N38" s="28" t="n">
        <v>0.4</v>
      </c>
      <c r="O38" s="28" t="n">
        <v>0.538872</v>
      </c>
      <c r="P38" s="28" t="n"/>
      <c r="Q38" s="28" t="n">
        <v>0.138872</v>
      </c>
      <c r="R38" s="26" t="n">
        <v>89</v>
      </c>
      <c r="S38" s="29" t="n">
        <v>1</v>
      </c>
      <c r="T38" s="24" t="inlineStr">
        <is>
          <t>lol-tiered-elo-v6</t>
        </is>
      </c>
      <c r="U38" s="24" t="inlineStr">
        <is>
          <t>settled</t>
        </is>
      </c>
      <c r="V38" s="24" t="inlineStr">
        <is>
          <t>win</t>
        </is>
      </c>
      <c r="W38" s="26" t="n">
        <v>0</v>
      </c>
      <c r="X38" s="26" t="n">
        <v>1</v>
      </c>
      <c r="Y38" s="25" t="n"/>
      <c r="Z38" s="26" t="n">
        <v>150</v>
      </c>
      <c r="AA38" s="28" t="n">
        <v>0.4</v>
      </c>
      <c r="AB38" s="28" t="n">
        <v>0</v>
      </c>
      <c r="AC38" s="30" t="n">
        <v>1.5</v>
      </c>
      <c r="AD38" s="24" t="inlineStr">
        <is>
          <t>2026-08-12T11:26:18.269554Z</t>
        </is>
      </c>
      <c r="AE38" s="31" t="inlineStr">
        <is>
          <t>Neutral Elo baseline; executable ask 0.4000 (market_slug=aec-lol-dns-ns-2026-08-12).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Nongshim Red Force</t>
        </is>
      </c>
      <c r="AQ38" s="24" t="inlineStr">
        <is>
          <t>Nongshim Red Force</t>
        </is>
      </c>
      <c r="AR38" s="24" t="inlineStr">
        <is>
          <t>Nongshim Red Force</t>
        </is>
      </c>
      <c r="AS38" s="24" t="inlineStr">
        <is>
          <t>DN SOOPers</t>
        </is>
      </c>
      <c r="AT38" s="24" t="inlineStr">
        <is>
          <t>DN SOOPers</t>
        </is>
      </c>
      <c r="AU38" s="24" t="inlineStr">
        <is>
          <t>DN SOOPers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5fa3e5dd2ed25c20af7f0b7693e2291536f17559c47f3686346f2079d8e5866e</t>
        </is>
      </c>
      <c r="BB38" s="24" t="inlineStr">
        <is>
          <t>neutral_elo</t>
        </is>
      </c>
      <c r="BC38" s="24" t="inlineStr">
        <is>
          <t>lol-tiered-elo-v6</t>
        </is>
      </c>
      <c r="BD38" s="24" t="inlineStr">
        <is>
          <t>5fa3e5dd2ed25c20af7f0b7693e2291536f17559c47f3686346f2079d8e5866e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lol-tiered-elo-v6</t>
        </is>
      </c>
      <c r="BH38" s="24" t="inlineStr">
        <is>
          <t>2026-08-12T05:16:07.484937Z</t>
        </is>
      </c>
      <c r="BI38" s="24" t="inlineStr">
        <is>
          <t>["same_event","same_team_same_day","same_league_same_day"]</t>
        </is>
      </c>
      <c r="BJ38" s="25" t="n"/>
      <c r="BK38" s="26" t="n">
        <v>150</v>
      </c>
      <c r="BL38" s="27" t="n">
        <v>2.5</v>
      </c>
      <c r="BM38" s="28" t="n">
        <v>0.4</v>
      </c>
      <c r="BN38" s="28" t="n"/>
      <c r="BO38" s="28" t="n"/>
      <c r="BP38" s="25" t="n"/>
      <c r="BQ38" s="27" t="n">
        <v>2.5</v>
      </c>
      <c r="BR38" s="28" t="n">
        <v>0.4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0.4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9154cce1b7b7468f</t>
        </is>
      </c>
      <c r="B39" s="24" t="inlineStr">
        <is>
          <t>2026-08-12T11:30:32.213742Z</t>
        </is>
      </c>
      <c r="C39" s="24" t="inlineStr">
        <is>
          <t>2026-08-12T14:00:00Z</t>
        </is>
      </c>
      <c r="D39" s="24" t="inlineStr">
        <is>
          <t>78193</t>
        </is>
      </c>
      <c r="E39" s="24" t="inlineStr">
        <is>
          <t>LOL</t>
        </is>
      </c>
      <c r="F39" s="24" t="inlineStr">
        <is>
          <t>eSuba</t>
        </is>
      </c>
      <c r="G39" s="24" t="inlineStr">
        <is>
          <t>Onion Team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-150</v>
      </c>
      <c r="M39" s="27" t="n">
        <v>1.666667</v>
      </c>
      <c r="N39" s="28" t="n">
        <v>0.6</v>
      </c>
      <c r="O39" s="28" t="n">
        <v>0.689456</v>
      </c>
      <c r="P39" s="28" t="n"/>
      <c r="Q39" s="28" t="n">
        <v>0.08945599999999999</v>
      </c>
      <c r="R39" s="26" t="n">
        <v>65</v>
      </c>
      <c r="S39" s="29" t="n">
        <v>2</v>
      </c>
      <c r="T39" s="24" t="inlineStr">
        <is>
          <t>lol-tiered-elo-v6</t>
        </is>
      </c>
      <c r="U39" s="24" t="inlineStr">
        <is>
          <t>settled</t>
        </is>
      </c>
      <c r="V39" s="24" t="inlineStr">
        <is>
          <t>win</t>
        </is>
      </c>
      <c r="W39" s="26" t="n">
        <v>1</v>
      </c>
      <c r="X39" s="26" t="n">
        <v>0</v>
      </c>
      <c r="Y39" s="25" t="n"/>
      <c r="Z39" s="26" t="n">
        <v>-150</v>
      </c>
      <c r="AA39" s="28" t="n">
        <v>0.6</v>
      </c>
      <c r="AB39" s="28" t="n">
        <v>0</v>
      </c>
      <c r="AC39" s="30" t="n">
        <v>1.3333</v>
      </c>
      <c r="AD39" s="24" t="inlineStr">
        <is>
          <t>2026-08-12T16:41:26.981883Z</t>
        </is>
      </c>
      <c r="AE39" s="31" t="inlineStr">
        <is>
          <t>Neutral Elo baseline; executable ask 0.6000 (market_slug=aec-lol-ot-esb-2026-08-12).</t>
        </is>
      </c>
      <c r="AF39" s="31" t="inlineStr">
        <is>
          <t>Config-promoted esports baseline; gates enforced at log time.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eSuba</t>
        </is>
      </c>
      <c r="AQ39" s="24" t="inlineStr">
        <is>
          <t>eSuba</t>
        </is>
      </c>
      <c r="AR39" s="24" t="inlineStr">
        <is>
          <t>eSuba</t>
        </is>
      </c>
      <c r="AS39" s="24" t="inlineStr">
        <is>
          <t>Onion Team</t>
        </is>
      </c>
      <c r="AT39" s="24" t="inlineStr">
        <is>
          <t>Onion Team</t>
        </is>
      </c>
      <c r="AU39" s="24" t="inlineStr">
        <is>
          <t>Onion Team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4004f0e3360462f746285bc9ac60db48513fe8f4f57bf664e3db630f4bf8de66</t>
        </is>
      </c>
      <c r="BB39" s="24" t="inlineStr">
        <is>
          <t>neutral_elo</t>
        </is>
      </c>
      <c r="BC39" s="24" t="inlineStr">
        <is>
          <t>lol-tiered-elo-v6</t>
        </is>
      </c>
      <c r="BD39" s="24" t="inlineStr">
        <is>
          <t>4004f0e3360462f746285bc9ac60db48513fe8f4f57bf664e3db630f4bf8de66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lol-tiered-elo-v6</t>
        </is>
      </c>
      <c r="BH39" s="24" t="inlineStr">
        <is>
          <t>2026-08-12T11:30:03.514727Z</t>
        </is>
      </c>
      <c r="BI39" s="24" t="inlineStr">
        <is>
          <t>["same_event","same_team_same_day","same_league_same_day"]</t>
        </is>
      </c>
      <c r="BJ39" s="25" t="n"/>
      <c r="BK39" s="26" t="n">
        <v>-150</v>
      </c>
      <c r="BL39" s="27" t="n">
        <v>1.666667</v>
      </c>
      <c r="BM39" s="28" t="n">
        <v>0.6</v>
      </c>
      <c r="BN39" s="28" t="n"/>
      <c r="BO39" s="28" t="n"/>
      <c r="BP39" s="25" t="n"/>
      <c r="BQ39" s="27" t="n">
        <v>1.666667</v>
      </c>
      <c r="BR39" s="28" t="n">
        <v>0.6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0.6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9a893c5633794b3e</t>
        </is>
      </c>
      <c r="B40" s="24" t="inlineStr">
        <is>
          <t>2026-08-12T14:37:37.206527Z</t>
        </is>
      </c>
      <c r="C40" s="24" t="inlineStr">
        <is>
          <t>2026-08-12T16:00:00Z</t>
        </is>
      </c>
      <c r="D40" s="24" t="inlineStr">
        <is>
          <t>76408</t>
        </is>
      </c>
      <c r="E40" s="24" t="inlineStr">
        <is>
          <t>LOL</t>
        </is>
      </c>
      <c r="F40" s="24" t="inlineStr">
        <is>
          <t>JSK Esports</t>
        </is>
      </c>
      <c r="G40" s="24" t="inlineStr">
        <is>
          <t>Disruptors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194</v>
      </c>
      <c r="M40" s="27" t="n">
        <v>2.94</v>
      </c>
      <c r="N40" s="28" t="n">
        <v>0.340136</v>
      </c>
      <c r="O40" s="28" t="n">
        <v>0.540932</v>
      </c>
      <c r="P40" s="28" t="n"/>
      <c r="Q40" s="28" t="n">
        <v>0.200796</v>
      </c>
      <c r="R40" s="26" t="n">
        <v>100</v>
      </c>
      <c r="S40" s="29" t="n">
        <v>1</v>
      </c>
      <c r="T40" s="24" t="inlineStr">
        <is>
          <t>lol-tiered-elo-v6</t>
        </is>
      </c>
      <c r="U40" s="24" t="inlineStr">
        <is>
          <t>settled</t>
        </is>
      </c>
      <c r="V40" s="24" t="inlineStr">
        <is>
          <t>loss</t>
        </is>
      </c>
      <c r="W40" s="26" t="n">
        <v>1</v>
      </c>
      <c r="X40" s="26" t="n">
        <v>0</v>
      </c>
      <c r="Y40" s="25" t="n"/>
      <c r="Z40" s="26" t="n">
        <v>194</v>
      </c>
      <c r="AA40" s="28" t="n">
        <v>0.34</v>
      </c>
      <c r="AB40" s="28" t="n">
        <v>-0.000136</v>
      </c>
      <c r="AC40" s="30" t="n">
        <v>-1</v>
      </c>
      <c r="AD40" s="24" t="inlineStr">
        <is>
          <t>2026-08-12T21:15:59.478824Z</t>
        </is>
      </c>
      <c r="AE40" s="31" t="inlineStr">
        <is>
          <t>Neutral Elo baseline; executable ask 0.3400 (market_slug=aec-lol-ds-jsk-2026-08-12).</t>
        </is>
      </c>
      <c r="AF40" s="31" t="inlineStr">
        <is>
          <t>Config-promoted esports baseline; gates enforced at log time.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JSK Esports</t>
        </is>
      </c>
      <c r="AQ40" s="24" t="inlineStr">
        <is>
          <t>JSK Esports</t>
        </is>
      </c>
      <c r="AR40" s="24" t="inlineStr">
        <is>
          <t>JSK Esports</t>
        </is>
      </c>
      <c r="AS40" s="24" t="inlineStr">
        <is>
          <t>Disruptors</t>
        </is>
      </c>
      <c r="AT40" s="24" t="inlineStr">
        <is>
          <t>Disruptors</t>
        </is>
      </c>
      <c r="AU40" s="24" t="inlineStr">
        <is>
          <t>Disruptors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5d984128685f3b64d7a3d96ad1f15678400010a71505611bcd09049cf2b58fdd</t>
        </is>
      </c>
      <c r="BB40" s="24" t="inlineStr">
        <is>
          <t>neutral_elo</t>
        </is>
      </c>
      <c r="BC40" s="24" t="inlineStr">
        <is>
          <t>lol-tiered-elo-v6</t>
        </is>
      </c>
      <c r="BD40" s="24" t="inlineStr">
        <is>
          <t>5d984128685f3b64d7a3d96ad1f15678400010a71505611bcd09049cf2b58fdd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lol-tiered-elo-v6</t>
        </is>
      </c>
      <c r="BH40" s="24" t="inlineStr">
        <is>
          <t>2026-08-12T14:37:12.998440Z</t>
        </is>
      </c>
      <c r="BI40" s="24" t="inlineStr">
        <is>
          <t>["same_event","same_team_same_day","same_league_same_day"]</t>
        </is>
      </c>
      <c r="BJ40" s="25" t="n"/>
      <c r="BK40" s="26" t="n">
        <v>194</v>
      </c>
      <c r="BL40" s="27" t="n">
        <v>2.94</v>
      </c>
      <c r="BM40" s="28" t="n">
        <v>0.340136</v>
      </c>
      <c r="BN40" s="28" t="n"/>
      <c r="BO40" s="28" t="n"/>
      <c r="BP40" s="25" t="n"/>
      <c r="BQ40" s="27" t="n">
        <v>2.94</v>
      </c>
      <c r="BR40" s="28" t="n">
        <v>0.34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0.340136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3d6389fbda8243e4</t>
        </is>
      </c>
      <c r="B41" s="24" t="inlineStr">
        <is>
          <t>2026-08-12T21:33:50.682408Z</t>
        </is>
      </c>
      <c r="C41" s="24" t="inlineStr">
        <is>
          <t>2026-08-13T05:00:00Z</t>
        </is>
      </c>
      <c r="D41" s="24" t="inlineStr">
        <is>
          <t>77155</t>
        </is>
      </c>
      <c r="E41" s="24" t="inlineStr">
        <is>
          <t>LOL</t>
        </is>
      </c>
      <c r="F41" s="24" t="inlineStr">
        <is>
          <t>Nongshim Esports Academy</t>
        </is>
      </c>
      <c r="G41" s="24" t="inlineStr">
        <is>
          <t>KT Rolster Challengers</t>
        </is>
      </c>
      <c r="H41" s="24" t="inlineStr">
        <is>
          <t>moneyline</t>
        </is>
      </c>
      <c r="I41" s="24" t="inlineStr">
        <is>
          <t>home</t>
        </is>
      </c>
      <c r="J41" s="25" t="n"/>
      <c r="K41" s="24" t="inlineStr">
        <is>
          <t>polymarket_us</t>
        </is>
      </c>
      <c r="L41" s="26" t="n">
        <v>127</v>
      </c>
      <c r="M41" s="27" t="n">
        <v>2.27</v>
      </c>
      <c r="N41" s="28" t="n">
        <v>0.440529</v>
      </c>
      <c r="O41" s="28" t="n">
        <v>0.54421</v>
      </c>
      <c r="P41" s="28" t="n"/>
      <c r="Q41" s="28" t="n">
        <v>0.103681</v>
      </c>
      <c r="R41" s="26" t="n">
        <v>72</v>
      </c>
      <c r="S41" s="29" t="n">
        <v>1</v>
      </c>
      <c r="T41" s="24" t="inlineStr">
        <is>
          <t>lol-tiered-elo-v6</t>
        </is>
      </c>
      <c r="U41" s="24" t="inlineStr">
        <is>
          <t>settled</t>
        </is>
      </c>
      <c r="V41" s="24" t="inlineStr">
        <is>
          <t>win</t>
        </is>
      </c>
      <c r="W41" s="26" t="n">
        <v>0</v>
      </c>
      <c r="X41" s="26" t="n">
        <v>1</v>
      </c>
      <c r="Y41" s="25" t="n"/>
      <c r="Z41" s="26" t="n"/>
      <c r="AA41" s="28" t="n"/>
      <c r="AB41" s="28" t="n"/>
      <c r="AC41" s="30" t="n">
        <v>1.27</v>
      </c>
      <c r="AD41" s="24" t="inlineStr">
        <is>
          <t>2026-08-13T07:29:38.262413Z</t>
        </is>
      </c>
      <c r="AE41" s="31" t="inlineStr">
        <is>
          <t>Neutral Elo baseline; executable ask 0.4400 (market_slug=aec-lol-ktc-nsea-2026-08-13).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Nongshim Esports Academy</t>
        </is>
      </c>
      <c r="AQ41" s="24" t="inlineStr">
        <is>
          <t>Nongshim Esports Academy</t>
        </is>
      </c>
      <c r="AR41" s="24" t="inlineStr">
        <is>
          <t>Nongshim Esports Academy</t>
        </is>
      </c>
      <c r="AS41" s="24" t="inlineStr">
        <is>
          <t>KT Rolster Challengers</t>
        </is>
      </c>
      <c r="AT41" s="24" t="inlineStr">
        <is>
          <t>KT Rolster Challengers</t>
        </is>
      </c>
      <c r="AU41" s="24" t="inlineStr">
        <is>
          <t>KT Rolster Challengers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2d532d5f60c2a7bfd12e6f32f876f72fdd16c8e21504e1273ad472f37a538927</t>
        </is>
      </c>
      <c r="BB41" s="24" t="inlineStr">
        <is>
          <t>neutral_elo</t>
        </is>
      </c>
      <c r="BC41" s="24" t="inlineStr">
        <is>
          <t>lol-tiered-elo-v6</t>
        </is>
      </c>
      <c r="BD41" s="24" t="inlineStr">
        <is>
          <t>2d532d5f60c2a7bfd12e6f32f876f72fdd16c8e21504e1273ad472f37a538927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lol-tiered-elo-v6</t>
        </is>
      </c>
      <c r="BH41" s="24" t="inlineStr">
        <is>
          <t>2026-08-12T21:33:38.916292Z</t>
        </is>
      </c>
      <c r="BI41" s="24" t="inlineStr">
        <is>
          <t>["same_event","same_team_same_day","same_league_same_day"]</t>
        </is>
      </c>
      <c r="BJ41" s="25" t="n"/>
      <c r="BK41" s="26" t="n">
        <v>127</v>
      </c>
      <c r="BL41" s="27" t="n">
        <v>2.27</v>
      </c>
      <c r="BM41" s="28" t="n">
        <v>0.440529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0.440529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047757794a44480f</t>
        </is>
      </c>
      <c r="B42" s="24" t="inlineStr">
        <is>
          <t>2026-08-12T21:33:50.682408Z</t>
        </is>
      </c>
      <c r="C42" s="24" t="inlineStr">
        <is>
          <t>2026-08-14T00:00:00Z</t>
        </is>
      </c>
      <c r="D42" s="24" t="inlineStr">
        <is>
          <t>78062</t>
        </is>
      </c>
      <c r="E42" s="24" t="inlineStr">
        <is>
          <t>LOL</t>
        </is>
      </c>
      <c r="F42" s="24" t="inlineStr">
        <is>
          <t>Dorado Gaming</t>
        </is>
      </c>
      <c r="G42" s="24" t="inlineStr">
        <is>
          <t>University of Mississippi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150</v>
      </c>
      <c r="M42" s="27" t="n">
        <v>2.5</v>
      </c>
      <c r="N42" s="28" t="n">
        <v>0.4</v>
      </c>
      <c r="O42" s="28" t="n">
        <v>0.570554</v>
      </c>
      <c r="P42" s="28" t="n"/>
      <c r="Q42" s="28" t="n">
        <v>0.170554</v>
      </c>
      <c r="R42" s="26" t="n">
        <v>100</v>
      </c>
      <c r="S42" s="29" t="n">
        <v>1.25</v>
      </c>
      <c r="T42" s="24" t="inlineStr">
        <is>
          <t>lol-tiered-elo-v6</t>
        </is>
      </c>
      <c r="U42" s="24" t="inlineStr">
        <is>
          <t>settled</t>
        </is>
      </c>
      <c r="V42" s="24" t="inlineStr">
        <is>
          <t>loss</t>
        </is>
      </c>
      <c r="W42" s="26" t="n">
        <v>1</v>
      </c>
      <c r="X42" s="26" t="n">
        <v>0</v>
      </c>
      <c r="Y42" s="25" t="n"/>
      <c r="Z42" s="26" t="n">
        <v>156</v>
      </c>
      <c r="AA42" s="28" t="n">
        <v>0.39</v>
      </c>
      <c r="AB42" s="28" t="n">
        <v>-0.01</v>
      </c>
      <c r="AC42" s="30" t="n">
        <v>-1.25</v>
      </c>
      <c r="AD42" s="24" t="inlineStr">
        <is>
          <t>2026-08-14T02:23:10.210233Z</t>
        </is>
      </c>
      <c r="AE42" s="31" t="inlineStr">
        <is>
          <t>Neutral Elo baseline; executable ask 0.4000 (market_slug=aec-lol-miss-dog-2026-08-14).</t>
        </is>
      </c>
      <c r="AF42" s="31" t="inlineStr">
        <is>
          <t>Config-promoted esports baseline; gates enforced at log time.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Dorado Gaming</t>
        </is>
      </c>
      <c r="AQ42" s="24" t="inlineStr">
        <is>
          <t>Dorado Gaming</t>
        </is>
      </c>
      <c r="AR42" s="24" t="inlineStr">
        <is>
          <t>Dorado Gaming</t>
        </is>
      </c>
      <c r="AS42" s="24" t="inlineStr">
        <is>
          <t>University of Mississippi</t>
        </is>
      </c>
      <c r="AT42" s="24" t="inlineStr">
        <is>
          <t>University of Mississippi</t>
        </is>
      </c>
      <c r="AU42" s="24" t="inlineStr">
        <is>
          <t>University of Mississippi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2d532d5f60c2a7bfd12e6f32f876f72fdd16c8e21504e1273ad472f37a538927</t>
        </is>
      </c>
      <c r="BB42" s="24" t="inlineStr">
        <is>
          <t>neutral_elo</t>
        </is>
      </c>
      <c r="BC42" s="24" t="inlineStr">
        <is>
          <t>lol-tiered-elo-v6</t>
        </is>
      </c>
      <c r="BD42" s="24" t="inlineStr">
        <is>
          <t>2d532d5f60c2a7bfd12e6f32f876f72fdd16c8e21504e1273ad472f37a538927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lol-tiered-elo-v6</t>
        </is>
      </c>
      <c r="BH42" s="24" t="inlineStr">
        <is>
          <t>2026-08-12T21:33:49.612741Z</t>
        </is>
      </c>
      <c r="BI42" s="24" t="inlineStr">
        <is>
          <t>["same_event","same_team_same_day","same_league_same_day"]</t>
        </is>
      </c>
      <c r="BJ42" s="25" t="n"/>
      <c r="BK42" s="26" t="n">
        <v>150</v>
      </c>
      <c r="BL42" s="27" t="n">
        <v>2.5</v>
      </c>
      <c r="BM42" s="28" t="n">
        <v>0.4</v>
      </c>
      <c r="BN42" s="28" t="n"/>
      <c r="BO42" s="28" t="n"/>
      <c r="BP42" s="25" t="n"/>
      <c r="BQ42" s="27" t="n">
        <v>2.56</v>
      </c>
      <c r="BR42" s="28" t="n">
        <v>0.39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0.4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174f2046c09a4ce8</t>
        </is>
      </c>
      <c r="B43" s="24" t="inlineStr">
        <is>
          <t>2026-08-13T07:33:45.748059Z</t>
        </is>
      </c>
      <c r="C43" s="24" t="inlineStr">
        <is>
          <t>2026-08-13T10:00:00Z</t>
        </is>
      </c>
      <c r="D43" s="24" t="inlineStr">
        <is>
          <t>77199</t>
        </is>
      </c>
      <c r="E43" s="24" t="inlineStr">
        <is>
          <t>LOL</t>
        </is>
      </c>
      <c r="F43" s="24" t="inlineStr">
        <is>
          <t>Hanwha Life Esports</t>
        </is>
      </c>
      <c r="G43" s="24" t="inlineStr">
        <is>
          <t>Gen.G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133</v>
      </c>
      <c r="M43" s="27" t="n">
        <v>2.33</v>
      </c>
      <c r="N43" s="28" t="n">
        <v>0.429185</v>
      </c>
      <c r="O43" s="28" t="n">
        <v>0.549515</v>
      </c>
      <c r="P43" s="28" t="n"/>
      <c r="Q43" s="28" t="n">
        <v>0.12033</v>
      </c>
      <c r="R43" s="26" t="n">
        <v>80</v>
      </c>
      <c r="S43" s="29" t="n">
        <v>1</v>
      </c>
      <c r="T43" s="24" t="inlineStr">
        <is>
          <t>lol-tiered-elo-v6</t>
        </is>
      </c>
      <c r="U43" s="24" t="inlineStr">
        <is>
          <t>settled</t>
        </is>
      </c>
      <c r="V43" s="24" t="inlineStr">
        <is>
          <t>loss</t>
        </is>
      </c>
      <c r="W43" s="26" t="n">
        <v>0</v>
      </c>
      <c r="X43" s="26" t="n">
        <v>1</v>
      </c>
      <c r="Y43" s="25" t="n"/>
      <c r="Z43" s="26" t="n">
        <v>133</v>
      </c>
      <c r="AA43" s="28" t="n">
        <v>0.43</v>
      </c>
      <c r="AB43" s="28" t="n">
        <v>0.000815</v>
      </c>
      <c r="AC43" s="30" t="n">
        <v>-1</v>
      </c>
      <c r="AD43" s="24" t="inlineStr">
        <is>
          <t>2026-08-13T13:43:44.689330Z</t>
        </is>
      </c>
      <c r="AE43" s="31" t="inlineStr">
        <is>
          <t>Neutral Elo baseline; executable ask 0.4300 (market_slug=aec-lol-gen-hle-2026-08-13).</t>
        </is>
      </c>
      <c r="AF43" s="31" t="inlineStr">
        <is>
          <t>Config-promoted esports baseline; gates enforced at log time.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Hanwha Life Esports</t>
        </is>
      </c>
      <c r="AQ43" s="24" t="inlineStr">
        <is>
          <t>Hanwha Life Esports</t>
        </is>
      </c>
      <c r="AR43" s="24" t="inlineStr">
        <is>
          <t>Hanwha Life Esports</t>
        </is>
      </c>
      <c r="AS43" s="24" t="inlineStr">
        <is>
          <t>Gen.G</t>
        </is>
      </c>
      <c r="AT43" s="24" t="inlineStr">
        <is>
          <t>Gen.G</t>
        </is>
      </c>
      <c r="AU43" s="24" t="inlineStr">
        <is>
          <t>Gen.G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ec253e009ebc51b870bf7dddd39f66de3de28259fdb77d4c257587dd29af8c61</t>
        </is>
      </c>
      <c r="BB43" s="24" t="inlineStr">
        <is>
          <t>neutral_elo</t>
        </is>
      </c>
      <c r="BC43" s="24" t="inlineStr">
        <is>
          <t>lol-tiered-elo-v6</t>
        </is>
      </c>
      <c r="BD43" s="24" t="inlineStr">
        <is>
          <t>ec253e009ebc51b870bf7dddd39f66de3de28259fdb77d4c257587dd29af8c61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lol-tiered-elo-v6</t>
        </is>
      </c>
      <c r="BH43" s="24" t="inlineStr">
        <is>
          <t>2026-08-13T07:33:30.003386Z</t>
        </is>
      </c>
      <c r="BI43" s="24" t="inlineStr">
        <is>
          <t>["same_event","same_team_same_day","same_league_same_day"]</t>
        </is>
      </c>
      <c r="BJ43" s="25" t="n"/>
      <c r="BK43" s="26" t="n">
        <v>133</v>
      </c>
      <c r="BL43" s="27" t="n">
        <v>2.33</v>
      </c>
      <c r="BM43" s="28" t="n">
        <v>0.429185</v>
      </c>
      <c r="BN43" s="28" t="n"/>
      <c r="BO43" s="28" t="n"/>
      <c r="BP43" s="25" t="n"/>
      <c r="BQ43" s="27" t="n">
        <v>2.33</v>
      </c>
      <c r="BR43" s="28" t="n">
        <v>0.43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0.429185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5d636ddf81e44d32</t>
        </is>
      </c>
      <c r="B44" s="24" t="inlineStr">
        <is>
          <t>2026-08-13T13:47:27.260608Z</t>
        </is>
      </c>
      <c r="C44" s="24" t="inlineStr">
        <is>
          <t>2026-08-13T14:30:00Z</t>
        </is>
      </c>
      <c r="D44" s="24" t="inlineStr">
        <is>
          <t>80404</t>
        </is>
      </c>
      <c r="E44" s="24" t="inlineStr">
        <is>
          <t>LOL</t>
        </is>
      </c>
      <c r="F44" s="24" t="inlineStr">
        <is>
          <t>Team Phoenix</t>
        </is>
      </c>
      <c r="G44" s="24" t="inlineStr">
        <is>
          <t>Shark Attack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203</v>
      </c>
      <c r="M44" s="27" t="n">
        <v>3.03</v>
      </c>
      <c r="N44" s="28" t="n">
        <v>0.330033</v>
      </c>
      <c r="O44" s="28" t="n">
        <v>0.597109</v>
      </c>
      <c r="P44" s="28" t="n"/>
      <c r="Q44" s="28" t="n">
        <v>0.267076</v>
      </c>
      <c r="R44" s="26" t="n">
        <v>100</v>
      </c>
      <c r="S44" s="29" t="n">
        <v>1.25</v>
      </c>
      <c r="T44" s="24" t="inlineStr">
        <is>
          <t>lol-tiered-elo-v6</t>
        </is>
      </c>
      <c r="U44" s="24" t="inlineStr">
        <is>
          <t>settled</t>
        </is>
      </c>
      <c r="V44" s="24" t="inlineStr">
        <is>
          <t>loss</t>
        </is>
      </c>
      <c r="W44" s="26" t="n">
        <v>1</v>
      </c>
      <c r="X44" s="26" t="n">
        <v>0</v>
      </c>
      <c r="Y44" s="25" t="n"/>
      <c r="Z44" s="26" t="n">
        <v>203</v>
      </c>
      <c r="AA44" s="28" t="n">
        <v>0.33</v>
      </c>
      <c r="AB44" s="28" t="n">
        <v>-3.3e-05</v>
      </c>
      <c r="AC44" s="30" t="n">
        <v>-1.25</v>
      </c>
      <c r="AD44" s="24" t="inlineStr">
        <is>
          <t>2026-08-13T16:50:23.337076Z</t>
        </is>
      </c>
      <c r="AE44" s="31" t="inlineStr">
        <is>
          <t>Neutral Elo baseline; executable ask 0.3300 (market_slug=aec-lol-sha-phx-2026-08-13).</t>
        </is>
      </c>
      <c r="AF44" s="31" t="inlineStr">
        <is>
          <t>Config-promoted esports baseline; gates enforced at log time.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Team Phoenix</t>
        </is>
      </c>
      <c r="AQ44" s="24" t="inlineStr">
        <is>
          <t>Team Phoenix</t>
        </is>
      </c>
      <c r="AR44" s="24" t="inlineStr">
        <is>
          <t>Team Phoenix</t>
        </is>
      </c>
      <c r="AS44" s="24" t="inlineStr">
        <is>
          <t>Shark Attack</t>
        </is>
      </c>
      <c r="AT44" s="24" t="inlineStr">
        <is>
          <t>Shark Attack</t>
        </is>
      </c>
      <c r="AU44" s="24" t="inlineStr">
        <is>
          <t>Shark Attack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6023d4021b40a650776f8cf8855b72ed9aa87236a16daed15de976c649ced69c</t>
        </is>
      </c>
      <c r="BB44" s="24" t="inlineStr">
        <is>
          <t>neutral_elo</t>
        </is>
      </c>
      <c r="BC44" s="24" t="inlineStr">
        <is>
          <t>lol-tiered-elo-v6</t>
        </is>
      </c>
      <c r="BD44" s="24" t="inlineStr">
        <is>
          <t>6023d4021b40a650776f8cf8855b72ed9aa87236a16daed15de976c649ced69c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lol-tiered-elo-v6</t>
        </is>
      </c>
      <c r="BH44" s="24" t="inlineStr">
        <is>
          <t>2026-08-13T13:47:13.491111Z</t>
        </is>
      </c>
      <c r="BI44" s="24" t="inlineStr">
        <is>
          <t>["same_event","same_team_same_day","same_league_same_day"]</t>
        </is>
      </c>
      <c r="BJ44" s="25" t="n"/>
      <c r="BK44" s="26" t="n">
        <v>203</v>
      </c>
      <c r="BL44" s="27" t="n">
        <v>3.03</v>
      </c>
      <c r="BM44" s="28" t="n">
        <v>0.330033</v>
      </c>
      <c r="BN44" s="28" t="n"/>
      <c r="BO44" s="28" t="n"/>
      <c r="BP44" s="25" t="n"/>
      <c r="BQ44" s="27" t="n">
        <v>3.03</v>
      </c>
      <c r="BR44" s="28" t="n">
        <v>0.33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0.330033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f900257e00cd4bfd</t>
        </is>
      </c>
      <c r="B45" s="24" t="inlineStr">
        <is>
          <t>2026-08-13T13:47:27.260608Z</t>
        </is>
      </c>
      <c r="C45" s="24" t="inlineStr">
        <is>
          <t>2026-08-13T15:00:00Z</t>
        </is>
      </c>
      <c r="D45" s="24" t="inlineStr">
        <is>
          <t>80391</t>
        </is>
      </c>
      <c r="E45" s="24" t="inlineStr">
        <is>
          <t>LOL</t>
        </is>
      </c>
      <c r="F45" s="24" t="inlineStr">
        <is>
          <t>ROSSMANN Centaurs</t>
        </is>
      </c>
      <c r="G45" s="24" t="inlineStr">
        <is>
          <t>E WIE EINFACH E-SPORTS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-186</v>
      </c>
      <c r="M45" s="27" t="n">
        <v>1.537634</v>
      </c>
      <c r="N45" s="28" t="n">
        <v>0.65035</v>
      </c>
      <c r="O45" s="28" t="n">
        <v>0.714326</v>
      </c>
      <c r="P45" s="28" t="n"/>
      <c r="Q45" s="28" t="n">
        <v>0.06397600000000001</v>
      </c>
      <c r="R45" s="26" t="n">
        <v>52</v>
      </c>
      <c r="S45" s="29" t="n">
        <v>2</v>
      </c>
      <c r="T45" s="24" t="inlineStr">
        <is>
          <t>lol-tiered-elo-v6</t>
        </is>
      </c>
      <c r="U45" s="24" t="inlineStr">
        <is>
          <t>settled</t>
        </is>
      </c>
      <c r="V45" s="24" t="inlineStr">
        <is>
          <t>loss</t>
        </is>
      </c>
      <c r="W45" s="26" t="n">
        <v>1</v>
      </c>
      <c r="X45" s="26" t="n">
        <v>0</v>
      </c>
      <c r="Y45" s="25" t="n"/>
      <c r="Z45" s="26" t="n">
        <v>-186</v>
      </c>
      <c r="AA45" s="28" t="n">
        <v>0.65</v>
      </c>
      <c r="AB45" s="28" t="n">
        <v>-0.00035</v>
      </c>
      <c r="AC45" s="30" t="n">
        <v>-2</v>
      </c>
      <c r="AD45" s="24" t="inlineStr">
        <is>
          <t>2026-08-13T19:19:47.036367Z</t>
        </is>
      </c>
      <c r="AE45" s="31" t="inlineStr">
        <is>
          <t>Neutral Elo baseline; executable ask 0.6500 (market_slug=aec-lol-ewi-ross-2026-08-13).</t>
        </is>
      </c>
      <c r="AF45" s="31" t="inlineStr">
        <is>
          <t>Config-promoted esports baseline; gates enforced at log time.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ROSSMANN Centaurs</t>
        </is>
      </c>
      <c r="AQ45" s="24" t="inlineStr">
        <is>
          <t>ROSSMANN Centaurs</t>
        </is>
      </c>
      <c r="AR45" s="24" t="inlineStr">
        <is>
          <t>ROSSMANN Centaurs</t>
        </is>
      </c>
      <c r="AS45" s="24" t="inlineStr">
        <is>
          <t>E WIE EINFACH E-SPORTS</t>
        </is>
      </c>
      <c r="AT45" s="24" t="inlineStr">
        <is>
          <t>E WIE EINFACH E-SPORTS</t>
        </is>
      </c>
      <c r="AU45" s="24" t="inlineStr">
        <is>
          <t>E WIE EINFACH E-SPORTS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6023d4021b40a650776f8cf8855b72ed9aa87236a16daed15de976c649ced69c</t>
        </is>
      </c>
      <c r="BB45" s="24" t="inlineStr">
        <is>
          <t>neutral_elo</t>
        </is>
      </c>
      <c r="BC45" s="24" t="inlineStr">
        <is>
          <t>lol-tiered-elo-v6</t>
        </is>
      </c>
      <c r="BD45" s="24" t="inlineStr">
        <is>
          <t>6023d4021b40a650776f8cf8855b72ed9aa87236a16daed15de976c649ced69c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lol-tiered-elo-v6</t>
        </is>
      </c>
      <c r="BH45" s="24" t="inlineStr">
        <is>
          <t>2026-08-13T13:47:14.010731Z</t>
        </is>
      </c>
      <c r="BI45" s="24" t="inlineStr">
        <is>
          <t>["same_event","same_team_same_day","same_league_same_day"]</t>
        </is>
      </c>
      <c r="BJ45" s="25" t="n"/>
      <c r="BK45" s="26" t="n">
        <v>-186</v>
      </c>
      <c r="BL45" s="27" t="n">
        <v>1.537634</v>
      </c>
      <c r="BM45" s="28" t="n">
        <v>0.65035</v>
      </c>
      <c r="BN45" s="28" t="n"/>
      <c r="BO45" s="28" t="n"/>
      <c r="BP45" s="25" t="n"/>
      <c r="BQ45" s="27" t="n">
        <v>1.537634</v>
      </c>
      <c r="BR45" s="28" t="n">
        <v>0.65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0.65035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07c10a8c4c1d4da0</t>
        </is>
      </c>
      <c r="B46" s="24" t="inlineStr">
        <is>
          <t>2026-08-13T17:16:31.277645Z</t>
        </is>
      </c>
      <c r="C46" s="24" t="inlineStr">
        <is>
          <t>2026-08-13T18:00:00Z</t>
        </is>
      </c>
      <c r="D46" s="24" t="inlineStr">
        <is>
          <t>77545</t>
        </is>
      </c>
      <c r="E46" s="24" t="inlineStr">
        <is>
          <t>LOL</t>
        </is>
      </c>
      <c r="F46" s="24" t="inlineStr">
        <is>
          <t>ZennIT</t>
        </is>
      </c>
      <c r="G46" s="24" t="inlineStr">
        <is>
          <t>Myth Esports</t>
        </is>
      </c>
      <c r="H46" s="24" t="inlineStr">
        <is>
          <t>moneyline</t>
        </is>
      </c>
      <c r="I46" s="24" t="inlineStr">
        <is>
          <t>away</t>
        </is>
      </c>
      <c r="J46" s="25" t="n"/>
      <c r="K46" s="24" t="inlineStr">
        <is>
          <t>polymarket_us</t>
        </is>
      </c>
      <c r="L46" s="26" t="n">
        <v>100</v>
      </c>
      <c r="M46" s="27" t="n">
        <v>2</v>
      </c>
      <c r="N46" s="28" t="n">
        <v>0.5</v>
      </c>
      <c r="O46" s="28" t="n">
        <v>0.570819</v>
      </c>
      <c r="P46" s="28" t="n"/>
      <c r="Q46" s="28" t="n">
        <v>0.07081899999999999</v>
      </c>
      <c r="R46" s="26" t="n">
        <v>55</v>
      </c>
      <c r="S46" s="29" t="n">
        <v>1.25</v>
      </c>
      <c r="T46" s="24" t="inlineStr">
        <is>
          <t>lol-tiered-elo-v6</t>
        </is>
      </c>
      <c r="U46" s="24" t="inlineStr">
        <is>
          <t>settled</t>
        </is>
      </c>
      <c r="V46" s="24" t="inlineStr">
        <is>
          <t>loss</t>
        </is>
      </c>
      <c r="W46" s="26" t="n">
        <v>0</v>
      </c>
      <c r="X46" s="26" t="n">
        <v>1</v>
      </c>
      <c r="Y46" s="25" t="n"/>
      <c r="Z46" s="26" t="n">
        <v>100</v>
      </c>
      <c r="AA46" s="28" t="n">
        <v>0.5</v>
      </c>
      <c r="AB46" s="28" t="n">
        <v>0</v>
      </c>
      <c r="AC46" s="30" t="n">
        <v>-1.25</v>
      </c>
      <c r="AD46" s="24" t="inlineStr">
        <is>
          <t>2026-08-13T23:17:59.403551Z</t>
        </is>
      </c>
      <c r="AE46" s="31" t="inlineStr">
        <is>
          <t>Neutral Elo baseline; executable ask 0.5000 (market_slug=aec-lol-myth-znt-2026-08-13).</t>
        </is>
      </c>
      <c r="AF46" s="31" t="inlineStr">
        <is>
          <t>Config-promoted esports baseline; gates enforced at log time.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ZennIT</t>
        </is>
      </c>
      <c r="AQ46" s="24" t="inlineStr">
        <is>
          <t>ZennIT</t>
        </is>
      </c>
      <c r="AR46" s="24" t="inlineStr">
        <is>
          <t>ZennIT</t>
        </is>
      </c>
      <c r="AS46" s="24" t="inlineStr">
        <is>
          <t>Myth Esports</t>
        </is>
      </c>
      <c r="AT46" s="24" t="inlineStr">
        <is>
          <t>Myth Esports</t>
        </is>
      </c>
      <c r="AU46" s="24" t="inlineStr">
        <is>
          <t>Myth Esports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4da8cf8556dcb2f8db0165b0df47f474a10ecbe34301ea2884cb4d2ea0ed7ec7</t>
        </is>
      </c>
      <c r="BB46" s="24" t="inlineStr">
        <is>
          <t>neutral_elo</t>
        </is>
      </c>
      <c r="BC46" s="24" t="inlineStr">
        <is>
          <t>lol-tiered-elo-v6</t>
        </is>
      </c>
      <c r="BD46" s="24" t="inlineStr">
        <is>
          <t>4da8cf8556dcb2f8db0165b0df47f474a10ecbe34301ea2884cb4d2ea0ed7ec7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lol-tiered-elo-v6</t>
        </is>
      </c>
      <c r="BH46" s="24" t="inlineStr">
        <is>
          <t>2026-08-13T17:16:22.513568Z</t>
        </is>
      </c>
      <c r="BI46" s="24" t="inlineStr">
        <is>
          <t>["same_event","same_team_same_day","same_league_same_day"]</t>
        </is>
      </c>
      <c r="BJ46" s="25" t="n"/>
      <c r="BK46" s="26" t="n">
        <v>100</v>
      </c>
      <c r="BL46" s="27" t="n">
        <v>2</v>
      </c>
      <c r="BM46" s="28" t="n">
        <v>0.5</v>
      </c>
      <c r="BN46" s="28" t="n"/>
      <c r="BO46" s="28" t="n"/>
      <c r="BP46" s="25" t="n"/>
      <c r="BQ46" s="27" t="n">
        <v>2</v>
      </c>
      <c r="BR46" s="28" t="n">
        <v>0.5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0.5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f61dc2750cd94d21</t>
        </is>
      </c>
      <c r="B47" s="24" t="inlineStr">
        <is>
          <t>2026-08-13T20:15:26.127935Z</t>
        </is>
      </c>
      <c r="C47" s="24" t="inlineStr">
        <is>
          <t>2026-08-13T21:00:00Z</t>
        </is>
      </c>
      <c r="D47" s="24" t="inlineStr">
        <is>
          <t>77941</t>
        </is>
      </c>
      <c r="E47" s="24" t="inlineStr">
        <is>
          <t>LOL</t>
        </is>
      </c>
      <c r="F47" s="24" t="inlineStr">
        <is>
          <t>Role Swappers</t>
        </is>
      </c>
      <c r="G47" s="24" t="inlineStr">
        <is>
          <t>ZeroZone Gaming</t>
        </is>
      </c>
      <c r="H47" s="24" t="inlineStr">
        <is>
          <t>moneyline</t>
        </is>
      </c>
      <c r="I47" s="24" t="inlineStr">
        <is>
          <t>away</t>
        </is>
      </c>
      <c r="J47" s="25" t="n"/>
      <c r="K47" s="24" t="inlineStr">
        <is>
          <t>polymarket_us</t>
        </is>
      </c>
      <c r="L47" s="26" t="n">
        <v>186</v>
      </c>
      <c r="M47" s="27" t="n">
        <v>2.86</v>
      </c>
      <c r="N47" s="28" t="n">
        <v>0.34965</v>
      </c>
      <c r="O47" s="28" t="n">
        <v>0.588255</v>
      </c>
      <c r="P47" s="28" t="n"/>
      <c r="Q47" s="28" t="n">
        <v>0.238605</v>
      </c>
      <c r="R47" s="26" t="n">
        <v>100</v>
      </c>
      <c r="S47" s="29" t="n">
        <v>1.25</v>
      </c>
      <c r="T47" s="24" t="inlineStr">
        <is>
          <t>lol-tiered-elo-v6</t>
        </is>
      </c>
      <c r="U47" s="24" t="inlineStr">
        <is>
          <t>settled</t>
        </is>
      </c>
      <c r="V47" s="24" t="inlineStr">
        <is>
          <t>loss</t>
        </is>
      </c>
      <c r="W47" s="26" t="n">
        <v>0</v>
      </c>
      <c r="X47" s="26" t="n">
        <v>1</v>
      </c>
      <c r="Y47" s="25" t="n"/>
      <c r="Z47" s="26" t="n">
        <v>186</v>
      </c>
      <c r="AA47" s="28" t="n">
        <v>0.35</v>
      </c>
      <c r="AB47" s="28" t="n">
        <v>0.00035</v>
      </c>
      <c r="AC47" s="30" t="n">
        <v>-1.25</v>
      </c>
      <c r="AD47" s="24" t="inlineStr">
        <is>
          <t>2026-08-14T02:23:11.640807Z</t>
        </is>
      </c>
      <c r="AE47" s="31" t="inlineStr">
        <is>
          <t>Neutral Elo baseline; executable ask 0.3500 (market_slug=aec-lol-zzg-role-2026-08-13).</t>
        </is>
      </c>
      <c r="AF47" s="31" t="inlineStr">
        <is>
          <t>Config-promoted esports baseline; gates enforced at log time.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Role Swappers</t>
        </is>
      </c>
      <c r="AQ47" s="24" t="inlineStr">
        <is>
          <t>Role Swappers</t>
        </is>
      </c>
      <c r="AR47" s="24" t="inlineStr">
        <is>
          <t>Role Swappers</t>
        </is>
      </c>
      <c r="AS47" s="24" t="inlineStr">
        <is>
          <t>ZeroZone Gaming</t>
        </is>
      </c>
      <c r="AT47" s="24" t="inlineStr">
        <is>
          <t>ZeroZone Gaming</t>
        </is>
      </c>
      <c r="AU47" s="24" t="inlineStr">
        <is>
          <t>ZeroZone Gaming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a88bb99ad0171b651acfa2a93a80103c0b1ba1a2574e16f8845b1f2683e3361c</t>
        </is>
      </c>
      <c r="BB47" s="24" t="inlineStr">
        <is>
          <t>neutral_elo</t>
        </is>
      </c>
      <c r="BC47" s="24" t="inlineStr">
        <is>
          <t>lol-tiered-elo-v6</t>
        </is>
      </c>
      <c r="BD47" s="24" t="inlineStr">
        <is>
          <t>a88bb99ad0171b651acfa2a93a80103c0b1ba1a2574e16f8845b1f2683e3361c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lol-tiered-elo-v6</t>
        </is>
      </c>
      <c r="BH47" s="24" t="inlineStr">
        <is>
          <t>2026-08-13T20:15:18.909756Z</t>
        </is>
      </c>
      <c r="BI47" s="24" t="inlineStr">
        <is>
          <t>["same_event","same_team_same_day","same_league_same_day"]</t>
        </is>
      </c>
      <c r="BJ47" s="25" t="n"/>
      <c r="BK47" s="26" t="n">
        <v>186</v>
      </c>
      <c r="BL47" s="27" t="n">
        <v>2.86</v>
      </c>
      <c r="BM47" s="28" t="n">
        <v>0.34965</v>
      </c>
      <c r="BN47" s="28" t="n"/>
      <c r="BO47" s="28" t="n"/>
      <c r="BP47" s="25" t="n"/>
      <c r="BQ47" s="27" t="n">
        <v>2.86</v>
      </c>
      <c r="BR47" s="28" t="n">
        <v>0.35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0.34965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1e5f97199a8b442b</t>
        </is>
      </c>
      <c r="B48" s="24" t="inlineStr">
        <is>
          <t>2026-08-14T04:12:55.353715Z</t>
        </is>
      </c>
      <c r="C48" s="24" t="inlineStr">
        <is>
          <t>2026-08-14T05:00:00Z</t>
        </is>
      </c>
      <c r="D48" s="24" t="inlineStr">
        <is>
          <t>78185</t>
        </is>
      </c>
      <c r="E48" s="24" t="inlineStr">
        <is>
          <t>LOL</t>
        </is>
      </c>
      <c r="F48" s="24" t="inlineStr">
        <is>
          <t>HANJIN BRION Challengers</t>
        </is>
      </c>
      <c r="G48" s="24" t="inlineStr">
        <is>
          <t>BNK FearX Youth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-186</v>
      </c>
      <c r="M48" s="27" t="n">
        <v>1.537634</v>
      </c>
      <c r="N48" s="28" t="n">
        <v>0.65035</v>
      </c>
      <c r="O48" s="28" t="n">
        <v>0.682884</v>
      </c>
      <c r="P48" s="28" t="n"/>
      <c r="Q48" s="28" t="n">
        <v>0.032534</v>
      </c>
      <c r="R48" s="26" t="n">
        <v>36</v>
      </c>
      <c r="S48" s="29" t="n">
        <v>2</v>
      </c>
      <c r="T48" s="24" t="inlineStr">
        <is>
          <t>lol-tiered-elo-v6</t>
        </is>
      </c>
      <c r="U48" s="24" t="inlineStr">
        <is>
          <t>settled</t>
        </is>
      </c>
      <c r="V48" s="24" t="inlineStr">
        <is>
          <t>loss</t>
        </is>
      </c>
      <c r="W48" s="26" t="n">
        <v>1</v>
      </c>
      <c r="X48" s="26" t="n">
        <v>0</v>
      </c>
      <c r="Y48" s="25" t="n"/>
      <c r="Z48" s="26" t="n">
        <v>-186</v>
      </c>
      <c r="AA48" s="28" t="n">
        <v>0.65</v>
      </c>
      <c r="AB48" s="28" t="n">
        <v>-0.00035</v>
      </c>
      <c r="AC48" s="30" t="n">
        <v>-2</v>
      </c>
      <c r="AD48" s="24" t="inlineStr">
        <is>
          <t>2026-08-14T07:33:34.969698Z</t>
        </is>
      </c>
      <c r="AE48" s="31" t="inlineStr">
        <is>
          <t>Neutral Elo baseline; executable ask 0.6500 (market_slug=aec-lol-foxy-hbc-2026-08-14).</t>
        </is>
      </c>
      <c r="AF48" s="31" t="inlineStr">
        <is>
          <t>Config-promoted esports baseline; gates enforced at log time.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HANJIN BRION Challengers</t>
        </is>
      </c>
      <c r="AQ48" s="24" t="inlineStr">
        <is>
          <t>HANJIN BRION Challengers</t>
        </is>
      </c>
      <c r="AR48" s="24" t="inlineStr">
        <is>
          <t>HANJIN BRION Challengers</t>
        </is>
      </c>
      <c r="AS48" s="24" t="inlineStr">
        <is>
          <t>BNK FearX Youth</t>
        </is>
      </c>
      <c r="AT48" s="24" t="inlineStr">
        <is>
          <t>BNK FearX Youth</t>
        </is>
      </c>
      <c r="AU48" s="24" t="inlineStr">
        <is>
          <t>BNK FearX Youth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48c5a0094c3909124c25b2dd68486bbc3778104a9e1ddeb4740f9d6b70885d21</t>
        </is>
      </c>
      <c r="BB48" s="24" t="inlineStr">
        <is>
          <t>neutral_elo</t>
        </is>
      </c>
      <c r="BC48" s="24" t="inlineStr">
        <is>
          <t>lol-tiered-elo-v6</t>
        </is>
      </c>
      <c r="BD48" s="24" t="inlineStr">
        <is>
          <t>48c5a0094c3909124c25b2dd68486bbc3778104a9e1ddeb4740f9d6b70885d21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lol-tiered-elo-v6</t>
        </is>
      </c>
      <c r="BH48" s="24" t="inlineStr">
        <is>
          <t>2026-08-14T04:12:38.715639Z</t>
        </is>
      </c>
      <c r="BI48" s="24" t="inlineStr">
        <is>
          <t>["same_event","same_team_same_day","same_league_same_day"]</t>
        </is>
      </c>
      <c r="BJ48" s="25" t="n"/>
      <c r="BK48" s="26" t="n">
        <v>-186</v>
      </c>
      <c r="BL48" s="27" t="n">
        <v>1.537634</v>
      </c>
      <c r="BM48" s="28" t="n">
        <v>0.65035</v>
      </c>
      <c r="BN48" s="28" t="n"/>
      <c r="BO48" s="28" t="n"/>
      <c r="BP48" s="25" t="n"/>
      <c r="BQ48" s="27" t="n">
        <v>1.537634</v>
      </c>
      <c r="BR48" s="28" t="n">
        <v>0.65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0.65035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422d84c5773f4ccf</t>
        </is>
      </c>
      <c r="B49" s="24" t="inlineStr">
        <is>
          <t>2026-08-14T07:42:05.123975Z</t>
        </is>
      </c>
      <c r="C49" s="24" t="inlineStr">
        <is>
          <t>2026-08-14T09:00:00Z</t>
        </is>
      </c>
      <c r="D49" s="24" t="inlineStr">
        <is>
          <t>78211</t>
        </is>
      </c>
      <c r="E49" s="24" t="inlineStr">
        <is>
          <t>LOL</t>
        </is>
      </c>
      <c r="F49" s="24" t="inlineStr">
        <is>
          <t>CTBC Flying Oyster</t>
        </is>
      </c>
      <c r="G49" s="24" t="inlineStr">
        <is>
          <t>MVK Esports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-117</v>
      </c>
      <c r="M49" s="27" t="n">
        <v>1.854701</v>
      </c>
      <c r="N49" s="28" t="n">
        <v>0.539171</v>
      </c>
      <c r="O49" s="28" t="n">
        <v>0.5603630000000001</v>
      </c>
      <c r="P49" s="28" t="n"/>
      <c r="Q49" s="28" t="n">
        <v>0.021192</v>
      </c>
      <c r="R49" s="26" t="n">
        <v>31</v>
      </c>
      <c r="S49" s="29" t="n">
        <v>1</v>
      </c>
      <c r="T49" s="24" t="inlineStr">
        <is>
          <t>lol-tiered-elo-v6</t>
        </is>
      </c>
      <c r="U49" s="24" t="inlineStr">
        <is>
          <t>settled</t>
        </is>
      </c>
      <c r="V49" s="24" t="inlineStr">
        <is>
          <t>loss</t>
        </is>
      </c>
      <c r="W49" s="26" t="n">
        <v>1</v>
      </c>
      <c r="X49" s="26" t="n">
        <v>0</v>
      </c>
      <c r="Y49" s="25" t="n"/>
      <c r="Z49" s="26" t="n">
        <v>-117</v>
      </c>
      <c r="AA49" s="28" t="n">
        <v>0.54</v>
      </c>
      <c r="AB49" s="28" t="n">
        <v>0.000829</v>
      </c>
      <c r="AC49" s="30" t="n">
        <v>-1</v>
      </c>
      <c r="AD49" s="24" t="inlineStr">
        <is>
          <t>2026-08-14T13:54:13.902415Z</t>
        </is>
      </c>
      <c r="AE49" s="31" t="inlineStr">
        <is>
          <t>Neutral Elo baseline; executable ask 0.5400 (market_slug=aec-lol-mvk-cfo-2026-08-14).</t>
        </is>
      </c>
      <c r="AF49" s="31" t="inlineStr">
        <is>
          <t>Config-promoted esports baseline; gates enforced at log time.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CTBC Flying Oyster</t>
        </is>
      </c>
      <c r="AQ49" s="24" t="inlineStr">
        <is>
          <t>CTBC Flying Oyster</t>
        </is>
      </c>
      <c r="AR49" s="24" t="inlineStr">
        <is>
          <t>CTBC Flying Oyster</t>
        </is>
      </c>
      <c r="AS49" s="24" t="inlineStr">
        <is>
          <t>MVK Esports</t>
        </is>
      </c>
      <c r="AT49" s="24" t="inlineStr">
        <is>
          <t>MVK Esports</t>
        </is>
      </c>
      <c r="AU49" s="24" t="inlineStr">
        <is>
          <t>MVK Esports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fccf44aae9848acebf5028ffc9ed85733073e710199bcfd621983cee4e68ac59</t>
        </is>
      </c>
      <c r="BB49" s="24" t="inlineStr">
        <is>
          <t>neutral_elo</t>
        </is>
      </c>
      <c r="BC49" s="24" t="inlineStr">
        <is>
          <t>lol-tiered-elo-v6</t>
        </is>
      </c>
      <c r="BD49" s="24" t="inlineStr">
        <is>
          <t>fccf44aae9848acebf5028ffc9ed85733073e710199bcfd621983cee4e68ac59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lol-tiered-elo-v6</t>
        </is>
      </c>
      <c r="BH49" s="24" t="inlineStr">
        <is>
          <t>2026-08-14T07:41:48.845402Z</t>
        </is>
      </c>
      <c r="BI49" s="24" t="inlineStr">
        <is>
          <t>["same_event","same_team_same_day","same_league_same_day"]</t>
        </is>
      </c>
      <c r="BJ49" s="25" t="n"/>
      <c r="BK49" s="26" t="n">
        <v>-117</v>
      </c>
      <c r="BL49" s="27" t="n">
        <v>1.854701</v>
      </c>
      <c r="BM49" s="28" t="n">
        <v>0.539171</v>
      </c>
      <c r="BN49" s="28" t="n"/>
      <c r="BO49" s="28" t="n"/>
      <c r="BP49" s="25" t="n"/>
      <c r="BQ49" s="27" t="n">
        <v>1.854701</v>
      </c>
      <c r="BR49" s="28" t="n">
        <v>0.54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0.539171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75dcc7d6db1b4574</t>
        </is>
      </c>
      <c r="B50" s="24" t="inlineStr">
        <is>
          <t>2026-08-14T07:42:05.123975Z</t>
        </is>
      </c>
      <c r="C50" s="24" t="inlineStr">
        <is>
          <t>2026-08-14T10:00:00Z</t>
        </is>
      </c>
      <c r="D50" s="24" t="inlineStr">
        <is>
          <t>78233</t>
        </is>
      </c>
      <c r="E50" s="24" t="inlineStr">
        <is>
          <t>LOL</t>
        </is>
      </c>
      <c r="F50" s="24" t="inlineStr">
        <is>
          <t>HANJIN BRION</t>
        </is>
      </c>
      <c r="G50" s="24" t="inlineStr">
        <is>
          <t>Nongshim Red Force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-104</v>
      </c>
      <c r="M50" s="27" t="n">
        <v>1.961538</v>
      </c>
      <c r="N50" s="28" t="n">
        <v>0.509804</v>
      </c>
      <c r="O50" s="28" t="n">
        <v>0.6184770000000001</v>
      </c>
      <c r="P50" s="28" t="n"/>
      <c r="Q50" s="28" t="n">
        <v>0.108673</v>
      </c>
      <c r="R50" s="26" t="n">
        <v>74</v>
      </c>
      <c r="S50" s="29" t="n">
        <v>1.5</v>
      </c>
      <c r="T50" s="24" t="inlineStr">
        <is>
          <t>lol-tiered-elo-v6</t>
        </is>
      </c>
      <c r="U50" s="24" t="inlineStr">
        <is>
          <t>settled</t>
        </is>
      </c>
      <c r="V50" s="24" t="inlineStr">
        <is>
          <t>win</t>
        </is>
      </c>
      <c r="W50" s="26" t="n">
        <v>0</v>
      </c>
      <c r="X50" s="26" t="n">
        <v>1</v>
      </c>
      <c r="Y50" s="25" t="n"/>
      <c r="Z50" s="26" t="n">
        <v>-104</v>
      </c>
      <c r="AA50" s="28" t="n">
        <v>0.51</v>
      </c>
      <c r="AB50" s="28" t="n">
        <v>0.000196</v>
      </c>
      <c r="AC50" s="30" t="n">
        <v>1.4423</v>
      </c>
      <c r="AD50" s="24" t="inlineStr">
        <is>
          <t>2026-08-14T13:54:20.317121Z</t>
        </is>
      </c>
      <c r="AE50" s="31" t="inlineStr">
        <is>
          <t>Neutral Elo baseline; executable ask 0.5100 (market_slug=aec-lol-ns-bro-2026-08-14).</t>
        </is>
      </c>
      <c r="AF50" s="31" t="inlineStr">
        <is>
          <t>Config-promoted esports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HANJIN BRION</t>
        </is>
      </c>
      <c r="AQ50" s="24" t="inlineStr">
        <is>
          <t>HANJIN BRION</t>
        </is>
      </c>
      <c r="AR50" s="24" t="inlineStr">
        <is>
          <t>HANJIN BRION</t>
        </is>
      </c>
      <c r="AS50" s="24" t="inlineStr">
        <is>
          <t>Nongshim Red Force</t>
        </is>
      </c>
      <c r="AT50" s="24" t="inlineStr">
        <is>
          <t>Nongshim Red Force</t>
        </is>
      </c>
      <c r="AU50" s="24" t="inlineStr">
        <is>
          <t>Nongshim Red Force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fccf44aae9848acebf5028ffc9ed85733073e710199bcfd621983cee4e68ac59</t>
        </is>
      </c>
      <c r="BB50" s="24" t="inlineStr">
        <is>
          <t>neutral_elo</t>
        </is>
      </c>
      <c r="BC50" s="24" t="inlineStr">
        <is>
          <t>lol-tiered-elo-v6</t>
        </is>
      </c>
      <c r="BD50" s="24" t="inlineStr">
        <is>
          <t>fccf44aae9848acebf5028ffc9ed85733073e710199bcfd621983cee4e68ac59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lol-tiered-elo-v6</t>
        </is>
      </c>
      <c r="BH50" s="24" t="inlineStr">
        <is>
          <t>2026-08-14T07:41:50.112695Z</t>
        </is>
      </c>
      <c r="BI50" s="24" t="inlineStr">
        <is>
          <t>["same_event","same_team_same_day","same_league_same_day"]</t>
        </is>
      </c>
      <c r="BJ50" s="25" t="n"/>
      <c r="BK50" s="26" t="n">
        <v>-104</v>
      </c>
      <c r="BL50" s="27" t="n">
        <v>1.961538</v>
      </c>
      <c r="BM50" s="28" t="n">
        <v>0.509804</v>
      </c>
      <c r="BN50" s="28" t="n"/>
      <c r="BO50" s="28" t="n"/>
      <c r="BP50" s="25" t="n"/>
      <c r="BQ50" s="27" t="n">
        <v>1.961538</v>
      </c>
      <c r="BR50" s="28" t="n">
        <v>0.51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0.509804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982cb265e2544e10</t>
        </is>
      </c>
      <c r="B51" s="24" t="inlineStr">
        <is>
          <t>2026-08-14T10:49:45.341093Z</t>
        </is>
      </c>
      <c r="C51" s="24" t="inlineStr">
        <is>
          <t>2026-08-14T11:00:00Z</t>
        </is>
      </c>
      <c r="D51" s="24" t="inlineStr">
        <is>
          <t>78279</t>
        </is>
      </c>
      <c r="E51" s="24" t="inlineStr">
        <is>
          <t>LOL</t>
        </is>
      </c>
      <c r="F51" s="24" t="inlineStr">
        <is>
          <t>JD Gaming</t>
        </is>
      </c>
      <c r="G51" s="24" t="inlineStr">
        <is>
          <t>Anyone's Legend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-127</v>
      </c>
      <c r="M51" s="27" t="n">
        <v>1.787402</v>
      </c>
      <c r="N51" s="28" t="n">
        <v>0.5594710000000001</v>
      </c>
      <c r="O51" s="28" t="n">
        <v>0.574318</v>
      </c>
      <c r="P51" s="28" t="n"/>
      <c r="Q51" s="28" t="n">
        <v>0.014847</v>
      </c>
      <c r="R51" s="26" t="n">
        <v>27</v>
      </c>
      <c r="S51" s="29" t="n">
        <v>1.25</v>
      </c>
      <c r="T51" s="24" t="inlineStr">
        <is>
          <t>lol-tiered-elo-v6</t>
        </is>
      </c>
      <c r="U51" s="24" t="inlineStr">
        <is>
          <t>settled</t>
        </is>
      </c>
      <c r="V51" s="24" t="inlineStr">
        <is>
          <t>win</t>
        </is>
      </c>
      <c r="W51" s="26" t="n">
        <v>0</v>
      </c>
      <c r="X51" s="26" t="n">
        <v>1</v>
      </c>
      <c r="Y51" s="25" t="n"/>
      <c r="Z51" s="26" t="n">
        <v>-127</v>
      </c>
      <c r="AA51" s="28" t="n">
        <v>0.5600000000000001</v>
      </c>
      <c r="AB51" s="28" t="n">
        <v>0.000529</v>
      </c>
      <c r="AC51" s="30" t="n">
        <v>0.9843</v>
      </c>
      <c r="AD51" s="24" t="inlineStr">
        <is>
          <t>2026-08-14T17:02:23.140235Z</t>
        </is>
      </c>
      <c r="AE51" s="31" t="inlineStr">
        <is>
          <t>Neutral Elo baseline; executable ask 0.5600 (market_slug=aec-lol-al-jdg-2026-08-14).</t>
        </is>
      </c>
      <c r="AF51" s="31" t="inlineStr">
        <is>
          <t>Config-promoted esports baseline; gates enforced at log time.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3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JD Gaming</t>
        </is>
      </c>
      <c r="AQ51" s="24" t="inlineStr">
        <is>
          <t>JD Gaming</t>
        </is>
      </c>
      <c r="AR51" s="24" t="inlineStr">
        <is>
          <t>JD Gaming</t>
        </is>
      </c>
      <c r="AS51" s="24" t="inlineStr">
        <is>
          <t>Anyone's Legend</t>
        </is>
      </c>
      <c r="AT51" s="24" t="inlineStr">
        <is>
          <t>Anyone's Legend</t>
        </is>
      </c>
      <c r="AU51" s="24" t="inlineStr">
        <is>
          <t>Anyone's Legend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667c9d7385a5ad7d2439c2eef5ba4e6bc0b427e53bd7fdc5c4bc1b1ee56ca91c</t>
        </is>
      </c>
      <c r="BB51" s="24" t="inlineStr">
        <is>
          <t>neutral_elo</t>
        </is>
      </c>
      <c r="BC51" s="24" t="inlineStr">
        <is>
          <t>lol-tiered-elo-v6</t>
        </is>
      </c>
      <c r="BD51" s="24" t="inlineStr">
        <is>
          <t>667c9d7385a5ad7d2439c2eef5ba4e6bc0b427e53bd7fdc5c4bc1b1ee56ca91c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lol-tiered-elo-v6</t>
        </is>
      </c>
      <c r="BH51" s="24" t="inlineStr">
        <is>
          <t>2026-08-14T10:49:32.735473Z</t>
        </is>
      </c>
      <c r="BI51" s="24" t="inlineStr">
        <is>
          <t>["same_event","same_team_same_day","same_league_same_day"]</t>
        </is>
      </c>
      <c r="BJ51" s="25" t="n"/>
      <c r="BK51" s="26" t="n">
        <v>-127</v>
      </c>
      <c r="BL51" s="27" t="n">
        <v>1.787402</v>
      </c>
      <c r="BM51" s="28" t="n">
        <v>0.5594710000000001</v>
      </c>
      <c r="BN51" s="28" t="n"/>
      <c r="BO51" s="28" t="n"/>
      <c r="BP51" s="25" t="n"/>
      <c r="BQ51" s="27" t="n">
        <v>1.787402</v>
      </c>
      <c r="BR51" s="28" t="n">
        <v>0.5600000000000001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0.559471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4087f167d6e14f89</t>
        </is>
      </c>
      <c r="B52" s="24" t="inlineStr">
        <is>
          <t>2026-08-15T08:28:14.381845Z</t>
        </is>
      </c>
      <c r="C52" s="24" t="inlineStr">
        <is>
          <t>2026-08-15T10:00:00Z</t>
        </is>
      </c>
      <c r="D52" s="24" t="inlineStr">
        <is>
          <t>79615</t>
        </is>
      </c>
      <c r="E52" s="24" t="inlineStr">
        <is>
          <t>LOL</t>
        </is>
      </c>
      <c r="F52" s="24" t="inlineStr">
        <is>
          <t>DN SOOPers</t>
        </is>
      </c>
      <c r="G52" s="24" t="inlineStr">
        <is>
          <t>BNK FEARX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144</v>
      </c>
      <c r="M52" s="27" t="n">
        <v>2.44</v>
      </c>
      <c r="N52" s="28" t="n">
        <v>0.409836</v>
      </c>
      <c r="O52" s="28" t="n">
        <v>0.530977</v>
      </c>
      <c r="P52" s="28" t="n"/>
      <c r="Q52" s="28" t="n">
        <v>0.121141</v>
      </c>
      <c r="R52" s="26" t="n">
        <v>81</v>
      </c>
      <c r="S52" s="29" t="n">
        <v>1</v>
      </c>
      <c r="T52" s="24" t="inlineStr">
        <is>
          <t>lol-tiered-elo-v6</t>
        </is>
      </c>
      <c r="U52" s="24" t="inlineStr">
        <is>
          <t>settled</t>
        </is>
      </c>
      <c r="V52" s="24" t="inlineStr">
        <is>
          <t>win</t>
        </is>
      </c>
      <c r="W52" s="26" t="n">
        <v>1</v>
      </c>
      <c r="X52" s="26" t="n">
        <v>0</v>
      </c>
      <c r="Y52" s="25" t="n"/>
      <c r="Z52" s="26" t="n">
        <v>144</v>
      </c>
      <c r="AA52" s="28" t="n">
        <v>0.41</v>
      </c>
      <c r="AB52" s="28" t="n">
        <v>0.000164</v>
      </c>
      <c r="AC52" s="30" t="n">
        <v>1.44</v>
      </c>
      <c r="AD52" s="24" t="inlineStr">
        <is>
          <t>2026-08-15T14:40:27.138897Z</t>
        </is>
      </c>
      <c r="AE52" s="31" t="inlineStr">
        <is>
          <t>Neutral Elo baseline; executable ask 0.4100 (market_slug=aec-lol-bfx-dns-2026-08-15).</t>
        </is>
      </c>
      <c r="AF52" s="31" t="inlineStr">
        <is>
          <t>Config-promoted esports baseline; gates enforced at log time.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3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DN SOOPers</t>
        </is>
      </c>
      <c r="AQ52" s="24" t="inlineStr">
        <is>
          <t>DN SOOPers</t>
        </is>
      </c>
      <c r="AR52" s="24" t="inlineStr">
        <is>
          <t>DN SOOPers</t>
        </is>
      </c>
      <c r="AS52" s="24" t="inlineStr">
        <is>
          <t>BNK FEARX</t>
        </is>
      </c>
      <c r="AT52" s="24" t="inlineStr">
        <is>
          <t>BNK FEARX</t>
        </is>
      </c>
      <c r="AU52" s="24" t="inlineStr">
        <is>
          <t>BNK FEARX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6368a3036b617d62b5c19bf7d481d5d54a275de8afab63dd459fddd28398ed5e</t>
        </is>
      </c>
      <c r="BB52" s="24" t="inlineStr">
        <is>
          <t>neutral_elo</t>
        </is>
      </c>
      <c r="BC52" s="24" t="inlineStr">
        <is>
          <t>lol-tiered-elo-v6</t>
        </is>
      </c>
      <c r="BD52" s="24" t="inlineStr">
        <is>
          <t>6368a3036b617d62b5c19bf7d481d5d54a275de8afab63dd459fddd28398ed5e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lol-tiered-elo-v6</t>
        </is>
      </c>
      <c r="BH52" s="24" t="inlineStr">
        <is>
          <t>2026-08-15T08:27:58.021718Z</t>
        </is>
      </c>
      <c r="BI52" s="24" t="inlineStr">
        <is>
          <t>["same_event","same_team_same_day","same_league_same_day"]</t>
        </is>
      </c>
      <c r="BJ52" s="25" t="n"/>
      <c r="BK52" s="26" t="n">
        <v>144</v>
      </c>
      <c r="BL52" s="27" t="n">
        <v>2.44</v>
      </c>
      <c r="BM52" s="28" t="n">
        <v>0.409836</v>
      </c>
      <c r="BN52" s="28" t="n"/>
      <c r="BO52" s="28" t="n"/>
      <c r="BP52" s="25" t="n"/>
      <c r="BQ52" s="27" t="n">
        <v>2.44</v>
      </c>
      <c r="BR52" s="28" t="n">
        <v>0.41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True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0.409836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e6c514f29334458e</t>
        </is>
      </c>
      <c r="B53" s="24" t="inlineStr">
        <is>
          <t>2026-08-15T11:36:29.301718Z</t>
        </is>
      </c>
      <c r="C53" s="24" t="inlineStr">
        <is>
          <t>2026-08-15T14:00:00Z</t>
        </is>
      </c>
      <c r="D53" s="24" t="inlineStr">
        <is>
          <t>79676</t>
        </is>
      </c>
      <c r="E53" s="24" t="inlineStr">
        <is>
          <t>LOL</t>
        </is>
      </c>
      <c r="F53" s="24" t="inlineStr">
        <is>
          <t>Crystal Rose</t>
        </is>
      </c>
      <c r="G53" s="24" t="inlineStr">
        <is>
          <t>Lausanne-Sport Esports</t>
        </is>
      </c>
      <c r="H53" s="24" t="inlineStr">
        <is>
          <t>moneyline</t>
        </is>
      </c>
      <c r="I53" s="24" t="inlineStr">
        <is>
          <t>away</t>
        </is>
      </c>
      <c r="J53" s="25" t="n"/>
      <c r="K53" s="24" t="inlineStr">
        <is>
          <t>polymarket_us</t>
        </is>
      </c>
      <c r="L53" s="26" t="n">
        <v>100</v>
      </c>
      <c r="M53" s="27" t="n">
        <v>2</v>
      </c>
      <c r="N53" s="28" t="n">
        <v>0.5</v>
      </c>
      <c r="O53" s="28" t="n">
        <v>0.532513</v>
      </c>
      <c r="P53" s="28" t="n"/>
      <c r="Q53" s="28" t="n">
        <v>0.032513</v>
      </c>
      <c r="R53" s="26" t="n">
        <v>36</v>
      </c>
      <c r="S53" s="29" t="n">
        <v>1</v>
      </c>
      <c r="T53" s="24" t="inlineStr">
        <is>
          <t>lol-tiered-elo-v6</t>
        </is>
      </c>
      <c r="U53" s="24" t="inlineStr">
        <is>
          <t>settled</t>
        </is>
      </c>
      <c r="V53" s="24" t="inlineStr">
        <is>
          <t>loss</t>
        </is>
      </c>
      <c r="W53" s="26" t="n">
        <v>0</v>
      </c>
      <c r="X53" s="26" t="n">
        <v>1</v>
      </c>
      <c r="Y53" s="25" t="n"/>
      <c r="Z53" s="26" t="n">
        <v>100</v>
      </c>
      <c r="AA53" s="28" t="n">
        <v>0.5</v>
      </c>
      <c r="AB53" s="28" t="n">
        <v>0</v>
      </c>
      <c r="AC53" s="30" t="n">
        <v>-1</v>
      </c>
      <c r="AD53" s="24" t="inlineStr">
        <is>
          <t>2026-08-15T14:40:30.373235Z</t>
        </is>
      </c>
      <c r="AE53" s="31" t="inlineStr">
        <is>
          <t>Neutral Elo baseline; executable ask 0.5000 (market_slug=aec-lol-els-cr-2026-08-15).</t>
        </is>
      </c>
      <c r="AF53" s="31" t="inlineStr">
        <is>
          <t>Config-promoted esports baseline; gates enforced at log time.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Crystal Rose</t>
        </is>
      </c>
      <c r="AQ53" s="24" t="inlineStr">
        <is>
          <t>Crystal Rose</t>
        </is>
      </c>
      <c r="AR53" s="24" t="inlineStr">
        <is>
          <t>Crystal Rose</t>
        </is>
      </c>
      <c r="AS53" s="24" t="inlineStr">
        <is>
          <t>Lausanne-Sport Esports</t>
        </is>
      </c>
      <c r="AT53" s="24" t="inlineStr">
        <is>
          <t>Lausanne-Sport Esports</t>
        </is>
      </c>
      <c r="AU53" s="24" t="inlineStr">
        <is>
          <t>Lausanne-Sport Esports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657566029484c5b06e92dbc5e4b4abf95d7f001e8c31fc81908712cab512ea16</t>
        </is>
      </c>
      <c r="BB53" s="24" t="inlineStr">
        <is>
          <t>neutral_elo</t>
        </is>
      </c>
      <c r="BC53" s="24" t="inlineStr">
        <is>
          <t>lol-tiered-elo-v6</t>
        </is>
      </c>
      <c r="BD53" s="24" t="inlineStr">
        <is>
          <t>657566029484c5b06e92dbc5e4b4abf95d7f001e8c31fc81908712cab512ea16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lol-tiered-elo-v6</t>
        </is>
      </c>
      <c r="BH53" s="24" t="inlineStr">
        <is>
          <t>2026-08-15T11:36:17.342203Z</t>
        </is>
      </c>
      <c r="BI53" s="24" t="inlineStr">
        <is>
          <t>["same_event","same_team_same_day","same_league_same_day"]</t>
        </is>
      </c>
      <c r="BJ53" s="25" t="n"/>
      <c r="BK53" s="26" t="n">
        <v>100</v>
      </c>
      <c r="BL53" s="27" t="n">
        <v>2</v>
      </c>
      <c r="BM53" s="28" t="n">
        <v>0.5</v>
      </c>
      <c r="BN53" s="28" t="n"/>
      <c r="BO53" s="28" t="n"/>
      <c r="BP53" s="25" t="n"/>
      <c r="BQ53" s="27" t="n">
        <v>2</v>
      </c>
      <c r="BR53" s="28" t="n">
        <v>0.5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0.5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3910f3e646aa4588</t>
        </is>
      </c>
      <c r="B54" s="24" t="inlineStr">
        <is>
          <t>2026-08-15T14:44:39.377879Z</t>
        </is>
      </c>
      <c r="C54" s="24" t="inlineStr">
        <is>
          <t>2026-08-15T15:00:00Z</t>
        </is>
      </c>
      <c r="D54" s="24" t="inlineStr">
        <is>
          <t>79715</t>
        </is>
      </c>
      <c r="E54" s="24" t="inlineStr">
        <is>
          <t>LOL</t>
        </is>
      </c>
      <c r="F54" s="24" t="inlineStr">
        <is>
          <t>Fnatic</t>
        </is>
      </c>
      <c r="G54" s="24" t="inlineStr">
        <is>
          <t>SK Gaming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100</v>
      </c>
      <c r="M54" s="27" t="n">
        <v>2</v>
      </c>
      <c r="N54" s="28" t="n">
        <v>0.5</v>
      </c>
      <c r="O54" s="28" t="n">
        <v>0.542266</v>
      </c>
      <c r="P54" s="28" t="n"/>
      <c r="Q54" s="28" t="n">
        <v>0.042266</v>
      </c>
      <c r="R54" s="26" t="n">
        <v>41</v>
      </c>
      <c r="S54" s="29" t="n">
        <v>1</v>
      </c>
      <c r="T54" s="24" t="inlineStr">
        <is>
          <t>lol-tiered-elo-v6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0</v>
      </c>
      <c r="Y54" s="25" t="n"/>
      <c r="Z54" s="26" t="n">
        <v>100</v>
      </c>
      <c r="AA54" s="28" t="n">
        <v>0.5</v>
      </c>
      <c r="AB54" s="28" t="n">
        <v>0</v>
      </c>
      <c r="AC54" s="30" t="n">
        <v>-1</v>
      </c>
      <c r="AD54" s="24" t="inlineStr">
        <is>
          <t>2026-08-15T17:47:44.539481Z</t>
        </is>
      </c>
      <c r="AE54" s="31" t="inlineStr">
        <is>
          <t>Neutral Elo baseline; executable ask 0.5000 (market_slug=aec-lol-sk-fnc-2026-08-15).</t>
        </is>
      </c>
      <c r="AF54" s="31" t="inlineStr">
        <is>
          <t>Config-promoted esports baseline; gates enforced at log time.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Fnatic</t>
        </is>
      </c>
      <c r="AQ54" s="24" t="inlineStr">
        <is>
          <t>Fnatic</t>
        </is>
      </c>
      <c r="AR54" s="24" t="inlineStr">
        <is>
          <t>Fnatic</t>
        </is>
      </c>
      <c r="AS54" s="24" t="inlineStr">
        <is>
          <t>SK Gaming</t>
        </is>
      </c>
      <c r="AT54" s="24" t="inlineStr">
        <is>
          <t>SK Gaming</t>
        </is>
      </c>
      <c r="AU54" s="24" t="inlineStr">
        <is>
          <t>SK Gaming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710d4a7ed7855325f042957458008ca36f1d11347b48678645d5612dbdc551e6</t>
        </is>
      </c>
      <c r="BB54" s="24" t="inlineStr">
        <is>
          <t>neutral_elo</t>
        </is>
      </c>
      <c r="BC54" s="24" t="inlineStr">
        <is>
          <t>lol-tiered-elo-v6</t>
        </is>
      </c>
      <c r="BD54" s="24" t="inlineStr">
        <is>
          <t>710d4a7ed7855325f042957458008ca36f1d11347b48678645d5612dbdc551e6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lol-tiered-elo-v6</t>
        </is>
      </c>
      <c r="BH54" s="24" t="inlineStr">
        <is>
          <t>2026-08-15T14:44:29.251793Z</t>
        </is>
      </c>
      <c r="BI54" s="24" t="inlineStr">
        <is>
          <t>["same_event","same_team_same_day","same_league_same_day"]</t>
        </is>
      </c>
      <c r="BJ54" s="25" t="n"/>
      <c r="BK54" s="26" t="n">
        <v>100</v>
      </c>
      <c r="BL54" s="27" t="n">
        <v>2</v>
      </c>
      <c r="BM54" s="28" t="n">
        <v>0.5</v>
      </c>
      <c r="BN54" s="28" t="n"/>
      <c r="BO54" s="28" t="n"/>
      <c r="BP54" s="25" t="n"/>
      <c r="BQ54" s="27" t="n">
        <v>2</v>
      </c>
      <c r="BR54" s="28" t="n">
        <v>0.5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0.5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c4231b201db84443</t>
        </is>
      </c>
      <c r="B55" s="24" t="inlineStr">
        <is>
          <t>2026-08-15T21:07:39.902148Z</t>
        </is>
      </c>
      <c r="C55" s="24" t="inlineStr">
        <is>
          <t>2026-08-15T23:00:00Z</t>
        </is>
      </c>
      <c r="D55" s="24" t="inlineStr">
        <is>
          <t>80295</t>
        </is>
      </c>
      <c r="E55" s="24" t="inlineStr">
        <is>
          <t>LOL</t>
        </is>
      </c>
      <c r="F55" s="24" t="inlineStr">
        <is>
          <t>Dignitas</t>
        </is>
      </c>
      <c r="G55" s="24" t="inlineStr">
        <is>
          <t>Shopify Rebellion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-233</v>
      </c>
      <c r="M55" s="27" t="n">
        <v>1.429185</v>
      </c>
      <c r="N55" s="28" t="n">
        <v>0.6997</v>
      </c>
      <c r="O55" s="28" t="n">
        <v>0.742138</v>
      </c>
      <c r="P55" s="28" t="n"/>
      <c r="Q55" s="28" t="n">
        <v>0.042438</v>
      </c>
      <c r="R55" s="26" t="n">
        <v>41</v>
      </c>
      <c r="S55" s="29" t="n">
        <v>2</v>
      </c>
      <c r="T55" s="24" t="inlineStr">
        <is>
          <t>lol-tiered-elo-v6</t>
        </is>
      </c>
      <c r="U55" s="24" t="inlineStr">
        <is>
          <t>settled</t>
        </is>
      </c>
      <c r="V55" s="24" t="inlineStr">
        <is>
          <t>win</t>
        </is>
      </c>
      <c r="W55" s="26" t="n">
        <v>0</v>
      </c>
      <c r="X55" s="26" t="n">
        <v>1</v>
      </c>
      <c r="Y55" s="25" t="n"/>
      <c r="Z55" s="26" t="n">
        <v>-233</v>
      </c>
      <c r="AA55" s="28" t="n">
        <v>0.7</v>
      </c>
      <c r="AB55" s="28" t="n">
        <v>0.0003</v>
      </c>
      <c r="AC55" s="30" t="n">
        <v>0.8584000000000001</v>
      </c>
      <c r="AD55" s="24" t="inlineStr">
        <is>
          <t>2026-08-16T00:10:14.326176Z</t>
        </is>
      </c>
      <c r="AE55" s="31" t="inlineStr">
        <is>
          <t>Neutral Elo baseline; executable ask 0.7000 (market_slug=aec-lol-sr-dig-2026-08-15).</t>
        </is>
      </c>
      <c r="AF55" s="31" t="inlineStr">
        <is>
          <t>Config-promoted esports baseline; gates enforced at log time.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3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Dignitas</t>
        </is>
      </c>
      <c r="AQ55" s="24" t="inlineStr">
        <is>
          <t>Dignitas</t>
        </is>
      </c>
      <c r="AR55" s="24" t="inlineStr">
        <is>
          <t>Dignitas</t>
        </is>
      </c>
      <c r="AS55" s="24" t="inlineStr">
        <is>
          <t>Shopify Rebellion</t>
        </is>
      </c>
      <c r="AT55" s="24" t="inlineStr">
        <is>
          <t>Shopify Rebellion</t>
        </is>
      </c>
      <c r="AU55" s="24" t="inlineStr">
        <is>
          <t>Shopify Rebellion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6de1021cd4fb34c7e78273a7a6d8626b173a2b179a7944bf1ed67c652288a30b</t>
        </is>
      </c>
      <c r="BB55" s="24" t="inlineStr">
        <is>
          <t>neutral_elo</t>
        </is>
      </c>
      <c r="BC55" s="24" t="inlineStr">
        <is>
          <t>lol-tiered-elo-v6</t>
        </is>
      </c>
      <c r="BD55" s="24" t="inlineStr">
        <is>
          <t>6de1021cd4fb34c7e78273a7a6d8626b173a2b179a7944bf1ed67c652288a30b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lol-tiered-elo-v6</t>
        </is>
      </c>
      <c r="BH55" s="24" t="inlineStr">
        <is>
          <t>2026-08-15T21:07:31.612801Z</t>
        </is>
      </c>
      <c r="BI55" s="24" t="inlineStr">
        <is>
          <t>["same_event","same_team_same_day","same_league_same_day"]</t>
        </is>
      </c>
      <c r="BJ55" s="25" t="n"/>
      <c r="BK55" s="26" t="n">
        <v>-233</v>
      </c>
      <c r="BL55" s="27" t="n">
        <v>1.429185</v>
      </c>
      <c r="BM55" s="28" t="n">
        <v>0.6997</v>
      </c>
      <c r="BN55" s="28" t="n"/>
      <c r="BO55" s="28" t="n"/>
      <c r="BP55" s="25" t="n"/>
      <c r="BQ55" s="27" t="n">
        <v>1.429185</v>
      </c>
      <c r="BR55" s="28" t="n">
        <v>0.7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True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0.6997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e274cbdb20264e8b</t>
        </is>
      </c>
      <c r="B56" s="24" t="inlineStr">
        <is>
          <t>2026-08-16T00:12:46.443932Z</t>
        </is>
      </c>
      <c r="C56" s="24" t="inlineStr">
        <is>
          <t>2026-08-16T03:00:00Z</t>
        </is>
      </c>
      <c r="D56" s="24" t="inlineStr">
        <is>
          <t>80406</t>
        </is>
      </c>
      <c r="E56" s="24" t="inlineStr">
        <is>
          <t>LOL</t>
        </is>
      </c>
      <c r="F56" s="24" t="inlineStr">
        <is>
          <t>DN SOOPers Challengers</t>
        </is>
      </c>
      <c r="G56" s="24" t="inlineStr">
        <is>
          <t>T1 Academy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-178</v>
      </c>
      <c r="M56" s="27" t="n">
        <v>1.561798</v>
      </c>
      <c r="N56" s="28" t="n">
        <v>0.640288</v>
      </c>
      <c r="O56" s="28" t="n">
        <v>0.739229</v>
      </c>
      <c r="P56" s="28" t="n"/>
      <c r="Q56" s="28" t="n">
        <v>0.098941</v>
      </c>
      <c r="R56" s="26" t="n">
        <v>69</v>
      </c>
      <c r="S56" s="29" t="n">
        <v>2</v>
      </c>
      <c r="T56" s="24" t="inlineStr">
        <is>
          <t>lol-tiered-elo-v6</t>
        </is>
      </c>
      <c r="U56" s="24" t="inlineStr">
        <is>
          <t>settled</t>
        </is>
      </c>
      <c r="V56" s="24" t="inlineStr">
        <is>
          <t>win</t>
        </is>
      </c>
      <c r="W56" s="26" t="n">
        <v>0</v>
      </c>
      <c r="X56" s="26" t="n">
        <v>1</v>
      </c>
      <c r="Y56" s="25" t="n"/>
      <c r="Z56" s="26" t="n">
        <v>-178</v>
      </c>
      <c r="AA56" s="28" t="n">
        <v>0.64</v>
      </c>
      <c r="AB56" s="28" t="n">
        <v>-0.000288</v>
      </c>
      <c r="AC56" s="30" t="n">
        <v>1.1236</v>
      </c>
      <c r="AD56" s="24" t="inlineStr">
        <is>
          <t>2026-08-16T06:21:53.388875Z</t>
        </is>
      </c>
      <c r="AE56" s="31" t="inlineStr">
        <is>
          <t>Neutral Elo baseline; executable ask 0.6400 (market_slug=aec-lol-t1a-dnsc-2026-08-16).</t>
        </is>
      </c>
      <c r="AF56" s="31" t="inlineStr">
        <is>
          <t>Config-promoted esports baseline; gates enforced at log time.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model_qualified</t>
        </is>
      </c>
      <c r="AL56" s="26" t="n">
        <v>3</v>
      </c>
      <c r="AM56" s="24" t="inlineStr">
        <is>
          <t>QUALIFIED_SHADOW_CALL</t>
        </is>
      </c>
      <c r="AN56" s="24" t="inlineStr">
        <is>
          <t>CALL</t>
        </is>
      </c>
      <c r="AO56" s="24" t="inlineStr">
        <is>
          <t>QUALIFIED</t>
        </is>
      </c>
      <c r="AP56" s="24" t="inlineStr">
        <is>
          <t>DN SOOPers Challengers</t>
        </is>
      </c>
      <c r="AQ56" s="24" t="inlineStr">
        <is>
          <t>DN SOOPers Challengers</t>
        </is>
      </c>
      <c r="AR56" s="24" t="inlineStr">
        <is>
          <t>DN SOOPers Challengers</t>
        </is>
      </c>
      <c r="AS56" s="24" t="inlineStr">
        <is>
          <t>T1 Academy</t>
        </is>
      </c>
      <c r="AT56" s="24" t="inlineStr">
        <is>
          <t>T1 Academy</t>
        </is>
      </c>
      <c r="AU56" s="24" t="inlineStr">
        <is>
          <t>T1 Academy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8a8ae659a6eeb1f125492885637513391e9644c21a9759c70190d6a7a80577b4</t>
        </is>
      </c>
      <c r="BB56" s="24" t="inlineStr">
        <is>
          <t>neutral_elo</t>
        </is>
      </c>
      <c r="BC56" s="24" t="inlineStr">
        <is>
          <t>lol-tiered-elo-v6</t>
        </is>
      </c>
      <c r="BD56" s="24" t="inlineStr">
        <is>
          <t>8a8ae659a6eeb1f125492885637513391e9644c21a9759c70190d6a7a80577b4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lol-tiered-elo-v6</t>
        </is>
      </c>
      <c r="BH56" s="24" t="inlineStr">
        <is>
          <t>2026-08-16T00:12:39.359085Z</t>
        </is>
      </c>
      <c r="BI56" s="24" t="inlineStr">
        <is>
          <t>["same_event","same_team_same_day","same_league_same_day"]</t>
        </is>
      </c>
      <c r="BJ56" s="25" t="n"/>
      <c r="BK56" s="26" t="n">
        <v>-178</v>
      </c>
      <c r="BL56" s="27" t="n">
        <v>1.561798</v>
      </c>
      <c r="BM56" s="28" t="n">
        <v>0.640288</v>
      </c>
      <c r="BN56" s="28" t="n"/>
      <c r="BO56" s="28" t="n"/>
      <c r="BP56" s="25" t="n"/>
      <c r="BQ56" s="27" t="n">
        <v>1.561798</v>
      </c>
      <c r="BR56" s="28" t="n">
        <v>0.64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True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0.640288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c01ede1d7a4e4747</t>
        </is>
      </c>
      <c r="B57" s="24" t="inlineStr">
        <is>
          <t>2026-08-16T06:25:46.915740Z</t>
        </is>
      </c>
      <c r="C57" s="24" t="inlineStr">
        <is>
          <t>2026-08-16T07:00:00Z</t>
        </is>
      </c>
      <c r="D57" s="24" t="inlineStr">
        <is>
          <t>80449</t>
        </is>
      </c>
      <c r="E57" s="24" t="inlineStr">
        <is>
          <t>LOL</t>
        </is>
      </c>
      <c r="F57" s="24" t="inlineStr">
        <is>
          <t>JD Gaming</t>
        </is>
      </c>
      <c r="G57" s="24" t="inlineStr">
        <is>
          <t>LGD Gaming</t>
        </is>
      </c>
      <c r="H57" s="24" t="inlineStr">
        <is>
          <t>moneyline</t>
        </is>
      </c>
      <c r="I57" s="24" t="inlineStr">
        <is>
          <t>away</t>
        </is>
      </c>
      <c r="J57" s="25" t="n"/>
      <c r="K57" s="24" t="inlineStr">
        <is>
          <t>polymarket_us</t>
        </is>
      </c>
      <c r="L57" s="26" t="n">
        <v>-233</v>
      </c>
      <c r="M57" s="27" t="n">
        <v>1.429185</v>
      </c>
      <c r="N57" s="28" t="n">
        <v>0.6997</v>
      </c>
      <c r="O57" s="28" t="n">
        <v>0.729878</v>
      </c>
      <c r="P57" s="28" t="n"/>
      <c r="Q57" s="28" t="n">
        <v>0.030178</v>
      </c>
      <c r="R57" s="26" t="n">
        <v>35</v>
      </c>
      <c r="S57" s="29" t="n">
        <v>2</v>
      </c>
      <c r="T57" s="24" t="inlineStr">
        <is>
          <t>lol-tiered-elo-v6</t>
        </is>
      </c>
      <c r="U57" s="24" t="inlineStr">
        <is>
          <t>settled</t>
        </is>
      </c>
      <c r="V57" s="24" t="inlineStr">
        <is>
          <t>loss</t>
        </is>
      </c>
      <c r="W57" s="26" t="n">
        <v>0</v>
      </c>
      <c r="X57" s="26" t="n">
        <v>1</v>
      </c>
      <c r="Y57" s="25" t="n"/>
      <c r="Z57" s="26" t="n">
        <v>-233</v>
      </c>
      <c r="AA57" s="28" t="n">
        <v>0.7</v>
      </c>
      <c r="AB57" s="28" t="n">
        <v>0.0003</v>
      </c>
      <c r="AC57" s="30" t="n">
        <v>-2</v>
      </c>
      <c r="AD57" s="24" t="inlineStr">
        <is>
          <t>2026-08-16T14:32:26.073943Z</t>
        </is>
      </c>
      <c r="AE57" s="31" t="inlineStr">
        <is>
          <t>Neutral Elo baseline; executable ask 0.7000 (market_slug=aec-lol-lgd-jdg-2026-08-16).</t>
        </is>
      </c>
      <c r="AF57" s="31" t="inlineStr">
        <is>
          <t>Config-promoted esports baseline; gates enforced at log time.</t>
        </is>
      </c>
      <c r="AG57" s="24" t="inlineStr">
        <is>
          <t>review_required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3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JD Gaming</t>
        </is>
      </c>
      <c r="AQ57" s="24" t="inlineStr">
        <is>
          <t>JD Gaming</t>
        </is>
      </c>
      <c r="AR57" s="24" t="inlineStr">
        <is>
          <t>JD Gaming</t>
        </is>
      </c>
      <c r="AS57" s="24" t="inlineStr">
        <is>
          <t>LGD Gaming</t>
        </is>
      </c>
      <c r="AT57" s="24" t="inlineStr">
        <is>
          <t>LGD Gaming</t>
        </is>
      </c>
      <c r="AU57" s="24" t="inlineStr">
        <is>
          <t>LGD Gaming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2473d6e666c9c872dd9cdb18b36d8cd614f6d7d86e3dbedea346406e9f3f3b9c</t>
        </is>
      </c>
      <c r="BB57" s="24" t="inlineStr">
        <is>
          <t>neutral_elo</t>
        </is>
      </c>
      <c r="BC57" s="24" t="inlineStr">
        <is>
          <t>lol-tiered-elo-v6</t>
        </is>
      </c>
      <c r="BD57" s="24" t="inlineStr">
        <is>
          <t>2473d6e666c9c872dd9cdb18b36d8cd614f6d7d86e3dbedea346406e9f3f3b9c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lol-tiered-elo-v6</t>
        </is>
      </c>
      <c r="BH57" s="24" t="inlineStr">
        <is>
          <t>2026-08-16T06:25:33.278421Z</t>
        </is>
      </c>
      <c r="BI57" s="24" t="inlineStr">
        <is>
          <t>["same_event","same_team_same_day","same_league_same_day"]</t>
        </is>
      </c>
      <c r="BJ57" s="25" t="n"/>
      <c r="BK57" s="26" t="n">
        <v>-233</v>
      </c>
      <c r="BL57" s="27" t="n">
        <v>1.429185</v>
      </c>
      <c r="BM57" s="28" t="n">
        <v>0.6997</v>
      </c>
      <c r="BN57" s="28" t="n"/>
      <c r="BO57" s="28" t="n"/>
      <c r="BP57" s="25" t="n"/>
      <c r="BQ57" s="27" t="n">
        <v>1.429185</v>
      </c>
      <c r="BR57" s="28" t="n">
        <v>0.7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0.6997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49b3f034dd1a4f8c</t>
        </is>
      </c>
      <c r="B58" s="24" t="inlineStr">
        <is>
          <t>2026-08-16T06:25:46.915740Z</t>
        </is>
      </c>
      <c r="C58" s="24" t="inlineStr">
        <is>
          <t>2026-08-16T08:00:00Z</t>
        </is>
      </c>
      <c r="D58" s="24" t="inlineStr">
        <is>
          <t>80455</t>
        </is>
      </c>
      <c r="E58" s="24" t="inlineStr">
        <is>
          <t>LOL</t>
        </is>
      </c>
      <c r="F58" s="24" t="inlineStr">
        <is>
          <t>Gen.G</t>
        </is>
      </c>
      <c r="G58" s="24" t="inlineStr">
        <is>
          <t>T1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138</v>
      </c>
      <c r="M58" s="27" t="n">
        <v>2.38</v>
      </c>
      <c r="N58" s="28" t="n">
        <v>0.420168</v>
      </c>
      <c r="O58" s="28" t="n">
        <v>0.54948</v>
      </c>
      <c r="P58" s="28" t="n"/>
      <c r="Q58" s="28" t="n">
        <v>0.129312</v>
      </c>
      <c r="R58" s="26" t="n">
        <v>85</v>
      </c>
      <c r="S58" s="29" t="n">
        <v>1</v>
      </c>
      <c r="T58" s="24" t="inlineStr">
        <is>
          <t>lol-tiered-elo-v6</t>
        </is>
      </c>
      <c r="U58" s="24" t="inlineStr">
        <is>
          <t>settled</t>
        </is>
      </c>
      <c r="V58" s="24" t="inlineStr">
        <is>
          <t>loss</t>
        </is>
      </c>
      <c r="W58" s="26" t="n">
        <v>1</v>
      </c>
      <c r="X58" s="26" t="n">
        <v>0</v>
      </c>
      <c r="Y58" s="25" t="n"/>
      <c r="Z58" s="26" t="n">
        <v>138</v>
      </c>
      <c r="AA58" s="28" t="n">
        <v>0.42</v>
      </c>
      <c r="AB58" s="28" t="n">
        <v>-0.000168</v>
      </c>
      <c r="AC58" s="30" t="n">
        <v>-1</v>
      </c>
      <c r="AD58" s="24" t="inlineStr">
        <is>
          <t>2026-08-16T14:32:27.505382Z</t>
        </is>
      </c>
      <c r="AE58" s="31" t="inlineStr">
        <is>
          <t>Neutral Elo baseline; executable ask 0.4200 (market_slug=aec-lol-t1-gen-2026-08-16).</t>
        </is>
      </c>
      <c r="AF58" s="31" t="inlineStr">
        <is>
          <t>Config-promoted esports baseline; gates enforced at log time.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3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Gen.G</t>
        </is>
      </c>
      <c r="AQ58" s="24" t="inlineStr">
        <is>
          <t>Gen.G</t>
        </is>
      </c>
      <c r="AR58" s="24" t="inlineStr">
        <is>
          <t>Gen.G</t>
        </is>
      </c>
      <c r="AS58" s="24" t="inlineStr">
        <is>
          <t>T1</t>
        </is>
      </c>
      <c r="AT58" s="24" t="inlineStr">
        <is>
          <t>T1</t>
        </is>
      </c>
      <c r="AU58" s="24" t="inlineStr">
        <is>
          <t>T1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2473d6e666c9c872dd9cdb18b36d8cd614f6d7d86e3dbedea346406e9f3f3b9c</t>
        </is>
      </c>
      <c r="BB58" s="24" t="inlineStr">
        <is>
          <t>neutral_elo</t>
        </is>
      </c>
      <c r="BC58" s="24" t="inlineStr">
        <is>
          <t>lol-tiered-elo-v6</t>
        </is>
      </c>
      <c r="BD58" s="24" t="inlineStr">
        <is>
          <t>2473d6e666c9c872dd9cdb18b36d8cd614f6d7d86e3dbedea346406e9f3f3b9c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lol-tiered-elo-v6</t>
        </is>
      </c>
      <c r="BH58" s="24" t="inlineStr">
        <is>
          <t>2026-08-16T06:25:33.911666Z</t>
        </is>
      </c>
      <c r="BI58" s="24" t="inlineStr">
        <is>
          <t>["same_event","same_team_same_day","same_league_same_day"]</t>
        </is>
      </c>
      <c r="BJ58" s="25" t="n"/>
      <c r="BK58" s="26" t="n">
        <v>138</v>
      </c>
      <c r="BL58" s="27" t="n">
        <v>2.38</v>
      </c>
      <c r="BM58" s="28" t="n">
        <v>0.420168</v>
      </c>
      <c r="BN58" s="28" t="n"/>
      <c r="BO58" s="28" t="n"/>
      <c r="BP58" s="25" t="n"/>
      <c r="BQ58" s="27" t="n">
        <v>2.38</v>
      </c>
      <c r="BR58" s="28" t="n">
        <v>0.42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0.420168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68e85d091cb14604</t>
        </is>
      </c>
      <c r="B59" s="24" t="inlineStr">
        <is>
          <t>2026-08-16T06:25:46.915740Z</t>
        </is>
      </c>
      <c r="C59" s="24" t="inlineStr">
        <is>
          <t>2026-08-16T09:00:00Z</t>
        </is>
      </c>
      <c r="D59" s="24" t="inlineStr">
        <is>
          <t>80465</t>
        </is>
      </c>
      <c r="E59" s="24" t="inlineStr">
        <is>
          <t>LOL</t>
        </is>
      </c>
      <c r="F59" s="24" t="inlineStr">
        <is>
          <t>Invictus Gaming</t>
        </is>
      </c>
      <c r="G59" s="24" t="inlineStr">
        <is>
          <t>Weibo Gaming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163</v>
      </c>
      <c r="M59" s="27" t="n">
        <v>2.63</v>
      </c>
      <c r="N59" s="28" t="n">
        <v>0.380228</v>
      </c>
      <c r="O59" s="28" t="n">
        <v>0.530112</v>
      </c>
      <c r="P59" s="28" t="n"/>
      <c r="Q59" s="28" t="n">
        <v>0.149884</v>
      </c>
      <c r="R59" s="26" t="n">
        <v>95</v>
      </c>
      <c r="S59" s="29" t="n">
        <v>1</v>
      </c>
      <c r="T59" s="24" t="inlineStr">
        <is>
          <t>lol-tiered-elo-v6</t>
        </is>
      </c>
      <c r="U59" s="24" t="inlineStr">
        <is>
          <t>settled</t>
        </is>
      </c>
      <c r="V59" s="24" t="inlineStr">
        <is>
          <t>loss</t>
        </is>
      </c>
      <c r="W59" s="26" t="n">
        <v>1</v>
      </c>
      <c r="X59" s="26" t="n">
        <v>0</v>
      </c>
      <c r="Y59" s="25" t="n"/>
      <c r="Z59" s="26" t="n">
        <v>163</v>
      </c>
      <c r="AA59" s="28" t="n">
        <v>0.38</v>
      </c>
      <c r="AB59" s="28" t="n">
        <v>-0.000228</v>
      </c>
      <c r="AC59" s="30" t="n">
        <v>-1</v>
      </c>
      <c r="AD59" s="24" t="inlineStr">
        <is>
          <t>2026-08-16T14:32:30.283950Z</t>
        </is>
      </c>
      <c r="AE59" s="31" t="inlineStr">
        <is>
          <t>Neutral Elo baseline; executable ask 0.3800 (market_slug=aec-lol-wb-ig-2026-08-16).</t>
        </is>
      </c>
      <c r="AF59" s="31" t="inlineStr">
        <is>
          <t>Config-promoted esports baseline; gates enforced at log time.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model_qualified</t>
        </is>
      </c>
      <c r="AL59" s="26" t="n">
        <v>3</v>
      </c>
      <c r="AM59" s="24" t="inlineStr">
        <is>
          <t>QUALIFIED_SHADOW_CALL</t>
        </is>
      </c>
      <c r="AN59" s="24" t="inlineStr">
        <is>
          <t>CALL</t>
        </is>
      </c>
      <c r="AO59" s="24" t="inlineStr">
        <is>
          <t>QUALIFIED</t>
        </is>
      </c>
      <c r="AP59" s="24" t="inlineStr">
        <is>
          <t>Invictus Gaming</t>
        </is>
      </c>
      <c r="AQ59" s="24" t="inlineStr">
        <is>
          <t>Invictus Gaming</t>
        </is>
      </c>
      <c r="AR59" s="24" t="inlineStr">
        <is>
          <t>Invictus Gaming</t>
        </is>
      </c>
      <c r="AS59" s="24" t="inlineStr">
        <is>
          <t>Weibo Gaming</t>
        </is>
      </c>
      <c r="AT59" s="24" t="inlineStr">
        <is>
          <t>Weibo Gaming</t>
        </is>
      </c>
      <c r="AU59" s="24" t="inlineStr">
        <is>
          <t>Weibo Gaming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2473d6e666c9c872dd9cdb18b36d8cd614f6d7d86e3dbedea346406e9f3f3b9c</t>
        </is>
      </c>
      <c r="BB59" s="24" t="inlineStr">
        <is>
          <t>neutral_elo</t>
        </is>
      </c>
      <c r="BC59" s="24" t="inlineStr">
        <is>
          <t>lol-tiered-elo-v6</t>
        </is>
      </c>
      <c r="BD59" s="24" t="inlineStr">
        <is>
          <t>2473d6e666c9c872dd9cdb18b36d8cd614f6d7d86e3dbedea346406e9f3f3b9c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lol-tiered-elo-v6</t>
        </is>
      </c>
      <c r="BH59" s="24" t="inlineStr">
        <is>
          <t>2026-08-16T06:25:35.267004Z</t>
        </is>
      </c>
      <c r="BI59" s="24" t="inlineStr">
        <is>
          <t>["same_event","same_team_same_day","same_league_same_day"]</t>
        </is>
      </c>
      <c r="BJ59" s="25" t="n"/>
      <c r="BK59" s="26" t="n">
        <v>163</v>
      </c>
      <c r="BL59" s="27" t="n">
        <v>2.63</v>
      </c>
      <c r="BM59" s="28" t="n">
        <v>0.380228</v>
      </c>
      <c r="BN59" s="28" t="n"/>
      <c r="BO59" s="28" t="n"/>
      <c r="BP59" s="25" t="n"/>
      <c r="BQ59" s="27" t="n">
        <v>2.63</v>
      </c>
      <c r="BR59" s="28" t="n">
        <v>0.38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0.380228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6d018dce4c824f24</t>
        </is>
      </c>
      <c r="B60" s="24" t="inlineStr">
        <is>
          <t>2026-08-16T09:37:06.324369Z</t>
        </is>
      </c>
      <c r="C60" s="24" t="inlineStr">
        <is>
          <t>2026-08-16T10:00:00Z</t>
        </is>
      </c>
      <c r="D60" s="24" t="inlineStr">
        <is>
          <t>80468</t>
        </is>
      </c>
      <c r="E60" s="24" t="inlineStr">
        <is>
          <t>LOL</t>
        </is>
      </c>
      <c r="F60" s="24" t="inlineStr">
        <is>
          <t>HANJIN BRION</t>
        </is>
      </c>
      <c r="G60" s="24" t="inlineStr">
        <is>
          <t>Kiwoom DRX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100</v>
      </c>
      <c r="M60" s="27" t="n">
        <v>2</v>
      </c>
      <c r="N60" s="28" t="n">
        <v>0.5</v>
      </c>
      <c r="O60" s="28" t="n">
        <v>0.543111</v>
      </c>
      <c r="P60" s="28" t="n"/>
      <c r="Q60" s="28" t="n">
        <v>0.043111</v>
      </c>
      <c r="R60" s="26" t="n">
        <v>42</v>
      </c>
      <c r="S60" s="29" t="n">
        <v>1</v>
      </c>
      <c r="T60" s="24" t="inlineStr">
        <is>
          <t>lol-tiered-elo-v6</t>
        </is>
      </c>
      <c r="U60" s="24" t="inlineStr">
        <is>
          <t>settled</t>
        </is>
      </c>
      <c r="V60" s="24" t="inlineStr">
        <is>
          <t>loss</t>
        </is>
      </c>
      <c r="W60" s="26" t="n">
        <v>1</v>
      </c>
      <c r="X60" s="26" t="n">
        <v>0</v>
      </c>
      <c r="Y60" s="25" t="n"/>
      <c r="Z60" s="26" t="n">
        <v>100</v>
      </c>
      <c r="AA60" s="28" t="n">
        <v>0.5</v>
      </c>
      <c r="AB60" s="28" t="n">
        <v>0</v>
      </c>
      <c r="AC60" s="30" t="n">
        <v>-1</v>
      </c>
      <c r="AD60" s="24" t="inlineStr">
        <is>
          <t>2026-08-16T14:32:31.643116Z</t>
        </is>
      </c>
      <c r="AE60" s="31" t="inlineStr">
        <is>
          <t>Neutral Elo baseline; executable ask 0.5000 (market_slug=aec-lol-krx-bro-2026-08-16).</t>
        </is>
      </c>
      <c r="AF60" s="31" t="inlineStr">
        <is>
          <t>Config-promoted esports baseline; gates enforced at log time.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3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HANJIN BRION</t>
        </is>
      </c>
      <c r="AQ60" s="24" t="inlineStr">
        <is>
          <t>HANJIN BRION</t>
        </is>
      </c>
      <c r="AR60" s="24" t="inlineStr">
        <is>
          <t>HANJIN BRION</t>
        </is>
      </c>
      <c r="AS60" s="24" t="inlineStr">
        <is>
          <t>Kiwoom DRX</t>
        </is>
      </c>
      <c r="AT60" s="24" t="inlineStr">
        <is>
          <t>Kiwoom DRX</t>
        </is>
      </c>
      <c r="AU60" s="24" t="inlineStr">
        <is>
          <t>Kiwoom DRX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740e9c0d2e6d63acdb33fb77a80257aed9b11897794002394368ebfe3cd97472</t>
        </is>
      </c>
      <c r="BB60" s="24" t="inlineStr">
        <is>
          <t>neutral_elo</t>
        </is>
      </c>
      <c r="BC60" s="24" t="inlineStr">
        <is>
          <t>lol-tiered-elo-v6</t>
        </is>
      </c>
      <c r="BD60" s="24" t="inlineStr">
        <is>
          <t>740e9c0d2e6d63acdb33fb77a80257aed9b11897794002394368ebfe3cd97472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lol-tiered-elo-v6</t>
        </is>
      </c>
      <c r="BH60" s="24" t="inlineStr">
        <is>
          <t>2026-08-16T09:36:54.782509Z</t>
        </is>
      </c>
      <c r="BI60" s="24" t="inlineStr">
        <is>
          <t>["same_event","same_team_same_day","same_league_same_day"]</t>
        </is>
      </c>
      <c r="BJ60" s="25" t="n"/>
      <c r="BK60" s="26" t="n">
        <v>100</v>
      </c>
      <c r="BL60" s="27" t="n">
        <v>2</v>
      </c>
      <c r="BM60" s="28" t="n">
        <v>0.5</v>
      </c>
      <c r="BN60" s="28" t="n"/>
      <c r="BO60" s="28" t="n"/>
      <c r="BP60" s="25" t="n"/>
      <c r="BQ60" s="27" t="n">
        <v>2</v>
      </c>
      <c r="BR60" s="28" t="n">
        <v>0.5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0.5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22ffea9734e54568</t>
        </is>
      </c>
      <c r="B61" s="24" t="inlineStr">
        <is>
          <t>2026-08-16T14:37:22.167041Z</t>
        </is>
      </c>
      <c r="C61" s="24" t="inlineStr">
        <is>
          <t>2026-08-16T16:00:00Z</t>
        </is>
      </c>
      <c r="D61" s="24" t="inlineStr">
        <is>
          <t>82834</t>
        </is>
      </c>
      <c r="E61" s="24" t="inlineStr">
        <is>
          <t>LOL</t>
        </is>
      </c>
      <c r="F61" s="24" t="inlineStr">
        <is>
          <t>Vitality Rising Bees</t>
        </is>
      </c>
      <c r="G61" s="24" t="inlineStr">
        <is>
          <t>G2 HEL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170</v>
      </c>
      <c r="M61" s="27" t="n">
        <v>2.7</v>
      </c>
      <c r="N61" s="28" t="n">
        <v>0.37037</v>
      </c>
      <c r="O61" s="28" t="n">
        <v>0.546315</v>
      </c>
      <c r="P61" s="28" t="n"/>
      <c r="Q61" s="28" t="n">
        <v>0.175945</v>
      </c>
      <c r="R61" s="26" t="n">
        <v>100</v>
      </c>
      <c r="S61" s="29" t="n">
        <v>1</v>
      </c>
      <c r="T61" s="24" t="inlineStr">
        <is>
          <t>lol-tiered-elo-v6</t>
        </is>
      </c>
      <c r="U61" s="24" t="inlineStr">
        <is>
          <t>settled</t>
        </is>
      </c>
      <c r="V61" s="24" t="inlineStr">
        <is>
          <t>loss</t>
        </is>
      </c>
      <c r="W61" s="26" t="n">
        <v>1</v>
      </c>
      <c r="X61" s="26" t="n">
        <v>0</v>
      </c>
      <c r="Y61" s="25" t="n"/>
      <c r="Z61" s="26" t="n">
        <v>170</v>
      </c>
      <c r="AA61" s="28" t="n">
        <v>0.37</v>
      </c>
      <c r="AB61" s="28" t="n">
        <v>-0.00037</v>
      </c>
      <c r="AC61" s="30" t="n">
        <v>-1</v>
      </c>
      <c r="AD61" s="24" t="inlineStr">
        <is>
          <t>2026-08-17T05:30:48.108462Z</t>
        </is>
      </c>
      <c r="AE61" s="31" t="inlineStr">
        <is>
          <t>Neutral Elo baseline; executable ask 0.3700 (market_slug=aec-lol-g2h-rb-2026-08-16).</t>
        </is>
      </c>
      <c r="AF61" s="31" t="inlineStr">
        <is>
          <t>Config-promoted esports baseline; gates enforced at log time.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3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Vitality Rising Bees</t>
        </is>
      </c>
      <c r="AQ61" s="24" t="inlineStr">
        <is>
          <t>Vitality Rising Bees</t>
        </is>
      </c>
      <c r="AR61" s="24" t="inlineStr">
        <is>
          <t>Vitality Rising Bees</t>
        </is>
      </c>
      <c r="AS61" s="24" t="inlineStr">
        <is>
          <t>G2 HEL</t>
        </is>
      </c>
      <c r="AT61" s="24" t="inlineStr">
        <is>
          <t>G2 HEL</t>
        </is>
      </c>
      <c r="AU61" s="24" t="inlineStr">
        <is>
          <t>G2 HEL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6bfa40fef6371a5308fb1c144e793b9e4cab087abde26bf8f157613034cd1b22</t>
        </is>
      </c>
      <c r="BB61" s="24" t="inlineStr">
        <is>
          <t>neutral_elo</t>
        </is>
      </c>
      <c r="BC61" s="24" t="inlineStr">
        <is>
          <t>lol-tiered-elo-v6</t>
        </is>
      </c>
      <c r="BD61" s="24" t="inlineStr">
        <is>
          <t>6bfa40fef6371a5308fb1c144e793b9e4cab087abde26bf8f157613034cd1b22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lol-tiered-elo-v6</t>
        </is>
      </c>
      <c r="BH61" s="24" t="inlineStr">
        <is>
          <t>2026-08-16T14:37:12.459964Z</t>
        </is>
      </c>
      <c r="BI61" s="24" t="inlineStr">
        <is>
          <t>["same_event","same_team_same_day","same_league_same_day"]</t>
        </is>
      </c>
      <c r="BJ61" s="25" t="n"/>
      <c r="BK61" s="26" t="n">
        <v>170</v>
      </c>
      <c r="BL61" s="27" t="n">
        <v>2.7</v>
      </c>
      <c r="BM61" s="28" t="n">
        <v>0.37037</v>
      </c>
      <c r="BN61" s="28" t="n"/>
      <c r="BO61" s="28" t="n"/>
      <c r="BP61" s="25" t="n"/>
      <c r="BQ61" s="27" t="n">
        <v>2.7</v>
      </c>
      <c r="BR61" s="28" t="n">
        <v>0.37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0.37037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4743e44b3d984c8c</t>
        </is>
      </c>
      <c r="B62" s="24" t="inlineStr">
        <is>
          <t>2026-08-17T05:34:57.802202Z</t>
        </is>
      </c>
      <c r="C62" s="24" t="inlineStr">
        <is>
          <t>2026-08-17T08:00:00Z</t>
        </is>
      </c>
      <c r="D62" s="24" t="inlineStr">
        <is>
          <t>81228</t>
        </is>
      </c>
      <c r="E62" s="24" t="inlineStr">
        <is>
          <t>LOL</t>
        </is>
      </c>
      <c r="F62" s="24" t="inlineStr">
        <is>
          <t>KT Rolster Challengers</t>
        </is>
      </c>
      <c r="G62" s="24" t="inlineStr">
        <is>
          <t>Dplus KIA Challengers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-156</v>
      </c>
      <c r="M62" s="27" t="n">
        <v>1.641026</v>
      </c>
      <c r="N62" s="28" t="n">
        <v>0.609375</v>
      </c>
      <c r="O62" s="28" t="n">
        <v>0.682365</v>
      </c>
      <c r="P62" s="28" t="n"/>
      <c r="Q62" s="28" t="n">
        <v>0.07299</v>
      </c>
      <c r="R62" s="26" t="n">
        <v>56</v>
      </c>
      <c r="S62" s="29" t="n">
        <v>2</v>
      </c>
      <c r="T62" s="24" t="inlineStr">
        <is>
          <t>lol-tiered-elo-v6</t>
        </is>
      </c>
      <c r="U62" s="24" t="inlineStr">
        <is>
          <t>settled</t>
        </is>
      </c>
      <c r="V62" s="24" t="inlineStr">
        <is>
          <t>loss</t>
        </is>
      </c>
      <c r="W62" s="26" t="n">
        <v>1</v>
      </c>
      <c r="X62" s="26" t="n">
        <v>0</v>
      </c>
      <c r="Y62" s="25" t="n"/>
      <c r="Z62" s="26" t="n">
        <v>-156</v>
      </c>
      <c r="AA62" s="28" t="n">
        <v>0.61</v>
      </c>
      <c r="AB62" s="28" t="n">
        <v>0.000625</v>
      </c>
      <c r="AC62" s="30" t="n">
        <v>-2</v>
      </c>
      <c r="AD62" s="24" t="inlineStr">
        <is>
          <t>2026-08-18T15:13:40.810363Z</t>
        </is>
      </c>
      <c r="AE62" s="31" t="inlineStr">
        <is>
          <t>Neutral Elo baseline; executable ask 0.6100 (market_slug=aec-lol-dkc-ktc-2026-08-17).</t>
        </is>
      </c>
      <c r="AF62" s="31" t="inlineStr">
        <is>
          <t>Config-promoted esports baseline; gates enforced at log time.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3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KT Rolster Challengers</t>
        </is>
      </c>
      <c r="AQ62" s="24" t="inlineStr">
        <is>
          <t>KT Rolster Challengers</t>
        </is>
      </c>
      <c r="AR62" s="24" t="inlineStr">
        <is>
          <t>KT Rolster Challengers</t>
        </is>
      </c>
      <c r="AS62" s="24" t="inlineStr">
        <is>
          <t>Dplus KIA Challengers</t>
        </is>
      </c>
      <c r="AT62" s="24" t="inlineStr">
        <is>
          <t>Dplus KIA Challengers</t>
        </is>
      </c>
      <c r="AU62" s="24" t="inlineStr">
        <is>
          <t>Dplus KIA Challengers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0f82fcf7c2406159b987bae1158dc25170c71318f10b68a1fe003150641d043e</t>
        </is>
      </c>
      <c r="BB62" s="24" t="inlineStr">
        <is>
          <t>neutral_elo</t>
        </is>
      </c>
      <c r="BC62" s="24" t="inlineStr">
        <is>
          <t>lol-tiered-elo-v6</t>
        </is>
      </c>
      <c r="BD62" s="24" t="inlineStr">
        <is>
          <t>0f82fcf7c2406159b987bae1158dc25170c71318f10b68a1fe003150641d043e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lol-tiered-elo-v6</t>
        </is>
      </c>
      <c r="BH62" s="24" t="inlineStr">
        <is>
          <t>2026-08-17T05:34:43.471039Z</t>
        </is>
      </c>
      <c r="BI62" s="24" t="inlineStr">
        <is>
          <t>["same_event","same_team_same_day","same_league_same_day"]</t>
        </is>
      </c>
      <c r="BJ62" s="25" t="n"/>
      <c r="BK62" s="26" t="n">
        <v>-156</v>
      </c>
      <c r="BL62" s="27" t="n">
        <v>1.641026</v>
      </c>
      <c r="BM62" s="28" t="n">
        <v>0.609375</v>
      </c>
      <c r="BN62" s="28" t="n"/>
      <c r="BO62" s="28" t="n"/>
      <c r="BP62" s="25" t="n"/>
      <c r="BQ62" s="27" t="n">
        <v>1.641026</v>
      </c>
      <c r="BR62" s="28" t="n">
        <v>0.61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True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0.609375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32ef809c97694f9e</t>
        </is>
      </c>
      <c r="B63" s="24" t="inlineStr">
        <is>
          <t>2026-08-17T08:41:08.931605Z</t>
        </is>
      </c>
      <c r="C63" s="24" t="inlineStr">
        <is>
          <t>2026-08-17T15:00:00Z</t>
        </is>
      </c>
      <c r="D63" s="24" t="inlineStr">
        <is>
          <t>81318</t>
        </is>
      </c>
      <c r="E63" s="24" t="inlineStr">
        <is>
          <t>LOL</t>
        </is>
      </c>
      <c r="F63" s="24" t="inlineStr">
        <is>
          <t>Team Heretics</t>
        </is>
      </c>
      <c r="G63" s="24" t="inlineStr">
        <is>
          <t>Natus Vincere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-223</v>
      </c>
      <c r="M63" s="27" t="n">
        <v>1.44843</v>
      </c>
      <c r="N63" s="28" t="n">
        <v>0.690402</v>
      </c>
      <c r="O63" s="28" t="n">
        <v>0.75251</v>
      </c>
      <c r="P63" s="28" t="n"/>
      <c r="Q63" s="28" t="n">
        <v>0.062108</v>
      </c>
      <c r="R63" s="26" t="n">
        <v>51</v>
      </c>
      <c r="S63" s="29" t="n">
        <v>2</v>
      </c>
      <c r="T63" s="24" t="inlineStr">
        <is>
          <t>lol-tiered-elo-v6</t>
        </is>
      </c>
      <c r="U63" s="24" t="inlineStr">
        <is>
          <t>settled</t>
        </is>
      </c>
      <c r="V63" s="24" t="inlineStr">
        <is>
          <t>win</t>
        </is>
      </c>
      <c r="W63" s="26" t="n">
        <v>0</v>
      </c>
      <c r="X63" s="26" t="n">
        <v>1</v>
      </c>
      <c r="Y63" s="25" t="n"/>
      <c r="Z63" s="26" t="n">
        <v>-223</v>
      </c>
      <c r="AA63" s="28" t="n">
        <v>0.6899999999999999</v>
      </c>
      <c r="AB63" s="28" t="n">
        <v>-0.000402</v>
      </c>
      <c r="AC63" s="30" t="n">
        <v>0.8969</v>
      </c>
      <c r="AD63" s="24" t="inlineStr">
        <is>
          <t>2026-08-18T15:13:41.233961Z</t>
        </is>
      </c>
      <c r="AE63" s="31" t="inlineStr">
        <is>
          <t>Neutral Elo baseline; executable ask 0.6900 (market_slug=aec-lol-navi-th-2026-08-17).</t>
        </is>
      </c>
      <c r="AF63" s="31" t="inlineStr">
        <is>
          <t>Config-promoted esports baseline; gates enforced at log time.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Team Heretics</t>
        </is>
      </c>
      <c r="AQ63" s="24" t="inlineStr">
        <is>
          <t>Team Heretics</t>
        </is>
      </c>
      <c r="AR63" s="24" t="inlineStr">
        <is>
          <t>Team Heretics</t>
        </is>
      </c>
      <c r="AS63" s="24" t="inlineStr">
        <is>
          <t>Natus Vincere</t>
        </is>
      </c>
      <c r="AT63" s="24" t="inlineStr">
        <is>
          <t>Natus Vincere</t>
        </is>
      </c>
      <c r="AU63" s="24" t="inlineStr">
        <is>
          <t>Natus Vincere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3cd8c6d6816723748741dfd426cdd69d0090ff7043748f8235d05ccd88a1e9f6</t>
        </is>
      </c>
      <c r="BB63" s="24" t="inlineStr">
        <is>
          <t>neutral_elo</t>
        </is>
      </c>
      <c r="BC63" s="24" t="inlineStr">
        <is>
          <t>lol-tiered-elo-v6</t>
        </is>
      </c>
      <c r="BD63" s="24" t="inlineStr">
        <is>
          <t>3cd8c6d6816723748741dfd426cdd69d0090ff7043748f8235d05ccd88a1e9f6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lol-tiered-elo-v6</t>
        </is>
      </c>
      <c r="BH63" s="24" t="inlineStr">
        <is>
          <t>2026-08-17T08:40:55.456382Z</t>
        </is>
      </c>
      <c r="BI63" s="24" t="inlineStr">
        <is>
          <t>["same_event","same_team_same_day","same_league_same_day"]</t>
        </is>
      </c>
      <c r="BJ63" s="25" t="n"/>
      <c r="BK63" s="26" t="n">
        <v>-223</v>
      </c>
      <c r="BL63" s="27" t="n">
        <v>1.44843</v>
      </c>
      <c r="BM63" s="28" t="n">
        <v>0.690402</v>
      </c>
      <c r="BN63" s="28" t="n"/>
      <c r="BO63" s="28" t="n"/>
      <c r="BP63" s="25" t="n"/>
      <c r="BQ63" s="27" t="n">
        <v>1.44843</v>
      </c>
      <c r="BR63" s="28" t="n">
        <v>0.6899999999999999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True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0.690402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e95c66e0cc75456a</t>
        </is>
      </c>
      <c r="B64" s="24" t="inlineStr">
        <is>
          <t>2026-08-17T08:41:08.931605Z</t>
        </is>
      </c>
      <c r="C64" s="24" t="inlineStr">
        <is>
          <t>2026-08-17T18:00:00Z</t>
        </is>
      </c>
      <c r="D64" s="24" t="inlineStr">
        <is>
          <t>81425</t>
        </is>
      </c>
      <c r="E64" s="24" t="inlineStr">
        <is>
          <t>LOL</t>
        </is>
      </c>
      <c r="F64" s="24" t="inlineStr">
        <is>
          <t>Volda E-Sport</t>
        </is>
      </c>
      <c r="G64" s="24" t="inlineStr">
        <is>
          <t>Lundqvist Lightside</t>
        </is>
      </c>
      <c r="H64" s="24" t="inlineStr">
        <is>
          <t>moneyline</t>
        </is>
      </c>
      <c r="I64" s="24" t="inlineStr">
        <is>
          <t>away</t>
        </is>
      </c>
      <c r="J64" s="25" t="n"/>
      <c r="K64" s="24" t="inlineStr">
        <is>
          <t>polymarket_us</t>
        </is>
      </c>
      <c r="L64" s="26" t="n">
        <v>150</v>
      </c>
      <c r="M64" s="27" t="n">
        <v>2.5</v>
      </c>
      <c r="N64" s="28" t="n">
        <v>0.4</v>
      </c>
      <c r="O64" s="28" t="n">
        <v>0.546385</v>
      </c>
      <c r="P64" s="28" t="n"/>
      <c r="Q64" s="28" t="n">
        <v>0.146385</v>
      </c>
      <c r="R64" s="26" t="n">
        <v>93</v>
      </c>
      <c r="S64" s="29" t="n">
        <v>1</v>
      </c>
      <c r="T64" s="24" t="inlineStr">
        <is>
          <t>lol-tiered-elo-v6</t>
        </is>
      </c>
      <c r="U64" s="24" t="inlineStr">
        <is>
          <t>settled</t>
        </is>
      </c>
      <c r="V64" s="24" t="inlineStr">
        <is>
          <t>win</t>
        </is>
      </c>
      <c r="W64" s="26" t="n">
        <v>1</v>
      </c>
      <c r="X64" s="26" t="n">
        <v>0</v>
      </c>
      <c r="Y64" s="25" t="n"/>
      <c r="Z64" s="26" t="n">
        <v>150</v>
      </c>
      <c r="AA64" s="28" t="n">
        <v>0.4</v>
      </c>
      <c r="AB64" s="28" t="n">
        <v>0</v>
      </c>
      <c r="AC64" s="30" t="n">
        <v>1.5</v>
      </c>
      <c r="AD64" s="24" t="inlineStr">
        <is>
          <t>2026-08-18T15:13:41.699170Z</t>
        </is>
      </c>
      <c r="AE64" s="31" t="inlineStr">
        <is>
          <t>Neutral Elo baseline; executable ask 0.4000 (market_slug=aec-lol-ll-ves-2026-08-17).</t>
        </is>
      </c>
      <c r="AF64" s="31" t="inlineStr">
        <is>
          <t>Config-promoted esports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3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Volda E-Sport</t>
        </is>
      </c>
      <c r="AQ64" s="24" t="inlineStr">
        <is>
          <t>Volda E-Sport</t>
        </is>
      </c>
      <c r="AR64" s="24" t="inlineStr">
        <is>
          <t>Volda E-Sport</t>
        </is>
      </c>
      <c r="AS64" s="24" t="inlineStr">
        <is>
          <t>Lundqvist Lightside</t>
        </is>
      </c>
      <c r="AT64" s="24" t="inlineStr">
        <is>
          <t>Lundqvist Lightside</t>
        </is>
      </c>
      <c r="AU64" s="24" t="inlineStr">
        <is>
          <t>Lundqvist Lightside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3cd8c6d6816723748741dfd426cdd69d0090ff7043748f8235d05ccd88a1e9f6</t>
        </is>
      </c>
      <c r="BB64" s="24" t="inlineStr">
        <is>
          <t>neutral_elo</t>
        </is>
      </c>
      <c r="BC64" s="24" t="inlineStr">
        <is>
          <t>lol-tiered-elo-v6</t>
        </is>
      </c>
      <c r="BD64" s="24" t="inlineStr">
        <is>
          <t>3cd8c6d6816723748741dfd426cdd69d0090ff7043748f8235d05ccd88a1e9f6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lol-tiered-elo-v6</t>
        </is>
      </c>
      <c r="BH64" s="24" t="inlineStr">
        <is>
          <t>2026-08-17T08:40:58.215763Z</t>
        </is>
      </c>
      <c r="BI64" s="24" t="inlineStr">
        <is>
          <t>["same_event","same_team_same_day","same_league_same_day"]</t>
        </is>
      </c>
      <c r="BJ64" s="25" t="n"/>
      <c r="BK64" s="26" t="n">
        <v>150</v>
      </c>
      <c r="BL64" s="27" t="n">
        <v>2.5</v>
      </c>
      <c r="BM64" s="28" t="n">
        <v>0.4</v>
      </c>
      <c r="BN64" s="28" t="n"/>
      <c r="BO64" s="28" t="n"/>
      <c r="BP64" s="25" t="n"/>
      <c r="BQ64" s="27" t="n">
        <v>2.5</v>
      </c>
      <c r="BR64" s="28" t="n">
        <v>0.4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True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0.4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1f3938652a944e75</t>
        </is>
      </c>
      <c r="B65" s="24" t="inlineStr">
        <is>
          <t>2026-08-18T15:15:39.662958Z</t>
        </is>
      </c>
      <c r="C65" s="24" t="inlineStr">
        <is>
          <t>2026-08-18T16:30:00Z</t>
        </is>
      </c>
      <c r="D65" s="24" t="inlineStr">
        <is>
          <t>82143</t>
        </is>
      </c>
      <c r="E65" s="24" t="inlineStr">
        <is>
          <t>LOL</t>
        </is>
      </c>
      <c r="F65" s="24" t="inlineStr">
        <is>
          <t>Bohemian Guardians</t>
        </is>
      </c>
      <c r="G65" s="24" t="inlineStr">
        <is>
          <t>Meavedron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-156</v>
      </c>
      <c r="M65" s="27" t="n">
        <v>1.641026</v>
      </c>
      <c r="N65" s="28" t="n">
        <v>0.609375</v>
      </c>
      <c r="O65" s="28" t="n">
        <v>0.672153</v>
      </c>
      <c r="P65" s="28" t="n"/>
      <c r="Q65" s="28" t="n">
        <v>0.062778</v>
      </c>
      <c r="R65" s="26" t="n">
        <v>51</v>
      </c>
      <c r="S65" s="29" t="n">
        <v>1.75</v>
      </c>
      <c r="T65" s="24" t="inlineStr">
        <is>
          <t>lol-tiered-elo-v6</t>
        </is>
      </c>
      <c r="U65" s="24" t="inlineStr">
        <is>
          <t>settled</t>
        </is>
      </c>
      <c r="V65" s="24" t="inlineStr">
        <is>
          <t>win</t>
        </is>
      </c>
      <c r="W65" s="26" t="n">
        <v>0</v>
      </c>
      <c r="X65" s="26" t="n">
        <v>1</v>
      </c>
      <c r="Y65" s="25" t="n"/>
      <c r="Z65" s="26" t="n">
        <v>-156</v>
      </c>
      <c r="AA65" s="28" t="n">
        <v>0.61</v>
      </c>
      <c r="AB65" s="28" t="n">
        <v>0.000625</v>
      </c>
      <c r="AC65" s="30" t="n">
        <v>1.1218</v>
      </c>
      <c r="AD65" s="24" t="inlineStr">
        <is>
          <t>2026-08-18T18:18:38.818621Z</t>
        </is>
      </c>
      <c r="AE65" s="31" t="inlineStr">
        <is>
          <t>Neutral Elo baseline; executable ask 0.6100 (market_slug=aec-lol-mve-bg-2026-08-18).</t>
        </is>
      </c>
      <c r="AF65" s="31" t="inlineStr">
        <is>
          <t>Config-promoted esports baseline; gates enforced at log time.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3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>Bohemian Guardians</t>
        </is>
      </c>
      <c r="AQ65" s="24" t="inlineStr">
        <is>
          <t>Bohemian Guardians</t>
        </is>
      </c>
      <c r="AR65" s="24" t="inlineStr">
        <is>
          <t>Bohemian Guardians</t>
        </is>
      </c>
      <c r="AS65" s="24" t="inlineStr">
        <is>
          <t>Meavedron</t>
        </is>
      </c>
      <c r="AT65" s="24" t="inlineStr">
        <is>
          <t>Meavedron</t>
        </is>
      </c>
      <c r="AU65" s="24" t="inlineStr">
        <is>
          <t>Meavedron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ad0f046473dfa0e548c0d0ec6d1876959c23a19f2bc78f246ad53145ae12b8f8</t>
        </is>
      </c>
      <c r="BB65" s="24" t="inlineStr">
        <is>
          <t>neutral_elo</t>
        </is>
      </c>
      <c r="BC65" s="24" t="inlineStr">
        <is>
          <t>lol-tiered-elo-v6</t>
        </is>
      </c>
      <c r="BD65" s="24" t="inlineStr">
        <is>
          <t>ad0f046473dfa0e548c0d0ec6d1876959c23a19f2bc78f246ad53145ae12b8f8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lol-tiered-elo-v6</t>
        </is>
      </c>
      <c r="BH65" s="24" t="inlineStr">
        <is>
          <t>2026-08-18T15:15:35.157882Z</t>
        </is>
      </c>
      <c r="BI65" s="24" t="inlineStr">
        <is>
          <t>["same_event","same_team_same_day","same_league_same_day"]</t>
        </is>
      </c>
      <c r="BJ65" s="25" t="n"/>
      <c r="BK65" s="26" t="n">
        <v>-156</v>
      </c>
      <c r="BL65" s="27" t="n">
        <v>1.641026</v>
      </c>
      <c r="BM65" s="28" t="n">
        <v>0.609375</v>
      </c>
      <c r="BN65" s="28" t="n"/>
      <c r="BO65" s="28" t="n"/>
      <c r="BP65" s="25" t="n"/>
      <c r="BQ65" s="27" t="n">
        <v>1.641026</v>
      </c>
      <c r="BR65" s="28" t="n">
        <v>0.61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0.609375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dccf9661ccb240ea</t>
        </is>
      </c>
      <c r="B66" s="24" t="inlineStr">
        <is>
          <t>2026-08-18T15:15:39.662958Z</t>
        </is>
      </c>
      <c r="C66" s="24" t="inlineStr">
        <is>
          <t>2026-08-18T17:00:00Z</t>
        </is>
      </c>
      <c r="D66" s="24" t="inlineStr">
        <is>
          <t>82168</t>
        </is>
      </c>
      <c r="E66" s="24" t="inlineStr">
        <is>
          <t>LOL</t>
        </is>
      </c>
      <c r="F66" s="24" t="inlineStr">
        <is>
          <t>Lodis</t>
        </is>
      </c>
      <c r="G66" s="24" t="inlineStr">
        <is>
          <t>BOMBA Team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-194</v>
      </c>
      <c r="M66" s="27" t="n">
        <v>1.515464</v>
      </c>
      <c r="N66" s="28" t="n">
        <v>0.659864</v>
      </c>
      <c r="O66" s="28" t="n">
        <v>0.7348440000000001</v>
      </c>
      <c r="P66" s="28" t="n"/>
      <c r="Q66" s="28" t="n">
        <v>0.07498</v>
      </c>
      <c r="R66" s="26" t="n">
        <v>57</v>
      </c>
      <c r="S66" s="29" t="n">
        <v>2</v>
      </c>
      <c r="T66" s="24" t="inlineStr">
        <is>
          <t>lol-tiered-elo-v6</t>
        </is>
      </c>
      <c r="U66" s="24" t="inlineStr">
        <is>
          <t>settled</t>
        </is>
      </c>
      <c r="V66" s="24" t="inlineStr">
        <is>
          <t>loss</t>
        </is>
      </c>
      <c r="W66" s="26" t="n">
        <v>1</v>
      </c>
      <c r="X66" s="26" t="n">
        <v>0</v>
      </c>
      <c r="Y66" s="25" t="n"/>
      <c r="Z66" s="26" t="n">
        <v>-194</v>
      </c>
      <c r="AA66" s="28" t="n">
        <v>0.66</v>
      </c>
      <c r="AB66" s="28" t="n">
        <v>0.000136</v>
      </c>
      <c r="AC66" s="30" t="n">
        <v>-2</v>
      </c>
      <c r="AD66" s="24" t="inlineStr">
        <is>
          <t>2026-08-18T21:39:10.450378Z</t>
        </is>
      </c>
      <c r="AE66" s="31" t="inlineStr">
        <is>
          <t>Neutral Elo baseline; executable ask 0.6600 (market_slug=aec-lol-boom-lds-2026-08-18).</t>
        </is>
      </c>
      <c r="AF66" s="31" t="inlineStr">
        <is>
          <t>Config-promoted esports baseline; gates enforced at log time.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3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Lodis</t>
        </is>
      </c>
      <c r="AQ66" s="24" t="inlineStr">
        <is>
          <t>Lodis</t>
        </is>
      </c>
      <c r="AR66" s="24" t="inlineStr">
        <is>
          <t>Lodis</t>
        </is>
      </c>
      <c r="AS66" s="24" t="inlineStr">
        <is>
          <t>BOMBA Team</t>
        </is>
      </c>
      <c r="AT66" s="24" t="inlineStr">
        <is>
          <t>BOMBA Team</t>
        </is>
      </c>
      <c r="AU66" s="24" t="inlineStr">
        <is>
          <t>BOMBA Team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ad0f046473dfa0e548c0d0ec6d1876959c23a19f2bc78f246ad53145ae12b8f8</t>
        </is>
      </c>
      <c r="BB66" s="24" t="inlineStr">
        <is>
          <t>neutral_elo</t>
        </is>
      </c>
      <c r="BC66" s="24" t="inlineStr">
        <is>
          <t>lol-tiered-elo-v6</t>
        </is>
      </c>
      <c r="BD66" s="24" t="inlineStr">
        <is>
          <t>ad0f046473dfa0e548c0d0ec6d1876959c23a19f2bc78f246ad53145ae12b8f8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lol-tiered-elo-v6</t>
        </is>
      </c>
      <c r="BH66" s="24" t="inlineStr">
        <is>
          <t>2026-08-18T15:15:35.255306Z</t>
        </is>
      </c>
      <c r="BI66" s="24" t="inlineStr">
        <is>
          <t>["same_event","same_team_same_day","same_league_same_day"]</t>
        </is>
      </c>
      <c r="BJ66" s="25" t="n"/>
      <c r="BK66" s="26" t="n">
        <v>-194</v>
      </c>
      <c r="BL66" s="27" t="n">
        <v>1.515464</v>
      </c>
      <c r="BM66" s="28" t="n">
        <v>0.659864</v>
      </c>
      <c r="BN66" s="28" t="n"/>
      <c r="BO66" s="28" t="n"/>
      <c r="BP66" s="25" t="n"/>
      <c r="BQ66" s="27" t="n">
        <v>1.515464</v>
      </c>
      <c r="BR66" s="28" t="n">
        <v>0.66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True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0.659864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51a4c1447fc840a2</t>
        </is>
      </c>
      <c r="B67" s="24" t="inlineStr">
        <is>
          <t>2026-08-18T15:15:39.662958Z</t>
        </is>
      </c>
      <c r="C67" s="24" t="inlineStr">
        <is>
          <t>2026-08-18T17:00:00Z</t>
        </is>
      </c>
      <c r="D67" s="24" t="inlineStr">
        <is>
          <t>82169</t>
        </is>
      </c>
      <c r="E67" s="24" t="inlineStr">
        <is>
          <t>LOL</t>
        </is>
      </c>
      <c r="F67" s="24" t="inlineStr">
        <is>
          <t>Dynasty</t>
        </is>
      </c>
      <c r="G67" s="24" t="inlineStr">
        <is>
          <t>Once Upon A Team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108</v>
      </c>
      <c r="M67" s="27" t="n">
        <v>2.08</v>
      </c>
      <c r="N67" s="28" t="n">
        <v>0.480769</v>
      </c>
      <c r="O67" s="28" t="n">
        <v>0.5521200000000001</v>
      </c>
      <c r="P67" s="28" t="n"/>
      <c r="Q67" s="28" t="n">
        <v>0.071351</v>
      </c>
      <c r="R67" s="26" t="n">
        <v>56</v>
      </c>
      <c r="S67" s="29" t="n">
        <v>1</v>
      </c>
      <c r="T67" s="24" t="inlineStr">
        <is>
          <t>lol-tiered-elo-v6</t>
        </is>
      </c>
      <c r="U67" s="24" t="inlineStr">
        <is>
          <t>settled</t>
        </is>
      </c>
      <c r="V67" s="24" t="inlineStr">
        <is>
          <t>loss</t>
        </is>
      </c>
      <c r="W67" s="26" t="n">
        <v>1</v>
      </c>
      <c r="X67" s="26" t="n">
        <v>0</v>
      </c>
      <c r="Y67" s="25" t="n"/>
      <c r="Z67" s="26" t="n">
        <v>108</v>
      </c>
      <c r="AA67" s="28" t="n">
        <v>0.48</v>
      </c>
      <c r="AB67" s="28" t="n">
        <v>-0.000769</v>
      </c>
      <c r="AC67" s="30" t="n">
        <v>-1</v>
      </c>
      <c r="AD67" s="24" t="inlineStr">
        <is>
          <t>2026-08-18T21:39:10.888247Z</t>
        </is>
      </c>
      <c r="AE67" s="31" t="inlineStr">
        <is>
          <t>Neutral Elo baseline; executable ask 0.4800 (market_slug=aec-lol-ouat-dyn-2026-08-18).</t>
        </is>
      </c>
      <c r="AF67" s="31" t="inlineStr">
        <is>
          <t>Config-promoted esports baseline; gates enforced at log time.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3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Dynasty</t>
        </is>
      </c>
      <c r="AQ67" s="24" t="inlineStr">
        <is>
          <t>Dynasty</t>
        </is>
      </c>
      <c r="AR67" s="24" t="inlineStr">
        <is>
          <t>Dynasty</t>
        </is>
      </c>
      <c r="AS67" s="24" t="inlineStr">
        <is>
          <t>Once Upon A Team</t>
        </is>
      </c>
      <c r="AT67" s="24" t="inlineStr">
        <is>
          <t>Once Upon A Team</t>
        </is>
      </c>
      <c r="AU67" s="24" t="inlineStr">
        <is>
          <t>Once Upon A Team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ad0f046473dfa0e548c0d0ec6d1876959c23a19f2bc78f246ad53145ae12b8f8</t>
        </is>
      </c>
      <c r="BB67" s="24" t="inlineStr">
        <is>
          <t>neutral_elo</t>
        </is>
      </c>
      <c r="BC67" s="24" t="inlineStr">
        <is>
          <t>lol-tiered-elo-v6</t>
        </is>
      </c>
      <c r="BD67" s="24" t="inlineStr">
        <is>
          <t>ad0f046473dfa0e548c0d0ec6d1876959c23a19f2bc78f246ad53145ae12b8f8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lol-tiered-elo-v6</t>
        </is>
      </c>
      <c r="BH67" s="24" t="inlineStr">
        <is>
          <t>2026-08-18T15:15:35.337382Z</t>
        </is>
      </c>
      <c r="BI67" s="24" t="inlineStr">
        <is>
          <t>["same_event","same_team_same_day","same_league_same_day"]</t>
        </is>
      </c>
      <c r="BJ67" s="25" t="n"/>
      <c r="BK67" s="26" t="n">
        <v>108</v>
      </c>
      <c r="BL67" s="27" t="n">
        <v>2.08</v>
      </c>
      <c r="BM67" s="28" t="n">
        <v>0.480769</v>
      </c>
      <c r="BN67" s="28" t="n"/>
      <c r="BO67" s="28" t="n"/>
      <c r="BP67" s="25" t="n"/>
      <c r="BQ67" s="27" t="n">
        <v>2.08</v>
      </c>
      <c r="BR67" s="28" t="n">
        <v>0.48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0.480769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41d9f17f0c5e48d4</t>
        </is>
      </c>
      <c r="B68" s="24" t="inlineStr">
        <is>
          <t>2026-08-18T15:15:39.662958Z</t>
        </is>
      </c>
      <c r="C68" s="24" t="inlineStr">
        <is>
          <t>2026-08-18T18:00:00Z</t>
        </is>
      </c>
      <c r="D68" s="24" t="inlineStr">
        <is>
          <t>82252</t>
        </is>
      </c>
      <c r="E68" s="24" t="inlineStr">
        <is>
          <t>LOL</t>
        </is>
      </c>
      <c r="F68" s="24" t="inlineStr">
        <is>
          <t>Myth Esports</t>
        </is>
      </c>
      <c r="G68" s="24" t="inlineStr">
        <is>
          <t>mCon esports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-144</v>
      </c>
      <c r="M68" s="27" t="n">
        <v>1.694444</v>
      </c>
      <c r="N68" s="28" t="n">
        <v>0.590164</v>
      </c>
      <c r="O68" s="28" t="n">
        <v>0.6423</v>
      </c>
      <c r="P68" s="28" t="n"/>
      <c r="Q68" s="28" t="n">
        <v>0.052136</v>
      </c>
      <c r="R68" s="26" t="n">
        <v>46</v>
      </c>
      <c r="S68" s="29" t="n">
        <v>1.5</v>
      </c>
      <c r="T68" s="24" t="inlineStr">
        <is>
          <t>lol-tiered-elo-v6</t>
        </is>
      </c>
      <c r="U68" s="24" t="inlineStr">
        <is>
          <t>settled</t>
        </is>
      </c>
      <c r="V68" s="24" t="inlineStr">
        <is>
          <t>loss</t>
        </is>
      </c>
      <c r="W68" s="26" t="n">
        <v>1</v>
      </c>
      <c r="X68" s="26" t="n">
        <v>0</v>
      </c>
      <c r="Y68" s="25" t="n"/>
      <c r="Z68" s="26" t="n">
        <v>-144</v>
      </c>
      <c r="AA68" s="28" t="n">
        <v>0.59</v>
      </c>
      <c r="AB68" s="28" t="n">
        <v>-0.000164</v>
      </c>
      <c r="AC68" s="30" t="n">
        <v>-1.5</v>
      </c>
      <c r="AD68" s="24" t="inlineStr">
        <is>
          <t>2026-08-18T21:39:11.298507Z</t>
        </is>
      </c>
      <c r="AE68" s="31" t="inlineStr">
        <is>
          <t>Neutral Elo baseline; executable ask 0.5900 (market_slug=aec-lol-mcn-myth-2026-08-18).</t>
        </is>
      </c>
      <c r="AF68" s="31" t="inlineStr">
        <is>
          <t>Config-promoted esports baseline; gates enforced at log time.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3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Myth Esports</t>
        </is>
      </c>
      <c r="AQ68" s="24" t="inlineStr">
        <is>
          <t>Myth Esports</t>
        </is>
      </c>
      <c r="AR68" s="24" t="inlineStr">
        <is>
          <t>Myth Esports</t>
        </is>
      </c>
      <c r="AS68" s="24" t="inlineStr">
        <is>
          <t>mCon esports</t>
        </is>
      </c>
      <c r="AT68" s="24" t="inlineStr">
        <is>
          <t>mCon esports</t>
        </is>
      </c>
      <c r="AU68" s="24" t="inlineStr">
        <is>
          <t>mCon esports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ad0f046473dfa0e548c0d0ec6d1876959c23a19f2bc78f246ad53145ae12b8f8</t>
        </is>
      </c>
      <c r="BB68" s="24" t="inlineStr">
        <is>
          <t>neutral_elo</t>
        </is>
      </c>
      <c r="BC68" s="24" t="inlineStr">
        <is>
          <t>lol-tiered-elo-v6</t>
        </is>
      </c>
      <c r="BD68" s="24" t="inlineStr">
        <is>
          <t>ad0f046473dfa0e548c0d0ec6d1876959c23a19f2bc78f246ad53145ae12b8f8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lol-tiered-elo-v6</t>
        </is>
      </c>
      <c r="BH68" s="24" t="inlineStr">
        <is>
          <t>2026-08-18T15:15:35.412864Z</t>
        </is>
      </c>
      <c r="BI68" s="24" t="inlineStr">
        <is>
          <t>["same_event","same_team_same_day","same_league_same_day"]</t>
        </is>
      </c>
      <c r="BJ68" s="25" t="n"/>
      <c r="BK68" s="26" t="n">
        <v>-144</v>
      </c>
      <c r="BL68" s="27" t="n">
        <v>1.694444</v>
      </c>
      <c r="BM68" s="28" t="n">
        <v>0.590164</v>
      </c>
      <c r="BN68" s="28" t="n"/>
      <c r="BO68" s="28" t="n"/>
      <c r="BP68" s="25" t="n"/>
      <c r="BQ68" s="27" t="n">
        <v>1.694444</v>
      </c>
      <c r="BR68" s="28" t="n">
        <v>0.59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0.590164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3b843f18f74f4013</t>
        </is>
      </c>
      <c r="B69" s="24" t="inlineStr">
        <is>
          <t>2026-08-18T22:13:43.940761Z</t>
        </is>
      </c>
      <c r="C69" s="24" t="inlineStr">
        <is>
          <t>2026-08-18T23:00:00Z</t>
        </is>
      </c>
      <c r="D69" s="24" t="inlineStr">
        <is>
          <t>83868</t>
        </is>
      </c>
      <c r="E69" s="24" t="inlineStr">
        <is>
          <t>LOL</t>
        </is>
      </c>
      <c r="F69" s="24" t="inlineStr">
        <is>
          <t>Vivo Keyd Stars Academy</t>
        </is>
      </c>
      <c r="G69" s="24" t="inlineStr">
        <is>
          <t>KaBuM! Ilha das Lendas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-133</v>
      </c>
      <c r="M69" s="27" t="n">
        <v>1.75188</v>
      </c>
      <c r="N69" s="28" t="n">
        <v>0.570815</v>
      </c>
      <c r="O69" s="28" t="n">
        <v>0.582636</v>
      </c>
      <c r="P69" s="28" t="n"/>
      <c r="Q69" s="28" t="n">
        <v>0.011821</v>
      </c>
      <c r="R69" s="26" t="n">
        <v>26</v>
      </c>
      <c r="S69" s="29" t="n">
        <v>1.25</v>
      </c>
      <c r="T69" s="24" t="inlineStr">
        <is>
          <t>lol-tiered-elo-v6</t>
        </is>
      </c>
      <c r="U69" s="24" t="inlineStr">
        <is>
          <t>settled</t>
        </is>
      </c>
      <c r="V69" s="24" t="inlineStr">
        <is>
          <t>loss</t>
        </is>
      </c>
      <c r="W69" s="26" t="n">
        <v>1</v>
      </c>
      <c r="X69" s="26" t="n">
        <v>0</v>
      </c>
      <c r="Y69" s="25" t="n"/>
      <c r="Z69" s="26" t="n">
        <v>-138</v>
      </c>
      <c r="AA69" s="28" t="n">
        <v>0.58</v>
      </c>
      <c r="AB69" s="28" t="n">
        <v>0.009185</v>
      </c>
      <c r="AC69" s="30" t="n">
        <v>-1.25</v>
      </c>
      <c r="AD69" s="24" t="inlineStr">
        <is>
          <t>2026-08-19T00:43:35.812659Z</t>
        </is>
      </c>
      <c r="AE69" s="31" t="inlineStr">
        <is>
          <t>Neutral Elo baseline; executable ask 0.5700 (market_slug=aec-lol-kbm-vksa-2026-08-18).</t>
        </is>
      </c>
      <c r="AF69" s="31" t="inlineStr">
        <is>
          <t>Config-promoted esports baseline; gates enforced at log time.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3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Vivo Keyd Stars Academy</t>
        </is>
      </c>
      <c r="AQ69" s="24" t="inlineStr">
        <is>
          <t>Vivo Keyd Stars Academy</t>
        </is>
      </c>
      <c r="AR69" s="24" t="inlineStr">
        <is>
          <t>Vivo Keyd Stars Academy</t>
        </is>
      </c>
      <c r="AS69" s="24" t="inlineStr">
        <is>
          <t>KaBuM! Ilha das Lendas</t>
        </is>
      </c>
      <c r="AT69" s="24" t="inlineStr">
        <is>
          <t>KaBuM! Ilha das Lendas</t>
        </is>
      </c>
      <c r="AU69" s="24" t="inlineStr">
        <is>
          <t>KaBuM! Ilha das Lendas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db588af9312baecc05a29da6a7b0a11bed7bc9d6135414cd5242ea0c7221b1a7</t>
        </is>
      </c>
      <c r="BB69" s="24" t="inlineStr">
        <is>
          <t>neutral_elo</t>
        </is>
      </c>
      <c r="BC69" s="24" t="inlineStr">
        <is>
          <t>lol-tiered-elo-v6</t>
        </is>
      </c>
      <c r="BD69" s="24" t="inlineStr">
        <is>
          <t>db588af9312baecc05a29da6a7b0a11bed7bc9d6135414cd5242ea0c7221b1a7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lol-tiered-elo-v6</t>
        </is>
      </c>
      <c r="BH69" s="24" t="inlineStr">
        <is>
          <t>2026-08-18T22:13:39.954411Z</t>
        </is>
      </c>
      <c r="BI69" s="24" t="inlineStr">
        <is>
          <t>["same_event","same_team_same_day","same_league_same_day"]</t>
        </is>
      </c>
      <c r="BJ69" s="25" t="n"/>
      <c r="BK69" s="26" t="n">
        <v>-133</v>
      </c>
      <c r="BL69" s="27" t="n">
        <v>1.75188</v>
      </c>
      <c r="BM69" s="28" t="n">
        <v>0.570815</v>
      </c>
      <c r="BN69" s="28" t="n"/>
      <c r="BO69" s="28" t="n"/>
      <c r="BP69" s="25" t="n"/>
      <c r="BQ69" s="27" t="n">
        <v>1.724638</v>
      </c>
      <c r="BR69" s="28" t="n">
        <v>0.58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0.570815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78be9dd4064d4d49</t>
        </is>
      </c>
      <c r="B70" s="24" t="inlineStr">
        <is>
          <t>2026-08-19T07:08:28.157857Z</t>
        </is>
      </c>
      <c r="C70" s="24" t="inlineStr">
        <is>
          <t>2026-08-19T09:00:00Z</t>
        </is>
      </c>
      <c r="D70" s="24" t="inlineStr">
        <is>
          <t>83077</t>
        </is>
      </c>
      <c r="E70" s="24" t="inlineStr">
        <is>
          <t>LOL</t>
        </is>
      </c>
      <c r="F70" s="24" t="inlineStr">
        <is>
          <t>Top Esports</t>
        </is>
      </c>
      <c r="G70" s="24" t="inlineStr">
        <is>
          <t>Anyone's Legend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-138</v>
      </c>
      <c r="M70" s="27" t="n">
        <v>1.724638</v>
      </c>
      <c r="N70" s="28" t="n">
        <v>0.579832</v>
      </c>
      <c r="O70" s="28" t="n">
        <v>0.650949</v>
      </c>
      <c r="P70" s="28" t="n"/>
      <c r="Q70" s="28" t="n">
        <v>0.071117</v>
      </c>
      <c r="R70" s="26" t="n">
        <v>56</v>
      </c>
      <c r="S70" s="29" t="n">
        <v>1.75</v>
      </c>
      <c r="T70" s="24" t="inlineStr">
        <is>
          <t>lol-tiered-elo-v6</t>
        </is>
      </c>
      <c r="U70" s="24" t="inlineStr">
        <is>
          <t>settled</t>
        </is>
      </c>
      <c r="V70" s="24" t="inlineStr">
        <is>
          <t>loss</t>
        </is>
      </c>
      <c r="W70" s="26" t="n">
        <v>1</v>
      </c>
      <c r="X70" s="26" t="n">
        <v>0</v>
      </c>
      <c r="Y70" s="25" t="n"/>
      <c r="Z70" s="26" t="n"/>
      <c r="AA70" s="28" t="n"/>
      <c r="AB70" s="28" t="n"/>
      <c r="AC70" s="30" t="n">
        <v>-1.75</v>
      </c>
      <c r="AD70" s="24" t="inlineStr">
        <is>
          <t>2026-08-19T13:40:41.136272Z</t>
        </is>
      </c>
      <c r="AE70" s="31" t="inlineStr">
        <is>
          <t>Neutral Elo baseline; executable ask 0.5800 (market_slug=aec-lol-al-tes-2026-08-19).</t>
        </is>
      </c>
      <c r="AF70" s="31" t="inlineStr">
        <is>
          <t>Config-promoted esports baseline; gates enforced at log time.</t>
        </is>
      </c>
      <c r="AG70" s="24" t="inlineStr">
        <is>
          <t>review_required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3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Top Esports</t>
        </is>
      </c>
      <c r="AQ70" s="24" t="inlineStr">
        <is>
          <t>Top Esports</t>
        </is>
      </c>
      <c r="AR70" s="24" t="inlineStr">
        <is>
          <t>Top Esports</t>
        </is>
      </c>
      <c r="AS70" s="24" t="inlineStr">
        <is>
          <t>Anyone's Legend</t>
        </is>
      </c>
      <c r="AT70" s="24" t="inlineStr">
        <is>
          <t>Anyone's Legend</t>
        </is>
      </c>
      <c r="AU70" s="24" t="inlineStr">
        <is>
          <t>Anyone's Legend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cbcfe60236b3428608df93bf3ce5d6ad599406b1f40e1c11e3837822d5e01f3a</t>
        </is>
      </c>
      <c r="BB70" s="24" t="inlineStr">
        <is>
          <t>neutral_elo</t>
        </is>
      </c>
      <c r="BC70" s="24" t="inlineStr">
        <is>
          <t>lol-tiered-elo-v6</t>
        </is>
      </c>
      <c r="BD70" s="24" t="inlineStr">
        <is>
          <t>cbcfe60236b3428608df93bf3ce5d6ad599406b1f40e1c11e3837822d5e01f3a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lol-tiered-elo-v6</t>
        </is>
      </c>
      <c r="BH70" s="24" t="inlineStr">
        <is>
          <t>2026-08-19T07:08:22.172998Z</t>
        </is>
      </c>
      <c r="BI70" s="24" t="inlineStr">
        <is>
          <t>["same_event","same_team_same_day","same_league_same_day"]</t>
        </is>
      </c>
      <c r="BJ70" s="25" t="n"/>
      <c r="BK70" s="26" t="n">
        <v>-138</v>
      </c>
      <c r="BL70" s="27" t="n">
        <v>1.724638</v>
      </c>
      <c r="BM70" s="28" t="n">
        <v>0.579832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0.579832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e756b565fddf4110</t>
        </is>
      </c>
      <c r="B71" s="24" t="inlineStr">
        <is>
          <t>2026-08-19T07:08:28.157857Z</t>
        </is>
      </c>
      <c r="C71" s="24" t="inlineStr">
        <is>
          <t>2026-08-19T10:00:00Z</t>
        </is>
      </c>
      <c r="D71" s="24" t="inlineStr">
        <is>
          <t>83091</t>
        </is>
      </c>
      <c r="E71" s="24" t="inlineStr">
        <is>
          <t>LOL</t>
        </is>
      </c>
      <c r="F71" s="24" t="inlineStr">
        <is>
          <t>DN SOOPers</t>
        </is>
      </c>
      <c r="G71" s="24" t="inlineStr">
        <is>
          <t>HANJIN BRION</t>
        </is>
      </c>
      <c r="H71" s="24" t="inlineStr">
        <is>
          <t>moneyline</t>
        </is>
      </c>
      <c r="I71" s="24" t="inlineStr">
        <is>
          <t>away</t>
        </is>
      </c>
      <c r="J71" s="25" t="n"/>
      <c r="K71" s="24" t="inlineStr">
        <is>
          <t>polymarket_us</t>
        </is>
      </c>
      <c r="L71" s="26" t="n">
        <v>-122</v>
      </c>
      <c r="M71" s="27" t="n">
        <v>1.819672</v>
      </c>
      <c r="N71" s="28" t="n">
        <v>0.54955</v>
      </c>
      <c r="O71" s="28" t="n">
        <v>0.707307</v>
      </c>
      <c r="P71" s="28" t="n"/>
      <c r="Q71" s="28" t="n">
        <v>0.157757</v>
      </c>
      <c r="R71" s="26" t="n">
        <v>99</v>
      </c>
      <c r="S71" s="29" t="n">
        <v>2</v>
      </c>
      <c r="T71" s="24" t="inlineStr">
        <is>
          <t>lol-tiered-elo-v6</t>
        </is>
      </c>
      <c r="U71" s="24" t="inlineStr">
        <is>
          <t>settled</t>
        </is>
      </c>
      <c r="V71" s="24" t="inlineStr">
        <is>
          <t>loss</t>
        </is>
      </c>
      <c r="W71" s="26" t="n">
        <v>0</v>
      </c>
      <c r="X71" s="26" t="n">
        <v>1</v>
      </c>
      <c r="Y71" s="25" t="n"/>
      <c r="Z71" s="26" t="n"/>
      <c r="AA71" s="28" t="n"/>
      <c r="AB71" s="28" t="n"/>
      <c r="AC71" s="30" t="n">
        <v>-2</v>
      </c>
      <c r="AD71" s="24" t="inlineStr">
        <is>
          <t>2026-08-19T13:40:41.627140Z</t>
        </is>
      </c>
      <c r="AE71" s="31" t="inlineStr">
        <is>
          <t>Neutral Elo baseline; executable ask 0.5500 (market_slug=aec-lol-bro-dns-2026-08-19).</t>
        </is>
      </c>
      <c r="AF71" s="31" t="inlineStr">
        <is>
          <t>Config-promoted esports baseline; gates enforced at log time.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3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DN SOOPers</t>
        </is>
      </c>
      <c r="AQ71" s="24" t="inlineStr">
        <is>
          <t>DN SOOPers</t>
        </is>
      </c>
      <c r="AR71" s="24" t="inlineStr">
        <is>
          <t>DN SOOPers</t>
        </is>
      </c>
      <c r="AS71" s="24" t="inlineStr">
        <is>
          <t>HANJIN BRION</t>
        </is>
      </c>
      <c r="AT71" s="24" t="inlineStr">
        <is>
          <t>HANJIN BRION</t>
        </is>
      </c>
      <c r="AU71" s="24" t="inlineStr">
        <is>
          <t>HANJIN BRION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cbcfe60236b3428608df93bf3ce5d6ad599406b1f40e1c11e3837822d5e01f3a</t>
        </is>
      </c>
      <c r="BB71" s="24" t="inlineStr">
        <is>
          <t>neutral_elo</t>
        </is>
      </c>
      <c r="BC71" s="24" t="inlineStr">
        <is>
          <t>lol-tiered-elo-v6</t>
        </is>
      </c>
      <c r="BD71" s="24" t="inlineStr">
        <is>
          <t>cbcfe60236b3428608df93bf3ce5d6ad599406b1f40e1c11e3837822d5e01f3a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lol-tiered-elo-v6</t>
        </is>
      </c>
      <c r="BH71" s="24" t="inlineStr">
        <is>
          <t>2026-08-19T07:08:22.365424Z</t>
        </is>
      </c>
      <c r="BI71" s="24" t="inlineStr">
        <is>
          <t>["same_event","same_team_same_day","same_league_same_day"]</t>
        </is>
      </c>
      <c r="BJ71" s="25" t="n"/>
      <c r="BK71" s="26" t="n">
        <v>-122</v>
      </c>
      <c r="BL71" s="27" t="n">
        <v>1.819672</v>
      </c>
      <c r="BM71" s="28" t="n">
        <v>0.54955</v>
      </c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0.54955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0053a0a716564d7f</t>
        </is>
      </c>
      <c r="B72" s="24" t="inlineStr">
        <is>
          <t>2026-08-19T13:43:33.129385Z</t>
        </is>
      </c>
      <c r="C72" s="24" t="inlineStr">
        <is>
          <t>2026-08-19T16:30:00Z</t>
        </is>
      </c>
      <c r="D72" s="24" t="inlineStr">
        <is>
          <t>83312</t>
        </is>
      </c>
      <c r="E72" s="24" t="inlineStr">
        <is>
          <t>LOL</t>
        </is>
      </c>
      <c r="F72" s="24" t="inlineStr">
        <is>
          <t>Bohemian Guardians</t>
        </is>
      </c>
      <c r="G72" s="24" t="inlineStr">
        <is>
          <t>EXILE esports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-104</v>
      </c>
      <c r="M72" s="27" t="n">
        <v>1.961538</v>
      </c>
      <c r="N72" s="28" t="n">
        <v>0.509804</v>
      </c>
      <c r="O72" s="28" t="n">
        <v>0.60066</v>
      </c>
      <c r="P72" s="28" t="n"/>
      <c r="Q72" s="28" t="n">
        <v>0.09085600000000001</v>
      </c>
      <c r="R72" s="26" t="n">
        <v>65</v>
      </c>
      <c r="S72" s="29" t="n">
        <v>1.25</v>
      </c>
      <c r="T72" s="24" t="inlineStr">
        <is>
          <t>lol-tiered-elo-v6</t>
        </is>
      </c>
      <c r="U72" s="24" t="inlineStr">
        <is>
          <t>settled</t>
        </is>
      </c>
      <c r="V72" s="24" t="inlineStr">
        <is>
          <t>win</t>
        </is>
      </c>
      <c r="W72" s="26" t="n">
        <v>0</v>
      </c>
      <c r="X72" s="26" t="n">
        <v>1</v>
      </c>
      <c r="Y72" s="25" t="n"/>
      <c r="Z72" s="26" t="n"/>
      <c r="AA72" s="28" t="n"/>
      <c r="AB72" s="28" t="n"/>
      <c r="AC72" s="30" t="n">
        <v>1.2019</v>
      </c>
      <c r="AD72" s="24" t="inlineStr">
        <is>
          <t>2026-08-19T19:53:35.523789Z</t>
        </is>
      </c>
      <c r="AE72" s="31" t="inlineStr">
        <is>
          <t>Neutral Elo baseline; executable ask 0.5100 (market_slug=aec-lol-exe-bg-2026-08-19).</t>
        </is>
      </c>
      <c r="AF72" s="31" t="inlineStr">
        <is>
          <t>Config-promoted esports baseline; gates enforced at log time.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3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Bohemian Guardians</t>
        </is>
      </c>
      <c r="AQ72" s="24" t="inlineStr">
        <is>
          <t>Bohemian Guardians</t>
        </is>
      </c>
      <c r="AR72" s="24" t="inlineStr">
        <is>
          <t>Bohemian Guardians</t>
        </is>
      </c>
      <c r="AS72" s="24" t="inlineStr">
        <is>
          <t>EXILE esports</t>
        </is>
      </c>
      <c r="AT72" s="24" t="inlineStr">
        <is>
          <t>EXILE esports</t>
        </is>
      </c>
      <c r="AU72" s="24" t="inlineStr">
        <is>
          <t>EXILE esports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a0a1778638a73e26bd459cbdea8d68c38588628db65576c5850f6750f079f4f2</t>
        </is>
      </c>
      <c r="BB72" s="24" t="inlineStr">
        <is>
          <t>neutral_elo</t>
        </is>
      </c>
      <c r="BC72" s="24" t="inlineStr">
        <is>
          <t>lol-tiered-elo-v6</t>
        </is>
      </c>
      <c r="BD72" s="24" t="inlineStr">
        <is>
          <t>a0a1778638a73e26bd459cbdea8d68c38588628db65576c5850f6750f079f4f2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lol-tiered-elo-v6</t>
        </is>
      </c>
      <c r="BH72" s="24" t="inlineStr">
        <is>
          <t>2026-08-19T13:43:25.757901Z</t>
        </is>
      </c>
      <c r="BI72" s="24" t="inlineStr">
        <is>
          <t>["same_event","same_team_same_day","same_league_same_day"]</t>
        </is>
      </c>
      <c r="BJ72" s="25" t="n"/>
      <c r="BK72" s="26" t="n">
        <v>-104</v>
      </c>
      <c r="BL72" s="27" t="n">
        <v>1.961538</v>
      </c>
      <c r="BM72" s="28" t="n">
        <v>0.509804</v>
      </c>
      <c r="BN72" s="28" t="n"/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0.509804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d818aab27b0d4acc</t>
        </is>
      </c>
      <c r="B73" s="24" t="inlineStr">
        <is>
          <t>2026-08-20T02:31:58.995545Z</t>
        </is>
      </c>
      <c r="C73" s="24" t="inlineStr">
        <is>
          <t>2026-08-20T05:00:00Z</t>
        </is>
      </c>
      <c r="D73" s="24" t="inlineStr">
        <is>
          <t>84040</t>
        </is>
      </c>
      <c r="E73" s="24" t="inlineStr">
        <is>
          <t>LOL</t>
        </is>
      </c>
      <c r="F73" s="24" t="inlineStr">
        <is>
          <t>DN SOOPers Challengers</t>
        </is>
      </c>
      <c r="G73" s="24" t="inlineStr">
        <is>
          <t>Dplus KIA Challengers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-138</v>
      </c>
      <c r="M73" s="27" t="n">
        <v>1.724638</v>
      </c>
      <c r="N73" s="28" t="n">
        <v>0.579832</v>
      </c>
      <c r="O73" s="28" t="n">
        <v>0.726244</v>
      </c>
      <c r="P73" s="28" t="n"/>
      <c r="Q73" s="28" t="n">
        <v>0.146412</v>
      </c>
      <c r="R73" s="26" t="n">
        <v>93</v>
      </c>
      <c r="S73" s="29" t="n">
        <v>2</v>
      </c>
      <c r="T73" s="24" t="inlineStr">
        <is>
          <t>lol-tiered-elo-v6</t>
        </is>
      </c>
      <c r="U73" s="24" t="inlineStr">
        <is>
          <t>settled</t>
        </is>
      </c>
      <c r="V73" s="24" t="inlineStr">
        <is>
          <t>win</t>
        </is>
      </c>
      <c r="W73" s="26" t="n">
        <v>0</v>
      </c>
      <c r="X73" s="26" t="n">
        <v>1</v>
      </c>
      <c r="Y73" s="25" t="n"/>
      <c r="Z73" s="26" t="n"/>
      <c r="AA73" s="28" t="n"/>
      <c r="AB73" s="28" t="n"/>
      <c r="AC73" s="30" t="n">
        <v>1.4493</v>
      </c>
      <c r="AD73" s="24" t="inlineStr">
        <is>
          <t>2026-08-20T09:39:54.612507Z</t>
        </is>
      </c>
      <c r="AE73" s="31" t="inlineStr">
        <is>
          <t>Neutral Elo baseline; executable ask 0.5800 (market_slug=aec-lol-dkc-dnsc-2026-08-20).</t>
        </is>
      </c>
      <c r="AF73" s="31" t="inlineStr">
        <is>
          <t>Config-promoted esports baseline; gates enforced at log time.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model_qualified</t>
        </is>
      </c>
      <c r="AL73" s="26" t="n">
        <v>3</v>
      </c>
      <c r="AM73" s="24" t="inlineStr">
        <is>
          <t>QUALIFIED_SHADOW_CALL</t>
        </is>
      </c>
      <c r="AN73" s="24" t="inlineStr">
        <is>
          <t>CALL</t>
        </is>
      </c>
      <c r="AO73" s="24" t="inlineStr">
        <is>
          <t>QUALIFIED</t>
        </is>
      </c>
      <c r="AP73" s="24" t="inlineStr">
        <is>
          <t>DN SOOPers Challengers</t>
        </is>
      </c>
      <c r="AQ73" s="24" t="inlineStr">
        <is>
          <t>DN SOOPers Challengers</t>
        </is>
      </c>
      <c r="AR73" s="24" t="inlineStr">
        <is>
          <t>DN SOOPers Challengers</t>
        </is>
      </c>
      <c r="AS73" s="24" t="inlineStr">
        <is>
          <t>Dplus KIA Challengers</t>
        </is>
      </c>
      <c r="AT73" s="24" t="inlineStr">
        <is>
          <t>Dplus KIA Challengers</t>
        </is>
      </c>
      <c r="AU73" s="24" t="inlineStr">
        <is>
          <t>Dplus KIA Challengers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76ac9792fcab4cfbe90ac584b5aaa6c64818b6ba51d5541cf9a7f9300dda6302</t>
        </is>
      </c>
      <c r="BB73" s="24" t="inlineStr">
        <is>
          <t>neutral_elo</t>
        </is>
      </c>
      <c r="BC73" s="24" t="inlineStr">
        <is>
          <t>lol-tiered-elo-v6</t>
        </is>
      </c>
      <c r="BD73" s="24" t="inlineStr">
        <is>
          <t>76ac9792fcab4cfbe90ac584b5aaa6c64818b6ba51d5541cf9a7f9300dda6302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lol-tiered-elo-v6</t>
        </is>
      </c>
      <c r="BH73" s="24" t="inlineStr">
        <is>
          <t>2026-08-20T02:31:55.886493Z</t>
        </is>
      </c>
      <c r="BI73" s="24" t="inlineStr">
        <is>
          <t>["same_event","same_team_same_day","same_league_same_day"]</t>
        </is>
      </c>
      <c r="BJ73" s="25" t="n"/>
      <c r="BK73" s="26" t="n">
        <v>-138</v>
      </c>
      <c r="BL73" s="27" t="n">
        <v>1.724638</v>
      </c>
      <c r="BM73" s="28" t="n">
        <v>0.579832</v>
      </c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True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0.579832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3d1eaecfa2254d26</t>
        </is>
      </c>
      <c r="B74" s="24" t="inlineStr">
        <is>
          <t>2026-08-20T05:36:58.913253Z</t>
        </is>
      </c>
      <c r="C74" s="24" t="inlineStr">
        <is>
          <t>2026-08-20T08:00:00Z</t>
        </is>
      </c>
      <c r="D74" s="24" t="inlineStr">
        <is>
          <t>84044</t>
        </is>
      </c>
      <c r="E74" s="24" t="inlineStr">
        <is>
          <t>LOL</t>
        </is>
      </c>
      <c r="F74" s="24" t="inlineStr">
        <is>
          <t>Hanwha Life Esports</t>
        </is>
      </c>
      <c r="G74" s="24" t="inlineStr">
        <is>
          <t>Dplus KIA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113</v>
      </c>
      <c r="M74" s="27" t="n">
        <v>2.13</v>
      </c>
      <c r="N74" s="28" t="n">
        <v>0.469484</v>
      </c>
      <c r="O74" s="28" t="n">
        <v>0.54874</v>
      </c>
      <c r="P74" s="28" t="n"/>
      <c r="Q74" s="28" t="n">
        <v>0.07925599999999999</v>
      </c>
      <c r="R74" s="26" t="n">
        <v>60</v>
      </c>
      <c r="S74" s="29" t="n">
        <v>1</v>
      </c>
      <c r="T74" s="24" t="inlineStr">
        <is>
          <t>lol-tiered-elo-v6</t>
        </is>
      </c>
      <c r="U74" s="24" t="inlineStr">
        <is>
          <t>settled</t>
        </is>
      </c>
      <c r="V74" s="24" t="inlineStr">
        <is>
          <t>loss</t>
        </is>
      </c>
      <c r="W74" s="26" t="n">
        <v>1</v>
      </c>
      <c r="X74" s="26" t="n">
        <v>0</v>
      </c>
      <c r="Y74" s="25" t="n"/>
      <c r="Z74" s="26" t="n">
        <v>113</v>
      </c>
      <c r="AA74" s="28" t="n">
        <v>0.47</v>
      </c>
      <c r="AB74" s="28" t="n">
        <v>0.000516</v>
      </c>
      <c r="AC74" s="30" t="n">
        <v>-1</v>
      </c>
      <c r="AD74" s="24" t="inlineStr">
        <is>
          <t>2026-08-20T12:45:33.496570Z</t>
        </is>
      </c>
      <c r="AE74" s="31" t="inlineStr">
        <is>
          <t>Neutral Elo baseline; executable ask 0.4700 (market_slug=aec-lol-dk-hle-2026-08-20).</t>
        </is>
      </c>
      <c r="AF74" s="31" t="inlineStr">
        <is>
          <t>Config-promoted esports baseline; gates enforced at log time.</t>
        </is>
      </c>
      <c r="AG74" s="24" t="inlineStr">
        <is>
          <t>review_required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3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Hanwha Life Esports</t>
        </is>
      </c>
      <c r="AQ74" s="24" t="inlineStr">
        <is>
          <t>Hanwha Life Esports</t>
        </is>
      </c>
      <c r="AR74" s="24" t="inlineStr">
        <is>
          <t>Hanwha Life Esports</t>
        </is>
      </c>
      <c r="AS74" s="24" t="inlineStr">
        <is>
          <t>Dplus KIA</t>
        </is>
      </c>
      <c r="AT74" s="24" t="inlineStr">
        <is>
          <t>Dplus KIA</t>
        </is>
      </c>
      <c r="AU74" s="24" t="inlineStr">
        <is>
          <t>Dplus KIA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59484f1f3bbce544de32b43610de15f15c90e28c4923f9be6586d69bca01fc87</t>
        </is>
      </c>
      <c r="BB74" s="24" t="inlineStr">
        <is>
          <t>neutral_elo</t>
        </is>
      </c>
      <c r="BC74" s="24" t="inlineStr">
        <is>
          <t>lol-tiered-elo-v6</t>
        </is>
      </c>
      <c r="BD74" s="24" t="inlineStr">
        <is>
          <t>59484f1f3bbce544de32b43610de15f15c90e28c4923f9be6586d69bca01fc87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lol-tiered-elo-v6</t>
        </is>
      </c>
      <c r="BH74" s="24" t="inlineStr">
        <is>
          <t>2026-08-20T05:36:52.664318Z</t>
        </is>
      </c>
      <c r="BI74" s="24" t="inlineStr">
        <is>
          <t>["same_event","same_team_same_day","same_league_same_day"]</t>
        </is>
      </c>
      <c r="BJ74" s="25" t="n"/>
      <c r="BK74" s="26" t="n">
        <v>113</v>
      </c>
      <c r="BL74" s="27" t="n">
        <v>2.13</v>
      </c>
      <c r="BM74" s="28" t="n">
        <v>0.469484</v>
      </c>
      <c r="BN74" s="28" t="n"/>
      <c r="BO74" s="28" t="n"/>
      <c r="BP74" s="25" t="n"/>
      <c r="BQ74" s="27" t="n">
        <v>2.13</v>
      </c>
      <c r="BR74" s="28" t="n">
        <v>0.47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True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0.469484</t>
        </is>
      </c>
      <c r="DK74" s="24" t="n"/>
      <c r="DL74" s="24" t="n"/>
      <c r="DM74" s="24" t="n"/>
      <c r="DN74" s="24" t="n"/>
      <c r="DO74" s="24" t="n"/>
      <c r="DP74" s="24" t="n"/>
      <c r="DQ74" s="24" t="n"/>
    </row>
    <row r="75" ht="36" customHeight="1">
      <c r="A75" s="24" t="inlineStr">
        <is>
          <t>d7809b47ccda4c95</t>
        </is>
      </c>
      <c r="B75" s="24" t="inlineStr">
        <is>
          <t>2026-08-20T05:36:58.913253Z</t>
        </is>
      </c>
      <c r="C75" s="24" t="inlineStr">
        <is>
          <t>2026-08-20T09:00:00Z</t>
        </is>
      </c>
      <c r="D75" s="24" t="inlineStr">
        <is>
          <t>84069</t>
        </is>
      </c>
      <c r="E75" s="24" t="inlineStr">
        <is>
          <t>LOL</t>
        </is>
      </c>
      <c r="F75" s="24" t="inlineStr">
        <is>
          <t>MVK Esports</t>
        </is>
      </c>
      <c r="G75" s="24" t="inlineStr">
        <is>
          <t>CTBC Flying Oyster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-144</v>
      </c>
      <c r="M75" s="27" t="n">
        <v>1.694444</v>
      </c>
      <c r="N75" s="28" t="n">
        <v>0.590164</v>
      </c>
      <c r="O75" s="28" t="n">
        <v>0.612432</v>
      </c>
      <c r="P75" s="28" t="n"/>
      <c r="Q75" s="28" t="n">
        <v>0.022268</v>
      </c>
      <c r="R75" s="26" t="n">
        <v>31</v>
      </c>
      <c r="S75" s="29" t="n">
        <v>1.5</v>
      </c>
      <c r="T75" s="24" t="inlineStr">
        <is>
          <t>lol-tiered-elo-v6</t>
        </is>
      </c>
      <c r="U75" s="24" t="inlineStr">
        <is>
          <t>settled</t>
        </is>
      </c>
      <c r="V75" s="24" t="inlineStr">
        <is>
          <t>win</t>
        </is>
      </c>
      <c r="W75" s="26" t="n">
        <v>0</v>
      </c>
      <c r="X75" s="26" t="n">
        <v>1</v>
      </c>
      <c r="Y75" s="25" t="n"/>
      <c r="Z75" s="26" t="n">
        <v>-144</v>
      </c>
      <c r="AA75" s="28" t="n">
        <v>0.59</v>
      </c>
      <c r="AB75" s="28" t="n">
        <v>-0.000164</v>
      </c>
      <c r="AC75" s="30" t="n">
        <v>1.0417</v>
      </c>
      <c r="AD75" s="24" t="inlineStr">
        <is>
          <t>2026-08-20T12:45:33.982496Z</t>
        </is>
      </c>
      <c r="AE75" s="31" t="inlineStr">
        <is>
          <t>Neutral Elo baseline; executable ask 0.5900 (market_slug=aec-lol-cfo-mvk-2026-08-20).</t>
        </is>
      </c>
      <c r="AF75" s="31" t="inlineStr">
        <is>
          <t>Config-promoted esports baseline; gates enforced at log time.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3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MVK Esports</t>
        </is>
      </c>
      <c r="AQ75" s="24" t="inlineStr">
        <is>
          <t>MVK Esports</t>
        </is>
      </c>
      <c r="AR75" s="24" t="inlineStr">
        <is>
          <t>MVK Esports</t>
        </is>
      </c>
      <c r="AS75" s="24" t="inlineStr">
        <is>
          <t>CTBC Flying Oyster</t>
        </is>
      </c>
      <c r="AT75" s="24" t="inlineStr">
        <is>
          <t>CTBC Flying Oyster</t>
        </is>
      </c>
      <c r="AU75" s="24" t="inlineStr">
        <is>
          <t>CTBC Flying Oyster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59484f1f3bbce544de32b43610de15f15c90e28c4923f9be6586d69bca01fc87</t>
        </is>
      </c>
      <c r="BB75" s="24" t="inlineStr">
        <is>
          <t>neutral_elo</t>
        </is>
      </c>
      <c r="BC75" s="24" t="inlineStr">
        <is>
          <t>lol-tiered-elo-v6</t>
        </is>
      </c>
      <c r="BD75" s="24" t="inlineStr">
        <is>
          <t>59484f1f3bbce544de32b43610de15f15c90e28c4923f9be6586d69bca01fc87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lol-tiered-elo-v6</t>
        </is>
      </c>
      <c r="BH75" s="24" t="inlineStr">
        <is>
          <t>2026-08-20T05:36:52.912270Z</t>
        </is>
      </c>
      <c r="BI75" s="24" t="inlineStr">
        <is>
          <t>["same_event","same_team_same_day","same_league_same_day"]</t>
        </is>
      </c>
      <c r="BJ75" s="25" t="n"/>
      <c r="BK75" s="26" t="n">
        <v>-144</v>
      </c>
      <c r="BL75" s="27" t="n">
        <v>1.694444</v>
      </c>
      <c r="BM75" s="28" t="n">
        <v>0.590164</v>
      </c>
      <c r="BN75" s="28" t="n"/>
      <c r="BO75" s="28" t="n"/>
      <c r="BP75" s="25" t="n"/>
      <c r="BQ75" s="27" t="n">
        <v>1.694444</v>
      </c>
      <c r="BR75" s="28" t="n">
        <v>0.59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0.590164</t>
        </is>
      </c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4ece777841604b9d</t>
        </is>
      </c>
      <c r="B76" s="24" t="inlineStr">
        <is>
          <t>2026-08-20T09:42:20.837093Z</t>
        </is>
      </c>
      <c r="C76" s="24" t="inlineStr">
        <is>
          <t>2026-08-20T10:00:00Z</t>
        </is>
      </c>
      <c r="D76" s="24" t="inlineStr">
        <is>
          <t>84090</t>
        </is>
      </c>
      <c r="E76" s="24" t="inlineStr">
        <is>
          <t>LOL</t>
        </is>
      </c>
      <c r="F76" s="24" t="inlineStr">
        <is>
          <t>Kiwoom DRX</t>
        </is>
      </c>
      <c r="G76" s="24" t="inlineStr">
        <is>
          <t>Nongshim Red Force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-138</v>
      </c>
      <c r="M76" s="27" t="n">
        <v>1.724638</v>
      </c>
      <c r="N76" s="28" t="n">
        <v>0.579832</v>
      </c>
      <c r="O76" s="28" t="n">
        <v>0.659064</v>
      </c>
      <c r="P76" s="28" t="n"/>
      <c r="Q76" s="28" t="n">
        <v>0.079232</v>
      </c>
      <c r="R76" s="26" t="n">
        <v>60</v>
      </c>
      <c r="S76" s="29" t="n">
        <v>1.75</v>
      </c>
      <c r="T76" s="24" t="inlineStr">
        <is>
          <t>lol-tiered-elo-v6</t>
        </is>
      </c>
      <c r="U76" s="24" t="inlineStr">
        <is>
          <t>settled</t>
        </is>
      </c>
      <c r="V76" s="24" t="inlineStr">
        <is>
          <t>win</t>
        </is>
      </c>
      <c r="W76" s="26" t="n">
        <v>0</v>
      </c>
      <c r="X76" s="26" t="n">
        <v>1</v>
      </c>
      <c r="Y76" s="25" t="n"/>
      <c r="Z76" s="26" t="n">
        <v>-138</v>
      </c>
      <c r="AA76" s="28" t="n">
        <v>0.58</v>
      </c>
      <c r="AB76" s="28" t="n">
        <v>0.000168</v>
      </c>
      <c r="AC76" s="30" t="n">
        <v>1.2681</v>
      </c>
      <c r="AD76" s="24" t="inlineStr">
        <is>
          <t>2026-08-20T12:45:34.683222Z</t>
        </is>
      </c>
      <c r="AE76" s="31" t="inlineStr">
        <is>
          <t>Neutral Elo baseline; executable ask 0.5800 (market_slug=aec-lol-ns-krx-2026-08-20).</t>
        </is>
      </c>
      <c r="AF76" s="31" t="inlineStr">
        <is>
          <t>Config-promoted esports baseline; gates enforced at log time.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3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Kiwoom DRX</t>
        </is>
      </c>
      <c r="AQ76" s="24" t="inlineStr">
        <is>
          <t>Kiwoom DRX</t>
        </is>
      </c>
      <c r="AR76" s="24" t="inlineStr">
        <is>
          <t>Kiwoom DRX</t>
        </is>
      </c>
      <c r="AS76" s="24" t="inlineStr">
        <is>
          <t>Nongshim Red Force</t>
        </is>
      </c>
      <c r="AT76" s="24" t="inlineStr">
        <is>
          <t>Nongshim Red Force</t>
        </is>
      </c>
      <c r="AU76" s="24" t="inlineStr">
        <is>
          <t>Nongshim Red Force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01d29e907390a4b721a05fc224b95100de95b69eccadbd70573e7c49138b1489</t>
        </is>
      </c>
      <c r="BB76" s="24" t="inlineStr">
        <is>
          <t>neutral_elo</t>
        </is>
      </c>
      <c r="BC76" s="24" t="inlineStr">
        <is>
          <t>lol-tiered-elo-v6</t>
        </is>
      </c>
      <c r="BD76" s="24" t="inlineStr">
        <is>
          <t>01d29e907390a4b721a05fc224b95100de95b69eccadbd70573e7c49138b1489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lol-tiered-elo-v6</t>
        </is>
      </c>
      <c r="BH76" s="24" t="inlineStr">
        <is>
          <t>2026-08-20T09:42:14.700565Z</t>
        </is>
      </c>
      <c r="BI76" s="24" t="inlineStr">
        <is>
          <t>["same_event","same_team_same_day","same_league_same_day"]</t>
        </is>
      </c>
      <c r="BJ76" s="25" t="n"/>
      <c r="BK76" s="26" t="n">
        <v>-138</v>
      </c>
      <c r="BL76" s="27" t="n">
        <v>1.724638</v>
      </c>
      <c r="BM76" s="28" t="n">
        <v>0.579832</v>
      </c>
      <c r="BN76" s="28" t="n"/>
      <c r="BO76" s="28" t="n"/>
      <c r="BP76" s="25" t="n"/>
      <c r="BQ76" s="27" t="n">
        <v>1.724638</v>
      </c>
      <c r="BR76" s="28" t="n">
        <v>0.58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0.579832</t>
        </is>
      </c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7b8ee7ff8a9d4130</t>
        </is>
      </c>
      <c r="B77" s="24" t="inlineStr">
        <is>
          <t>2026-08-20T15:52:54.808855Z</t>
        </is>
      </c>
      <c r="C77" s="24" t="inlineStr">
        <is>
          <t>2026-08-20T16:00:00Z</t>
        </is>
      </c>
      <c r="D77" s="24" t="inlineStr">
        <is>
          <t>87148</t>
        </is>
      </c>
      <c r="E77" s="24" t="inlineStr">
        <is>
          <t>LOL</t>
        </is>
      </c>
      <c r="F77" s="24" t="inlineStr">
        <is>
          <t>Disruptors</t>
        </is>
      </c>
      <c r="G77" s="24" t="inlineStr">
        <is>
          <t>Pyramid IV Esports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104</v>
      </c>
      <c r="M77" s="27" t="n">
        <v>2.04</v>
      </c>
      <c r="N77" s="28" t="n">
        <v>0.490196</v>
      </c>
      <c r="O77" s="28" t="n">
        <v>0.545515</v>
      </c>
      <c r="P77" s="28" t="n"/>
      <c r="Q77" s="28" t="n">
        <v>0.055319</v>
      </c>
      <c r="R77" s="26" t="n">
        <v>48</v>
      </c>
      <c r="S77" s="29" t="n">
        <v>1</v>
      </c>
      <c r="T77" s="24" t="inlineStr">
        <is>
          <t>lol-tiered-elo-v6</t>
        </is>
      </c>
      <c r="U77" s="24" t="inlineStr">
        <is>
          <t>settled</t>
        </is>
      </c>
      <c r="V77" s="24" t="inlineStr">
        <is>
          <t>win</t>
        </is>
      </c>
      <c r="W77" s="26" t="n">
        <v>0</v>
      </c>
      <c r="X77" s="26" t="n">
        <v>1</v>
      </c>
      <c r="Y77" s="25" t="n"/>
      <c r="Z77" s="26" t="n">
        <v>104</v>
      </c>
      <c r="AA77" s="28" t="n">
        <v>0.49</v>
      </c>
      <c r="AB77" s="28" t="n">
        <v>-0.000196</v>
      </c>
      <c r="AC77" s="30" t="n">
        <v>1.04</v>
      </c>
      <c r="AD77" s="24" t="inlineStr">
        <is>
          <t>2026-08-20T22:22:28.332856Z</t>
        </is>
      </c>
      <c r="AE77" s="31" t="inlineStr">
        <is>
          <t>Neutral Elo baseline; executable ask 0.4900 (market_slug=aec-lol-piv-ds-2026-08-20).</t>
        </is>
      </c>
      <c r="AF77" s="31" t="inlineStr">
        <is>
          <t>Config-promoted esports baseline; gates enforced at log time.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model_qualified</t>
        </is>
      </c>
      <c r="AL77" s="26" t="n">
        <v>3</v>
      </c>
      <c r="AM77" s="24" t="inlineStr">
        <is>
          <t>QUALIFIED_SHADOW_CALL</t>
        </is>
      </c>
      <c r="AN77" s="24" t="inlineStr">
        <is>
          <t>CALL</t>
        </is>
      </c>
      <c r="AO77" s="24" t="inlineStr">
        <is>
          <t>QUALIFIED</t>
        </is>
      </c>
      <c r="AP77" s="24" t="inlineStr">
        <is>
          <t>Disruptors</t>
        </is>
      </c>
      <c r="AQ77" s="24" t="inlineStr">
        <is>
          <t>Disruptors</t>
        </is>
      </c>
      <c r="AR77" s="24" t="inlineStr">
        <is>
          <t>Disruptors</t>
        </is>
      </c>
      <c r="AS77" s="24" t="inlineStr">
        <is>
          <t>Pyramid IV Esports</t>
        </is>
      </c>
      <c r="AT77" s="24" t="inlineStr">
        <is>
          <t>Pyramid IV Esports</t>
        </is>
      </c>
      <c r="AU77" s="24" t="inlineStr">
        <is>
          <t>Pyramid IV Esports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ff279fe603df702f6b4d6c1df5bb006ee6c294e2b6eb4e88756fe86b9138aea2</t>
        </is>
      </c>
      <c r="BB77" s="24" t="inlineStr">
        <is>
          <t>neutral_elo</t>
        </is>
      </c>
      <c r="BC77" s="24" t="inlineStr">
        <is>
          <t>lol-tiered-elo-v6</t>
        </is>
      </c>
      <c r="BD77" s="24" t="inlineStr">
        <is>
          <t>ff279fe603df702f6b4d6c1df5bb006ee6c294e2b6eb4e88756fe86b9138aea2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lol-tiered-elo-v6</t>
        </is>
      </c>
      <c r="BH77" s="24" t="inlineStr">
        <is>
          <t>2026-08-20T15:52:50.236447Z</t>
        </is>
      </c>
      <c r="BI77" s="24" t="inlineStr">
        <is>
          <t>["same_event","same_team_same_day","same_league_same_day"]</t>
        </is>
      </c>
      <c r="BJ77" s="25" t="n"/>
      <c r="BK77" s="26" t="n">
        <v>104</v>
      </c>
      <c r="BL77" s="27" t="n">
        <v>2.04</v>
      </c>
      <c r="BM77" s="28" t="n">
        <v>0.490196</v>
      </c>
      <c r="BN77" s="28" t="n"/>
      <c r="BO77" s="28" t="n"/>
      <c r="BP77" s="25" t="n"/>
      <c r="BQ77" s="27" t="n">
        <v>2.04</v>
      </c>
      <c r="BR77" s="28" t="n">
        <v>0.49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True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0.490196</t>
        </is>
      </c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7381ed6789b440be</t>
        </is>
      </c>
      <c r="B78" s="24" t="inlineStr">
        <is>
          <t>2026-08-20T15:52:54.808855Z</t>
        </is>
      </c>
      <c r="C78" s="24" t="inlineStr">
        <is>
          <t>2026-08-20T16:00:00Z</t>
        </is>
      </c>
      <c r="D78" s="24" t="inlineStr">
        <is>
          <t>86905</t>
        </is>
      </c>
      <c r="E78" s="24" t="inlineStr">
        <is>
          <t>LOL</t>
        </is>
      </c>
      <c r="F78" s="24" t="inlineStr">
        <is>
          <t>GnG Amazigh</t>
        </is>
      </c>
      <c r="G78" s="24" t="inlineStr">
        <is>
          <t>Baam Esports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-163</v>
      </c>
      <c r="M78" s="27" t="n">
        <v>1.613497</v>
      </c>
      <c r="N78" s="28" t="n">
        <v>0.619772</v>
      </c>
      <c r="O78" s="28" t="n">
        <v>0.6786219999999999</v>
      </c>
      <c r="P78" s="28" t="n"/>
      <c r="Q78" s="28" t="n">
        <v>0.05885</v>
      </c>
      <c r="R78" s="26" t="n">
        <v>49</v>
      </c>
      <c r="S78" s="29" t="n">
        <v>1.75</v>
      </c>
      <c r="T78" s="24" t="inlineStr">
        <is>
          <t>lol-tiered-elo-v6</t>
        </is>
      </c>
      <c r="U78" s="24" t="inlineStr">
        <is>
          <t>settled</t>
        </is>
      </c>
      <c r="V78" s="24" t="inlineStr">
        <is>
          <t>win</t>
        </is>
      </c>
      <c r="W78" s="26" t="n">
        <v>0</v>
      </c>
      <c r="X78" s="26" t="n">
        <v>1</v>
      </c>
      <c r="Y78" s="25" t="n"/>
      <c r="Z78" s="26" t="n">
        <v>-163</v>
      </c>
      <c r="AA78" s="28" t="n">
        <v>0.62</v>
      </c>
      <c r="AB78" s="28" t="n">
        <v>0.000228</v>
      </c>
      <c r="AC78" s="30" t="n">
        <v>1.0736</v>
      </c>
      <c r="AD78" s="24" t="inlineStr">
        <is>
          <t>2026-08-26T12:41:55.880449Z</t>
        </is>
      </c>
      <c r="AE78" s="31" t="inlineStr">
        <is>
          <t>Neutral Elo baseline; executable ask 0.6200 (market_slug=aec-lol-bam-gng-2026-08-20).</t>
        </is>
      </c>
      <c r="AF78" s="31" t="inlineStr">
        <is>
          <t>Config-promoted esports baseline; gates enforced at log time.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model_qualified</t>
        </is>
      </c>
      <c r="AL78" s="26" t="n">
        <v>3</v>
      </c>
      <c r="AM78" s="24" t="inlineStr">
        <is>
          <t>QUALIFIED_SHADOW_CALL</t>
        </is>
      </c>
      <c r="AN78" s="24" t="inlineStr">
        <is>
          <t>CALL</t>
        </is>
      </c>
      <c r="AO78" s="24" t="inlineStr">
        <is>
          <t>QUALIFIED</t>
        </is>
      </c>
      <c r="AP78" s="24" t="inlineStr">
        <is>
          <t>GnG Amazigh</t>
        </is>
      </c>
      <c r="AQ78" s="24" t="inlineStr">
        <is>
          <t>GnG Amazigh</t>
        </is>
      </c>
      <c r="AR78" s="24" t="inlineStr">
        <is>
          <t>GnG Amazigh</t>
        </is>
      </c>
      <c r="AS78" s="24" t="inlineStr">
        <is>
          <t>Baam Esports</t>
        </is>
      </c>
      <c r="AT78" s="24" t="inlineStr">
        <is>
          <t>Baam Esports</t>
        </is>
      </c>
      <c r="AU78" s="24" t="inlineStr">
        <is>
          <t>Baam Esports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ff279fe603df702f6b4d6c1df5bb006ee6c294e2b6eb4e88756fe86b9138aea2</t>
        </is>
      </c>
      <c r="BB78" s="24" t="inlineStr">
        <is>
          <t>neutral_elo</t>
        </is>
      </c>
      <c r="BC78" s="24" t="inlineStr">
        <is>
          <t>lol-tiered-elo-v6</t>
        </is>
      </c>
      <c r="BD78" s="24" t="inlineStr">
        <is>
          <t>ff279fe603df702f6b4d6c1df5bb006ee6c294e2b6eb4e88756fe86b9138aea2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lol-tiered-elo-v6</t>
        </is>
      </c>
      <c r="BH78" s="24" t="inlineStr">
        <is>
          <t>2026-08-20T15:52:50.476101Z</t>
        </is>
      </c>
      <c r="BI78" s="24" t="inlineStr">
        <is>
          <t>["same_event","same_team_same_day","same_league_same_day"]</t>
        </is>
      </c>
      <c r="BJ78" s="25" t="n"/>
      <c r="BK78" s="26" t="n">
        <v>-163</v>
      </c>
      <c r="BL78" s="27" t="n">
        <v>1.613497</v>
      </c>
      <c r="BM78" s="28" t="n">
        <v>0.619772</v>
      </c>
      <c r="BN78" s="28" t="n"/>
      <c r="BO78" s="28" t="n"/>
      <c r="BP78" s="25" t="n"/>
      <c r="BQ78" s="27" t="n">
        <v>1.613497</v>
      </c>
      <c r="BR78" s="28" t="n">
        <v>0.62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True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0.619772</t>
        </is>
      </c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cb9e0696be6c4fd4</t>
        </is>
      </c>
      <c r="B79" s="24" t="inlineStr">
        <is>
          <t>2026-08-20T15:52:54.808855Z</t>
        </is>
      </c>
      <c r="C79" s="24" t="inlineStr">
        <is>
          <t>2026-08-20T17:00:00Z</t>
        </is>
      </c>
      <c r="D79" s="24" t="inlineStr">
        <is>
          <t>84365</t>
        </is>
      </c>
      <c r="E79" s="24" t="inlineStr">
        <is>
          <t>LOL</t>
        </is>
      </c>
      <c r="F79" s="24" t="inlineStr">
        <is>
          <t>Barcząca Esports</t>
        </is>
      </c>
      <c r="G79" s="24" t="inlineStr">
        <is>
          <t>Anonymo Esports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113</v>
      </c>
      <c r="M79" s="27" t="n">
        <v>2.13</v>
      </c>
      <c r="N79" s="28" t="n">
        <v>0.469484</v>
      </c>
      <c r="O79" s="28" t="n">
        <v>0.532146</v>
      </c>
      <c r="P79" s="28" t="n"/>
      <c r="Q79" s="28" t="n">
        <v>0.062662</v>
      </c>
      <c r="R79" s="26" t="n">
        <v>51</v>
      </c>
      <c r="S79" s="29" t="n">
        <v>1</v>
      </c>
      <c r="T79" s="24" t="inlineStr">
        <is>
          <t>lol-tiered-elo-v6</t>
        </is>
      </c>
      <c r="U79" s="24" t="inlineStr">
        <is>
          <t>settled</t>
        </is>
      </c>
      <c r="V79" s="24" t="inlineStr">
        <is>
          <t>win</t>
        </is>
      </c>
      <c r="W79" s="26" t="n">
        <v>1</v>
      </c>
      <c r="X79" s="26" t="n">
        <v>0</v>
      </c>
      <c r="Y79" s="25" t="n"/>
      <c r="Z79" s="26" t="n">
        <v>113</v>
      </c>
      <c r="AA79" s="28" t="n">
        <v>0.47</v>
      </c>
      <c r="AB79" s="28" t="n">
        <v>0.000516</v>
      </c>
      <c r="AC79" s="30" t="n">
        <v>1.13</v>
      </c>
      <c r="AD79" s="24" t="inlineStr">
        <is>
          <t>2026-08-20T22:22:28.981538Z</t>
        </is>
      </c>
      <c r="AE79" s="31" t="inlineStr">
        <is>
          <t>Neutral Elo baseline; executable ask 0.4700 (market_slug=aec-lol-ae-bce-2026-08-20).</t>
        </is>
      </c>
      <c r="AF79" s="31" t="inlineStr">
        <is>
          <t>Config-promoted esports baseline; gates enforced at log time.</t>
        </is>
      </c>
      <c r="AG79" s="24" t="inlineStr">
        <is>
          <t>not_applicable</t>
        </is>
      </c>
      <c r="AH79" s="24" t="n"/>
      <c r="AI79" s="31" t="n"/>
      <c r="AJ79" s="31" t="n"/>
      <c r="AK79" s="24" t="inlineStr">
        <is>
          <t>model_qualified</t>
        </is>
      </c>
      <c r="AL79" s="26" t="n">
        <v>3</v>
      </c>
      <c r="AM79" s="24" t="inlineStr">
        <is>
          <t>QUALIFIED_SHADOW_CALL</t>
        </is>
      </c>
      <c r="AN79" s="24" t="inlineStr">
        <is>
          <t>CALL</t>
        </is>
      </c>
      <c r="AO79" s="24" t="inlineStr">
        <is>
          <t>QUALIFIED</t>
        </is>
      </c>
      <c r="AP79" s="24" t="inlineStr">
        <is>
          <t>Barcząca Esports</t>
        </is>
      </c>
      <c r="AQ79" s="24" t="inlineStr">
        <is>
          <t>Barcząca Esports</t>
        </is>
      </c>
      <c r="AR79" s="24" t="inlineStr">
        <is>
          <t>Barcząca Esports</t>
        </is>
      </c>
      <c r="AS79" s="24" t="inlineStr">
        <is>
          <t>Anonymo Esports</t>
        </is>
      </c>
      <c r="AT79" s="24" t="inlineStr">
        <is>
          <t>Anonymo Esports</t>
        </is>
      </c>
      <c r="AU79" s="24" t="inlineStr">
        <is>
          <t>Anonymo Esports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ff279fe603df702f6b4d6c1df5bb006ee6c294e2b6eb4e88756fe86b9138aea2</t>
        </is>
      </c>
      <c r="BB79" s="24" t="inlineStr">
        <is>
          <t>neutral_elo</t>
        </is>
      </c>
      <c r="BC79" s="24" t="inlineStr">
        <is>
          <t>lol-tiered-elo-v6</t>
        </is>
      </c>
      <c r="BD79" s="24" t="inlineStr">
        <is>
          <t>ff279fe603df702f6b4d6c1df5bb006ee6c294e2b6eb4e88756fe86b9138aea2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lol-tiered-elo-v6</t>
        </is>
      </c>
      <c r="BH79" s="24" t="inlineStr">
        <is>
          <t>2026-08-20T15:52:51.519656Z</t>
        </is>
      </c>
      <c r="BI79" s="24" t="inlineStr">
        <is>
          <t>["same_event","same_team_same_day","same_league_same_day"]</t>
        </is>
      </c>
      <c r="BJ79" s="25" t="n"/>
      <c r="BK79" s="26" t="n">
        <v>113</v>
      </c>
      <c r="BL79" s="27" t="n">
        <v>2.13</v>
      </c>
      <c r="BM79" s="28" t="n">
        <v>0.469484</v>
      </c>
      <c r="BN79" s="28" t="n"/>
      <c r="BO79" s="28" t="n"/>
      <c r="BP79" s="25" t="n"/>
      <c r="BQ79" s="27" t="n">
        <v>2.13</v>
      </c>
      <c r="BR79" s="28" t="n">
        <v>0.47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True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0.469484</t>
        </is>
      </c>
      <c r="DK79" s="24" t="n"/>
      <c r="DL79" s="24" t="n"/>
      <c r="DM79" s="24" t="n"/>
      <c r="DN79" s="24" t="n"/>
      <c r="DO79" s="24" t="n"/>
      <c r="DP79" s="24" t="n"/>
      <c r="DQ79" s="24" t="n"/>
    </row>
    <row r="80" ht="36" customHeight="1">
      <c r="A80" s="24" t="inlineStr">
        <is>
          <t>b0948128e0d042ab</t>
        </is>
      </c>
      <c r="B80" s="24" t="inlineStr">
        <is>
          <t>2026-08-21T04:32:30.036826Z</t>
        </is>
      </c>
      <c r="C80" s="24" t="inlineStr">
        <is>
          <t>2026-08-21T05:00:00Z</t>
        </is>
      </c>
      <c r="D80" s="24" t="inlineStr">
        <is>
          <t>85069</t>
        </is>
      </c>
      <c r="E80" s="24" t="inlineStr">
        <is>
          <t>LOL</t>
        </is>
      </c>
      <c r="F80" s="24" t="inlineStr">
        <is>
          <t>T1 Academy</t>
        </is>
      </c>
      <c r="G80" s="24" t="inlineStr">
        <is>
          <t>Nongshim Esports Academy</t>
        </is>
      </c>
      <c r="H80" s="24" t="inlineStr">
        <is>
          <t>moneyline</t>
        </is>
      </c>
      <c r="I80" s="24" t="inlineStr">
        <is>
          <t>away</t>
        </is>
      </c>
      <c r="J80" s="25" t="n"/>
      <c r="K80" s="24" t="inlineStr">
        <is>
          <t>polymarket_us</t>
        </is>
      </c>
      <c r="L80" s="26" t="n">
        <v>-203</v>
      </c>
      <c r="M80" s="27" t="n">
        <v>1.492611</v>
      </c>
      <c r="N80" s="28" t="n">
        <v>0.669967</v>
      </c>
      <c r="O80" s="28" t="n">
        <v>0.708707</v>
      </c>
      <c r="P80" s="28" t="n"/>
      <c r="Q80" s="28" t="n">
        <v>0.03874</v>
      </c>
      <c r="R80" s="26" t="n">
        <v>39</v>
      </c>
      <c r="S80" s="29" t="n">
        <v>2</v>
      </c>
      <c r="T80" s="24" t="inlineStr">
        <is>
          <t>lol-tiered-elo-v6</t>
        </is>
      </c>
      <c r="U80" s="24" t="inlineStr">
        <is>
          <t>settled</t>
        </is>
      </c>
      <c r="V80" s="24" t="inlineStr">
        <is>
          <t>loss</t>
        </is>
      </c>
      <c r="W80" s="26" t="n">
        <v>0</v>
      </c>
      <c r="X80" s="26" t="n">
        <v>1</v>
      </c>
      <c r="Y80" s="25" t="n"/>
      <c r="Z80" s="26" t="n">
        <v>-194</v>
      </c>
      <c r="AA80" s="28" t="n">
        <v>0.66</v>
      </c>
      <c r="AB80" s="28" t="n">
        <v>-0.009967</v>
      </c>
      <c r="AC80" s="30" t="n">
        <v>-2</v>
      </c>
      <c r="AD80" s="24" t="inlineStr">
        <is>
          <t>2026-08-21T11:27:25.918717Z</t>
        </is>
      </c>
      <c r="AE80" s="31" t="inlineStr">
        <is>
          <t>Neutral Elo baseline; executable ask 0.6700 (market_slug=aec-lol-nsea-t1a-2026-08-21).</t>
        </is>
      </c>
      <c r="AF80" s="31" t="inlineStr">
        <is>
          <t>Config-promoted esports baseline; gates enforced at log time.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model_qualified</t>
        </is>
      </c>
      <c r="AL80" s="26" t="n">
        <v>4</v>
      </c>
      <c r="AM80" s="24" t="inlineStr">
        <is>
          <t>QUALIFIED_SHADOW_CALL</t>
        </is>
      </c>
      <c r="AN80" s="24" t="inlineStr">
        <is>
          <t>CALL</t>
        </is>
      </c>
      <c r="AO80" s="24" t="inlineStr">
        <is>
          <t>QUALIFIED</t>
        </is>
      </c>
      <c r="AP80" s="24" t="inlineStr">
        <is>
          <t>T1 Academy</t>
        </is>
      </c>
      <c r="AQ80" s="24" t="inlineStr">
        <is>
          <t>T1 Academy</t>
        </is>
      </c>
      <c r="AR80" s="24" t="inlineStr">
        <is>
          <t>T1 Academy</t>
        </is>
      </c>
      <c r="AS80" s="24" t="inlineStr">
        <is>
          <t>Nongshim Esports Academy</t>
        </is>
      </c>
      <c r="AT80" s="24" t="inlineStr">
        <is>
          <t>Nongshim Esports Academy</t>
        </is>
      </c>
      <c r="AU80" s="24" t="inlineStr">
        <is>
          <t>Nongshim Esports Academy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b38203d9c5ef44312a3e3a387836f2ba7b42ccb62d01397fcd6796e951c0a9e6</t>
        </is>
      </c>
      <c r="BB80" s="24" t="inlineStr">
        <is>
          <t>neutral_elo</t>
        </is>
      </c>
      <c r="BC80" s="24" t="inlineStr">
        <is>
          <t>lol-tiered-elo-v6</t>
        </is>
      </c>
      <c r="BD80" s="24" t="inlineStr">
        <is>
          <t>b38203d9c5ef44312a3e3a387836f2ba7b42ccb62d01397fcd6796e951c0a9e6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lol-tiered-elo-v6</t>
        </is>
      </c>
      <c r="BH80" s="24" t="inlineStr">
        <is>
          <t>2026-08-21T04:32:26.194461Z</t>
        </is>
      </c>
      <c r="BI80" s="24" t="inlineStr">
        <is>
          <t>["same_event","same_team_same_day","same_league_same_day"]</t>
        </is>
      </c>
      <c r="BJ80" s="25" t="n"/>
      <c r="BK80" s="26" t="n">
        <v>-203</v>
      </c>
      <c r="BL80" s="27" t="n">
        <v>1.492611</v>
      </c>
      <c r="BM80" s="28" t="n">
        <v>0.669967</v>
      </c>
      <c r="BN80" s="28" t="n"/>
      <c r="BO80" s="28" t="n"/>
      <c r="BP80" s="25" t="n"/>
      <c r="BQ80" s="27" t="n">
        <v>1.515464</v>
      </c>
      <c r="BR80" s="28" t="n">
        <v>0.66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True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0.669967</t>
        </is>
      </c>
      <c r="DK80" s="24" t="n"/>
      <c r="DL80" s="24" t="n"/>
      <c r="DM80" s="24" t="n"/>
      <c r="DN80" s="24" t="n"/>
      <c r="DO80" s="24" t="n"/>
      <c r="DP80" s="24" t="n"/>
      <c r="DQ80" s="24" t="n"/>
    </row>
    <row r="81" ht="36" customHeight="1">
      <c r="A81" s="24" t="inlineStr">
        <is>
          <t>50065dc4519b4407</t>
        </is>
      </c>
      <c r="B81" s="24" t="inlineStr">
        <is>
          <t>2026-08-21T04:32:30.036826Z</t>
        </is>
      </c>
      <c r="C81" s="24" t="inlineStr">
        <is>
          <t>2026-08-21T11:00:00Z</t>
        </is>
      </c>
      <c r="D81" s="24" t="inlineStr">
        <is>
          <t>85168</t>
        </is>
      </c>
      <c r="E81" s="24" t="inlineStr">
        <is>
          <t>LOL</t>
        </is>
      </c>
      <c r="F81" s="24" t="inlineStr">
        <is>
          <t>Bilibili Gaming</t>
        </is>
      </c>
      <c r="G81" s="24" t="inlineStr">
        <is>
          <t>Top Esports</t>
        </is>
      </c>
      <c r="H81" s="24" t="inlineStr">
        <is>
          <t>moneyline</t>
        </is>
      </c>
      <c r="I81" s="24" t="inlineStr">
        <is>
          <t>away</t>
        </is>
      </c>
      <c r="J81" s="25" t="n"/>
      <c r="K81" s="24" t="inlineStr">
        <is>
          <t>polymarket_us</t>
        </is>
      </c>
      <c r="L81" s="26" t="n">
        <v>-194</v>
      </c>
      <c r="M81" s="27" t="n">
        <v>1.515464</v>
      </c>
      <c r="N81" s="28" t="n">
        <v>0.659864</v>
      </c>
      <c r="O81" s="28" t="n">
        <v>0.66226</v>
      </c>
      <c r="P81" s="28" t="n"/>
      <c r="Q81" s="28" t="n">
        <v>0.002396</v>
      </c>
      <c r="R81" s="26" t="n">
        <v>21</v>
      </c>
      <c r="S81" s="29" t="n">
        <v>1.75</v>
      </c>
      <c r="T81" s="24" t="inlineStr">
        <is>
          <t>lol-tiered-elo-v6</t>
        </is>
      </c>
      <c r="U81" s="24" t="inlineStr">
        <is>
          <t>settled</t>
        </is>
      </c>
      <c r="V81" s="24" t="inlineStr">
        <is>
          <t>win</t>
        </is>
      </c>
      <c r="W81" s="26" t="n">
        <v>1</v>
      </c>
      <c r="X81" s="26" t="n">
        <v>0</v>
      </c>
      <c r="Y81" s="25" t="n"/>
      <c r="Z81" s="26" t="n">
        <v>-194</v>
      </c>
      <c r="AA81" s="28" t="n">
        <v>0.66</v>
      </c>
      <c r="AB81" s="28" t="n">
        <v>0.000136</v>
      </c>
      <c r="AC81" s="30" t="n">
        <v>0.9021</v>
      </c>
      <c r="AD81" s="24" t="inlineStr">
        <is>
          <t>2026-08-21T18:25:48.487828Z</t>
        </is>
      </c>
      <c r="AE81" s="31" t="inlineStr">
        <is>
          <t>Neutral Elo baseline; executable ask 0.6600 (market_slug=aec-lol-tes-blg-2026-08-21).</t>
        </is>
      </c>
      <c r="AF81" s="31" t="inlineStr">
        <is>
          <t>Config-promoted esports baseline; gates enforced at log time.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model_qualified</t>
        </is>
      </c>
      <c r="AL81" s="26" t="n">
        <v>4</v>
      </c>
      <c r="AM81" s="24" t="inlineStr">
        <is>
          <t>QUALIFIED_SHADOW_CALL</t>
        </is>
      </c>
      <c r="AN81" s="24" t="inlineStr">
        <is>
          <t>CALL</t>
        </is>
      </c>
      <c r="AO81" s="24" t="inlineStr">
        <is>
          <t>QUALIFIED</t>
        </is>
      </c>
      <c r="AP81" s="24" t="inlineStr">
        <is>
          <t>Bilibili Gaming</t>
        </is>
      </c>
      <c r="AQ81" s="24" t="inlineStr">
        <is>
          <t>Bilibili Gaming</t>
        </is>
      </c>
      <c r="AR81" s="24" t="inlineStr">
        <is>
          <t>Bilibili Gaming</t>
        </is>
      </c>
      <c r="AS81" s="24" t="inlineStr">
        <is>
          <t>Top Esports</t>
        </is>
      </c>
      <c r="AT81" s="24" t="inlineStr">
        <is>
          <t>Top Esports</t>
        </is>
      </c>
      <c r="AU81" s="24" t="inlineStr">
        <is>
          <t>Top Esports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b38203d9c5ef44312a3e3a387836f2ba7b42ccb62d01397fcd6796e951c0a9e6</t>
        </is>
      </c>
      <c r="BB81" s="24" t="inlineStr">
        <is>
          <t>neutral_elo</t>
        </is>
      </c>
      <c r="BC81" s="24" t="inlineStr">
        <is>
          <t>lol-tiered-elo-v6</t>
        </is>
      </c>
      <c r="BD81" s="24" t="inlineStr">
        <is>
          <t>b38203d9c5ef44312a3e3a387836f2ba7b42ccb62d01397fcd6796e951c0a9e6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lol-tiered-elo-v6</t>
        </is>
      </c>
      <c r="BH81" s="24" t="inlineStr">
        <is>
          <t>2026-08-21T04:32:27.613703Z</t>
        </is>
      </c>
      <c r="BI81" s="24" t="inlineStr">
        <is>
          <t>["same_event","same_team_same_day","same_league_same_day"]</t>
        </is>
      </c>
      <c r="BJ81" s="25" t="n"/>
      <c r="BK81" s="26" t="n">
        <v>-194</v>
      </c>
      <c r="BL81" s="27" t="n">
        <v>1.515464</v>
      </c>
      <c r="BM81" s="28" t="n">
        <v>0.659864</v>
      </c>
      <c r="BN81" s="28" t="n"/>
      <c r="BO81" s="28" t="n"/>
      <c r="BP81" s="25" t="n"/>
      <c r="BQ81" s="27" t="n">
        <v>1.515464</v>
      </c>
      <c r="BR81" s="28" t="n">
        <v>0.66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True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0.659864</t>
        </is>
      </c>
      <c r="DK81" s="24" t="n"/>
      <c r="DL81" s="24" t="n"/>
      <c r="DM81" s="24" t="n"/>
      <c r="DN81" s="24" t="n"/>
      <c r="DO81" s="24" t="n"/>
      <c r="DP81" s="24" t="n"/>
      <c r="DQ81" s="24" t="n"/>
    </row>
    <row r="82" ht="36" customHeight="1">
      <c r="A82" s="24" t="inlineStr">
        <is>
          <t>41947ed71bd645fd</t>
        </is>
      </c>
      <c r="B82" s="24" t="inlineStr">
        <is>
          <t>2026-08-21T11:34:17.596179Z</t>
        </is>
      </c>
      <c r="C82" s="24" t="inlineStr">
        <is>
          <t>2026-08-21T17:15:00Z</t>
        </is>
      </c>
      <c r="D82" s="24" t="inlineStr">
        <is>
          <t>85504</t>
        </is>
      </c>
      <c r="E82" s="24" t="inlineStr">
        <is>
          <t>LOL</t>
        </is>
      </c>
      <c r="F82" s="24" t="inlineStr">
        <is>
          <t>Natus Vincere</t>
        </is>
      </c>
      <c r="G82" s="24" t="inlineStr">
        <is>
          <t>Team Vitality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-127</v>
      </c>
      <c r="M82" s="27" t="n">
        <v>1.787402</v>
      </c>
      <c r="N82" s="28" t="n">
        <v>0.5594710000000001</v>
      </c>
      <c r="O82" s="28" t="n">
        <v>0.601519</v>
      </c>
      <c r="P82" s="28" t="n"/>
      <c r="Q82" s="28" t="n">
        <v>0.042048</v>
      </c>
      <c r="R82" s="26" t="n">
        <v>41</v>
      </c>
      <c r="S82" s="29" t="n">
        <v>1.25</v>
      </c>
      <c r="T82" s="24" t="inlineStr">
        <is>
          <t>lol-tiered-elo-v6</t>
        </is>
      </c>
      <c r="U82" s="24" t="inlineStr">
        <is>
          <t>settled</t>
        </is>
      </c>
      <c r="V82" s="24" t="inlineStr">
        <is>
          <t>win</t>
        </is>
      </c>
      <c r="W82" s="26" t="n">
        <v>0</v>
      </c>
      <c r="X82" s="26" t="n">
        <v>1</v>
      </c>
      <c r="Y82" s="25" t="n"/>
      <c r="Z82" s="26" t="n">
        <v>-127</v>
      </c>
      <c r="AA82" s="28" t="n">
        <v>0.5600000000000001</v>
      </c>
      <c r="AB82" s="28" t="n">
        <v>0.000529</v>
      </c>
      <c r="AC82" s="30" t="n">
        <v>0.9843</v>
      </c>
      <c r="AD82" s="24" t="inlineStr">
        <is>
          <t>2026-08-21T21:54:27.134642Z</t>
        </is>
      </c>
      <c r="AE82" s="31" t="inlineStr">
        <is>
          <t>Neutral Elo baseline; executable ask 0.5600 (market_slug=aec-lol-vit-navi-2026-08-21).</t>
        </is>
      </c>
      <c r="AF82" s="31" t="inlineStr">
        <is>
          <t>Config-promoted esports baseline; gates enforced at log time.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model_qualified</t>
        </is>
      </c>
      <c r="AL82" s="26" t="n">
        <v>4</v>
      </c>
      <c r="AM82" s="24" t="inlineStr">
        <is>
          <t>QUALIFIED_SHADOW_CALL</t>
        </is>
      </c>
      <c r="AN82" s="24" t="inlineStr">
        <is>
          <t>CALL</t>
        </is>
      </c>
      <c r="AO82" s="24" t="inlineStr">
        <is>
          <t>QUALIFIED</t>
        </is>
      </c>
      <c r="AP82" s="24" t="inlineStr">
        <is>
          <t>Natus Vincere</t>
        </is>
      </c>
      <c r="AQ82" s="24" t="inlineStr">
        <is>
          <t>Natus Vincere</t>
        </is>
      </c>
      <c r="AR82" s="24" t="inlineStr">
        <is>
          <t>Natus Vincere</t>
        </is>
      </c>
      <c r="AS82" s="24" t="inlineStr">
        <is>
          <t>Team Vitality</t>
        </is>
      </c>
      <c r="AT82" s="24" t="inlineStr">
        <is>
          <t>Team Vitality</t>
        </is>
      </c>
      <c r="AU82" s="24" t="inlineStr">
        <is>
          <t>Team Vitality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7a56228dbf41b6928e19131a6fd58786baadd5d8cc58b19b42ffa9625239e18b</t>
        </is>
      </c>
      <c r="BB82" s="24" t="inlineStr">
        <is>
          <t>neutral_elo</t>
        </is>
      </c>
      <c r="BC82" s="24" t="inlineStr">
        <is>
          <t>lol-tiered-elo-v6</t>
        </is>
      </c>
      <c r="BD82" s="24" t="inlineStr">
        <is>
          <t>7a56228dbf41b6928e19131a6fd58786baadd5d8cc58b19b42ffa9625239e18b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lol-tiered-elo-v6</t>
        </is>
      </c>
      <c r="BH82" s="24" t="inlineStr">
        <is>
          <t>2026-08-21T11:34:15.798798Z</t>
        </is>
      </c>
      <c r="BI82" s="24" t="inlineStr">
        <is>
          <t>["same_event","same_team_same_day","same_league_same_day"]</t>
        </is>
      </c>
      <c r="BJ82" s="25" t="n"/>
      <c r="BK82" s="26" t="n">
        <v>-127</v>
      </c>
      <c r="BL82" s="27" t="n">
        <v>1.787402</v>
      </c>
      <c r="BM82" s="28" t="n">
        <v>0.5594710000000001</v>
      </c>
      <c r="BN82" s="28" t="n"/>
      <c r="BO82" s="28" t="n"/>
      <c r="BP82" s="25" t="n"/>
      <c r="BQ82" s="27" t="n">
        <v>1.787402</v>
      </c>
      <c r="BR82" s="28" t="n">
        <v>0.5600000000000001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0.559471</t>
        </is>
      </c>
      <c r="DK82" s="24" t="n"/>
      <c r="DL82" s="24" t="n"/>
      <c r="DM82" s="24" t="n"/>
      <c r="DN82" s="24" t="n"/>
      <c r="DO82" s="24" t="n"/>
      <c r="DP82" s="24" t="n"/>
      <c r="DQ82" s="24" t="n"/>
    </row>
    <row r="83" ht="36" customHeight="1">
      <c r="A83" s="24" t="inlineStr">
        <is>
          <t>1c18876509be4d66</t>
        </is>
      </c>
      <c r="B83" s="24" t="inlineStr">
        <is>
          <t>2026-08-21T21:57:08.271686Z</t>
        </is>
      </c>
      <c r="C83" s="24" t="inlineStr">
        <is>
          <t>2026-08-22T00:00:00Z</t>
        </is>
      </c>
      <c r="D83" s="24" t="inlineStr">
        <is>
          <t>86080</t>
        </is>
      </c>
      <c r="E83" s="24" t="inlineStr">
        <is>
          <t>LOL</t>
        </is>
      </c>
      <c r="F83" s="24" t="inlineStr">
        <is>
          <t>Winthrop University</t>
        </is>
      </c>
      <c r="G83" s="24" t="inlineStr">
        <is>
          <t>University of Mississippi</t>
        </is>
      </c>
      <c r="H83" s="24" t="inlineStr">
        <is>
          <t>moneyline</t>
        </is>
      </c>
      <c r="I83" s="24" t="inlineStr">
        <is>
          <t>away</t>
        </is>
      </c>
      <c r="J83" s="25" t="n"/>
      <c r="K83" s="24" t="inlineStr">
        <is>
          <t>polymarket_us</t>
        </is>
      </c>
      <c r="L83" s="26" t="n">
        <v>-113</v>
      </c>
      <c r="M83" s="27" t="n">
        <v>1.884956</v>
      </c>
      <c r="N83" s="28" t="n">
        <v>0.530516</v>
      </c>
      <c r="O83" s="28" t="n">
        <v>0.539467</v>
      </c>
      <c r="P83" s="28" t="n"/>
      <c r="Q83" s="28" t="n">
        <v>0.008951000000000001</v>
      </c>
      <c r="R83" s="26" t="n">
        <v>24</v>
      </c>
      <c r="S83" s="29" t="n">
        <v>1</v>
      </c>
      <c r="T83" s="24" t="inlineStr">
        <is>
          <t>lol-tiered-elo-v6</t>
        </is>
      </c>
      <c r="U83" s="24" t="inlineStr">
        <is>
          <t>settled</t>
        </is>
      </c>
      <c r="V83" s="24" t="inlineStr">
        <is>
          <t>win</t>
        </is>
      </c>
      <c r="W83" s="26" t="n">
        <v>1</v>
      </c>
      <c r="X83" s="26" t="n">
        <v>0</v>
      </c>
      <c r="Y83" s="25" t="n"/>
      <c r="Z83" s="26" t="n">
        <v>-113</v>
      </c>
      <c r="AA83" s="28" t="n">
        <v>0.53</v>
      </c>
      <c r="AB83" s="28" t="n">
        <v>-0.000516</v>
      </c>
      <c r="AC83" s="30" t="n">
        <v>0.885</v>
      </c>
      <c r="AD83" s="24" t="inlineStr">
        <is>
          <t>2026-08-22T01:00:46.910569Z</t>
        </is>
      </c>
      <c r="AE83" s="31" t="inlineStr">
        <is>
          <t>Neutral Elo baseline; executable ask 0.5300 (market_slug=aec-lol-miss-wu-2026-08-22).</t>
        </is>
      </c>
      <c r="AF83" s="31" t="inlineStr">
        <is>
          <t>Config-promoted esports baseline; gates enforced at log time.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model_qualified</t>
        </is>
      </c>
      <c r="AL83" s="26" t="n">
        <v>4</v>
      </c>
      <c r="AM83" s="24" t="inlineStr">
        <is>
          <t>QUALIFIED_SHADOW_CALL</t>
        </is>
      </c>
      <c r="AN83" s="24" t="inlineStr">
        <is>
          <t>CALL</t>
        </is>
      </c>
      <c r="AO83" s="24" t="inlineStr">
        <is>
          <t>QUALIFIED</t>
        </is>
      </c>
      <c r="AP83" s="24" t="inlineStr">
        <is>
          <t>Winthrop University</t>
        </is>
      </c>
      <c r="AQ83" s="24" t="inlineStr">
        <is>
          <t>Winthrop University</t>
        </is>
      </c>
      <c r="AR83" s="24" t="inlineStr">
        <is>
          <t>Winthrop University</t>
        </is>
      </c>
      <c r="AS83" s="24" t="inlineStr">
        <is>
          <t>University of Mississippi</t>
        </is>
      </c>
      <c r="AT83" s="24" t="inlineStr">
        <is>
          <t>University of Mississippi</t>
        </is>
      </c>
      <c r="AU83" s="24" t="inlineStr">
        <is>
          <t>University of Mississippi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69c93de0fb991ea5593ed7b4bf610bff1ac1fd10d8ba0159a5c6f5036db38099</t>
        </is>
      </c>
      <c r="BB83" s="24" t="inlineStr">
        <is>
          <t>neutral_elo</t>
        </is>
      </c>
      <c r="BC83" s="24" t="inlineStr">
        <is>
          <t>lol-tiered-elo-v6</t>
        </is>
      </c>
      <c r="BD83" s="24" t="inlineStr">
        <is>
          <t>69c93de0fb991ea5593ed7b4bf610bff1ac1fd10d8ba0159a5c6f5036db38099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lol-tiered-elo-v6</t>
        </is>
      </c>
      <c r="BH83" s="24" t="inlineStr">
        <is>
          <t>2026-08-21T21:57:07.237317Z</t>
        </is>
      </c>
      <c r="BI83" s="24" t="inlineStr">
        <is>
          <t>["same_event","same_team_same_day","same_league_same_day"]</t>
        </is>
      </c>
      <c r="BJ83" s="25" t="n"/>
      <c r="BK83" s="26" t="n">
        <v>-113</v>
      </c>
      <c r="BL83" s="27" t="n">
        <v>1.884956</v>
      </c>
      <c r="BM83" s="28" t="n">
        <v>0.530516</v>
      </c>
      <c r="BN83" s="28" t="n"/>
      <c r="BO83" s="28" t="n"/>
      <c r="BP83" s="25" t="n"/>
      <c r="BQ83" s="27" t="n">
        <v>1.884956</v>
      </c>
      <c r="BR83" s="28" t="n">
        <v>0.53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0.530516</t>
        </is>
      </c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d3cf3c5103cb4eb4</t>
        </is>
      </c>
      <c r="B84" s="24" t="inlineStr">
        <is>
          <t>2026-08-22T01:02:40.007849Z</t>
        </is>
      </c>
      <c r="C84" s="24" t="inlineStr">
        <is>
          <t>2026-08-22T07:00:00Z</t>
        </is>
      </c>
      <c r="D84" s="24" t="inlineStr">
        <is>
          <t>86172</t>
        </is>
      </c>
      <c r="E84" s="24" t="inlineStr">
        <is>
          <t>LOL</t>
        </is>
      </c>
      <c r="F84" s="24" t="inlineStr">
        <is>
          <t>LGD Gaming</t>
        </is>
      </c>
      <c r="G84" s="24" t="inlineStr">
        <is>
          <t>Team WE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-144</v>
      </c>
      <c r="M84" s="27" t="n">
        <v>1.694444</v>
      </c>
      <c r="N84" s="28" t="n">
        <v>0.590164</v>
      </c>
      <c r="O84" s="28" t="n">
        <v>0.607979</v>
      </c>
      <c r="P84" s="28" t="n"/>
      <c r="Q84" s="28" t="n">
        <v>0.017815</v>
      </c>
      <c r="R84" s="26" t="n">
        <v>29</v>
      </c>
      <c r="S84" s="29" t="n">
        <v>1.5</v>
      </c>
      <c r="T84" s="24" t="inlineStr">
        <is>
          <t>lol-tiered-elo-v6</t>
        </is>
      </c>
      <c r="U84" s="24" t="inlineStr">
        <is>
          <t>settled</t>
        </is>
      </c>
      <c r="V84" s="24" t="inlineStr">
        <is>
          <t>loss</t>
        </is>
      </c>
      <c r="W84" s="26" t="n">
        <v>1</v>
      </c>
      <c r="X84" s="26" t="n">
        <v>0</v>
      </c>
      <c r="Y84" s="25" t="n"/>
      <c r="Z84" s="26" t="n">
        <v>-144</v>
      </c>
      <c r="AA84" s="28" t="n">
        <v>0.59</v>
      </c>
      <c r="AB84" s="28" t="n">
        <v>-0.000164</v>
      </c>
      <c r="AC84" s="30" t="n">
        <v>-1.5</v>
      </c>
      <c r="AD84" s="24" t="inlineStr">
        <is>
          <t>2026-08-24T04:50:14.586566Z</t>
        </is>
      </c>
      <c r="AE84" s="31" t="inlineStr">
        <is>
          <t>Neutral Elo baseline; executable ask 0.5900 (market_slug=aec-lol-we-lgd-2026-08-22).</t>
        </is>
      </c>
      <c r="AF84" s="31" t="inlineStr">
        <is>
          <t>Config-promoted esports baseline; gates enforced at log time.</t>
        </is>
      </c>
      <c r="AG84" s="24" t="inlineStr">
        <is>
          <t>review_required</t>
        </is>
      </c>
      <c r="AH84" s="24" t="n"/>
      <c r="AI84" s="31" t="n"/>
      <c r="AJ84" s="31" t="n"/>
      <c r="AK84" s="24" t="inlineStr">
        <is>
          <t>model_qualified</t>
        </is>
      </c>
      <c r="AL84" s="26" t="n">
        <v>4</v>
      </c>
      <c r="AM84" s="24" t="inlineStr">
        <is>
          <t>QUALIFIED_SHADOW_CALL</t>
        </is>
      </c>
      <c r="AN84" s="24" t="inlineStr">
        <is>
          <t>CALL</t>
        </is>
      </c>
      <c r="AO84" s="24" t="inlineStr">
        <is>
          <t>QUALIFIED</t>
        </is>
      </c>
      <c r="AP84" s="24" t="inlineStr">
        <is>
          <t>LGD Gaming</t>
        </is>
      </c>
      <c r="AQ84" s="24" t="inlineStr">
        <is>
          <t>LGD Gaming</t>
        </is>
      </c>
      <c r="AR84" s="24" t="inlineStr">
        <is>
          <t>LGD Gaming</t>
        </is>
      </c>
      <c r="AS84" s="24" t="inlineStr">
        <is>
          <t>Team WE</t>
        </is>
      </c>
      <c r="AT84" s="24" t="inlineStr">
        <is>
          <t>Team WE</t>
        </is>
      </c>
      <c r="AU84" s="24" t="inlineStr">
        <is>
          <t>Team WE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f18178a0dda537a0b71d7390d584aa5c705150da12b9b1855d83d59813775d60</t>
        </is>
      </c>
      <c r="BB84" s="24" t="inlineStr">
        <is>
          <t>neutral_elo</t>
        </is>
      </c>
      <c r="BC84" s="24" t="inlineStr">
        <is>
          <t>lol-tiered-elo-v6</t>
        </is>
      </c>
      <c r="BD84" s="24" t="inlineStr">
        <is>
          <t>f18178a0dda537a0b71d7390d584aa5c705150da12b9b1855d83d59813775d60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lol-tiered-elo-v6</t>
        </is>
      </c>
      <c r="BH84" s="24" t="inlineStr">
        <is>
          <t>2026-08-22T01:02:38.048958Z</t>
        </is>
      </c>
      <c r="BI84" s="24" t="inlineStr">
        <is>
          <t>["same_event","same_team_same_day","same_league_same_day"]</t>
        </is>
      </c>
      <c r="BJ84" s="25" t="n"/>
      <c r="BK84" s="26" t="n">
        <v>-144</v>
      </c>
      <c r="BL84" s="27" t="n">
        <v>1.694444</v>
      </c>
      <c r="BM84" s="28" t="n">
        <v>0.590164</v>
      </c>
      <c r="BN84" s="28" t="n"/>
      <c r="BO84" s="28" t="n"/>
      <c r="BP84" s="25" t="n"/>
      <c r="BQ84" s="27" t="n">
        <v>1.694444</v>
      </c>
      <c r="BR84" s="28" t="n">
        <v>0.59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True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0.590164</t>
        </is>
      </c>
      <c r="DK84" s="24" t="n"/>
      <c r="DL84" s="24" t="n"/>
      <c r="DM84" s="24" t="n"/>
      <c r="DN84" s="24" t="n"/>
      <c r="DO84" s="24" t="n"/>
      <c r="DP84" s="24" t="n"/>
      <c r="DQ84" s="24" t="n"/>
    </row>
    <row r="85" ht="36" customHeight="1">
      <c r="A85" s="24" t="inlineStr">
        <is>
          <t>11f9967b673e45ed</t>
        </is>
      </c>
      <c r="B85" s="24" t="inlineStr">
        <is>
          <t>2026-08-22T03:46:01.427986Z</t>
        </is>
      </c>
      <c r="C85" s="24" t="inlineStr">
        <is>
          <t>2026-08-22T23:00:00Z</t>
        </is>
      </c>
      <c r="D85" s="24" t="inlineStr">
        <is>
          <t>87056</t>
        </is>
      </c>
      <c r="E85" s="24" t="inlineStr">
        <is>
          <t>LOL</t>
        </is>
      </c>
      <c r="F85" s="24" t="inlineStr">
        <is>
          <t>Dignitas</t>
        </is>
      </c>
      <c r="G85" s="24" t="inlineStr">
        <is>
          <t>Disguised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113</v>
      </c>
      <c r="M85" s="27" t="n">
        <v>2.13</v>
      </c>
      <c r="N85" s="28" t="n">
        <v>0.469484</v>
      </c>
      <c r="O85" s="28" t="n">
        <v>0.654549</v>
      </c>
      <c r="P85" s="28" t="n"/>
      <c r="Q85" s="28" t="n">
        <v>0.185065</v>
      </c>
      <c r="R85" s="26" t="n">
        <v>100</v>
      </c>
      <c r="S85" s="29" t="n">
        <v>1.75</v>
      </c>
      <c r="T85" s="24" t="inlineStr">
        <is>
          <t>lol-tiered-elo-v6</t>
        </is>
      </c>
      <c r="U85" s="24" t="inlineStr">
        <is>
          <t>settled</t>
        </is>
      </c>
      <c r="V85" s="24" t="inlineStr">
        <is>
          <t>win</t>
        </is>
      </c>
      <c r="W85" s="26" t="n">
        <v>0</v>
      </c>
      <c r="X85" s="26" t="n">
        <v>1</v>
      </c>
      <c r="Y85" s="25" t="n"/>
      <c r="Z85" s="26" t="n">
        <v>-376</v>
      </c>
      <c r="AA85" s="28" t="n">
        <v>0.79</v>
      </c>
      <c r="AB85" s="28" t="n">
        <v>0.320516</v>
      </c>
      <c r="AC85" s="30" t="n">
        <v>1.9775</v>
      </c>
      <c r="AD85" s="24" t="inlineStr">
        <is>
          <t>2026-08-24T04:50:17.769460Z</t>
        </is>
      </c>
      <c r="AE85" s="31" t="inlineStr">
        <is>
          <t>Neutral Elo baseline; executable ask 0.4700 (market_slug=aec-lol-dsg-dig-2026-08-22).</t>
        </is>
      </c>
      <c r="AF85" s="31" t="inlineStr">
        <is>
          <t>Config-promoted esports baseline; gates enforced at log time.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model_qualified</t>
        </is>
      </c>
      <c r="AL85" s="26" t="n">
        <v>4</v>
      </c>
      <c r="AM85" s="24" t="inlineStr">
        <is>
          <t>QUALIFIED_SHADOW_CALL</t>
        </is>
      </c>
      <c r="AN85" s="24" t="inlineStr">
        <is>
          <t>CALL</t>
        </is>
      </c>
      <c r="AO85" s="24" t="inlineStr">
        <is>
          <t>QUALIFIED</t>
        </is>
      </c>
      <c r="AP85" s="24" t="inlineStr">
        <is>
          <t>Dignitas</t>
        </is>
      </c>
      <c r="AQ85" s="24" t="inlineStr">
        <is>
          <t>Dignitas</t>
        </is>
      </c>
      <c r="AR85" s="24" t="inlineStr">
        <is>
          <t>Dignitas</t>
        </is>
      </c>
      <c r="AS85" s="24" t="inlineStr">
        <is>
          <t>Disguised</t>
        </is>
      </c>
      <c r="AT85" s="24" t="inlineStr">
        <is>
          <t>Disguised</t>
        </is>
      </c>
      <c r="AU85" s="24" t="inlineStr">
        <is>
          <t>Disguised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b345df28b42b5adc02bbed253c0227a92683ae33c3460414910c1f48d398cbdc</t>
        </is>
      </c>
      <c r="BB85" s="24" t="inlineStr">
        <is>
          <t>neutral_elo</t>
        </is>
      </c>
      <c r="BC85" s="24" t="inlineStr">
        <is>
          <t>lol-tiered-elo-v6</t>
        </is>
      </c>
      <c r="BD85" s="24" t="inlineStr">
        <is>
          <t>b345df28b42b5adc02bbed253c0227a92683ae33c3460414910c1f48d398cbdc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lol-tiered-elo-v6</t>
        </is>
      </c>
      <c r="BH85" s="24" t="inlineStr">
        <is>
          <t>2026-08-22T03:46:01.424188Z</t>
        </is>
      </c>
      <c r="BI85" s="24" t="inlineStr">
        <is>
          <t>["same_event","same_team_same_day","same_league_same_day"]</t>
        </is>
      </c>
      <c r="BJ85" s="25" t="n"/>
      <c r="BK85" s="26" t="n">
        <v>113</v>
      </c>
      <c r="BL85" s="27" t="n">
        <v>2.13</v>
      </c>
      <c r="BM85" s="28" t="n">
        <v>0.469484</v>
      </c>
      <c r="BN85" s="28" t="n"/>
      <c r="BO85" s="28" t="n"/>
      <c r="BP85" s="25" t="n"/>
      <c r="BQ85" s="27" t="n">
        <v>1.265957</v>
      </c>
      <c r="BR85" s="28" t="n">
        <v>0.79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True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0.469484</t>
        </is>
      </c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507d95f817494af6</t>
        </is>
      </c>
      <c r="B86" s="24" t="inlineStr">
        <is>
          <t>2026-08-22T07:30:22.280097Z</t>
        </is>
      </c>
      <c r="C86" s="24" t="inlineStr">
        <is>
          <t>2026-08-22T09:00:00Z</t>
        </is>
      </c>
      <c r="D86" s="24" t="inlineStr">
        <is>
          <t>86183</t>
        </is>
      </c>
      <c r="E86" s="24" t="inlineStr">
        <is>
          <t>LOL</t>
        </is>
      </c>
      <c r="F86" s="24" t="inlineStr">
        <is>
          <t>Invictus Gaming</t>
        </is>
      </c>
      <c r="G86" s="24" t="inlineStr">
        <is>
          <t>Ninjas in Pyjamas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108</v>
      </c>
      <c r="M86" s="27" t="n">
        <v>2.08</v>
      </c>
      <c r="N86" s="28" t="n">
        <v>0.480769</v>
      </c>
      <c r="O86" s="28" t="n">
        <v>0.58501</v>
      </c>
      <c r="P86" s="28" t="n"/>
      <c r="Q86" s="28" t="n">
        <v>0.104241</v>
      </c>
      <c r="R86" s="26" t="n">
        <v>72</v>
      </c>
      <c r="S86" s="29" t="n">
        <v>1.25</v>
      </c>
      <c r="T86" s="24" t="inlineStr">
        <is>
          <t>lol-tiered-elo-v6</t>
        </is>
      </c>
      <c r="U86" s="24" t="inlineStr">
        <is>
          <t>settled</t>
        </is>
      </c>
      <c r="V86" s="24" t="inlineStr">
        <is>
          <t>win</t>
        </is>
      </c>
      <c r="W86" s="26" t="n">
        <v>0</v>
      </c>
      <c r="X86" s="26" t="n">
        <v>1</v>
      </c>
      <c r="Y86" s="25" t="n"/>
      <c r="Z86" s="26" t="n">
        <v>108</v>
      </c>
      <c r="AA86" s="28" t="n">
        <v>0.48</v>
      </c>
      <c r="AB86" s="28" t="n">
        <v>-0.000769</v>
      </c>
      <c r="AC86" s="30" t="n">
        <v>1.35</v>
      </c>
      <c r="AD86" s="24" t="inlineStr">
        <is>
          <t>2026-08-22T12:23:59.618525Z</t>
        </is>
      </c>
      <c r="AE86" s="31" t="inlineStr">
        <is>
          <t>Neutral Elo baseline; executable ask 0.4800 (market_slug=aec-lol-nip-ig-2026-08-22).</t>
        </is>
      </c>
      <c r="AF86" s="31" t="inlineStr">
        <is>
          <t>Config-promoted esports baseline; gates enforced at log time.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model_qualified</t>
        </is>
      </c>
      <c r="AL86" s="26" t="n">
        <v>4</v>
      </c>
      <c r="AM86" s="24" t="inlineStr">
        <is>
          <t>QUALIFIED_SHADOW_CALL</t>
        </is>
      </c>
      <c r="AN86" s="24" t="inlineStr">
        <is>
          <t>CALL</t>
        </is>
      </c>
      <c r="AO86" s="24" t="inlineStr">
        <is>
          <t>QUALIFIED</t>
        </is>
      </c>
      <c r="AP86" s="24" t="inlineStr">
        <is>
          <t>Invictus Gaming</t>
        </is>
      </c>
      <c r="AQ86" s="24" t="inlineStr">
        <is>
          <t>Invictus Gaming</t>
        </is>
      </c>
      <c r="AR86" s="24" t="inlineStr">
        <is>
          <t>Invictus Gaming</t>
        </is>
      </c>
      <c r="AS86" s="24" t="inlineStr">
        <is>
          <t>Ninjas in Pyjamas</t>
        </is>
      </c>
      <c r="AT86" s="24" t="inlineStr">
        <is>
          <t>Ninjas in Pyjamas</t>
        </is>
      </c>
      <c r="AU86" s="24" t="inlineStr">
        <is>
          <t>Ninjas in Pyjamas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8fe3926a881830a7b33a2d5c5136a2d92745c6c5025d01f7d305e330d7d208f5</t>
        </is>
      </c>
      <c r="BB86" s="24" t="inlineStr">
        <is>
          <t>neutral_elo</t>
        </is>
      </c>
      <c r="BC86" s="24" t="inlineStr">
        <is>
          <t>lol-tiered-elo-v6</t>
        </is>
      </c>
      <c r="BD86" s="24" t="inlineStr">
        <is>
          <t>8fe3926a881830a7b33a2d5c5136a2d92745c6c5025d01f7d305e330d7d208f5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lol-tiered-elo-v6</t>
        </is>
      </c>
      <c r="BH86" s="24" t="inlineStr">
        <is>
          <t>2026-08-22T07:30:19.982319Z</t>
        </is>
      </c>
      <c r="BI86" s="24" t="inlineStr">
        <is>
          <t>["same_event","same_team_same_day","same_league_same_day"]</t>
        </is>
      </c>
      <c r="BJ86" s="25" t="n"/>
      <c r="BK86" s="26" t="n">
        <v>108</v>
      </c>
      <c r="BL86" s="27" t="n">
        <v>2.08</v>
      </c>
      <c r="BM86" s="28" t="n">
        <v>0.480769</v>
      </c>
      <c r="BN86" s="28" t="n"/>
      <c r="BO86" s="28" t="n"/>
      <c r="BP86" s="25" t="n"/>
      <c r="BQ86" s="27" t="n">
        <v>2.08</v>
      </c>
      <c r="BR86" s="28" t="n">
        <v>0.48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True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0.480769</t>
        </is>
      </c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544731cb37c54482</t>
        </is>
      </c>
      <c r="B87" s="24" t="inlineStr">
        <is>
          <t>2026-08-22T09:16:47.033902Z</t>
        </is>
      </c>
      <c r="C87" s="24" t="inlineStr">
        <is>
          <t>2026-08-22T10:00:00Z</t>
        </is>
      </c>
      <c r="D87" s="24" t="inlineStr">
        <is>
          <t>86200</t>
        </is>
      </c>
      <c r="E87" s="24" t="inlineStr">
        <is>
          <t>LOL</t>
        </is>
      </c>
      <c r="F87" s="24" t="inlineStr">
        <is>
          <t>Kiwoom DRX</t>
        </is>
      </c>
      <c r="G87" s="24" t="inlineStr">
        <is>
          <t>DN SOOPers</t>
        </is>
      </c>
      <c r="H87" s="24" t="inlineStr">
        <is>
          <t>moneyline</t>
        </is>
      </c>
      <c r="I87" s="24" t="inlineStr">
        <is>
          <t>home</t>
        </is>
      </c>
      <c r="J87" s="25" t="n"/>
      <c r="K87" s="24" t="inlineStr">
        <is>
          <t>polymarket_us</t>
        </is>
      </c>
      <c r="L87" s="26" t="n">
        <v>-122</v>
      </c>
      <c r="M87" s="27" t="n">
        <v>1.819672</v>
      </c>
      <c r="N87" s="28" t="n">
        <v>0.54955</v>
      </c>
      <c r="O87" s="28" t="n">
        <v>0.724866</v>
      </c>
      <c r="P87" s="28" t="n"/>
      <c r="Q87" s="28" t="n">
        <v>0.175316</v>
      </c>
      <c r="R87" s="26" t="n">
        <v>100</v>
      </c>
      <c r="S87" s="29" t="n">
        <v>2</v>
      </c>
      <c r="T87" s="24" t="inlineStr">
        <is>
          <t>lol-tiered-elo-v6</t>
        </is>
      </c>
      <c r="U87" s="24" t="inlineStr">
        <is>
          <t>settled</t>
        </is>
      </c>
      <c r="V87" s="24" t="inlineStr">
        <is>
          <t>win</t>
        </is>
      </c>
      <c r="W87" s="26" t="n">
        <v>0</v>
      </c>
      <c r="X87" s="26" t="n">
        <v>1</v>
      </c>
      <c r="Y87" s="25" t="n"/>
      <c r="Z87" s="26" t="n">
        <v>-122</v>
      </c>
      <c r="AA87" s="28" t="n">
        <v>0.55</v>
      </c>
      <c r="AB87" s="28" t="n">
        <v>0.00045</v>
      </c>
      <c r="AC87" s="30" t="n">
        <v>1.6393</v>
      </c>
      <c r="AD87" s="24" t="inlineStr">
        <is>
          <t>2026-08-22T15:40:39.905182Z</t>
        </is>
      </c>
      <c r="AE87" s="31" t="inlineStr">
        <is>
          <t>Neutral Elo baseline; executable ask 0.5500 (market_slug=aec-lol-dns-krx-2026-08-22).</t>
        </is>
      </c>
      <c r="AF87" s="31" t="inlineStr">
        <is>
          <t>Config-promoted esports baseline; gates enforced at log time.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4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Kiwoom DRX</t>
        </is>
      </c>
      <c r="AQ87" s="24" t="inlineStr">
        <is>
          <t>Kiwoom DRX</t>
        </is>
      </c>
      <c r="AR87" s="24" t="inlineStr">
        <is>
          <t>Kiwoom DRX</t>
        </is>
      </c>
      <c r="AS87" s="24" t="inlineStr">
        <is>
          <t>DN SOOPers</t>
        </is>
      </c>
      <c r="AT87" s="24" t="inlineStr">
        <is>
          <t>DN SOOPers</t>
        </is>
      </c>
      <c r="AU87" s="24" t="inlineStr">
        <is>
          <t>DN SOOPers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864cb5375422ae90df195a19892f17f3ed533f4391cb76aee61355a36c386489</t>
        </is>
      </c>
      <c r="BB87" s="24" t="inlineStr">
        <is>
          <t>neutral_elo</t>
        </is>
      </c>
      <c r="BC87" s="24" t="inlineStr">
        <is>
          <t>lol-tiered-elo-v6</t>
        </is>
      </c>
      <c r="BD87" s="24" t="inlineStr">
        <is>
          <t>864cb5375422ae90df195a19892f17f3ed533f4391cb76aee61355a36c386489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lol-tiered-elo-v6</t>
        </is>
      </c>
      <c r="BH87" s="24" t="inlineStr">
        <is>
          <t>2026-08-22T09:16:44.546064Z</t>
        </is>
      </c>
      <c r="BI87" s="24" t="inlineStr">
        <is>
          <t>["same_event","same_team_same_day","same_league_same_day"]</t>
        </is>
      </c>
      <c r="BJ87" s="25" t="n"/>
      <c r="BK87" s="26" t="n">
        <v>-122</v>
      </c>
      <c r="BL87" s="27" t="n">
        <v>1.819672</v>
      </c>
      <c r="BM87" s="28" t="n">
        <v>0.54955</v>
      </c>
      <c r="BN87" s="28" t="n"/>
      <c r="BO87" s="28" t="n"/>
      <c r="BP87" s="25" t="n"/>
      <c r="BQ87" s="27" t="n">
        <v>1.819672</v>
      </c>
      <c r="BR87" s="28" t="n">
        <v>0.55</v>
      </c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0.54955</t>
        </is>
      </c>
      <c r="DK87" s="24" t="n"/>
      <c r="DL87" s="24" t="n"/>
      <c r="DM87" s="24" t="n"/>
      <c r="DN87" s="24" t="n"/>
      <c r="DO87" s="24" t="n"/>
      <c r="DP87" s="24" t="n"/>
      <c r="DQ87" s="24" t="n"/>
    </row>
    <row r="88" ht="36" customHeight="1">
      <c r="A88" s="24" t="inlineStr">
        <is>
          <t>b24b4834dd3c41a8</t>
        </is>
      </c>
      <c r="B88" s="24" t="inlineStr">
        <is>
          <t>2026-08-23T05:28:23.738189Z</t>
        </is>
      </c>
      <c r="C88" s="24" t="inlineStr">
        <is>
          <t>2026-08-23T08:00:00Z</t>
        </is>
      </c>
      <c r="D88" s="24" t="inlineStr">
        <is>
          <t>87226</t>
        </is>
      </c>
      <c r="E88" s="24" t="inlineStr">
        <is>
          <t>LOL</t>
        </is>
      </c>
      <c r="F88" s="24" t="inlineStr">
        <is>
          <t>T1</t>
        </is>
      </c>
      <c r="G88" s="24" t="inlineStr">
        <is>
          <t>Hanwha Life Esports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-122</v>
      </c>
      <c r="M88" s="27" t="n">
        <v>1.819672</v>
      </c>
      <c r="N88" s="28" t="n">
        <v>0.54955</v>
      </c>
      <c r="O88" s="28" t="n">
        <v>0.590438</v>
      </c>
      <c r="P88" s="28" t="n"/>
      <c r="Q88" s="28" t="n">
        <v>0.040888</v>
      </c>
      <c r="R88" s="26" t="n">
        <v>40</v>
      </c>
      <c r="S88" s="29" t="n">
        <v>1</v>
      </c>
      <c r="T88" s="24" t="inlineStr">
        <is>
          <t>lol-tiered-elo-v6</t>
        </is>
      </c>
      <c r="U88" s="24" t="inlineStr">
        <is>
          <t>settled</t>
        </is>
      </c>
      <c r="V88" s="24" t="inlineStr">
        <is>
          <t>win</t>
        </is>
      </c>
      <c r="W88" s="26" t="n">
        <v>0</v>
      </c>
      <c r="X88" s="26" t="n">
        <v>1</v>
      </c>
      <c r="Y88" s="25" t="n"/>
      <c r="Z88" s="26" t="n"/>
      <c r="AA88" s="28" t="n"/>
      <c r="AB88" s="28" t="n"/>
      <c r="AC88" s="30" t="n">
        <v>0.8197</v>
      </c>
      <c r="AD88" s="24" t="inlineStr">
        <is>
          <t>2026-08-23T15:50:32.006291Z</t>
        </is>
      </c>
      <c r="AE88" s="31" t="inlineStr">
        <is>
          <t>Neutral Elo baseline; executable ask 0.5500 (market_slug=aec-lol-hle-t1-2026-08-23).</t>
        </is>
      </c>
      <c r="AF88" s="31" t="inlineStr">
        <is>
          <t>Config-promoted esports baseline; gates enforced at log time.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4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T1</t>
        </is>
      </c>
      <c r="AQ88" s="24" t="inlineStr">
        <is>
          <t>T1</t>
        </is>
      </c>
      <c r="AR88" s="24" t="inlineStr">
        <is>
          <t>T1</t>
        </is>
      </c>
      <c r="AS88" s="24" t="inlineStr">
        <is>
          <t>Hanwha Life Esports</t>
        </is>
      </c>
      <c r="AT88" s="24" t="inlineStr">
        <is>
          <t>Hanwha Life Esports</t>
        </is>
      </c>
      <c r="AU88" s="24" t="inlineStr">
        <is>
          <t>Hanwha Life Esports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aadc3f5b848f91d194bbcdb0f7e9d13888722b0c5ac935400a9ec39a46306a20</t>
        </is>
      </c>
      <c r="BB88" s="24" t="inlineStr">
        <is>
          <t>neutral_elo</t>
        </is>
      </c>
      <c r="BC88" s="24" t="inlineStr">
        <is>
          <t>lol-tiered-elo-v6</t>
        </is>
      </c>
      <c r="BD88" s="24" t="inlineStr">
        <is>
          <t>aadc3f5b848f91d194bbcdb0f7e9d13888722b0c5ac935400a9ec39a46306a20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lol-tiered-elo-v6</t>
        </is>
      </c>
      <c r="BH88" s="24" t="inlineStr">
        <is>
          <t>2026-08-23T05:28:20.478991Z</t>
        </is>
      </c>
      <c r="BI88" s="24" t="inlineStr">
        <is>
          <t>["same_event","same_team_same_day","same_league_same_day"]</t>
        </is>
      </c>
      <c r="BJ88" s="25" t="n"/>
      <c r="BK88" s="26" t="n">
        <v>-122</v>
      </c>
      <c r="BL88" s="27" t="n">
        <v>1.819672</v>
      </c>
      <c r="BM88" s="28" t="n">
        <v>0.54955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0.54955</t>
        </is>
      </c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c0ec3adc2d404007</t>
        </is>
      </c>
      <c r="B89" s="24" t="inlineStr">
        <is>
          <t>2026-08-23T15:53:14.958753Z</t>
        </is>
      </c>
      <c r="C89" s="24" t="inlineStr">
        <is>
          <t>2026-08-23T16:00:00Z</t>
        </is>
      </c>
      <c r="D89" s="24" t="inlineStr">
        <is>
          <t>87342</t>
        </is>
      </c>
      <c r="E89" s="24" t="inlineStr">
        <is>
          <t>LOL</t>
        </is>
      </c>
      <c r="F89" s="24" t="inlineStr">
        <is>
          <t>Fluxo W7M</t>
        </is>
      </c>
      <c r="G89" s="24" t="inlineStr">
        <is>
          <t>RED Canids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-122</v>
      </c>
      <c r="M89" s="27" t="n">
        <v>1.819672</v>
      </c>
      <c r="N89" s="28" t="n">
        <v>0.54955</v>
      </c>
      <c r="O89" s="28" t="n">
        <v>0.645579</v>
      </c>
      <c r="P89" s="28" t="n"/>
      <c r="Q89" s="28" t="n">
        <v>0.096029</v>
      </c>
      <c r="R89" s="26" t="n">
        <v>68</v>
      </c>
      <c r="S89" s="29" t="n">
        <v>1.25</v>
      </c>
      <c r="T89" s="24" t="inlineStr">
        <is>
          <t>lol-tiered-elo-v6</t>
        </is>
      </c>
      <c r="U89" s="24" t="inlineStr">
        <is>
          <t>settled</t>
        </is>
      </c>
      <c r="V89" s="24" t="inlineStr">
        <is>
          <t>win</t>
        </is>
      </c>
      <c r="W89" s="26" t="n">
        <v>0</v>
      </c>
      <c r="X89" s="26" t="n">
        <v>1</v>
      </c>
      <c r="Y89" s="25" t="n"/>
      <c r="Z89" s="26" t="n"/>
      <c r="AA89" s="28" t="n"/>
      <c r="AB89" s="28" t="n"/>
      <c r="AC89" s="30" t="n">
        <v>1.0246</v>
      </c>
      <c r="AD89" s="24" t="inlineStr">
        <is>
          <t>2026-08-23T17:38:44.666609Z</t>
        </is>
      </c>
      <c r="AE89" s="31" t="inlineStr">
        <is>
          <t>Neutral Elo baseline; executable ask 0.5500 (market_slug=aec-lol-red-fxw7-2026-08-23).</t>
        </is>
      </c>
      <c r="AF89" s="31" t="inlineStr">
        <is>
          <t>Config-promoted esports baseline; gates enforced at log time.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4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Fluxo W7M</t>
        </is>
      </c>
      <c r="AQ89" s="24" t="inlineStr">
        <is>
          <t>Fluxo W7M</t>
        </is>
      </c>
      <c r="AR89" s="24" t="inlineStr">
        <is>
          <t>Fluxo W7M</t>
        </is>
      </c>
      <c r="AS89" s="24" t="inlineStr">
        <is>
          <t>RED Canids</t>
        </is>
      </c>
      <c r="AT89" s="24" t="inlineStr">
        <is>
          <t>RED Canids</t>
        </is>
      </c>
      <c r="AU89" s="24" t="inlineStr">
        <is>
          <t>RED Canids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ea0b41adb5f222c1d523965435d13833682025edd013f8dd5a70a57927a25e5b</t>
        </is>
      </c>
      <c r="BB89" s="24" t="inlineStr">
        <is>
          <t>neutral_elo</t>
        </is>
      </c>
      <c r="BC89" s="24" t="inlineStr">
        <is>
          <t>lol-tiered-elo-v6</t>
        </is>
      </c>
      <c r="BD89" s="24" t="inlineStr">
        <is>
          <t>ea0b41adb5f222c1d523965435d13833682025edd013f8dd5a70a57927a25e5b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lol-tiered-elo-v6</t>
        </is>
      </c>
      <c r="BH89" s="24" t="inlineStr">
        <is>
          <t>2026-08-23T15:53:13.717795Z</t>
        </is>
      </c>
      <c r="BI89" s="24" t="inlineStr">
        <is>
          <t>["same_event","same_team_same_day","same_league_same_day"]</t>
        </is>
      </c>
      <c r="BJ89" s="25" t="n"/>
      <c r="BK89" s="26" t="n">
        <v>-122</v>
      </c>
      <c r="BL89" s="27" t="n">
        <v>1.819672</v>
      </c>
      <c r="BM89" s="28" t="n">
        <v>0.54955</v>
      </c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True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0.54955</t>
        </is>
      </c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75f65f98e2484c34</t>
        </is>
      </c>
      <c r="B90" s="24" t="inlineStr">
        <is>
          <t>2026-08-25T05:01:23.648156Z</t>
        </is>
      </c>
      <c r="C90" s="24" t="inlineStr">
        <is>
          <t>2026-08-25T08:00:00Z</t>
        </is>
      </c>
      <c r="D90" s="24" t="inlineStr">
        <is>
          <t>90849</t>
        </is>
      </c>
      <c r="E90" s="24" t="inlineStr">
        <is>
          <t>LOL</t>
        </is>
      </c>
      <c r="F90" s="24" t="inlineStr">
        <is>
          <t>BNK FearX Youth</t>
        </is>
      </c>
      <c r="G90" s="24" t="inlineStr">
        <is>
          <t>Kiwoom DRX Challengers</t>
        </is>
      </c>
      <c r="H90" s="24" t="inlineStr">
        <is>
          <t>moneyline</t>
        </is>
      </c>
      <c r="I90" s="24" t="inlineStr">
        <is>
          <t>away</t>
        </is>
      </c>
      <c r="J90" s="25" t="n"/>
      <c r="K90" s="24" t="inlineStr">
        <is>
          <t>polymarket_us</t>
        </is>
      </c>
      <c r="L90" s="26" t="n">
        <v>-203</v>
      </c>
      <c r="M90" s="27" t="n">
        <v>1.492611</v>
      </c>
      <c r="N90" s="28" t="n">
        <v>0.669967</v>
      </c>
      <c r="O90" s="28" t="n">
        <v>0.519054</v>
      </c>
      <c r="P90" s="28" t="n"/>
      <c r="Q90" s="28" t="n">
        <v>-0.150913</v>
      </c>
      <c r="R90" s="26" t="n">
        <v>0</v>
      </c>
      <c r="S90" s="29" t="n">
        <v>1</v>
      </c>
      <c r="T90" s="24" t="inlineStr">
        <is>
          <t>lol-tiered-elo-v6</t>
        </is>
      </c>
      <c r="U90" s="24" t="inlineStr">
        <is>
          <t>settled</t>
        </is>
      </c>
      <c r="V90" s="24" t="inlineStr">
        <is>
          <t>loss</t>
        </is>
      </c>
      <c r="W90" s="26" t="n">
        <v>0</v>
      </c>
      <c r="X90" s="26" t="n">
        <v>1</v>
      </c>
      <c r="Y90" s="25" t="n"/>
      <c r="Z90" s="26" t="n">
        <v>-213</v>
      </c>
      <c r="AA90" s="28" t="n">
        <v>0.68</v>
      </c>
      <c r="AB90" s="28" t="n">
        <v>0.010033</v>
      </c>
      <c r="AC90" s="30" t="n">
        <v>-1</v>
      </c>
      <c r="AD90" s="24" t="inlineStr">
        <is>
          <t>2026-08-25T12:32:13.649656Z</t>
        </is>
      </c>
      <c r="AE90" s="31" t="inlineStr">
        <is>
          <t>Neutral Elo baseline; executable ask 0.6700 (market_slug=aec-lol-krxc-foxy-2026-08-25).</t>
        </is>
      </c>
      <c r="AF90" s="31" t="inlineStr">
        <is>
          <t>Config-promoted esports baseline; gates enforced at log time.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paper_call</t>
        </is>
      </c>
      <c r="AL90" s="26" t="n">
        <v>4</v>
      </c>
      <c r="AM90" s="24" t="inlineStr">
        <is>
          <t>RESEARCH_OBSERVATION</t>
        </is>
      </c>
      <c r="AN90" s="24" t="inlineStr">
        <is>
          <t>CALL</t>
        </is>
      </c>
      <c r="AO90" s="24" t="inlineStr">
        <is>
          <t>PAPER_CALL_MODEL_UNVALIDATED</t>
        </is>
      </c>
      <c r="AP90" s="24" t="inlineStr">
        <is>
          <t>BNK FearX Youth</t>
        </is>
      </c>
      <c r="AQ90" s="24" t="inlineStr">
        <is>
          <t>BNK FearX Youth</t>
        </is>
      </c>
      <c r="AR90" s="24" t="inlineStr">
        <is>
          <t>BNK FearX Youth</t>
        </is>
      </c>
      <c r="AS90" s="24" t="inlineStr">
        <is>
          <t>Kiwoom DRX Challengers</t>
        </is>
      </c>
      <c r="AT90" s="24" t="inlineStr">
        <is>
          <t>Kiwoom DRX Challengers</t>
        </is>
      </c>
      <c r="AU90" s="24" t="inlineStr">
        <is>
          <t>Kiwoom DRX Challengers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277ea5a0ac11f555b4e45285e5daeca4b186508bf1d3db012c58645ea10434c8</t>
        </is>
      </c>
      <c r="BB90" s="24" t="inlineStr">
        <is>
          <t>neutral_elo</t>
        </is>
      </c>
      <c r="BC90" s="24" t="inlineStr">
        <is>
          <t>lol-tiered-elo-v6</t>
        </is>
      </c>
      <c r="BD90" s="24" t="inlineStr">
        <is>
          <t>277ea5a0ac11f555b4e45285e5daeca4b186508bf1d3db012c58645ea10434c8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lol-tiered-elo-v6</t>
        </is>
      </c>
      <c r="BH90" s="24" t="inlineStr">
        <is>
          <t>2026-08-25T05:01:20.194494Z</t>
        </is>
      </c>
      <c r="BI90" s="24" t="inlineStr">
        <is>
          <t>["same_event","same_team_same_day","same_league_same_day"]</t>
        </is>
      </c>
      <c r="BJ90" s="25" t="n"/>
      <c r="BK90" s="26" t="n">
        <v>-203</v>
      </c>
      <c r="BL90" s="27" t="n">
        <v>1.492611</v>
      </c>
      <c r="BM90" s="28" t="n">
        <v>0.669967</v>
      </c>
      <c r="BN90" s="28" t="n"/>
      <c r="BO90" s="28" t="n"/>
      <c r="BP90" s="25" t="n"/>
      <c r="BQ90" s="27" t="n">
        <v>1.469484</v>
      </c>
      <c r="BR90" s="28" t="n">
        <v>0.68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False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0.669967</t>
        </is>
      </c>
      <c r="DK90" s="24" t="n"/>
      <c r="DL90" s="24" t="n"/>
      <c r="DM90" s="24" t="n"/>
      <c r="DN90" s="24" t="n"/>
      <c r="DO90" s="24" t="n"/>
      <c r="DP90" s="24" t="n"/>
      <c r="DQ90" s="24" t="n"/>
    </row>
    <row r="91" ht="36" customHeight="1">
      <c r="A91" s="24" t="inlineStr">
        <is>
          <t>2e3ee60a2b4f4fd9</t>
        </is>
      </c>
      <c r="B91" s="24" t="inlineStr">
        <is>
          <t>2026-08-25T13:32:45.893751Z</t>
        </is>
      </c>
      <c r="C91" s="24" t="inlineStr">
        <is>
          <t>2026-08-25T15:00:00Z</t>
        </is>
      </c>
      <c r="D91" s="24" t="inlineStr">
        <is>
          <t>88784</t>
        </is>
      </c>
      <c r="E91" s="24" t="inlineStr">
        <is>
          <t>LOL</t>
        </is>
      </c>
      <c r="F91" s="24" t="inlineStr">
        <is>
          <t>SU Esports</t>
        </is>
      </c>
      <c r="G91" s="24" t="inlineStr">
        <is>
          <t xml:space="preserve">PCIFIC 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194</v>
      </c>
      <c r="M91" s="27" t="n">
        <v>2.94</v>
      </c>
      <c r="N91" s="28" t="n">
        <v>0.340136</v>
      </c>
      <c r="O91" s="28" t="n">
        <v>0.540692</v>
      </c>
      <c r="P91" s="28" t="n"/>
      <c r="Q91" s="28" t="n">
        <v>0.200556</v>
      </c>
      <c r="R91" s="26" t="n">
        <v>100</v>
      </c>
      <c r="S91" s="29" t="n">
        <v>2</v>
      </c>
      <c r="T91" s="24" t="inlineStr">
        <is>
          <t>lol-tiered-elo-v6</t>
        </is>
      </c>
      <c r="U91" s="24" t="inlineStr">
        <is>
          <t>settled</t>
        </is>
      </c>
      <c r="V91" s="24" t="inlineStr">
        <is>
          <t>loss</t>
        </is>
      </c>
      <c r="W91" s="26" t="n">
        <v>1</v>
      </c>
      <c r="X91" s="26" t="n">
        <v>0</v>
      </c>
      <c r="Y91" s="25" t="n"/>
      <c r="Z91" s="26" t="n">
        <v>194</v>
      </c>
      <c r="AA91" s="28" t="n">
        <v>0.34</v>
      </c>
      <c r="AB91" s="28" t="n">
        <v>-0.000136</v>
      </c>
      <c r="AC91" s="30" t="n">
        <v>-2</v>
      </c>
      <c r="AD91" s="24" t="inlineStr">
        <is>
          <t>2026-08-26T12:41:56.424981Z</t>
        </is>
      </c>
      <c r="AE91" s="31" t="inlineStr">
        <is>
          <t>Neutral Elo baseline; executable ask 0.3400 (market_slug=aec-lol-pcific-su-2026-08-25).</t>
        </is>
      </c>
      <c r="AF91" s="31" t="inlineStr">
        <is>
          <t>Config-promoted esports baseline; gates enforced at log time.</t>
        </is>
      </c>
      <c r="AG91" s="24" t="inlineStr">
        <is>
          <t>review_required</t>
        </is>
      </c>
      <c r="AH91" s="24" t="n"/>
      <c r="AI91" s="31" t="n"/>
      <c r="AJ91" s="31" t="n"/>
      <c r="AK91" s="24" t="inlineStr">
        <is>
          <t>model_qualified</t>
        </is>
      </c>
      <c r="AL91" s="26" t="n">
        <v>4</v>
      </c>
      <c r="AM91" s="24" t="inlineStr">
        <is>
          <t>QUALIFIED_SHADOW_CALL</t>
        </is>
      </c>
      <c r="AN91" s="24" t="inlineStr">
        <is>
          <t>CALL</t>
        </is>
      </c>
      <c r="AO91" s="24" t="inlineStr">
        <is>
          <t>QUALIFIED</t>
        </is>
      </c>
      <c r="AP91" s="24" t="inlineStr">
        <is>
          <t>SU Esports</t>
        </is>
      </c>
      <c r="AQ91" s="24" t="inlineStr">
        <is>
          <t>SU Esports</t>
        </is>
      </c>
      <c r="AR91" s="24" t="inlineStr">
        <is>
          <t>SU Esports</t>
        </is>
      </c>
      <c r="AS91" s="24" t="inlineStr">
        <is>
          <t xml:space="preserve">PCIFIC </t>
        </is>
      </c>
      <c r="AT91" s="24" t="inlineStr">
        <is>
          <t xml:space="preserve">PCIFIC </t>
        </is>
      </c>
      <c r="AU91" s="24" t="inlineStr">
        <is>
          <t xml:space="preserve">PCIFIC 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a48bcb14f68f55fe29739a4e415a8b8fc152dff1711d58afc49c3f572d1a2669</t>
        </is>
      </c>
      <c r="BB91" s="24" t="inlineStr">
        <is>
          <t>neutral_elo</t>
        </is>
      </c>
      <c r="BC91" s="24" t="inlineStr">
        <is>
          <t>lol-tiered-elo-v6</t>
        </is>
      </c>
      <c r="BD91" s="24" t="inlineStr">
        <is>
          <t>a48bcb14f68f55fe29739a4e415a8b8fc152dff1711d58afc49c3f572d1a2669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lol-tiered-elo-v6</t>
        </is>
      </c>
      <c r="BH91" s="24" t="inlineStr">
        <is>
          <t>2026-08-25T13:32:41.026861Z</t>
        </is>
      </c>
      <c r="BI91" s="24" t="inlineStr">
        <is>
          <t>["same_event","same_team_same_day","same_league_same_day"]</t>
        </is>
      </c>
      <c r="BJ91" s="25" t="n"/>
      <c r="BK91" s="26" t="n">
        <v>194</v>
      </c>
      <c r="BL91" s="27" t="n">
        <v>2.94</v>
      </c>
      <c r="BM91" s="28" t="n">
        <v>0.340136</v>
      </c>
      <c r="BN91" s="28" t="n"/>
      <c r="BO91" s="28" t="n"/>
      <c r="BP91" s="25" t="n"/>
      <c r="BQ91" s="27" t="n">
        <v>2.94</v>
      </c>
      <c r="BR91" s="28" t="n">
        <v>0.34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True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0.340136</t>
        </is>
      </c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badf9e5df88a4451</t>
        </is>
      </c>
      <c r="B92" s="24" t="inlineStr">
        <is>
          <t>2026-08-25T13:32:45.893751Z</t>
        </is>
      </c>
      <c r="C92" s="24" t="inlineStr">
        <is>
          <t>2026-08-25T15:00:00Z</t>
        </is>
      </c>
      <c r="D92" s="24" t="inlineStr">
        <is>
          <t>88786</t>
        </is>
      </c>
      <c r="E92" s="24" t="inlineStr">
        <is>
          <t>LOL</t>
        </is>
      </c>
      <c r="F92" s="24" t="inlineStr">
        <is>
          <t>devils.one inStreamly</t>
        </is>
      </c>
      <c r="G92" s="24" t="inlineStr">
        <is>
          <t>Lodis</t>
        </is>
      </c>
      <c r="H92" s="24" t="inlineStr">
        <is>
          <t>moneyline</t>
        </is>
      </c>
      <c r="I92" s="24" t="inlineStr">
        <is>
          <t>home</t>
        </is>
      </c>
      <c r="J92" s="25" t="n"/>
      <c r="K92" s="24" t="inlineStr">
        <is>
          <t>polymarket_us</t>
        </is>
      </c>
      <c r="L92" s="26" t="n">
        <v>138</v>
      </c>
      <c r="M92" s="27" t="n">
        <v>2.38</v>
      </c>
      <c r="N92" s="28" t="n">
        <v>0.420168</v>
      </c>
      <c r="O92" s="28" t="n">
        <v>0.54806</v>
      </c>
      <c r="P92" s="28" t="n"/>
      <c r="Q92" s="28" t="n">
        <v>0.127892</v>
      </c>
      <c r="R92" s="26" t="n">
        <v>84</v>
      </c>
      <c r="S92" s="29" t="n">
        <v>1.5</v>
      </c>
      <c r="T92" s="24" t="inlineStr">
        <is>
          <t>lol-tiered-elo-v6</t>
        </is>
      </c>
      <c r="U92" s="24" t="inlineStr">
        <is>
          <t>settled</t>
        </is>
      </c>
      <c r="V92" s="24" t="inlineStr">
        <is>
          <t>win</t>
        </is>
      </c>
      <c r="W92" s="26" t="n">
        <v>0</v>
      </c>
      <c r="X92" s="26" t="n">
        <v>1</v>
      </c>
      <c r="Y92" s="25" t="n"/>
      <c r="Z92" s="26" t="n">
        <v>138</v>
      </c>
      <c r="AA92" s="28" t="n">
        <v>0.42</v>
      </c>
      <c r="AB92" s="28" t="n">
        <v>-0.000168</v>
      </c>
      <c r="AC92" s="30" t="n">
        <v>2.07</v>
      </c>
      <c r="AD92" s="24" t="inlineStr">
        <is>
          <t>2026-08-26T12:41:56.951491Z</t>
        </is>
      </c>
      <c r="AE92" s="31" t="inlineStr">
        <is>
          <t>Neutral Elo baseline; executable ask 0.4200 (market_slug=aec-lol-lds-dv1-2026-08-25).</t>
        </is>
      </c>
      <c r="AF92" s="31" t="inlineStr">
        <is>
          <t>Config-promoted esports baseline; gates enforced at log time.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4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devils.one inStreamly</t>
        </is>
      </c>
      <c r="AQ92" s="24" t="inlineStr">
        <is>
          <t>devils.one inStreamly</t>
        </is>
      </c>
      <c r="AR92" s="24" t="inlineStr">
        <is>
          <t>devils.one inStreamly</t>
        </is>
      </c>
      <c r="AS92" s="24" t="inlineStr">
        <is>
          <t>Lodis</t>
        </is>
      </c>
      <c r="AT92" s="24" t="inlineStr">
        <is>
          <t>Lodis</t>
        </is>
      </c>
      <c r="AU92" s="24" t="inlineStr">
        <is>
          <t>Lodis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a48bcb14f68f55fe29739a4e415a8b8fc152dff1711d58afc49c3f572d1a2669</t>
        </is>
      </c>
      <c r="BB92" s="24" t="inlineStr">
        <is>
          <t>neutral_elo</t>
        </is>
      </c>
      <c r="BC92" s="24" t="inlineStr">
        <is>
          <t>lol-tiered-elo-v6</t>
        </is>
      </c>
      <c r="BD92" s="24" t="inlineStr">
        <is>
          <t>a48bcb14f68f55fe29739a4e415a8b8fc152dff1711d58afc49c3f572d1a2669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lol-tiered-elo-v6</t>
        </is>
      </c>
      <c r="BH92" s="24" t="inlineStr">
        <is>
          <t>2026-08-25T13:32:41.162018Z</t>
        </is>
      </c>
      <c r="BI92" s="24" t="inlineStr">
        <is>
          <t>["same_event","same_team_same_day","same_league_same_day"]</t>
        </is>
      </c>
      <c r="BJ92" s="25" t="n"/>
      <c r="BK92" s="26" t="n">
        <v>138</v>
      </c>
      <c r="BL92" s="27" t="n">
        <v>2.38</v>
      </c>
      <c r="BM92" s="28" t="n">
        <v>0.420168</v>
      </c>
      <c r="BN92" s="28" t="n"/>
      <c r="BO92" s="28" t="n"/>
      <c r="BP92" s="25" t="n"/>
      <c r="BQ92" s="27" t="n">
        <v>2.38</v>
      </c>
      <c r="BR92" s="28" t="n">
        <v>0.42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True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0.420168</t>
        </is>
      </c>
      <c r="DK92" s="24" t="n"/>
      <c r="DL92" s="24" t="n"/>
      <c r="DM92" s="24" t="n"/>
      <c r="DN92" s="24" t="n"/>
      <c r="DO92" s="24" t="n"/>
      <c r="DP92" s="24" t="n"/>
      <c r="DQ92" s="24" t="n"/>
    </row>
    <row r="93" ht="36" customHeight="1">
      <c r="A93" s="24" t="inlineStr">
        <is>
          <t>b38c732f7e794434</t>
        </is>
      </c>
      <c r="B93" s="24" t="inlineStr">
        <is>
          <t>2026-08-25T13:32:45.893751Z</t>
        </is>
      </c>
      <c r="C93" s="24" t="inlineStr">
        <is>
          <t>2026-08-25T16:30:00Z</t>
        </is>
      </c>
      <c r="D93" s="24" t="inlineStr">
        <is>
          <t>88829</t>
        </is>
      </c>
      <c r="E93" s="24" t="inlineStr">
        <is>
          <t>LOL</t>
        </is>
      </c>
      <c r="F93" s="24" t="inlineStr">
        <is>
          <t>BRUTE</t>
        </is>
      </c>
      <c r="G93" s="24" t="inlineStr">
        <is>
          <t>eSuba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-163</v>
      </c>
      <c r="M93" s="27" t="n">
        <v>1.613497</v>
      </c>
      <c r="N93" s="28" t="n">
        <v>0.619772</v>
      </c>
      <c r="O93" s="28" t="n">
        <v>0.677135</v>
      </c>
      <c r="P93" s="28" t="n"/>
      <c r="Q93" s="28" t="n">
        <v>0.057363</v>
      </c>
      <c r="R93" s="26" t="n">
        <v>49</v>
      </c>
      <c r="S93" s="29" t="n">
        <v>1</v>
      </c>
      <c r="T93" s="24" t="inlineStr">
        <is>
          <t>lol-tiered-elo-v6</t>
        </is>
      </c>
      <c r="U93" s="24" t="inlineStr">
        <is>
          <t>settled</t>
        </is>
      </c>
      <c r="V93" s="24" t="inlineStr">
        <is>
          <t>win</t>
        </is>
      </c>
      <c r="W93" s="26" t="n">
        <v>0</v>
      </c>
      <c r="X93" s="26" t="n">
        <v>1</v>
      </c>
      <c r="Y93" s="25" t="n"/>
      <c r="Z93" s="26" t="n">
        <v>-163</v>
      </c>
      <c r="AA93" s="28" t="n">
        <v>0.62</v>
      </c>
      <c r="AB93" s="28" t="n">
        <v>0.000228</v>
      </c>
      <c r="AC93" s="30" t="n">
        <v>0.6135</v>
      </c>
      <c r="AD93" s="24" t="inlineStr">
        <is>
          <t>2026-08-26T12:41:57.449002Z</t>
        </is>
      </c>
      <c r="AE93" s="31" t="inlineStr">
        <is>
          <t>Neutral Elo baseline; executable ask 0.6200 (market_slug=aec-lol-esb-brt-2026-08-25).</t>
        </is>
      </c>
      <c r="AF93" s="31" t="inlineStr">
        <is>
          <t>Config-promoted esports baseline; gates enforced at log time.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4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BRUTE</t>
        </is>
      </c>
      <c r="AQ93" s="24" t="inlineStr">
        <is>
          <t>BRUTE</t>
        </is>
      </c>
      <c r="AR93" s="24" t="inlineStr">
        <is>
          <t>BRUTE</t>
        </is>
      </c>
      <c r="AS93" s="24" t="inlineStr">
        <is>
          <t>eSuba</t>
        </is>
      </c>
      <c r="AT93" s="24" t="inlineStr">
        <is>
          <t>eSuba</t>
        </is>
      </c>
      <c r="AU93" s="24" t="inlineStr">
        <is>
          <t>eSuba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a48bcb14f68f55fe29739a4e415a8b8fc152dff1711d58afc49c3f572d1a2669</t>
        </is>
      </c>
      <c r="BB93" s="24" t="inlineStr">
        <is>
          <t>neutral_elo</t>
        </is>
      </c>
      <c r="BC93" s="24" t="inlineStr">
        <is>
          <t>lol-tiered-elo-v6</t>
        </is>
      </c>
      <c r="BD93" s="24" t="inlineStr">
        <is>
          <t>a48bcb14f68f55fe29739a4e415a8b8fc152dff1711d58afc49c3f572d1a2669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lol-tiered-elo-v6</t>
        </is>
      </c>
      <c r="BH93" s="24" t="inlineStr">
        <is>
          <t>2026-08-25T13:32:41.711437Z</t>
        </is>
      </c>
      <c r="BI93" s="24" t="inlineStr">
        <is>
          <t>["same_event","same_team_same_day","same_league_same_day"]</t>
        </is>
      </c>
      <c r="BJ93" s="25" t="n"/>
      <c r="BK93" s="26" t="n">
        <v>-163</v>
      </c>
      <c r="BL93" s="27" t="n">
        <v>1.613497</v>
      </c>
      <c r="BM93" s="28" t="n">
        <v>0.619772</v>
      </c>
      <c r="BN93" s="28" t="n"/>
      <c r="BO93" s="28" t="n"/>
      <c r="BP93" s="25" t="n"/>
      <c r="BQ93" s="27" t="n">
        <v>1.613497</v>
      </c>
      <c r="BR93" s="28" t="n">
        <v>0.62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0.619772</t>
        </is>
      </c>
      <c r="DK93" s="24" t="n"/>
      <c r="DL93" s="24" t="n"/>
      <c r="DM93" s="24" t="n"/>
      <c r="DN93" s="24" t="n"/>
      <c r="DO93" s="24" t="n"/>
      <c r="DP93" s="24" t="n"/>
      <c r="DQ93" s="24" t="n"/>
    </row>
    <row r="94" ht="36" customHeight="1">
      <c r="A94" s="24" t="inlineStr">
        <is>
          <t>1798e0bb65944977</t>
        </is>
      </c>
      <c r="B94" s="24" t="inlineStr">
        <is>
          <t>2026-08-25T13:32:45.893751Z</t>
        </is>
      </c>
      <c r="C94" s="24" t="inlineStr">
        <is>
          <t>2026-08-25T20:00:00Z</t>
        </is>
      </c>
      <c r="D94" s="24" t="inlineStr">
        <is>
          <t>89323</t>
        </is>
      </c>
      <c r="E94" s="24" t="inlineStr">
        <is>
          <t>LOL</t>
        </is>
      </c>
      <c r="F94" s="24" t="inlineStr">
        <is>
          <t>9z Globant</t>
        </is>
      </c>
      <c r="G94" s="24" t="inlineStr">
        <is>
          <t>Golden Lions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170</v>
      </c>
      <c r="M94" s="27" t="n">
        <v>2.7</v>
      </c>
      <c r="N94" s="28" t="n">
        <v>0.37037</v>
      </c>
      <c r="O94" s="28" t="n">
        <v>0.53796</v>
      </c>
      <c r="P94" s="28" t="n"/>
      <c r="Q94" s="28" t="n">
        <v>0.16759</v>
      </c>
      <c r="R94" s="26" t="n">
        <v>100</v>
      </c>
      <c r="S94" s="29" t="n">
        <v>1.75</v>
      </c>
      <c r="T94" s="24" t="inlineStr">
        <is>
          <t>lol-tiered-elo-v6</t>
        </is>
      </c>
      <c r="U94" s="24" t="inlineStr">
        <is>
          <t>settled</t>
        </is>
      </c>
      <c r="V94" s="24" t="inlineStr">
        <is>
          <t>loss</t>
        </is>
      </c>
      <c r="W94" s="26" t="n">
        <v>1</v>
      </c>
      <c r="X94" s="26" t="n">
        <v>0</v>
      </c>
      <c r="Y94" s="25" t="n"/>
      <c r="Z94" s="26" t="n">
        <v>170</v>
      </c>
      <c r="AA94" s="28" t="n">
        <v>0.37</v>
      </c>
      <c r="AB94" s="28" t="n">
        <v>-0.00037</v>
      </c>
      <c r="AC94" s="30" t="n">
        <v>-1.75</v>
      </c>
      <c r="AD94" s="24" t="inlineStr">
        <is>
          <t>2026-08-26T12:41:58.009506Z</t>
        </is>
      </c>
      <c r="AE94" s="31" t="inlineStr">
        <is>
          <t>Neutral Elo baseline; executable ask 0.3700 (market_slug=aec-lol-gl-9zg-2026-08-25).</t>
        </is>
      </c>
      <c r="AF94" s="31" t="inlineStr">
        <is>
          <t>Config-promoted esports baseline; gates enforced at log time.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model_qualified</t>
        </is>
      </c>
      <c r="AL94" s="26" t="n">
        <v>4</v>
      </c>
      <c r="AM94" s="24" t="inlineStr">
        <is>
          <t>QUALIFIED_SHADOW_CALL</t>
        </is>
      </c>
      <c r="AN94" s="24" t="inlineStr">
        <is>
          <t>CALL</t>
        </is>
      </c>
      <c r="AO94" s="24" t="inlineStr">
        <is>
          <t>QUALIFIED</t>
        </is>
      </c>
      <c r="AP94" s="24" t="inlineStr">
        <is>
          <t>9z Globant</t>
        </is>
      </c>
      <c r="AQ94" s="24" t="inlineStr">
        <is>
          <t>9z Globant</t>
        </is>
      </c>
      <c r="AR94" s="24" t="inlineStr">
        <is>
          <t>9z Globant</t>
        </is>
      </c>
      <c r="AS94" s="24" t="inlineStr">
        <is>
          <t>Golden Lions</t>
        </is>
      </c>
      <c r="AT94" s="24" t="inlineStr">
        <is>
          <t>Golden Lions</t>
        </is>
      </c>
      <c r="AU94" s="24" t="inlineStr">
        <is>
          <t>Golden Lions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a48bcb14f68f55fe29739a4e415a8b8fc152dff1711d58afc49c3f572d1a2669</t>
        </is>
      </c>
      <c r="BB94" s="24" t="inlineStr">
        <is>
          <t>neutral_elo</t>
        </is>
      </c>
      <c r="BC94" s="24" t="inlineStr">
        <is>
          <t>lol-tiered-elo-v6</t>
        </is>
      </c>
      <c r="BD94" s="24" t="inlineStr">
        <is>
          <t>a48bcb14f68f55fe29739a4e415a8b8fc152dff1711d58afc49c3f572d1a2669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lol-tiered-elo-v6</t>
        </is>
      </c>
      <c r="BH94" s="24" t="inlineStr">
        <is>
          <t>2026-08-25T13:32:43.174823Z</t>
        </is>
      </c>
      <c r="BI94" s="24" t="inlineStr">
        <is>
          <t>["same_event","same_team_same_day","same_league_same_day"]</t>
        </is>
      </c>
      <c r="BJ94" s="25" t="n"/>
      <c r="BK94" s="26" t="n">
        <v>170</v>
      </c>
      <c r="BL94" s="27" t="n">
        <v>2.7</v>
      </c>
      <c r="BM94" s="28" t="n">
        <v>0.37037</v>
      </c>
      <c r="BN94" s="28" t="n"/>
      <c r="BO94" s="28" t="n"/>
      <c r="BP94" s="25" t="n"/>
      <c r="BQ94" s="27" t="n">
        <v>2.7</v>
      </c>
      <c r="BR94" s="28" t="n">
        <v>0.37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0.37037</t>
        </is>
      </c>
      <c r="DK94" s="24" t="n"/>
      <c r="DL94" s="24" t="n"/>
      <c r="DM94" s="24" t="n"/>
      <c r="DN94" s="24" t="n"/>
      <c r="DO94" s="24" t="n"/>
      <c r="DP94" s="24" t="n"/>
      <c r="DQ94" s="24" t="n"/>
    </row>
    <row r="95" ht="36" customHeight="1">
      <c r="A95" s="24" t="inlineStr">
        <is>
          <t>1f52c344de414944</t>
        </is>
      </c>
      <c r="B95" s="24" t="inlineStr">
        <is>
          <t>2026-08-26T12:44:36.011449Z</t>
        </is>
      </c>
      <c r="C95" s="24" t="inlineStr">
        <is>
          <t>2026-08-26T14:00:00Z</t>
        </is>
      </c>
      <c r="D95" s="24" t="inlineStr">
        <is>
          <t>89758</t>
        </is>
      </c>
      <c r="E95" s="24" t="inlineStr">
        <is>
          <t>LOL</t>
        </is>
      </c>
      <c r="F95" s="24" t="inlineStr">
        <is>
          <t>BRUTE</t>
        </is>
      </c>
      <c r="G95" s="24" t="inlineStr">
        <is>
          <t>EXILE esports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156</v>
      </c>
      <c r="M95" s="27" t="n">
        <v>2.56</v>
      </c>
      <c r="N95" s="28" t="n">
        <v>0.390625</v>
      </c>
      <c r="O95" s="28" t="n">
        <v>0.536154</v>
      </c>
      <c r="P95" s="28" t="n"/>
      <c r="Q95" s="28" t="n">
        <v>0.145529</v>
      </c>
      <c r="R95" s="26" t="n">
        <v>93</v>
      </c>
      <c r="S95" s="29" t="n">
        <v>1.75</v>
      </c>
      <c r="T95" s="24" t="inlineStr">
        <is>
          <t>lol-tiered-elo-v6</t>
        </is>
      </c>
      <c r="U95" s="24" t="inlineStr">
        <is>
          <t>settled</t>
        </is>
      </c>
      <c r="V95" s="24" t="inlineStr">
        <is>
          <t>win</t>
        </is>
      </c>
      <c r="W95" s="26" t="n">
        <v>0</v>
      </c>
      <c r="X95" s="26" t="n">
        <v>1</v>
      </c>
      <c r="Y95" s="25" t="n"/>
      <c r="Z95" s="26" t="n">
        <v>156</v>
      </c>
      <c r="AA95" s="28" t="n">
        <v>0.39</v>
      </c>
      <c r="AB95" s="28" t="n">
        <v>-0.000625</v>
      </c>
      <c r="AC95" s="30" t="n">
        <v>2.73</v>
      </c>
      <c r="AD95" s="24" t="inlineStr">
        <is>
          <t>2026-08-26T16:30:55.816831Z</t>
        </is>
      </c>
      <c r="AE95" s="31" t="inlineStr">
        <is>
          <t>Neutral Elo baseline; executable ask 0.3900 (market_slug=aec-lol-exe-brt-2026-08-26).</t>
        </is>
      </c>
      <c r="AF95" s="31" t="inlineStr">
        <is>
          <t>Config-promoted esports baseline; gates enforced at log time.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4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BRUTE</t>
        </is>
      </c>
      <c r="AQ95" s="24" t="inlineStr">
        <is>
          <t>BRUTE</t>
        </is>
      </c>
      <c r="AR95" s="24" t="inlineStr">
        <is>
          <t>BRUTE</t>
        </is>
      </c>
      <c r="AS95" s="24" t="inlineStr">
        <is>
          <t>EXILE esports</t>
        </is>
      </c>
      <c r="AT95" s="24" t="inlineStr">
        <is>
          <t>EXILE esports</t>
        </is>
      </c>
      <c r="AU95" s="24" t="inlineStr">
        <is>
          <t>EXILE esports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55ef0ca613140d7d028530fa11827b13c388ff45597252b2309f89b12336c2c5</t>
        </is>
      </c>
      <c r="BB95" s="24" t="inlineStr">
        <is>
          <t>neutral_elo</t>
        </is>
      </c>
      <c r="BC95" s="24" t="inlineStr">
        <is>
          <t>lol-tiered-elo-v6</t>
        </is>
      </c>
      <c r="BD95" s="24" t="inlineStr">
        <is>
          <t>55ef0ca613140d7d028530fa11827b13c388ff45597252b2309f89b12336c2c5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lol-tiered-elo-v6</t>
        </is>
      </c>
      <c r="BH95" s="24" t="inlineStr">
        <is>
          <t>2026-08-26T12:44:31.204699Z</t>
        </is>
      </c>
      <c r="BI95" s="24" t="inlineStr">
        <is>
          <t>["same_event","same_team_same_day","same_league_same_day"]</t>
        </is>
      </c>
      <c r="BJ95" s="25" t="n"/>
      <c r="BK95" s="26" t="n">
        <v>156</v>
      </c>
      <c r="BL95" s="27" t="n">
        <v>2.56</v>
      </c>
      <c r="BM95" s="28" t="n">
        <v>0.390625</v>
      </c>
      <c r="BN95" s="28" t="n"/>
      <c r="BO95" s="28" t="n"/>
      <c r="BP95" s="25" t="n"/>
      <c r="BQ95" s="27" t="n">
        <v>2.56</v>
      </c>
      <c r="BR95" s="28" t="n">
        <v>0.39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True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0.390625</t>
        </is>
      </c>
      <c r="DK95" s="24" t="n"/>
      <c r="DL95" s="24" t="n"/>
      <c r="DM95" s="24" t="n"/>
      <c r="DN95" s="24" t="n"/>
      <c r="DO95" s="24" t="n"/>
      <c r="DP95" s="24" t="n"/>
      <c r="DQ95" s="24" t="n"/>
    </row>
    <row r="96" ht="36" customHeight="1">
      <c r="A96" s="24" t="inlineStr">
        <is>
          <t>1e1fbcb07557450c</t>
        </is>
      </c>
      <c r="B96" s="24" t="inlineStr">
        <is>
          <t>2026-08-26T12:44:36.011449Z</t>
        </is>
      </c>
      <c r="C96" s="24" t="inlineStr">
        <is>
          <t>2026-08-26T16:00:00Z</t>
        </is>
      </c>
      <c r="D96" s="24" t="inlineStr">
        <is>
          <t>89796</t>
        </is>
      </c>
      <c r="E96" s="24" t="inlineStr">
        <is>
          <t>LOL</t>
        </is>
      </c>
      <c r="F96" s="24" t="inlineStr">
        <is>
          <t>ØTF</t>
        </is>
      </c>
      <c r="G96" s="24" t="inlineStr">
        <is>
          <t>The Secret Club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-163</v>
      </c>
      <c r="M96" s="27" t="n">
        <v>1.613497</v>
      </c>
      <c r="N96" s="28" t="n">
        <v>0.619772</v>
      </c>
      <c r="O96" s="28" t="n">
        <v>0.542452</v>
      </c>
      <c r="P96" s="28" t="n"/>
      <c r="Q96" s="28" t="n">
        <v>-0.07732</v>
      </c>
      <c r="R96" s="26" t="n">
        <v>0</v>
      </c>
      <c r="S96" s="29" t="n">
        <v>1</v>
      </c>
      <c r="T96" s="24" t="inlineStr">
        <is>
          <t>lol-tiered-elo-v6</t>
        </is>
      </c>
      <c r="U96" s="24" t="inlineStr">
        <is>
          <t>settled</t>
        </is>
      </c>
      <c r="V96" s="24" t="inlineStr">
        <is>
          <t>win</t>
        </is>
      </c>
      <c r="W96" s="26" t="n">
        <v>0</v>
      </c>
      <c r="X96" s="26" t="n">
        <v>1</v>
      </c>
      <c r="Y96" s="25" t="n"/>
      <c r="Z96" s="26" t="n">
        <v>-163</v>
      </c>
      <c r="AA96" s="28" t="n">
        <v>0.62</v>
      </c>
      <c r="AB96" s="28" t="n">
        <v>0.000228</v>
      </c>
      <c r="AC96" s="30" t="n">
        <v>0.6135</v>
      </c>
      <c r="AD96" s="24" t="inlineStr">
        <is>
          <t>2026-08-26T22:16:40.952574Z</t>
        </is>
      </c>
      <c r="AE96" s="31" t="inlineStr">
        <is>
          <t>Neutral Elo baseline; executable ask 0.6200 (market_slug=aec-lol-tsc-tfa-2026-08-26).</t>
        </is>
      </c>
      <c r="AF96" s="31" t="inlineStr">
        <is>
          <t>Config-promoted esports baseline; gates enforced at log time.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paper_call</t>
        </is>
      </c>
      <c r="AL96" s="26" t="n">
        <v>4</v>
      </c>
      <c r="AM96" s="24" t="inlineStr">
        <is>
          <t>RESEARCH_OBSERVATION</t>
        </is>
      </c>
      <c r="AN96" s="24" t="inlineStr">
        <is>
          <t>CALL</t>
        </is>
      </c>
      <c r="AO96" s="24" t="inlineStr">
        <is>
          <t>PAPER_CALL_LOW_EDGE</t>
        </is>
      </c>
      <c r="AP96" s="24" t="inlineStr">
        <is>
          <t>ØTF</t>
        </is>
      </c>
      <c r="AQ96" s="24" t="inlineStr">
        <is>
          <t>ØTF</t>
        </is>
      </c>
      <c r="AR96" s="24" t="inlineStr">
        <is>
          <t>ØTF</t>
        </is>
      </c>
      <c r="AS96" s="24" t="inlineStr">
        <is>
          <t>The Secret Club</t>
        </is>
      </c>
      <c r="AT96" s="24" t="inlineStr">
        <is>
          <t>The Secret Club</t>
        </is>
      </c>
      <c r="AU96" s="24" t="inlineStr">
        <is>
          <t>The Secret Club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55ef0ca613140d7d028530fa11827b13c388ff45597252b2309f89b12336c2c5</t>
        </is>
      </c>
      <c r="BB96" s="24" t="inlineStr">
        <is>
          <t>neutral_elo</t>
        </is>
      </c>
      <c r="BC96" s="24" t="inlineStr">
        <is>
          <t>lol-tiered-elo-v6</t>
        </is>
      </c>
      <c r="BD96" s="24" t="inlineStr">
        <is>
          <t>55ef0ca613140d7d028530fa11827b13c388ff45597252b2309f89b12336c2c5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lol-tiered-elo-v6</t>
        </is>
      </c>
      <c r="BH96" s="24" t="inlineStr">
        <is>
          <t>2026-08-26T12:44:32.616971Z</t>
        </is>
      </c>
      <c r="BI96" s="24" t="inlineStr">
        <is>
          <t>["same_event","same_team_same_day","same_league_same_day"]</t>
        </is>
      </c>
      <c r="BJ96" s="25" t="n"/>
      <c r="BK96" s="26" t="n">
        <v>-163</v>
      </c>
      <c r="BL96" s="27" t="n">
        <v>1.613497</v>
      </c>
      <c r="BM96" s="28" t="n">
        <v>0.619772</v>
      </c>
      <c r="BN96" s="28" t="n"/>
      <c r="BO96" s="28" t="n"/>
      <c r="BP96" s="25" t="n"/>
      <c r="BQ96" s="27" t="n">
        <v>1.613497</v>
      </c>
      <c r="BR96" s="28" t="n">
        <v>0.62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False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0.619772</t>
        </is>
      </c>
      <c r="DK96" s="24" t="n"/>
      <c r="DL96" s="24" t="n"/>
      <c r="DM96" s="24" t="n"/>
      <c r="DN96" s="24" t="n"/>
      <c r="DO96" s="24" t="n"/>
      <c r="DP96" s="24" t="n"/>
      <c r="DQ96" s="24" t="n"/>
    </row>
    <row r="97" ht="36" customHeight="1">
      <c r="A97" s="24" t="inlineStr">
        <is>
          <t>d1cebe60434c4981</t>
        </is>
      </c>
      <c r="B97" s="24" t="inlineStr">
        <is>
          <t>2026-08-26T16:36:41.218149Z</t>
        </is>
      </c>
      <c r="C97" s="24" t="inlineStr">
        <is>
          <t>2026-08-26T18:00:00Z</t>
        </is>
      </c>
      <c r="D97" s="24" t="inlineStr">
        <is>
          <t>89837</t>
        </is>
      </c>
      <c r="E97" s="24" t="inlineStr">
        <is>
          <t>LOL</t>
        </is>
      </c>
      <c r="F97" s="24" t="inlineStr">
        <is>
          <t>Bubliki</t>
        </is>
      </c>
      <c r="G97" s="24" t="inlineStr">
        <is>
          <t>Hyperion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-150</v>
      </c>
      <c r="M97" s="27" t="n">
        <v>1.666667</v>
      </c>
      <c r="N97" s="28" t="n">
        <v>0.6</v>
      </c>
      <c r="O97" s="28" t="n">
        <v>0.535682</v>
      </c>
      <c r="P97" s="28" t="n"/>
      <c r="Q97" s="28" t="n">
        <v>-0.064318</v>
      </c>
      <c r="R97" s="26" t="n">
        <v>0</v>
      </c>
      <c r="S97" s="29" t="n">
        <v>1</v>
      </c>
      <c r="T97" s="24" t="inlineStr">
        <is>
          <t>lol-tiered-elo-v6</t>
        </is>
      </c>
      <c r="U97" s="24" t="inlineStr">
        <is>
          <t>settled</t>
        </is>
      </c>
      <c r="V97" s="24" t="inlineStr">
        <is>
          <t>loss</t>
        </is>
      </c>
      <c r="W97" s="26" t="n">
        <v>1</v>
      </c>
      <c r="X97" s="26" t="n">
        <v>0</v>
      </c>
      <c r="Y97" s="25" t="n"/>
      <c r="Z97" s="26" t="n">
        <v>-150</v>
      </c>
      <c r="AA97" s="28" t="n">
        <v>0.6</v>
      </c>
      <c r="AB97" s="28" t="n">
        <v>0</v>
      </c>
      <c r="AC97" s="30" t="n">
        <v>-1</v>
      </c>
      <c r="AD97" s="24" t="inlineStr">
        <is>
          <t>2026-08-26T22:16:41.508282Z</t>
        </is>
      </c>
      <c r="AE97" s="31" t="inlineStr">
        <is>
          <t>Neutral Elo baseline; executable ask 0.6000 (market_slug=aec-lol-hype-bub-2026-08-26).</t>
        </is>
      </c>
      <c r="AF97" s="31" t="inlineStr">
        <is>
          <t>Config-promoted esports baseline; gates enforced at log time.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paper_call</t>
        </is>
      </c>
      <c r="AL97" s="26" t="n">
        <v>4</v>
      </c>
      <c r="AM97" s="24" t="inlineStr">
        <is>
          <t>RESEARCH_OBSERVATION</t>
        </is>
      </c>
      <c r="AN97" s="24" t="inlineStr">
        <is>
          <t>CALL</t>
        </is>
      </c>
      <c r="AO97" s="24" t="inlineStr">
        <is>
          <t>PAPER_CALL_LOW_EDGE</t>
        </is>
      </c>
      <c r="AP97" s="24" t="inlineStr">
        <is>
          <t>Bubliki</t>
        </is>
      </c>
      <c r="AQ97" s="24" t="inlineStr">
        <is>
          <t>Bubliki</t>
        </is>
      </c>
      <c r="AR97" s="24" t="inlineStr">
        <is>
          <t>Bubliki</t>
        </is>
      </c>
      <c r="AS97" s="24" t="inlineStr">
        <is>
          <t>Hyperion</t>
        </is>
      </c>
      <c r="AT97" s="24" t="inlineStr">
        <is>
          <t>Hyperion</t>
        </is>
      </c>
      <c r="AU97" s="24" t="inlineStr">
        <is>
          <t>Hyperion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51664fb06128ba82f7e9a96ec912f8cb5c44302c54d524d2a0939c20f4d212e1</t>
        </is>
      </c>
      <c r="BB97" s="24" t="inlineStr">
        <is>
          <t>neutral_elo</t>
        </is>
      </c>
      <c r="BC97" s="24" t="inlineStr">
        <is>
          <t>lol-tiered-elo-v6</t>
        </is>
      </c>
      <c r="BD97" s="24" t="inlineStr">
        <is>
          <t>51664fb06128ba82f7e9a96ec912f8cb5c44302c54d524d2a0939c20f4d212e1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lol-tiered-elo-v6</t>
        </is>
      </c>
      <c r="BH97" s="24" t="inlineStr">
        <is>
          <t>2026-08-26T16:36:36.024330Z</t>
        </is>
      </c>
      <c r="BI97" s="24" t="inlineStr">
        <is>
          <t>["same_event","same_team_same_day","same_league_same_day"]</t>
        </is>
      </c>
      <c r="BJ97" s="25" t="n"/>
      <c r="BK97" s="26" t="n">
        <v>-150</v>
      </c>
      <c r="BL97" s="27" t="n">
        <v>1.666667</v>
      </c>
      <c r="BM97" s="28" t="n">
        <v>0.6</v>
      </c>
      <c r="BN97" s="28" t="n"/>
      <c r="BO97" s="28" t="n"/>
      <c r="BP97" s="25" t="n"/>
      <c r="BQ97" s="27" t="n">
        <v>1.666667</v>
      </c>
      <c r="BR97" s="28" t="n">
        <v>0.6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False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0.6</t>
        </is>
      </c>
      <c r="DK97" s="24" t="n"/>
      <c r="DL97" s="24" t="n"/>
      <c r="DM97" s="24" t="n"/>
      <c r="DN97" s="24" t="n"/>
      <c r="DO97" s="24" t="n"/>
      <c r="DP97" s="24" t="n"/>
      <c r="DQ97" s="24" t="n"/>
    </row>
    <row r="98" ht="36" customHeight="1">
      <c r="A98" s="24" t="inlineStr">
        <is>
          <t>57260b1edc1d4f3e</t>
        </is>
      </c>
      <c r="B98" s="24" t="inlineStr">
        <is>
          <t>2026-08-26T16:36:41.218149Z</t>
        </is>
      </c>
      <c r="C98" s="24" t="inlineStr">
        <is>
          <t>2026-08-26T21:00:00Z</t>
        </is>
      </c>
      <c r="D98" s="24" t="inlineStr">
        <is>
          <t>90129</t>
        </is>
      </c>
      <c r="E98" s="24" t="inlineStr">
        <is>
          <t>LOL</t>
        </is>
      </c>
      <c r="F98" s="24" t="inlineStr">
        <is>
          <t>Dorado Gaming</t>
        </is>
      </c>
      <c r="G98" s="24" t="inlineStr">
        <is>
          <t>Conviction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-223</v>
      </c>
      <c r="M98" s="27" t="n">
        <v>1.44843</v>
      </c>
      <c r="N98" s="28" t="n">
        <v>0.690402</v>
      </c>
      <c r="O98" s="28" t="n">
        <v>0.56864</v>
      </c>
      <c r="P98" s="28" t="n"/>
      <c r="Q98" s="28" t="n">
        <v>-0.121762</v>
      </c>
      <c r="R98" s="26" t="n">
        <v>0</v>
      </c>
      <c r="S98" s="29" t="n">
        <v>1</v>
      </c>
      <c r="T98" s="24" t="inlineStr">
        <is>
          <t>lol-tiered-elo-v6</t>
        </is>
      </c>
      <c r="U98" s="24" t="inlineStr">
        <is>
          <t>settled</t>
        </is>
      </c>
      <c r="V98" s="24" t="inlineStr">
        <is>
          <t>win</t>
        </is>
      </c>
      <c r="W98" s="26" t="n">
        <v>0</v>
      </c>
      <c r="X98" s="26" t="n">
        <v>1</v>
      </c>
      <c r="Y98" s="25" t="n"/>
      <c r="Z98" s="26" t="n">
        <v>-223</v>
      </c>
      <c r="AA98" s="28" t="n">
        <v>0.6899999999999999</v>
      </c>
      <c r="AB98" s="28" t="n">
        <v>-0.000402</v>
      </c>
      <c r="AC98" s="30" t="n">
        <v>0.4484</v>
      </c>
      <c r="AD98" s="24" t="inlineStr">
        <is>
          <t>2026-08-27T00:43:10.020597Z</t>
        </is>
      </c>
      <c r="AE98" s="31" t="inlineStr">
        <is>
          <t>Neutral Elo baseline; executable ask 0.6900 (market_slug=aec-lol-cnv-dog-2026-08-26).</t>
        </is>
      </c>
      <c r="AF98" s="31" t="inlineStr">
        <is>
          <t>Config-promoted esports baseline; gates enforced at log time.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paper_call</t>
        </is>
      </c>
      <c r="AL98" s="26" t="n">
        <v>4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PAPER_CALL_LOW_EDGE</t>
        </is>
      </c>
      <c r="AP98" s="24" t="inlineStr">
        <is>
          <t>Dorado Gaming</t>
        </is>
      </c>
      <c r="AQ98" s="24" t="inlineStr">
        <is>
          <t>Dorado Gaming</t>
        </is>
      </c>
      <c r="AR98" s="24" t="inlineStr">
        <is>
          <t>Dorado Gaming</t>
        </is>
      </c>
      <c r="AS98" s="24" t="inlineStr">
        <is>
          <t>Conviction</t>
        </is>
      </c>
      <c r="AT98" s="24" t="inlineStr">
        <is>
          <t>Conviction</t>
        </is>
      </c>
      <c r="AU98" s="24" t="inlineStr">
        <is>
          <t>Conviction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51664fb06128ba82f7e9a96ec912f8cb5c44302c54d524d2a0939c20f4d212e1</t>
        </is>
      </c>
      <c r="BB98" s="24" t="inlineStr">
        <is>
          <t>neutral_elo</t>
        </is>
      </c>
      <c r="BC98" s="24" t="inlineStr">
        <is>
          <t>lol-tiered-elo-v6</t>
        </is>
      </c>
      <c r="BD98" s="24" t="inlineStr">
        <is>
          <t>51664fb06128ba82f7e9a96ec912f8cb5c44302c54d524d2a0939c20f4d212e1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lol-tiered-elo-v6</t>
        </is>
      </c>
      <c r="BH98" s="24" t="inlineStr">
        <is>
          <t>2026-08-26T16:36:36.946433Z</t>
        </is>
      </c>
      <c r="BI98" s="24" t="inlineStr">
        <is>
          <t>["same_event","same_team_same_day","same_league_same_day"]</t>
        </is>
      </c>
      <c r="BJ98" s="25" t="n"/>
      <c r="BK98" s="26" t="n">
        <v>-223</v>
      </c>
      <c r="BL98" s="27" t="n">
        <v>1.44843</v>
      </c>
      <c r="BM98" s="28" t="n">
        <v>0.690402</v>
      </c>
      <c r="BN98" s="28" t="n"/>
      <c r="BO98" s="28" t="n"/>
      <c r="BP98" s="25" t="n"/>
      <c r="BQ98" s="27" t="n">
        <v>1.44843</v>
      </c>
      <c r="BR98" s="28" t="n">
        <v>0.6899999999999999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False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0.690402</t>
        </is>
      </c>
      <c r="DK98" s="24" t="n"/>
      <c r="DL98" s="24" t="n"/>
      <c r="DM98" s="24" t="n"/>
      <c r="DN98" s="24" t="n"/>
      <c r="DO98" s="24" t="n"/>
      <c r="DP98" s="24" t="n"/>
      <c r="DQ98" s="24" t="n"/>
    </row>
    <row r="99" ht="36" customHeight="1">
      <c r="A99" s="24" t="inlineStr">
        <is>
          <t>9bbbabaf181942fd</t>
        </is>
      </c>
      <c r="B99" s="24" t="inlineStr">
        <is>
          <t>2026-08-27T00:44:50.294417Z</t>
        </is>
      </c>
      <c r="C99" s="24" t="inlineStr">
        <is>
          <t>2026-08-27T08:00:00Z</t>
        </is>
      </c>
      <c r="D99" s="24" t="inlineStr">
        <is>
          <t>90755</t>
        </is>
      </c>
      <c r="E99" s="24" t="inlineStr">
        <is>
          <t>LOL</t>
        </is>
      </c>
      <c r="F99" s="24" t="inlineStr">
        <is>
          <t>BNK FEARX</t>
        </is>
      </c>
      <c r="G99" s="24" t="inlineStr">
        <is>
          <t>Nongshim Red Force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-133</v>
      </c>
      <c r="M99" s="27" t="n">
        <v>1.75188</v>
      </c>
      <c r="N99" s="28" t="n">
        <v>0.570815</v>
      </c>
      <c r="O99" s="28" t="n">
        <v>0.581748</v>
      </c>
      <c r="P99" s="28" t="n"/>
      <c r="Q99" s="28" t="n">
        <v>0.010933</v>
      </c>
      <c r="R99" s="26" t="n">
        <v>25</v>
      </c>
      <c r="S99" s="29" t="n">
        <v>1</v>
      </c>
      <c r="T99" s="24" t="inlineStr">
        <is>
          <t>lol-tiered-elo-v6</t>
        </is>
      </c>
      <c r="U99" s="24" t="inlineStr">
        <is>
          <t>settled</t>
        </is>
      </c>
      <c r="V99" s="24" t="inlineStr">
        <is>
          <t>loss</t>
        </is>
      </c>
      <c r="W99" s="26" t="n">
        <v>1</v>
      </c>
      <c r="X99" s="26" t="n">
        <v>0</v>
      </c>
      <c r="Y99" s="25" t="n"/>
      <c r="Z99" s="26" t="n"/>
      <c r="AA99" s="28" t="n"/>
      <c r="AB99" s="28" t="n"/>
      <c r="AC99" s="30" t="n">
        <v>-1</v>
      </c>
      <c r="AD99" s="24" t="inlineStr">
        <is>
          <t>2026-08-27T12:32:14.358345Z</t>
        </is>
      </c>
      <c r="AE99" s="31" t="inlineStr">
        <is>
          <t>Neutral Elo baseline; executable ask 0.5700 (market_slug=aec-lol-ns-bfx-2026-08-27).</t>
        </is>
      </c>
      <c r="AF99" s="31" t="inlineStr">
        <is>
          <t>Config-promoted esports baseline; gates enforced at log time.</t>
        </is>
      </c>
      <c r="AG99" s="24" t="inlineStr">
        <is>
          <t>review_required</t>
        </is>
      </c>
      <c r="AH99" s="24" t="n"/>
      <c r="AI99" s="31" t="n"/>
      <c r="AJ99" s="31" t="n"/>
      <c r="AK99" s="24" t="inlineStr">
        <is>
          <t>paper_call</t>
        </is>
      </c>
      <c r="AL99" s="26" t="n">
        <v>4</v>
      </c>
      <c r="AM99" s="24" t="inlineStr">
        <is>
          <t>RESEARCH_OBSERVATION</t>
        </is>
      </c>
      <c r="AN99" s="24" t="inlineStr">
        <is>
          <t>CALL</t>
        </is>
      </c>
      <c r="AO99" s="24" t="inlineStr">
        <is>
          <t>PAPER_CALL_LOW_EDGE</t>
        </is>
      </c>
      <c r="AP99" s="24" t="inlineStr">
        <is>
          <t>BNK FEARX</t>
        </is>
      </c>
      <c r="AQ99" s="24" t="inlineStr">
        <is>
          <t>BNK FEARX</t>
        </is>
      </c>
      <c r="AR99" s="24" t="inlineStr">
        <is>
          <t>BNK FEARX</t>
        </is>
      </c>
      <c r="AS99" s="24" t="inlineStr">
        <is>
          <t>Nongshim Red Force</t>
        </is>
      </c>
      <c r="AT99" s="24" t="inlineStr">
        <is>
          <t>Nongshim Red Force</t>
        </is>
      </c>
      <c r="AU99" s="24" t="inlineStr">
        <is>
          <t>Nongshim Red Force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d6a64a66507a317f6b525b0bd9774389b3fd1fc68d892896d2cae9c4082fc990</t>
        </is>
      </c>
      <c r="BB99" s="24" t="inlineStr">
        <is>
          <t>neutral_elo</t>
        </is>
      </c>
      <c r="BC99" s="24" t="inlineStr">
        <is>
          <t>lol-tiered-elo-v6</t>
        </is>
      </c>
      <c r="BD99" s="24" t="inlineStr">
        <is>
          <t>d6a64a66507a317f6b525b0bd9774389b3fd1fc68d892896d2cae9c4082fc990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lol-tiered-elo-v6</t>
        </is>
      </c>
      <c r="BH99" s="24" t="inlineStr">
        <is>
          <t>2026-08-27T00:44:47.871419Z</t>
        </is>
      </c>
      <c r="BI99" s="24" t="inlineStr">
        <is>
          <t>["same_event","same_team_same_day","same_league_same_day"]</t>
        </is>
      </c>
      <c r="BJ99" s="25" t="n"/>
      <c r="BK99" s="26" t="n">
        <v>-133</v>
      </c>
      <c r="BL99" s="27" t="n">
        <v>1.75188</v>
      </c>
      <c r="BM99" s="28" t="n">
        <v>0.570815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True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0.570815</t>
        </is>
      </c>
      <c r="DK99" s="24" t="n"/>
      <c r="DL99" s="24" t="n"/>
      <c r="DM99" s="24" t="n"/>
      <c r="DN99" s="24" t="n"/>
      <c r="DO99" s="24" t="n"/>
      <c r="DP99" s="24" t="n"/>
      <c r="DQ99" s="24" t="n"/>
    </row>
    <row r="100" ht="36" customHeight="1">
      <c r="A100" s="24" t="inlineStr">
        <is>
          <t>637bca4bde8d46dd</t>
        </is>
      </c>
      <c r="B100" s="24" t="inlineStr">
        <is>
          <t>2026-08-27T14:00:24.713200Z</t>
        </is>
      </c>
      <c r="C100" s="24" t="inlineStr">
        <is>
          <t>2026-08-27T15:00:00Z</t>
        </is>
      </c>
      <c r="D100" s="24" t="inlineStr">
        <is>
          <t>90893</t>
        </is>
      </c>
      <c r="E100" s="24" t="inlineStr">
        <is>
          <t>LOL</t>
        </is>
      </c>
      <c r="F100" s="24" t="inlineStr">
        <is>
          <t>Dark Passage</t>
        </is>
      </c>
      <c r="G100" s="24" t="inlineStr">
        <is>
          <t>DIA Ozarox Esports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-122</v>
      </c>
      <c r="M100" s="27" t="n">
        <v>1.819672</v>
      </c>
      <c r="N100" s="28" t="n">
        <v>0.54955</v>
      </c>
      <c r="O100" s="28" t="n">
        <v>0.583839</v>
      </c>
      <c r="P100" s="28" t="n"/>
      <c r="Q100" s="28" t="n">
        <v>0.034289</v>
      </c>
      <c r="R100" s="26" t="n">
        <v>37</v>
      </c>
      <c r="S100" s="29" t="n">
        <v>1</v>
      </c>
      <c r="T100" s="24" t="inlineStr">
        <is>
          <t>lol-tiered-elo-v6</t>
        </is>
      </c>
      <c r="U100" s="24" t="inlineStr">
        <is>
          <t>settled</t>
        </is>
      </c>
      <c r="V100" s="24" t="inlineStr">
        <is>
          <t>loss</t>
        </is>
      </c>
      <c r="W100" s="26" t="n">
        <v>1</v>
      </c>
      <c r="X100" s="26" t="n">
        <v>0</v>
      </c>
      <c r="Y100" s="25" t="n"/>
      <c r="Z100" s="26" t="n">
        <v>-117</v>
      </c>
      <c r="AA100" s="28" t="n">
        <v>0.54</v>
      </c>
      <c r="AB100" s="28" t="n">
        <v>-0.009549999999999999</v>
      </c>
      <c r="AC100" s="30" t="n">
        <v>-1</v>
      </c>
      <c r="AD100" s="24" t="inlineStr">
        <is>
          <t>2026-08-27T21:53:22.933310Z</t>
        </is>
      </c>
      <c r="AE100" s="31" t="inlineStr">
        <is>
          <t>Neutral Elo baseline; executable ask 0.5500 (market_slug=aec-lol-dia-dp-2026-08-27).</t>
        </is>
      </c>
      <c r="AF100" s="31" t="inlineStr">
        <is>
          <t>Config-promoted esports baseline; gates enforced at log time.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4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Dark Passage</t>
        </is>
      </c>
      <c r="AQ100" s="24" t="inlineStr">
        <is>
          <t>Dark Passage</t>
        </is>
      </c>
      <c r="AR100" s="24" t="inlineStr">
        <is>
          <t>Dark Passage</t>
        </is>
      </c>
      <c r="AS100" s="24" t="inlineStr">
        <is>
          <t>DIA Ozarox Esports</t>
        </is>
      </c>
      <c r="AT100" s="24" t="inlineStr">
        <is>
          <t>DIA Ozarox Esports</t>
        </is>
      </c>
      <c r="AU100" s="24" t="inlineStr">
        <is>
          <t>DIA Ozarox Esports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db7e9ba8f73784a981c9cc767ea72905d718d42f8b1b8a8cee06b10265ded15e</t>
        </is>
      </c>
      <c r="BB100" s="24" t="inlineStr">
        <is>
          <t>neutral_elo</t>
        </is>
      </c>
      <c r="BC100" s="24" t="inlineStr">
        <is>
          <t>lol-tiered-elo-v6</t>
        </is>
      </c>
      <c r="BD100" s="24" t="inlineStr">
        <is>
          <t>db7e9ba8f73784a981c9cc767ea72905d718d42f8b1b8a8cee06b10265ded15e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lol-tiered-elo-v6</t>
        </is>
      </c>
      <c r="BH100" s="24" t="inlineStr">
        <is>
          <t>2026-08-27T14:00:14.881119Z</t>
        </is>
      </c>
      <c r="BI100" s="24" t="inlineStr">
        <is>
          <t>["same_event","same_team_same_day","same_league_same_day"]</t>
        </is>
      </c>
      <c r="BJ100" s="25" t="n"/>
      <c r="BK100" s="26" t="n">
        <v>-122</v>
      </c>
      <c r="BL100" s="27" t="n">
        <v>1.819672</v>
      </c>
      <c r="BM100" s="28" t="n">
        <v>0.54955</v>
      </c>
      <c r="BN100" s="28" t="n"/>
      <c r="BO100" s="28" t="n"/>
      <c r="BP100" s="25" t="n"/>
      <c r="BQ100" s="27" t="n">
        <v>1.854701</v>
      </c>
      <c r="BR100" s="28" t="n">
        <v>0.54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0.54955</t>
        </is>
      </c>
      <c r="DK100" s="24" t="n"/>
      <c r="DL100" s="24" t="n"/>
      <c r="DM100" s="24" t="n"/>
      <c r="DN100" s="24" t="n"/>
      <c r="DO100" s="24" t="n"/>
      <c r="DP100" s="24" t="n"/>
      <c r="DQ100" s="24" t="n"/>
    </row>
    <row r="101" ht="36" customHeight="1">
      <c r="A101" s="24" t="inlineStr">
        <is>
          <t>d89f37d863dd4cd9</t>
        </is>
      </c>
      <c r="B101" s="24" t="inlineStr">
        <is>
          <t>2026-08-27T14:00:24.713200Z</t>
        </is>
      </c>
      <c r="C101" s="24" t="inlineStr">
        <is>
          <t>2026-08-27T16:00:00Z</t>
        </is>
      </c>
      <c r="D101" s="24" t="inlineStr">
        <is>
          <t>93586</t>
        </is>
      </c>
      <c r="E101" s="24" t="inlineStr">
        <is>
          <t>LOL</t>
        </is>
      </c>
      <c r="F101" s="24" t="inlineStr">
        <is>
          <t>The Secret Club</t>
        </is>
      </c>
      <c r="G101" s="24" t="inlineStr">
        <is>
          <t>Lenovo Legion Honvéd</t>
        </is>
      </c>
      <c r="H101" s="24" t="inlineStr">
        <is>
          <t>moneyline</t>
        </is>
      </c>
      <c r="I101" s="24" t="inlineStr">
        <is>
          <t>away</t>
        </is>
      </c>
      <c r="J101" s="25" t="n"/>
      <c r="K101" s="24" t="inlineStr">
        <is>
          <t>polymarket_us</t>
        </is>
      </c>
      <c r="L101" s="26" t="n">
        <v>-156</v>
      </c>
      <c r="M101" s="27" t="n">
        <v>1.641026</v>
      </c>
      <c r="N101" s="28" t="n">
        <v>0.609375</v>
      </c>
      <c r="O101" s="28" t="n">
        <v>0.53506</v>
      </c>
      <c r="P101" s="28" t="n"/>
      <c r="Q101" s="28" t="n">
        <v>-0.07431500000000001</v>
      </c>
      <c r="R101" s="26" t="n">
        <v>0</v>
      </c>
      <c r="S101" s="29" t="n">
        <v>1</v>
      </c>
      <c r="T101" s="24" t="inlineStr">
        <is>
          <t>lol-tiered-elo-v6</t>
        </is>
      </c>
      <c r="U101" s="24" t="inlineStr">
        <is>
          <t>settled</t>
        </is>
      </c>
      <c r="V101" s="24" t="inlineStr">
        <is>
          <t>win</t>
        </is>
      </c>
      <c r="W101" s="26" t="n">
        <v>1</v>
      </c>
      <c r="X101" s="26" t="n">
        <v>0</v>
      </c>
      <c r="Y101" s="25" t="n"/>
      <c r="Z101" s="26" t="n">
        <v>-156</v>
      </c>
      <c r="AA101" s="28" t="n">
        <v>0.61</v>
      </c>
      <c r="AB101" s="28" t="n">
        <v>0.000625</v>
      </c>
      <c r="AC101" s="30" t="n">
        <v>0.641</v>
      </c>
      <c r="AD101" s="24" t="inlineStr">
        <is>
          <t>2026-08-27T21:53:24.019801Z</t>
        </is>
      </c>
      <c r="AE101" s="31" t="inlineStr">
        <is>
          <t>Neutral Elo baseline; executable ask 0.6100 (market_slug=aec-lol-llh-tsc-2026-08-27).</t>
        </is>
      </c>
      <c r="AF101" s="31" t="inlineStr">
        <is>
          <t>Config-promoted esports baseline; gates enforced at log time.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paper_call</t>
        </is>
      </c>
      <c r="AL101" s="26" t="n">
        <v>4</v>
      </c>
      <c r="AM101" s="24" t="inlineStr">
        <is>
          <t>RESEARCH_OBSERVATION</t>
        </is>
      </c>
      <c r="AN101" s="24" t="inlineStr">
        <is>
          <t>CALL</t>
        </is>
      </c>
      <c r="AO101" s="24" t="inlineStr">
        <is>
          <t>PAPER_CALL_LOW_EDGE</t>
        </is>
      </c>
      <c r="AP101" s="24" t="inlineStr">
        <is>
          <t>The Secret Club</t>
        </is>
      </c>
      <c r="AQ101" s="24" t="inlineStr">
        <is>
          <t>The Secret Club</t>
        </is>
      </c>
      <c r="AR101" s="24" t="inlineStr">
        <is>
          <t>The Secret Club</t>
        </is>
      </c>
      <c r="AS101" s="24" t="inlineStr">
        <is>
          <t>Lenovo Legion Honvéd</t>
        </is>
      </c>
      <c r="AT101" s="24" t="inlineStr">
        <is>
          <t>Lenovo Legion Honvéd</t>
        </is>
      </c>
      <c r="AU101" s="24" t="inlineStr">
        <is>
          <t>Lenovo Legion Honvéd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db7e9ba8f73784a981c9cc767ea72905d718d42f8b1b8a8cee06b10265ded15e</t>
        </is>
      </c>
      <c r="BB101" s="24" t="inlineStr">
        <is>
          <t>neutral_elo</t>
        </is>
      </c>
      <c r="BC101" s="24" t="inlineStr">
        <is>
          <t>lol-tiered-elo-v6</t>
        </is>
      </c>
      <c r="BD101" s="24" t="inlineStr">
        <is>
          <t>db7e9ba8f73784a981c9cc767ea72905d718d42f8b1b8a8cee06b10265ded15e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lol-tiered-elo-v6</t>
        </is>
      </c>
      <c r="BH101" s="24" t="inlineStr">
        <is>
          <t>2026-08-27T14:00:15.008188Z</t>
        </is>
      </c>
      <c r="BI101" s="24" t="inlineStr">
        <is>
          <t>["same_event","same_team_same_day","same_league_same_day"]</t>
        </is>
      </c>
      <c r="BJ101" s="25" t="n"/>
      <c r="BK101" s="26" t="n">
        <v>-156</v>
      </c>
      <c r="BL101" s="27" t="n">
        <v>1.641026</v>
      </c>
      <c r="BM101" s="28" t="n">
        <v>0.609375</v>
      </c>
      <c r="BN101" s="28" t="n"/>
      <c r="BO101" s="28" t="n"/>
      <c r="BP101" s="25" t="n"/>
      <c r="BQ101" s="27" t="n">
        <v>1.641026</v>
      </c>
      <c r="BR101" s="28" t="n">
        <v>0.61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False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0.609375</t>
        </is>
      </c>
      <c r="DK101" s="24" t="n"/>
      <c r="DL101" s="24" t="n"/>
      <c r="DM101" s="24" t="n"/>
      <c r="DN101" s="24" t="n"/>
      <c r="DO101" s="24" t="n"/>
      <c r="DP101" s="24" t="n"/>
      <c r="DQ101" s="24" t="n"/>
    </row>
    <row r="102" ht="36" customHeight="1">
      <c r="A102" s="24" t="inlineStr">
        <is>
          <t>796315010ef244e5</t>
        </is>
      </c>
      <c r="B102" s="24" t="inlineStr">
        <is>
          <t>2026-08-27T14:00:24.713200Z</t>
        </is>
      </c>
      <c r="C102" s="24" t="inlineStr">
        <is>
          <t>2026-08-27T16:00:00Z</t>
        </is>
      </c>
      <c r="D102" s="24" t="inlineStr">
        <is>
          <t>90922</t>
        </is>
      </c>
      <c r="E102" s="24" t="inlineStr">
        <is>
          <t>LOL</t>
        </is>
      </c>
      <c r="F102" s="24" t="inlineStr">
        <is>
          <t>Skillcamp Esport</t>
        </is>
      </c>
      <c r="G102" s="24" t="inlineStr">
        <is>
          <t>Karmine Corp Blue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-233</v>
      </c>
      <c r="M102" s="27" t="n">
        <v>1.429185</v>
      </c>
      <c r="N102" s="28" t="n">
        <v>0.6997</v>
      </c>
      <c r="O102" s="28" t="n">
        <v>0.60316</v>
      </c>
      <c r="P102" s="28" t="n"/>
      <c r="Q102" s="28" t="n">
        <v>-0.09654</v>
      </c>
      <c r="R102" s="26" t="n">
        <v>0</v>
      </c>
      <c r="S102" s="29" t="n">
        <v>1</v>
      </c>
      <c r="T102" s="24" t="inlineStr">
        <is>
          <t>lol-tiered-elo-v6</t>
        </is>
      </c>
      <c r="U102" s="24" t="inlineStr">
        <is>
          <t>settled</t>
        </is>
      </c>
      <c r="V102" s="24" t="inlineStr">
        <is>
          <t>win</t>
        </is>
      </c>
      <c r="W102" s="26" t="n">
        <v>0</v>
      </c>
      <c r="X102" s="26" t="n">
        <v>1</v>
      </c>
      <c r="Y102" s="25" t="n"/>
      <c r="Z102" s="26" t="n">
        <v>-245</v>
      </c>
      <c r="AA102" s="28" t="n">
        <v>0.71</v>
      </c>
      <c r="AB102" s="28" t="n">
        <v>0.0103</v>
      </c>
      <c r="AC102" s="30" t="n">
        <v>0.4292</v>
      </c>
      <c r="AD102" s="24" t="inlineStr">
        <is>
          <t>2026-08-27T21:53:24.980973Z</t>
        </is>
      </c>
      <c r="AE102" s="31" t="inlineStr">
        <is>
          <t>Neutral Elo baseline; executable ask 0.7000 (market_slug=aec-lol-kcb-sc-2026-08-27).</t>
        </is>
      </c>
      <c r="AF102" s="31" t="inlineStr">
        <is>
          <t>Config-promoted esports baseline; gates enforced at log time.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paper_call</t>
        </is>
      </c>
      <c r="AL102" s="26" t="n">
        <v>4</v>
      </c>
      <c r="AM102" s="24" t="inlineStr">
        <is>
          <t>RESEARCH_OBSERVATION</t>
        </is>
      </c>
      <c r="AN102" s="24" t="inlineStr">
        <is>
          <t>CALL</t>
        </is>
      </c>
      <c r="AO102" s="24" t="inlineStr">
        <is>
          <t>PAPER_CALL_LOW_EDGE</t>
        </is>
      </c>
      <c r="AP102" s="24" t="inlineStr">
        <is>
          <t>Skillcamp Esport</t>
        </is>
      </c>
      <c r="AQ102" s="24" t="inlineStr">
        <is>
          <t>Skillcamp Esport</t>
        </is>
      </c>
      <c r="AR102" s="24" t="inlineStr">
        <is>
          <t>Skillcamp Esport</t>
        </is>
      </c>
      <c r="AS102" s="24" t="inlineStr">
        <is>
          <t>Karmine Corp Blue</t>
        </is>
      </c>
      <c r="AT102" s="24" t="inlineStr">
        <is>
          <t>Karmine Corp Blue</t>
        </is>
      </c>
      <c r="AU102" s="24" t="inlineStr">
        <is>
          <t>Karmine Corp Blue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db7e9ba8f73784a981c9cc767ea72905d718d42f8b1b8a8cee06b10265ded15e</t>
        </is>
      </c>
      <c r="BB102" s="24" t="inlineStr">
        <is>
          <t>neutral_elo</t>
        </is>
      </c>
      <c r="BC102" s="24" t="inlineStr">
        <is>
          <t>lol-tiered-elo-v6</t>
        </is>
      </c>
      <c r="BD102" s="24" t="inlineStr">
        <is>
          <t>db7e9ba8f73784a981c9cc767ea72905d718d42f8b1b8a8cee06b10265ded15e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lol-tiered-elo-v6</t>
        </is>
      </c>
      <c r="BH102" s="24" t="inlineStr">
        <is>
          <t>2026-08-27T14:00:15.546838Z</t>
        </is>
      </c>
      <c r="BI102" s="24" t="inlineStr">
        <is>
          <t>["same_event","same_team_same_day","same_league_same_day"]</t>
        </is>
      </c>
      <c r="BJ102" s="25" t="n"/>
      <c r="BK102" s="26" t="n">
        <v>-233</v>
      </c>
      <c r="BL102" s="27" t="n">
        <v>1.429185</v>
      </c>
      <c r="BM102" s="28" t="n">
        <v>0.6997</v>
      </c>
      <c r="BN102" s="28" t="n"/>
      <c r="BO102" s="28" t="n"/>
      <c r="BP102" s="25" t="n"/>
      <c r="BQ102" s="27" t="n">
        <v>1.408163</v>
      </c>
      <c r="BR102" s="28" t="n">
        <v>0.71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False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0.6997</t>
        </is>
      </c>
      <c r="DK102" s="24" t="n"/>
      <c r="DL102" s="24" t="n"/>
      <c r="DM102" s="24" t="n"/>
      <c r="DN102" s="24" t="n"/>
      <c r="DO102" s="24" t="n"/>
      <c r="DP102" s="24" t="n"/>
      <c r="DQ102" s="24" t="n"/>
    </row>
    <row r="103" ht="36" customHeight="1">
      <c r="A103" s="24" t="inlineStr">
        <is>
          <t>ff858430ffeb4c7a</t>
        </is>
      </c>
      <c r="B103" s="24" t="inlineStr">
        <is>
          <t>2026-08-27T14:00:24.713200Z</t>
        </is>
      </c>
      <c r="C103" s="24" t="inlineStr">
        <is>
          <t>2026-08-27T16:00:00Z</t>
        </is>
      </c>
      <c r="D103" s="24" t="inlineStr">
        <is>
          <t>90923</t>
        </is>
      </c>
      <c r="E103" s="24" t="inlineStr">
        <is>
          <t>LOL</t>
        </is>
      </c>
      <c r="F103" s="24" t="inlineStr">
        <is>
          <t>TITANS</t>
        </is>
      </c>
      <c r="G103" s="24" t="inlineStr">
        <is>
          <t>EKO Esports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-156</v>
      </c>
      <c r="M103" s="27" t="n">
        <v>1.641026</v>
      </c>
      <c r="N103" s="28" t="n">
        <v>0.609375</v>
      </c>
      <c r="O103" s="28" t="n">
        <v>0.554158</v>
      </c>
      <c r="P103" s="28" t="n"/>
      <c r="Q103" s="28" t="n">
        <v>-0.055217</v>
      </c>
      <c r="R103" s="26" t="n">
        <v>0</v>
      </c>
      <c r="S103" s="29" t="n">
        <v>1</v>
      </c>
      <c r="T103" s="24" t="inlineStr">
        <is>
          <t>lol-tiered-elo-v6</t>
        </is>
      </c>
      <c r="U103" s="24" t="inlineStr">
        <is>
          <t>settled</t>
        </is>
      </c>
      <c r="V103" s="24" t="inlineStr">
        <is>
          <t>loss</t>
        </is>
      </c>
      <c r="W103" s="26" t="n">
        <v>1</v>
      </c>
      <c r="X103" s="26" t="n">
        <v>0</v>
      </c>
      <c r="Y103" s="25" t="n"/>
      <c r="Z103" s="26" t="n">
        <v>-156</v>
      </c>
      <c r="AA103" s="28" t="n">
        <v>0.61</v>
      </c>
      <c r="AB103" s="28" t="n">
        <v>0.000625</v>
      </c>
      <c r="AC103" s="30" t="n">
        <v>-1</v>
      </c>
      <c r="AD103" s="24" t="inlineStr">
        <is>
          <t>2026-08-27T21:53:25.974865Z</t>
        </is>
      </c>
      <c r="AE103" s="31" t="inlineStr">
        <is>
          <t>Neutral Elo baseline; executable ask 0.6100 (market_slug=aec-lol-eko-tts-2026-08-27).</t>
        </is>
      </c>
      <c r="AF103" s="31" t="inlineStr">
        <is>
          <t>Config-promoted esports baseline; gates enforced at log time.</t>
        </is>
      </c>
      <c r="AG103" s="24" t="inlineStr">
        <is>
          <t>review_required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4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PAPER_CALL_LOW_EDGE</t>
        </is>
      </c>
      <c r="AP103" s="24" t="inlineStr">
        <is>
          <t>TITANS</t>
        </is>
      </c>
      <c r="AQ103" s="24" t="inlineStr">
        <is>
          <t>TITANS</t>
        </is>
      </c>
      <c r="AR103" s="24" t="inlineStr">
        <is>
          <t>TITANS</t>
        </is>
      </c>
      <c r="AS103" s="24" t="inlineStr">
        <is>
          <t>EKO Esports</t>
        </is>
      </c>
      <c r="AT103" s="24" t="inlineStr">
        <is>
          <t>EKO Esports</t>
        </is>
      </c>
      <c r="AU103" s="24" t="inlineStr">
        <is>
          <t>EKO Esports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db7e9ba8f73784a981c9cc767ea72905d718d42f8b1b8a8cee06b10265ded15e</t>
        </is>
      </c>
      <c r="BB103" s="24" t="inlineStr">
        <is>
          <t>neutral_elo</t>
        </is>
      </c>
      <c r="BC103" s="24" t="inlineStr">
        <is>
          <t>lol-tiered-elo-v6</t>
        </is>
      </c>
      <c r="BD103" s="24" t="inlineStr">
        <is>
          <t>db7e9ba8f73784a981c9cc767ea72905d718d42f8b1b8a8cee06b10265ded15e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lol-tiered-elo-v6</t>
        </is>
      </c>
      <c r="BH103" s="24" t="inlineStr">
        <is>
          <t>2026-08-27T14:00:15.912517Z</t>
        </is>
      </c>
      <c r="BI103" s="24" t="inlineStr">
        <is>
          <t>["same_event","same_team_same_day","same_league_same_day"]</t>
        </is>
      </c>
      <c r="BJ103" s="25" t="n"/>
      <c r="BK103" s="26" t="n">
        <v>-156</v>
      </c>
      <c r="BL103" s="27" t="n">
        <v>1.641026</v>
      </c>
      <c r="BM103" s="28" t="n">
        <v>0.609375</v>
      </c>
      <c r="BN103" s="28" t="n"/>
      <c r="BO103" s="28" t="n"/>
      <c r="BP103" s="25" t="n"/>
      <c r="BQ103" s="27" t="n">
        <v>1.641026</v>
      </c>
      <c r="BR103" s="28" t="n">
        <v>0.61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False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0.609375</t>
        </is>
      </c>
      <c r="DK103" s="24" t="n"/>
      <c r="DL103" s="24" t="n"/>
      <c r="DM103" s="24" t="n"/>
      <c r="DN103" s="24" t="n"/>
      <c r="DO103" s="24" t="n"/>
      <c r="DP103" s="24" t="n"/>
      <c r="DQ103" s="24" t="n"/>
    </row>
    <row r="104" ht="36" customHeight="1">
      <c r="A104" s="24" t="inlineStr">
        <is>
          <t>80fb2ac6a8b04dc3</t>
        </is>
      </c>
      <c r="B104" s="24" t="inlineStr">
        <is>
          <t>2026-08-27T14:00:24.713200Z</t>
        </is>
      </c>
      <c r="C104" s="24" t="inlineStr">
        <is>
          <t>2026-08-27T16:30:00Z</t>
        </is>
      </c>
      <c r="D104" s="24" t="inlineStr">
        <is>
          <t>90936</t>
        </is>
      </c>
      <c r="E104" s="24" t="inlineStr">
        <is>
          <t>LOL</t>
        </is>
      </c>
      <c r="F104" s="24" t="inlineStr">
        <is>
          <t>Bohemian Guardians</t>
        </is>
      </c>
      <c r="G104" s="24" t="inlineStr">
        <is>
          <t>Onion Team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-127</v>
      </c>
      <c r="M104" s="27" t="n">
        <v>1.787402</v>
      </c>
      <c r="N104" s="28" t="n">
        <v>0.5594710000000001</v>
      </c>
      <c r="O104" s="28" t="n">
        <v>0.533717</v>
      </c>
      <c r="P104" s="28" t="n"/>
      <c r="Q104" s="28" t="n">
        <v>-0.025754</v>
      </c>
      <c r="R104" s="26" t="n">
        <v>7</v>
      </c>
      <c r="S104" s="29" t="n">
        <v>1</v>
      </c>
      <c r="T104" s="24" t="inlineStr">
        <is>
          <t>lol-tiered-elo-v6</t>
        </is>
      </c>
      <c r="U104" s="24" t="inlineStr">
        <is>
          <t>settled</t>
        </is>
      </c>
      <c r="V104" s="24" t="inlineStr">
        <is>
          <t>loss</t>
        </is>
      </c>
      <c r="W104" s="26" t="n">
        <v>1</v>
      </c>
      <c r="X104" s="26" t="n">
        <v>0</v>
      </c>
      <c r="Y104" s="25" t="n"/>
      <c r="Z104" s="26" t="n">
        <v>-127</v>
      </c>
      <c r="AA104" s="28" t="n">
        <v>0.5600000000000001</v>
      </c>
      <c r="AB104" s="28" t="n">
        <v>0.000529</v>
      </c>
      <c r="AC104" s="30" t="n">
        <v>-1</v>
      </c>
      <c r="AD104" s="24" t="inlineStr">
        <is>
          <t>2026-08-27T21:53:27.827075Z</t>
        </is>
      </c>
      <c r="AE104" s="31" t="inlineStr">
        <is>
          <t>Neutral Elo baseline; executable ask 0.5600 (market_slug=aec-lol-ot-bg-2026-08-27).</t>
        </is>
      </c>
      <c r="AF104" s="31" t="inlineStr">
        <is>
          <t>Config-promoted esports baseline; gates enforced at log time.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PAPER_CALL_LOW_EDGE</t>
        </is>
      </c>
      <c r="AP104" s="24" t="inlineStr">
        <is>
          <t>Bohemian Guardians</t>
        </is>
      </c>
      <c r="AQ104" s="24" t="inlineStr">
        <is>
          <t>Bohemian Guardians</t>
        </is>
      </c>
      <c r="AR104" s="24" t="inlineStr">
        <is>
          <t>Bohemian Guardians</t>
        </is>
      </c>
      <c r="AS104" s="24" t="inlineStr">
        <is>
          <t>Onion Team</t>
        </is>
      </c>
      <c r="AT104" s="24" t="inlineStr">
        <is>
          <t>Onion Team</t>
        </is>
      </c>
      <c r="AU104" s="24" t="inlineStr">
        <is>
          <t>Onion Team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db7e9ba8f73784a981c9cc767ea72905d718d42f8b1b8a8cee06b10265ded15e</t>
        </is>
      </c>
      <c r="BB104" s="24" t="inlineStr">
        <is>
          <t>neutral_elo</t>
        </is>
      </c>
      <c r="BC104" s="24" t="inlineStr">
        <is>
          <t>lol-tiered-elo-v6</t>
        </is>
      </c>
      <c r="BD104" s="24" t="inlineStr">
        <is>
          <t>db7e9ba8f73784a981c9cc767ea72905d718d42f8b1b8a8cee06b10265ded15e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lol-tiered-elo-v6</t>
        </is>
      </c>
      <c r="BH104" s="24" t="inlineStr">
        <is>
          <t>2026-08-27T14:00:17.695026Z</t>
        </is>
      </c>
      <c r="BI104" s="24" t="inlineStr">
        <is>
          <t>["same_event","same_team_same_day","same_league_same_day"]</t>
        </is>
      </c>
      <c r="BJ104" s="25" t="n"/>
      <c r="BK104" s="26" t="n">
        <v>-127</v>
      </c>
      <c r="BL104" s="27" t="n">
        <v>1.787402</v>
      </c>
      <c r="BM104" s="28" t="n">
        <v>0.5594710000000001</v>
      </c>
      <c r="BN104" s="28" t="n"/>
      <c r="BO104" s="28" t="n"/>
      <c r="BP104" s="25" t="n"/>
      <c r="BQ104" s="27" t="n">
        <v>1.787402</v>
      </c>
      <c r="BR104" s="28" t="n">
        <v>0.5600000000000001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False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0.559471</t>
        </is>
      </c>
      <c r="DK104" s="24" t="n"/>
      <c r="DL104" s="24" t="n"/>
      <c r="DM104" s="24" t="n"/>
      <c r="DN104" s="24" t="n"/>
      <c r="DO104" s="24" t="n"/>
      <c r="DP104" s="24" t="n"/>
      <c r="DQ104" s="24" t="n"/>
    </row>
    <row r="105" ht="36" customHeight="1">
      <c r="A105" s="24" t="inlineStr">
        <is>
          <t>cb8e63f25a254481</t>
        </is>
      </c>
      <c r="B105" s="24" t="inlineStr">
        <is>
          <t>2026-08-27T14:00:24.713200Z</t>
        </is>
      </c>
      <c r="C105" s="24" t="inlineStr">
        <is>
          <t>2026-08-27T17:00:00Z</t>
        </is>
      </c>
      <c r="D105" s="24" t="inlineStr">
        <is>
          <t>90949</t>
        </is>
      </c>
      <c r="E105" s="24" t="inlineStr">
        <is>
          <t>LOL</t>
        </is>
      </c>
      <c r="F105" s="24" t="inlineStr">
        <is>
          <t>ZennIT</t>
        </is>
      </c>
      <c r="G105" s="24" t="inlineStr">
        <is>
          <t>mCon esports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-108</v>
      </c>
      <c r="M105" s="27" t="n">
        <v>1.925926</v>
      </c>
      <c r="N105" s="28" t="n">
        <v>0.519231</v>
      </c>
      <c r="O105" s="28" t="n">
        <v>0.56795</v>
      </c>
      <c r="P105" s="28" t="n"/>
      <c r="Q105" s="28" t="n">
        <v>0.048719</v>
      </c>
      <c r="R105" s="26" t="n">
        <v>44</v>
      </c>
      <c r="S105" s="29" t="n">
        <v>1</v>
      </c>
      <c r="T105" s="24" t="inlineStr">
        <is>
          <t>lol-tiered-elo-v6</t>
        </is>
      </c>
      <c r="U105" s="24" t="inlineStr">
        <is>
          <t>settled</t>
        </is>
      </c>
      <c r="V105" s="24" t="inlineStr">
        <is>
          <t>win</t>
        </is>
      </c>
      <c r="W105" s="26" t="n">
        <v>0</v>
      </c>
      <c r="X105" s="26" t="n">
        <v>1</v>
      </c>
      <c r="Y105" s="25" t="n"/>
      <c r="Z105" s="26" t="n">
        <v>-108</v>
      </c>
      <c r="AA105" s="28" t="n">
        <v>0.52</v>
      </c>
      <c r="AB105" s="28" t="n">
        <v>0.000769</v>
      </c>
      <c r="AC105" s="30" t="n">
        <v>0.9258999999999999</v>
      </c>
      <c r="AD105" s="24" t="inlineStr">
        <is>
          <t>2026-08-27T21:53:29.379222Z</t>
        </is>
      </c>
      <c r="AE105" s="31" t="inlineStr">
        <is>
          <t>Neutral Elo baseline; executable ask 0.5200 (market_slug=aec-lol-mcn-znt-2026-08-27).</t>
        </is>
      </c>
      <c r="AF105" s="31" t="inlineStr">
        <is>
          <t>Config-promoted esports baseline; gates enforced at log time.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model_qualified</t>
        </is>
      </c>
      <c r="AL105" s="26" t="n">
        <v>4</v>
      </c>
      <c r="AM105" s="24" t="inlineStr">
        <is>
          <t>QUALIFIED_SHADOW_CALL</t>
        </is>
      </c>
      <c r="AN105" s="24" t="inlineStr">
        <is>
          <t>CALL</t>
        </is>
      </c>
      <c r="AO105" s="24" t="inlineStr">
        <is>
          <t>QUALIFIED</t>
        </is>
      </c>
      <c r="AP105" s="24" t="inlineStr">
        <is>
          <t>ZennIT</t>
        </is>
      </c>
      <c r="AQ105" s="24" t="inlineStr">
        <is>
          <t>ZennIT</t>
        </is>
      </c>
      <c r="AR105" s="24" t="inlineStr">
        <is>
          <t>ZennIT</t>
        </is>
      </c>
      <c r="AS105" s="24" t="inlineStr">
        <is>
          <t>mCon esports</t>
        </is>
      </c>
      <c r="AT105" s="24" t="inlineStr">
        <is>
          <t>mCon esports</t>
        </is>
      </c>
      <c r="AU105" s="24" t="inlineStr">
        <is>
          <t>mCon esports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db7e9ba8f73784a981c9cc767ea72905d718d42f8b1b8a8cee06b10265ded15e</t>
        </is>
      </c>
      <c r="BB105" s="24" t="inlineStr">
        <is>
          <t>neutral_elo</t>
        </is>
      </c>
      <c r="BC105" s="24" t="inlineStr">
        <is>
          <t>lol-tiered-elo-v6</t>
        </is>
      </c>
      <c r="BD105" s="24" t="inlineStr">
        <is>
          <t>db7e9ba8f73784a981c9cc767ea72905d718d42f8b1b8a8cee06b10265ded15e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lol-tiered-elo-v6</t>
        </is>
      </c>
      <c r="BH105" s="24" t="inlineStr">
        <is>
          <t>2026-08-27T14:00:18.627873Z</t>
        </is>
      </c>
      <c r="BI105" s="24" t="inlineStr">
        <is>
          <t>["same_event","same_team_same_day","same_league_same_day"]</t>
        </is>
      </c>
      <c r="BJ105" s="25" t="n"/>
      <c r="BK105" s="26" t="n">
        <v>-108</v>
      </c>
      <c r="BL105" s="27" t="n">
        <v>1.925926</v>
      </c>
      <c r="BM105" s="28" t="n">
        <v>0.519231</v>
      </c>
      <c r="BN105" s="28" t="n"/>
      <c r="BO105" s="28" t="n"/>
      <c r="BP105" s="25" t="n"/>
      <c r="BQ105" s="27" t="n">
        <v>1.925926</v>
      </c>
      <c r="BR105" s="28" t="n">
        <v>0.52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True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0.519231</t>
        </is>
      </c>
      <c r="DK105" s="24" t="n"/>
      <c r="DL105" s="24" t="n"/>
      <c r="DM105" s="24" t="n"/>
      <c r="DN105" s="24" t="n"/>
      <c r="DO105" s="24" t="n"/>
      <c r="DP105" s="24" t="n"/>
      <c r="DQ105" s="24" t="n"/>
    </row>
    <row r="106" ht="36" customHeight="1">
      <c r="A106" s="24" t="inlineStr">
        <is>
          <t>a9497adda0f5466e</t>
        </is>
      </c>
      <c r="B106" s="24" t="inlineStr">
        <is>
          <t>2026-08-27T14:00:24.713200Z</t>
        </is>
      </c>
      <c r="C106" s="24" t="inlineStr">
        <is>
          <t>2026-08-27T21:00:00Z</t>
        </is>
      </c>
      <c r="D106" s="24" t="inlineStr">
        <is>
          <t>91216</t>
        </is>
      </c>
      <c r="E106" s="24" t="inlineStr">
        <is>
          <t>LOL</t>
        </is>
      </c>
      <c r="F106" s="24" t="inlineStr">
        <is>
          <t>University of Mississippi</t>
        </is>
      </c>
      <c r="G106" s="24" t="inlineStr">
        <is>
          <t>Contingent Esports</t>
        </is>
      </c>
      <c r="H106" s="24" t="inlineStr">
        <is>
          <t>moneyline</t>
        </is>
      </c>
      <c r="I106" s="24" t="inlineStr">
        <is>
          <t>home</t>
        </is>
      </c>
      <c r="J106" s="25" t="n"/>
      <c r="K106" s="24" t="inlineStr">
        <is>
          <t>polymarket_us</t>
        </is>
      </c>
      <c r="L106" s="26" t="n">
        <v>186</v>
      </c>
      <c r="M106" s="27" t="n">
        <v>2.86</v>
      </c>
      <c r="N106" s="28" t="n">
        <v>0.34965</v>
      </c>
      <c r="O106" s="28" t="n">
        <v>0.538818</v>
      </c>
      <c r="P106" s="28" t="n"/>
      <c r="Q106" s="28" t="n">
        <v>0.189168</v>
      </c>
      <c r="R106" s="26" t="n">
        <v>100</v>
      </c>
      <c r="S106" s="29" t="n">
        <v>2</v>
      </c>
      <c r="T106" s="24" t="inlineStr">
        <is>
          <t>lol-tiered-elo-v6</t>
        </is>
      </c>
      <c r="U106" s="24" t="inlineStr">
        <is>
          <t>settled</t>
        </is>
      </c>
      <c r="V106" s="24" t="inlineStr">
        <is>
          <t>win</t>
        </is>
      </c>
      <c r="W106" s="26" t="n">
        <v>0</v>
      </c>
      <c r="X106" s="26" t="n">
        <v>1</v>
      </c>
      <c r="Y106" s="25" t="n"/>
      <c r="Z106" s="26" t="n">
        <v>186</v>
      </c>
      <c r="AA106" s="28" t="n">
        <v>0.35</v>
      </c>
      <c r="AB106" s="28" t="n">
        <v>0.00035</v>
      </c>
      <c r="AC106" s="30" t="n">
        <v>3.72</v>
      </c>
      <c r="AD106" s="24" t="inlineStr">
        <is>
          <t>2026-08-28T02:42:21.186682Z</t>
        </is>
      </c>
      <c r="AE106" s="31" t="inlineStr">
        <is>
          <t>Neutral Elo baseline; executable ask 0.3500 (market_slug=aec-lol-cont-miss-2026-08-27).</t>
        </is>
      </c>
      <c r="AF106" s="31" t="inlineStr">
        <is>
          <t>Config-promoted esports baseline; gates enforced at log time.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4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University of Mississippi</t>
        </is>
      </c>
      <c r="AQ106" s="24" t="inlineStr">
        <is>
          <t>University of Mississippi</t>
        </is>
      </c>
      <c r="AR106" s="24" t="inlineStr">
        <is>
          <t>University of Mississippi</t>
        </is>
      </c>
      <c r="AS106" s="24" t="inlineStr">
        <is>
          <t>Contingent Esports</t>
        </is>
      </c>
      <c r="AT106" s="24" t="inlineStr">
        <is>
          <t>Contingent Esports</t>
        </is>
      </c>
      <c r="AU106" s="24" t="inlineStr">
        <is>
          <t>Contingent Esports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db7e9ba8f73784a981c9cc767ea72905d718d42f8b1b8a8cee06b10265ded15e</t>
        </is>
      </c>
      <c r="BB106" s="24" t="inlineStr">
        <is>
          <t>neutral_elo</t>
        </is>
      </c>
      <c r="BC106" s="24" t="inlineStr">
        <is>
          <t>lol-tiered-elo-v6</t>
        </is>
      </c>
      <c r="BD106" s="24" t="inlineStr">
        <is>
          <t>db7e9ba8f73784a981c9cc767ea72905d718d42f8b1b8a8cee06b10265ded15e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lol-tiered-elo-v6</t>
        </is>
      </c>
      <c r="BH106" s="24" t="inlineStr">
        <is>
          <t>2026-08-27T14:00:21.168898Z</t>
        </is>
      </c>
      <c r="BI106" s="24" t="inlineStr">
        <is>
          <t>["same_event","same_team_same_day","same_league_same_day"]</t>
        </is>
      </c>
      <c r="BJ106" s="25" t="n"/>
      <c r="BK106" s="26" t="n">
        <v>186</v>
      </c>
      <c r="BL106" s="27" t="n">
        <v>2.86</v>
      </c>
      <c r="BM106" s="28" t="n">
        <v>0.34965</v>
      </c>
      <c r="BN106" s="28" t="n"/>
      <c r="BO106" s="28" t="n"/>
      <c r="BP106" s="25" t="n"/>
      <c r="BQ106" s="27" t="n">
        <v>2.86</v>
      </c>
      <c r="BR106" s="28" t="n">
        <v>0.35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True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0.34965</t>
        </is>
      </c>
      <c r="DK106" s="24" t="n"/>
      <c r="DL106" s="24" t="n"/>
      <c r="DM106" s="24" t="n"/>
      <c r="DN106" s="24" t="n"/>
      <c r="DO106" s="24" t="n"/>
      <c r="DP106" s="24" t="n"/>
      <c r="DQ106" s="24" t="n"/>
    </row>
    <row r="107" ht="36" customHeight="1">
      <c r="A107" s="24" t="inlineStr">
        <is>
          <t>fc18b94c782c4035</t>
        </is>
      </c>
      <c r="B107" s="24" t="inlineStr">
        <is>
          <t>2026-08-28T02:44:36.816853Z</t>
        </is>
      </c>
      <c r="C107" s="24" t="inlineStr">
        <is>
          <t>2026-08-28T08:00:00Z</t>
        </is>
      </c>
      <c r="D107" s="24" t="inlineStr">
        <is>
          <t>94291</t>
        </is>
      </c>
      <c r="E107" s="24" t="inlineStr">
        <is>
          <t>LOL</t>
        </is>
      </c>
      <c r="F107" s="24" t="inlineStr">
        <is>
          <t>BNK FEARX</t>
        </is>
      </c>
      <c r="G107" s="24" t="inlineStr">
        <is>
          <t>HANJIN BRION</t>
        </is>
      </c>
      <c r="H107" s="24" t="inlineStr">
        <is>
          <t>moneyline</t>
        </is>
      </c>
      <c r="I107" s="24" t="inlineStr">
        <is>
          <t>away</t>
        </is>
      </c>
      <c r="J107" s="25" t="n"/>
      <c r="K107" s="24" t="inlineStr">
        <is>
          <t>polymarket_us</t>
        </is>
      </c>
      <c r="L107" s="26" t="n">
        <v>-127</v>
      </c>
      <c r="M107" s="27" t="n">
        <v>1.787402</v>
      </c>
      <c r="N107" s="28" t="n">
        <v>0.5594710000000001</v>
      </c>
      <c r="O107" s="28" t="n">
        <v>0.576087</v>
      </c>
      <c r="P107" s="28" t="n"/>
      <c r="Q107" s="28" t="n">
        <v>0.016616</v>
      </c>
      <c r="R107" s="26" t="n">
        <v>28</v>
      </c>
      <c r="S107" s="29" t="n">
        <v>1</v>
      </c>
      <c r="T107" s="24" t="inlineStr">
        <is>
          <t>lol-tiered-elo-v6</t>
        </is>
      </c>
      <c r="U107" s="24" t="inlineStr">
        <is>
          <t>settled</t>
        </is>
      </c>
      <c r="V107" s="24" t="inlineStr">
        <is>
          <t>win</t>
        </is>
      </c>
      <c r="W107" s="26" t="n">
        <v>1</v>
      </c>
      <c r="X107" s="26" t="n">
        <v>0</v>
      </c>
      <c r="Y107" s="25" t="n"/>
      <c r="Z107" s="26" t="n"/>
      <c r="AA107" s="28" t="n"/>
      <c r="AB107" s="28" t="n"/>
      <c r="AC107" s="30" t="n">
        <v>0.7874</v>
      </c>
      <c r="AD107" s="24" t="inlineStr">
        <is>
          <t>2026-08-28T12:33:07.493021Z</t>
        </is>
      </c>
      <c r="AE107" s="31" t="inlineStr">
        <is>
          <t>Neutral Elo baseline; executable ask 0.5600 (market_slug=aec-lol-bro-bfx-2026-08-28).</t>
        </is>
      </c>
      <c r="AF107" s="31" t="inlineStr">
        <is>
          <t>Config-promoted esports baseline; gates enforced at log time.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PAPER_CALL_LOW_EDGE</t>
        </is>
      </c>
      <c r="AP107" s="24" t="inlineStr">
        <is>
          <t>BNK FEARX</t>
        </is>
      </c>
      <c r="AQ107" s="24" t="inlineStr">
        <is>
          <t>BNK FEARX</t>
        </is>
      </c>
      <c r="AR107" s="24" t="inlineStr">
        <is>
          <t>BNK FEARX</t>
        </is>
      </c>
      <c r="AS107" s="24" t="inlineStr">
        <is>
          <t>HANJIN BRION</t>
        </is>
      </c>
      <c r="AT107" s="24" t="inlineStr">
        <is>
          <t>HANJIN BRION</t>
        </is>
      </c>
      <c r="AU107" s="24" t="inlineStr">
        <is>
          <t>HANJIN BRION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d8c0463466b3a637b97ee578dc63b6a2fab63515937d8059f54eb862dd31431e</t>
        </is>
      </c>
      <c r="BB107" s="24" t="inlineStr">
        <is>
          <t>neutral_elo</t>
        </is>
      </c>
      <c r="BC107" s="24" t="inlineStr">
        <is>
          <t>lol-tiered-elo-v6</t>
        </is>
      </c>
      <c r="BD107" s="24" t="inlineStr">
        <is>
          <t>d8c0463466b3a637b97ee578dc63b6a2fab63515937d8059f54eb862dd31431e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lol-tiered-elo-v6</t>
        </is>
      </c>
      <c r="BH107" s="24" t="inlineStr">
        <is>
          <t>2026-08-28T02:44:35.250397Z</t>
        </is>
      </c>
      <c r="BI107" s="24" t="inlineStr">
        <is>
          <t>["same_event","same_team_same_day","same_league_same_day"]</t>
        </is>
      </c>
      <c r="BJ107" s="25" t="n"/>
      <c r="BK107" s="26" t="n">
        <v>-127</v>
      </c>
      <c r="BL107" s="27" t="n">
        <v>1.787402</v>
      </c>
      <c r="BM107" s="28" t="n">
        <v>0.5594710000000001</v>
      </c>
      <c r="BN107" s="28" t="n"/>
      <c r="BO107" s="28" t="n"/>
      <c r="BP107" s="25" t="n"/>
      <c r="BQ107" s="27" t="n"/>
      <c r="BR107" s="28" t="n"/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True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0.559471</t>
        </is>
      </c>
      <c r="DK107" s="24" t="n"/>
      <c r="DL107" s="24" t="n"/>
      <c r="DM107" s="24" t="n"/>
      <c r="DN107" s="24" t="n"/>
      <c r="DO107" s="24" t="n"/>
      <c r="DP107" s="24" t="n"/>
      <c r="DQ107" s="24" t="n"/>
    </row>
    <row r="108" ht="36" customHeight="1">
      <c r="A108" s="24" t="inlineStr">
        <is>
          <t>7c3e6d74e0ed45b2</t>
        </is>
      </c>
      <c r="B108" s="24" t="inlineStr">
        <is>
          <t>2026-08-28T12:36:03.829118Z</t>
        </is>
      </c>
      <c r="C108" s="24" t="inlineStr">
        <is>
          <t>2026-08-28T13:00:00Z</t>
        </is>
      </c>
      <c r="D108" s="24" t="inlineStr">
        <is>
          <t>94293</t>
        </is>
      </c>
      <c r="E108" s="24" t="inlineStr">
        <is>
          <t>LOL</t>
        </is>
      </c>
      <c r="F108" s="24" t="inlineStr">
        <is>
          <t>Gamespace Mediterranean College Esports</t>
        </is>
      </c>
      <c r="G108" s="24" t="inlineStr">
        <is>
          <t>Team Phantasma</t>
        </is>
      </c>
      <c r="H108" s="24" t="inlineStr">
        <is>
          <t>moneyline</t>
        </is>
      </c>
      <c r="I108" s="24" t="inlineStr">
        <is>
          <t>home</t>
        </is>
      </c>
      <c r="J108" s="25" t="n"/>
      <c r="K108" s="24" t="inlineStr">
        <is>
          <t>polymarket_us</t>
        </is>
      </c>
      <c r="L108" s="26" t="n">
        <v>-133</v>
      </c>
      <c r="M108" s="27" t="n">
        <v>1.75188</v>
      </c>
      <c r="N108" s="28" t="n">
        <v>0.570815</v>
      </c>
      <c r="O108" s="28" t="n">
        <v>0.638234</v>
      </c>
      <c r="P108" s="28" t="n"/>
      <c r="Q108" s="28" t="n">
        <v>0.06741900000000001</v>
      </c>
      <c r="R108" s="26" t="n">
        <v>54</v>
      </c>
      <c r="S108" s="29" t="n">
        <v>1</v>
      </c>
      <c r="T108" s="24" t="inlineStr">
        <is>
          <t>lol-tiered-elo-v6</t>
        </is>
      </c>
      <c r="U108" s="24" t="inlineStr">
        <is>
          <t>settled</t>
        </is>
      </c>
      <c r="V108" s="24" t="inlineStr">
        <is>
          <t>loss</t>
        </is>
      </c>
      <c r="W108" s="26" t="n">
        <v>1</v>
      </c>
      <c r="X108" s="26" t="n">
        <v>0</v>
      </c>
      <c r="Y108" s="25" t="n"/>
      <c r="Z108" s="26" t="n">
        <v>-133</v>
      </c>
      <c r="AA108" s="28" t="n">
        <v>0.57</v>
      </c>
      <c r="AB108" s="28" t="n">
        <v>-0.000815</v>
      </c>
      <c r="AC108" s="30" t="n">
        <v>-1</v>
      </c>
      <c r="AD108" s="24" t="inlineStr">
        <is>
          <t>2026-08-29T12:40:22.816440Z</t>
        </is>
      </c>
      <c r="AE108" s="31" t="inlineStr">
        <is>
          <t>Neutral Elo baseline; executable ask 0.5700 (market_slug=aec-lol-tp-gsmc-2026-08-28).</t>
        </is>
      </c>
      <c r="AF108" s="31" t="inlineStr">
        <is>
          <t>Config-promoted esports baseline; gates enforced at log time.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model_qualified</t>
        </is>
      </c>
      <c r="AL108" s="26" t="n">
        <v>4</v>
      </c>
      <c r="AM108" s="24" t="inlineStr">
        <is>
          <t>QUALIFIED_SHADOW_CALL</t>
        </is>
      </c>
      <c r="AN108" s="24" t="inlineStr">
        <is>
          <t>CALL</t>
        </is>
      </c>
      <c r="AO108" s="24" t="inlineStr">
        <is>
          <t>QUALIFIED</t>
        </is>
      </c>
      <c r="AP108" s="24" t="inlineStr">
        <is>
          <t>Gamespace Mediterranean College Esports</t>
        </is>
      </c>
      <c r="AQ108" s="24" t="inlineStr">
        <is>
          <t>Gamespace Mediterranean College Esports</t>
        </is>
      </c>
      <c r="AR108" s="24" t="inlineStr">
        <is>
          <t>Gamespace Mediterranean College Esports</t>
        </is>
      </c>
      <c r="AS108" s="24" t="inlineStr">
        <is>
          <t>Team Phantasma</t>
        </is>
      </c>
      <c r="AT108" s="24" t="inlineStr">
        <is>
          <t>Team Phantasma</t>
        </is>
      </c>
      <c r="AU108" s="24" t="inlineStr">
        <is>
          <t>Team Phantasma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de5dc30ea9bd3197aac7a02ef5823d5e0eb38a2b1106104be6b0deb00ea086c2</t>
        </is>
      </c>
      <c r="BB108" s="24" t="inlineStr">
        <is>
          <t>neutral_elo</t>
        </is>
      </c>
      <c r="BC108" s="24" t="inlineStr">
        <is>
          <t>lol-tiered-elo-v6</t>
        </is>
      </c>
      <c r="BD108" s="24" t="inlineStr">
        <is>
          <t>de5dc30ea9bd3197aac7a02ef5823d5e0eb38a2b1106104be6b0deb00ea086c2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lol-tiered-elo-v6</t>
        </is>
      </c>
      <c r="BH108" s="24" t="inlineStr">
        <is>
          <t>2026-08-28T12:36:01.806913Z</t>
        </is>
      </c>
      <c r="BI108" s="24" t="inlineStr">
        <is>
          <t>["same_event","same_team_same_day","same_league_same_day"]</t>
        </is>
      </c>
      <c r="BJ108" s="25" t="n"/>
      <c r="BK108" s="26" t="n">
        <v>-133</v>
      </c>
      <c r="BL108" s="27" t="n">
        <v>1.75188</v>
      </c>
      <c r="BM108" s="28" t="n">
        <v>0.570815</v>
      </c>
      <c r="BN108" s="28" t="n"/>
      <c r="BO108" s="28" t="n"/>
      <c r="BP108" s="25" t="n"/>
      <c r="BQ108" s="27" t="n">
        <v>1.75188</v>
      </c>
      <c r="BR108" s="28" t="n">
        <v>0.57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0.570815</t>
        </is>
      </c>
      <c r="DK108" s="24" t="n"/>
      <c r="DL108" s="24" t="n"/>
      <c r="DM108" s="24" t="n"/>
      <c r="DN108" s="24" t="n"/>
      <c r="DO108" s="24" t="n"/>
      <c r="DP108" s="24" t="n"/>
      <c r="DQ108" s="24" t="n"/>
    </row>
    <row r="109" ht="36" customHeight="1">
      <c r="A109" s="24" t="inlineStr">
        <is>
          <t>afcf13e078aa475d</t>
        </is>
      </c>
      <c r="B109" s="24" t="inlineStr">
        <is>
          <t>2026-08-28T12:36:03.829118Z</t>
        </is>
      </c>
      <c r="C109" s="24" t="inlineStr">
        <is>
          <t>2026-08-28T15:00:00Z</t>
        </is>
      </c>
      <c r="D109" s="24" t="inlineStr">
        <is>
          <t>92398</t>
        </is>
      </c>
      <c r="E109" s="24" t="inlineStr">
        <is>
          <t>LOL</t>
        </is>
      </c>
      <c r="F109" s="24" t="inlineStr">
        <is>
          <t>Team Heretics</t>
        </is>
      </c>
      <c r="G109" s="24" t="inlineStr">
        <is>
          <t>Shifters</t>
        </is>
      </c>
      <c r="H109" s="24" t="inlineStr">
        <is>
          <t>moneyline</t>
        </is>
      </c>
      <c r="I109" s="24" t="inlineStr">
        <is>
          <t>away</t>
        </is>
      </c>
      <c r="J109" s="25" t="n"/>
      <c r="K109" s="24" t="inlineStr">
        <is>
          <t>polymarket_us</t>
        </is>
      </c>
      <c r="L109" s="26" t="n">
        <v>-133</v>
      </c>
      <c r="M109" s="27" t="n">
        <v>1.75188</v>
      </c>
      <c r="N109" s="28" t="n">
        <v>0.570815</v>
      </c>
      <c r="O109" s="28" t="n">
        <v>0.533906</v>
      </c>
      <c r="P109" s="28" t="n"/>
      <c r="Q109" s="28" t="n">
        <v>-0.036909</v>
      </c>
      <c r="R109" s="26" t="n">
        <v>2</v>
      </c>
      <c r="S109" s="29" t="n">
        <v>1</v>
      </c>
      <c r="T109" s="24" t="inlineStr">
        <is>
          <t>lol-tiered-elo-v6</t>
        </is>
      </c>
      <c r="U109" s="24" t="inlineStr">
        <is>
          <t>settled</t>
        </is>
      </c>
      <c r="V109" s="24" t="inlineStr">
        <is>
          <t>loss</t>
        </is>
      </c>
      <c r="W109" s="26" t="n">
        <v>0</v>
      </c>
      <c r="X109" s="26" t="n">
        <v>1</v>
      </c>
      <c r="Y109" s="25" t="n"/>
      <c r="Z109" s="26" t="n">
        <v>-133</v>
      </c>
      <c r="AA109" s="28" t="n">
        <v>0.57</v>
      </c>
      <c r="AB109" s="28" t="n">
        <v>-0.000815</v>
      </c>
      <c r="AC109" s="30" t="n">
        <v>-1</v>
      </c>
      <c r="AD109" s="24" t="inlineStr">
        <is>
          <t>2026-08-29T12:40:23.357796Z</t>
        </is>
      </c>
      <c r="AE109" s="31" t="inlineStr">
        <is>
          <t>Neutral Elo baseline; executable ask 0.5700 (market_slug=aec-lol-shft-th-2026-08-28).</t>
        </is>
      </c>
      <c r="AF109" s="31" t="inlineStr">
        <is>
          <t>Config-promoted esports baseline; gates enforced at log time.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PAPER_CALL_LOW_EDGE</t>
        </is>
      </c>
      <c r="AP109" s="24" t="inlineStr">
        <is>
          <t>Team Heretics</t>
        </is>
      </c>
      <c r="AQ109" s="24" t="inlineStr">
        <is>
          <t>Team Heretics</t>
        </is>
      </c>
      <c r="AR109" s="24" t="inlineStr">
        <is>
          <t>Team Heretics</t>
        </is>
      </c>
      <c r="AS109" s="24" t="inlineStr">
        <is>
          <t>Shifters</t>
        </is>
      </c>
      <c r="AT109" s="24" t="inlineStr">
        <is>
          <t>Shifters</t>
        </is>
      </c>
      <c r="AU109" s="24" t="inlineStr">
        <is>
          <t>Shifters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de5dc30ea9bd3197aac7a02ef5823d5e0eb38a2b1106104be6b0deb00ea086c2</t>
        </is>
      </c>
      <c r="BB109" s="24" t="inlineStr">
        <is>
          <t>neutral_elo</t>
        </is>
      </c>
      <c r="BC109" s="24" t="inlineStr">
        <is>
          <t>lol-tiered-elo-v6</t>
        </is>
      </c>
      <c r="BD109" s="24" t="inlineStr">
        <is>
          <t>de5dc30ea9bd3197aac7a02ef5823d5e0eb38a2b1106104be6b0deb00ea086c2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lol-tiered-elo-v6</t>
        </is>
      </c>
      <c r="BH109" s="24" t="inlineStr">
        <is>
          <t>2026-08-28T12:36:01.911050Z</t>
        </is>
      </c>
      <c r="BI109" s="24" t="inlineStr">
        <is>
          <t>["same_event","same_team_same_day","same_league_same_day"]</t>
        </is>
      </c>
      <c r="BJ109" s="25" t="n"/>
      <c r="BK109" s="26" t="n">
        <v>-133</v>
      </c>
      <c r="BL109" s="27" t="n">
        <v>1.75188</v>
      </c>
      <c r="BM109" s="28" t="n">
        <v>0.570815</v>
      </c>
      <c r="BN109" s="28" t="n"/>
      <c r="BO109" s="28" t="n"/>
      <c r="BP109" s="25" t="n"/>
      <c r="BQ109" s="27" t="n">
        <v>1.75188</v>
      </c>
      <c r="BR109" s="28" t="n">
        <v>0.57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False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inlineStr">
        <is>
          <t>0.570815</t>
        </is>
      </c>
      <c r="DK109" s="24" t="n"/>
      <c r="DL109" s="24" t="n"/>
      <c r="DM109" s="24" t="n"/>
      <c r="DN109" s="24" t="n"/>
      <c r="DO109" s="24" t="n"/>
      <c r="DP109" s="24" t="n"/>
      <c r="DQ109" s="24" t="n"/>
    </row>
    <row r="110" ht="36" customHeight="1">
      <c r="A110" s="24" t="inlineStr">
        <is>
          <t>b5594909352c44a4</t>
        </is>
      </c>
      <c r="B110" s="24" t="inlineStr">
        <is>
          <t>2026-08-28T12:36:03.829118Z</t>
        </is>
      </c>
      <c r="C110" s="24" t="inlineStr">
        <is>
          <t>2026-08-28T17:15:00Z</t>
        </is>
      </c>
      <c r="D110" s="24" t="inlineStr">
        <is>
          <t>92399</t>
        </is>
      </c>
      <c r="E110" s="24" t="inlineStr">
        <is>
          <t>LOL</t>
        </is>
      </c>
      <c r="F110" s="24" t="inlineStr">
        <is>
          <t>Fnatic</t>
        </is>
      </c>
      <c r="G110" s="24" t="inlineStr">
        <is>
          <t>Team Vitality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polymarket_us</t>
        </is>
      </c>
      <c r="L110" s="26" t="n">
        <v>-150</v>
      </c>
      <c r="M110" s="27" t="n">
        <v>1.666667</v>
      </c>
      <c r="N110" s="28" t="n">
        <v>0.6</v>
      </c>
      <c r="O110" s="28" t="n">
        <v>0.701576</v>
      </c>
      <c r="P110" s="28" t="n"/>
      <c r="Q110" s="28" t="n">
        <v>0.101576</v>
      </c>
      <c r="R110" s="26" t="n">
        <v>71</v>
      </c>
      <c r="S110" s="29" t="n">
        <v>1.25</v>
      </c>
      <c r="T110" s="24" t="inlineStr">
        <is>
          <t>lol-tiered-elo-v6</t>
        </is>
      </c>
      <c r="U110" s="24" t="inlineStr">
        <is>
          <t>settled</t>
        </is>
      </c>
      <c r="V110" s="24" t="inlineStr">
        <is>
          <t>win</t>
        </is>
      </c>
      <c r="W110" s="26" t="n">
        <v>0</v>
      </c>
      <c r="X110" s="26" t="n">
        <v>1</v>
      </c>
      <c r="Y110" s="25" t="n"/>
      <c r="Z110" s="26" t="n">
        <v>-150</v>
      </c>
      <c r="AA110" s="28" t="n">
        <v>0.6</v>
      </c>
      <c r="AB110" s="28" t="n">
        <v>0</v>
      </c>
      <c r="AC110" s="30" t="n">
        <v>0.8333</v>
      </c>
      <c r="AD110" s="24" t="inlineStr">
        <is>
          <t>2026-08-29T12:40:23.922441Z</t>
        </is>
      </c>
      <c r="AE110" s="31" t="inlineStr">
        <is>
          <t>Neutral Elo baseline; executable ask 0.6000 (market_slug=aec-lol-vit-fnc-2026-08-28).</t>
        </is>
      </c>
      <c r="AF110" s="31" t="inlineStr">
        <is>
          <t>Config-promoted esports baseline; gates enforced at log time.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model_qualified</t>
        </is>
      </c>
      <c r="AL110" s="26" t="n">
        <v>4</v>
      </c>
      <c r="AM110" s="24" t="inlineStr">
        <is>
          <t>QUALIFIED_SHADOW_CALL</t>
        </is>
      </c>
      <c r="AN110" s="24" t="inlineStr">
        <is>
          <t>CALL</t>
        </is>
      </c>
      <c r="AO110" s="24" t="inlineStr">
        <is>
          <t>QUALIFIED</t>
        </is>
      </c>
      <c r="AP110" s="24" t="inlineStr">
        <is>
          <t>Fnatic</t>
        </is>
      </c>
      <c r="AQ110" s="24" t="inlineStr">
        <is>
          <t>Fnatic</t>
        </is>
      </c>
      <c r="AR110" s="24" t="inlineStr">
        <is>
          <t>Fnatic</t>
        </is>
      </c>
      <c r="AS110" s="24" t="inlineStr">
        <is>
          <t>Team Vitality</t>
        </is>
      </c>
      <c r="AT110" s="24" t="inlineStr">
        <is>
          <t>Team Vitality</t>
        </is>
      </c>
      <c r="AU110" s="24" t="inlineStr">
        <is>
          <t>Team Vitality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de5dc30ea9bd3197aac7a02ef5823d5e0eb38a2b1106104be6b0deb00ea086c2</t>
        </is>
      </c>
      <c r="BB110" s="24" t="inlineStr">
        <is>
          <t>neutral_elo</t>
        </is>
      </c>
      <c r="BC110" s="24" t="inlineStr">
        <is>
          <t>lol-tiered-elo-v6</t>
        </is>
      </c>
      <c r="BD110" s="24" t="inlineStr">
        <is>
          <t>de5dc30ea9bd3197aac7a02ef5823d5e0eb38a2b1106104be6b0deb00ea086c2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lol-tiered-elo-v6</t>
        </is>
      </c>
      <c r="BH110" s="24" t="inlineStr">
        <is>
          <t>2026-08-28T12:36:01.997179Z</t>
        </is>
      </c>
      <c r="BI110" s="24" t="inlineStr">
        <is>
          <t>["same_event","same_team_same_day","same_league_same_day"]</t>
        </is>
      </c>
      <c r="BJ110" s="25" t="n"/>
      <c r="BK110" s="26" t="n">
        <v>-150</v>
      </c>
      <c r="BL110" s="27" t="n">
        <v>1.666667</v>
      </c>
      <c r="BM110" s="28" t="n">
        <v>0.6</v>
      </c>
      <c r="BN110" s="28" t="n"/>
      <c r="BO110" s="28" t="n"/>
      <c r="BP110" s="25" t="n"/>
      <c r="BQ110" s="27" t="n">
        <v>1.666667</v>
      </c>
      <c r="BR110" s="28" t="n">
        <v>0.6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inlineStr">
        <is>
          <t>0.6</t>
        </is>
      </c>
      <c r="DK110" s="24" t="n"/>
      <c r="DL110" s="24" t="n"/>
      <c r="DM110" s="24" t="n"/>
      <c r="DN110" s="24" t="n"/>
      <c r="DO110" s="24" t="n"/>
      <c r="DP110" s="24" t="n"/>
      <c r="DQ110" s="24" t="n"/>
    </row>
    <row r="111" ht="36" customHeight="1">
      <c r="A111" s="24" t="inlineStr">
        <is>
          <t>5dbc2f48f3a24a40</t>
        </is>
      </c>
      <c r="B111" s="24" t="inlineStr">
        <is>
          <t>2026-08-28T12:36:03.829118Z</t>
        </is>
      </c>
      <c r="C111" s="24" t="inlineStr">
        <is>
          <t>2026-08-28T21:00:00Z</t>
        </is>
      </c>
      <c r="D111" s="24" t="inlineStr">
        <is>
          <t>92605</t>
        </is>
      </c>
      <c r="E111" s="24" t="inlineStr">
        <is>
          <t>LOL</t>
        </is>
      </c>
      <c r="F111" s="24" t="inlineStr">
        <is>
          <t>Maryville University</t>
        </is>
      </c>
      <c r="G111" s="24" t="inlineStr">
        <is>
          <t>Cupid Esports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-178</v>
      </c>
      <c r="M111" s="27" t="n">
        <v>1.561798</v>
      </c>
      <c r="N111" s="28" t="n">
        <v>0.640288</v>
      </c>
      <c r="O111" s="28" t="n">
        <v>0.543289</v>
      </c>
      <c r="P111" s="28" t="n"/>
      <c r="Q111" s="28" t="n">
        <v>-0.096999</v>
      </c>
      <c r="R111" s="26" t="n">
        <v>0</v>
      </c>
      <c r="S111" s="29" t="n">
        <v>1</v>
      </c>
      <c r="T111" s="24" t="inlineStr">
        <is>
          <t>lol-tiered-elo-v6</t>
        </is>
      </c>
      <c r="U111" s="24" t="inlineStr">
        <is>
          <t>settled</t>
        </is>
      </c>
      <c r="V111" s="24" t="inlineStr">
        <is>
          <t>win</t>
        </is>
      </c>
      <c r="W111" s="26" t="n">
        <v>0</v>
      </c>
      <c r="X111" s="26" t="n">
        <v>1</v>
      </c>
      <c r="Y111" s="25" t="n"/>
      <c r="Z111" s="26" t="n">
        <v>-178</v>
      </c>
      <c r="AA111" s="28" t="n">
        <v>0.64</v>
      </c>
      <c r="AB111" s="28" t="n">
        <v>-0.000288</v>
      </c>
      <c r="AC111" s="30" t="n">
        <v>0.5618</v>
      </c>
      <c r="AD111" s="24" t="inlineStr">
        <is>
          <t>2026-08-29T12:40:24.477492Z</t>
        </is>
      </c>
      <c r="AE111" s="31" t="inlineStr">
        <is>
          <t>Neutral Elo baseline; executable ask 0.6400 (market_slug=aec-lol-cpd-mvu-2026-08-28).</t>
        </is>
      </c>
      <c r="AF111" s="31" t="inlineStr">
        <is>
          <t>Config-promoted esports baseline; gates enforced at log time.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paper_call</t>
        </is>
      </c>
      <c r="AL111" s="26" t="n">
        <v>4</v>
      </c>
      <c r="AM111" s="24" t="inlineStr">
        <is>
          <t>RESEARCH_OBSERVATION</t>
        </is>
      </c>
      <c r="AN111" s="24" t="inlineStr">
        <is>
          <t>CALL</t>
        </is>
      </c>
      <c r="AO111" s="24" t="inlineStr">
        <is>
          <t>PAPER_CALL_LOW_EDGE</t>
        </is>
      </c>
      <c r="AP111" s="24" t="inlineStr">
        <is>
          <t>Maryville University</t>
        </is>
      </c>
      <c r="AQ111" s="24" t="inlineStr">
        <is>
          <t>Maryville University</t>
        </is>
      </c>
      <c r="AR111" s="24" t="inlineStr">
        <is>
          <t>Maryville University</t>
        </is>
      </c>
      <c r="AS111" s="24" t="inlineStr">
        <is>
          <t>Cupid Esports</t>
        </is>
      </c>
      <c r="AT111" s="24" t="inlineStr">
        <is>
          <t>Cupid Esports</t>
        </is>
      </c>
      <c r="AU111" s="24" t="inlineStr">
        <is>
          <t>Cupid Esports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de5dc30ea9bd3197aac7a02ef5823d5e0eb38a2b1106104be6b0deb00ea086c2</t>
        </is>
      </c>
      <c r="BB111" s="24" t="inlineStr">
        <is>
          <t>neutral_elo</t>
        </is>
      </c>
      <c r="BC111" s="24" t="inlineStr">
        <is>
          <t>lol-tiered-elo-v6</t>
        </is>
      </c>
      <c r="BD111" s="24" t="inlineStr">
        <is>
          <t>de5dc30ea9bd3197aac7a02ef5823d5e0eb38a2b1106104be6b0deb00ea086c2</t>
        </is>
      </c>
      <c r="BE111" s="24" t="inlineStr">
        <is>
          <t>1</t>
        </is>
      </c>
      <c r="BF111" s="24" t="inlineStr">
        <is>
          <t>1</t>
        </is>
      </c>
      <c r="BG111" s="24" t="inlineStr">
        <is>
          <t>lol-tiered-elo-v6</t>
        </is>
      </c>
      <c r="BH111" s="24" t="inlineStr">
        <is>
          <t>2026-08-28T12:36:02.131473Z</t>
        </is>
      </c>
      <c r="BI111" s="24" t="inlineStr">
        <is>
          <t>["same_event","same_team_same_day","same_league_same_day"]</t>
        </is>
      </c>
      <c r="BJ111" s="25" t="n"/>
      <c r="BK111" s="26" t="n">
        <v>-178</v>
      </c>
      <c r="BL111" s="27" t="n">
        <v>1.561798</v>
      </c>
      <c r="BM111" s="28" t="n">
        <v>0.640288</v>
      </c>
      <c r="BN111" s="28" t="n"/>
      <c r="BO111" s="28" t="n"/>
      <c r="BP111" s="25" t="n"/>
      <c r="BQ111" s="27" t="n">
        <v>1.561798</v>
      </c>
      <c r="BR111" s="28" t="n">
        <v>0.64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False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inlineStr">
        <is>
          <t>0.640288</t>
        </is>
      </c>
      <c r="DK111" s="24" t="n"/>
      <c r="DL111" s="24" t="n"/>
      <c r="DM111" s="24" t="n"/>
      <c r="DN111" s="24" t="n"/>
      <c r="DO111" s="24" t="n"/>
      <c r="DP111" s="24" t="n"/>
      <c r="DQ111" s="24" t="n"/>
    </row>
    <row r="112" ht="36" customHeight="1">
      <c r="A112" s="24" t="inlineStr">
        <is>
          <t>96674dfe179943b1</t>
        </is>
      </c>
      <c r="B112" s="24" t="inlineStr">
        <is>
          <t>2026-08-28T12:36:03.829118Z</t>
        </is>
      </c>
      <c r="C112" s="24" t="inlineStr">
        <is>
          <t>2026-08-29T09:00:00Z</t>
        </is>
      </c>
      <c r="D112" s="24" t="inlineStr">
        <is>
          <t>93228</t>
        </is>
      </c>
      <c r="E112" s="24" t="inlineStr">
        <is>
          <t>LOL</t>
        </is>
      </c>
      <c r="F112" s="24" t="inlineStr">
        <is>
          <t>MVK Esports</t>
        </is>
      </c>
      <c r="G112" s="24" t="inlineStr">
        <is>
          <t>CTBC Flying Oyster</t>
        </is>
      </c>
      <c r="H112" s="24" t="inlineStr">
        <is>
          <t>moneyline</t>
        </is>
      </c>
      <c r="I112" s="24" t="inlineStr">
        <is>
          <t>home</t>
        </is>
      </c>
      <c r="J112" s="25" t="n"/>
      <c r="K112" s="24" t="inlineStr">
        <is>
          <t>polymarket_us</t>
        </is>
      </c>
      <c r="L112" s="26" t="n">
        <v>-170</v>
      </c>
      <c r="M112" s="27" t="n">
        <v>1.588235</v>
      </c>
      <c r="N112" s="28" t="n">
        <v>0.62963</v>
      </c>
      <c r="O112" s="28" t="n">
        <v>0.586735</v>
      </c>
      <c r="P112" s="28" t="n"/>
      <c r="Q112" s="28" t="n">
        <v>-0.042895</v>
      </c>
      <c r="R112" s="26" t="n">
        <v>0</v>
      </c>
      <c r="S112" s="29" t="n">
        <v>1</v>
      </c>
      <c r="T112" s="24" t="inlineStr">
        <is>
          <t>lol-tiered-elo-v6</t>
        </is>
      </c>
      <c r="U112" s="24" t="inlineStr">
        <is>
          <t>settled</t>
        </is>
      </c>
      <c r="V112" s="24" t="inlineStr">
        <is>
          <t>win</t>
        </is>
      </c>
      <c r="W112" s="26" t="n">
        <v>0</v>
      </c>
      <c r="X112" s="26" t="n">
        <v>1</v>
      </c>
      <c r="Y112" s="25" t="n"/>
      <c r="Z112" s="26" t="n"/>
      <c r="AA112" s="28" t="n"/>
      <c r="AB112" s="28" t="n"/>
      <c r="AC112" s="30" t="n">
        <v>0.5881999999999999</v>
      </c>
      <c r="AD112" s="24" t="inlineStr">
        <is>
          <t>2026-08-29T12:40:25.058137Z</t>
        </is>
      </c>
      <c r="AE112" s="31" t="inlineStr">
        <is>
          <t>Neutral Elo baseline; executable ask 0.6300 (market_slug=aec-lol-cfo-mvk-2026-08-29).</t>
        </is>
      </c>
      <c r="AF112" s="31" t="inlineStr">
        <is>
          <t>Config-promoted esports baseline; gates enforced at log time.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paper_call</t>
        </is>
      </c>
      <c r="AL112" s="26" t="n">
        <v>4</v>
      </c>
      <c r="AM112" s="24" t="inlineStr">
        <is>
          <t>RESEARCH_OBSERVATION</t>
        </is>
      </c>
      <c r="AN112" s="24" t="inlineStr">
        <is>
          <t>CALL</t>
        </is>
      </c>
      <c r="AO112" s="24" t="inlineStr">
        <is>
          <t>PAPER_CALL_LOW_EDGE</t>
        </is>
      </c>
      <c r="AP112" s="24" t="inlineStr">
        <is>
          <t>MVK Esports</t>
        </is>
      </c>
      <c r="AQ112" s="24" t="inlineStr">
        <is>
          <t>MVK Esports</t>
        </is>
      </c>
      <c r="AR112" s="24" t="inlineStr">
        <is>
          <t>MVK Esports</t>
        </is>
      </c>
      <c r="AS112" s="24" t="inlineStr">
        <is>
          <t>CTBC Flying Oyster</t>
        </is>
      </c>
      <c r="AT112" s="24" t="inlineStr">
        <is>
          <t>CTBC Flying Oyster</t>
        </is>
      </c>
      <c r="AU112" s="24" t="inlineStr">
        <is>
          <t>CTBC Flying Oyster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de5dc30ea9bd3197aac7a02ef5823d5e0eb38a2b1106104be6b0deb00ea086c2</t>
        </is>
      </c>
      <c r="BB112" s="24" t="inlineStr">
        <is>
          <t>neutral_elo</t>
        </is>
      </c>
      <c r="BC112" s="24" t="inlineStr">
        <is>
          <t>lol-tiered-elo-v6</t>
        </is>
      </c>
      <c r="BD112" s="24" t="inlineStr">
        <is>
          <t>de5dc30ea9bd3197aac7a02ef5823d5e0eb38a2b1106104be6b0deb00ea086c2</t>
        </is>
      </c>
      <c r="BE112" s="24" t="inlineStr">
        <is>
          <t>1</t>
        </is>
      </c>
      <c r="BF112" s="24" t="inlineStr">
        <is>
          <t>1</t>
        </is>
      </c>
      <c r="BG112" s="24" t="inlineStr">
        <is>
          <t>lol-tiered-elo-v6</t>
        </is>
      </c>
      <c r="BH112" s="24" t="inlineStr">
        <is>
          <t>2026-08-28T12:36:02.648861Z</t>
        </is>
      </c>
      <c r="BI112" s="24" t="inlineStr">
        <is>
          <t>["same_event","same_team_same_day","same_league_same_day"]</t>
        </is>
      </c>
      <c r="BJ112" s="25" t="n"/>
      <c r="BK112" s="26" t="n">
        <v>-170</v>
      </c>
      <c r="BL112" s="27" t="n">
        <v>1.588235</v>
      </c>
      <c r="BM112" s="28" t="n">
        <v>0.62963</v>
      </c>
      <c r="BN112" s="28" t="n"/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False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inlineStr">
        <is>
          <t>0.62963</t>
        </is>
      </c>
      <c r="DK112" s="24" t="n"/>
      <c r="DL112" s="24" t="n"/>
      <c r="DM112" s="24" t="n"/>
      <c r="DN112" s="24" t="n"/>
      <c r="DO112" s="24" t="n"/>
      <c r="DP112" s="24" t="n"/>
      <c r="DQ112" s="24" t="n"/>
    </row>
    <row r="113" ht="36" customHeight="1">
      <c r="A113" s="24" t="inlineStr">
        <is>
          <t>5b79519acfe84bb5</t>
        </is>
      </c>
      <c r="B113" s="24" t="inlineStr">
        <is>
          <t>2026-08-28T12:36:03.829118Z</t>
        </is>
      </c>
      <c r="C113" s="24" t="inlineStr">
        <is>
          <t>2026-08-29T09:00:00Z</t>
        </is>
      </c>
      <c r="D113" s="24" t="inlineStr">
        <is>
          <t>93159</t>
        </is>
      </c>
      <c r="E113" s="24" t="inlineStr">
        <is>
          <t>LOL</t>
        </is>
      </c>
      <c r="F113" s="24" t="inlineStr">
        <is>
          <t>LGD Gaming</t>
        </is>
      </c>
      <c r="G113" s="24" t="inlineStr">
        <is>
          <t>Top Esports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-203</v>
      </c>
      <c r="M113" s="27" t="n">
        <v>1.492611</v>
      </c>
      <c r="N113" s="28" t="n">
        <v>0.669967</v>
      </c>
      <c r="O113" s="28" t="n">
        <v>0.629067</v>
      </c>
      <c r="P113" s="28" t="n"/>
      <c r="Q113" s="28" t="n">
        <v>-0.0409</v>
      </c>
      <c r="R113" s="26" t="n">
        <v>0</v>
      </c>
      <c r="S113" s="29" t="n">
        <v>1</v>
      </c>
      <c r="T113" s="24" t="inlineStr">
        <is>
          <t>lol-tiered-elo-v6</t>
        </is>
      </c>
      <c r="U113" s="24" t="inlineStr">
        <is>
          <t>settled</t>
        </is>
      </c>
      <c r="V113" s="24" t="inlineStr">
        <is>
          <t>loss</t>
        </is>
      </c>
      <c r="W113" s="26" t="n">
        <v>1</v>
      </c>
      <c r="X113" s="26" t="n">
        <v>0</v>
      </c>
      <c r="Y113" s="25" t="n"/>
      <c r="Z113" s="26" t="n"/>
      <c r="AA113" s="28" t="n"/>
      <c r="AB113" s="28" t="n"/>
      <c r="AC113" s="30" t="n">
        <v>-1</v>
      </c>
      <c r="AD113" s="24" t="inlineStr">
        <is>
          <t>2026-08-29T16:02:32.167256Z</t>
        </is>
      </c>
      <c r="AE113" s="31" t="inlineStr">
        <is>
          <t>Neutral Elo baseline; executable ask 0.6700 (market_slug=aec-lol-tes-lgd-2026-08-29).</t>
        </is>
      </c>
      <c r="AF113" s="31" t="inlineStr">
        <is>
          <t>Config-promoted esports baseline; gates enforced at log time.</t>
        </is>
      </c>
      <c r="AG113" s="24" t="inlineStr">
        <is>
          <t>review_required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4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PAPER_CALL_LOW_EDGE</t>
        </is>
      </c>
      <c r="AP113" s="24" t="inlineStr">
        <is>
          <t>LGD Gaming</t>
        </is>
      </c>
      <c r="AQ113" s="24" t="inlineStr">
        <is>
          <t>LGD Gaming</t>
        </is>
      </c>
      <c r="AR113" s="24" t="inlineStr">
        <is>
          <t>LGD Gaming</t>
        </is>
      </c>
      <c r="AS113" s="24" t="inlineStr">
        <is>
          <t>Top Esports</t>
        </is>
      </c>
      <c r="AT113" s="24" t="inlineStr">
        <is>
          <t>Top Esports</t>
        </is>
      </c>
      <c r="AU113" s="24" t="inlineStr">
        <is>
          <t>Top Esports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de5dc30ea9bd3197aac7a02ef5823d5e0eb38a2b1106104be6b0deb00ea086c2</t>
        </is>
      </c>
      <c r="BB113" s="24" t="inlineStr">
        <is>
          <t>neutral_elo</t>
        </is>
      </c>
      <c r="BC113" s="24" t="inlineStr">
        <is>
          <t>lol-tiered-elo-v6</t>
        </is>
      </c>
      <c r="BD113" s="24" t="inlineStr">
        <is>
          <t>de5dc30ea9bd3197aac7a02ef5823d5e0eb38a2b1106104be6b0deb00ea086c2</t>
        </is>
      </c>
      <c r="BE113" s="24" t="inlineStr">
        <is>
          <t>1</t>
        </is>
      </c>
      <c r="BF113" s="24" t="inlineStr">
        <is>
          <t>1</t>
        </is>
      </c>
      <c r="BG113" s="24" t="inlineStr">
        <is>
          <t>lol-tiered-elo-v6</t>
        </is>
      </c>
      <c r="BH113" s="24" t="inlineStr">
        <is>
          <t>2026-08-28T12:36:03.098536Z</t>
        </is>
      </c>
      <c r="BI113" s="24" t="inlineStr">
        <is>
          <t>["same_event","same_team_same_day","same_league_same_day"]</t>
        </is>
      </c>
      <c r="BJ113" s="25" t="n"/>
      <c r="BK113" s="26" t="n">
        <v>-203</v>
      </c>
      <c r="BL113" s="27" t="n">
        <v>1.492611</v>
      </c>
      <c r="BM113" s="28" t="n">
        <v>0.669967</v>
      </c>
      <c r="BN113" s="28" t="n"/>
      <c r="BO113" s="28" t="n"/>
      <c r="BP113" s="25" t="n"/>
      <c r="BQ113" s="27" t="n"/>
      <c r="BR113" s="28" t="n"/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inlineStr">
        <is>
          <t>0.669967</t>
        </is>
      </c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a40e74630b114cc3</t>
        </is>
      </c>
      <c r="B114" s="24" t="inlineStr">
        <is>
          <t>2026-08-28T12:36:03.829118Z</t>
        </is>
      </c>
      <c r="C114" s="24" t="inlineStr">
        <is>
          <t>2026-08-29T10:00:00Z</t>
        </is>
      </c>
      <c r="D114" s="24" t="inlineStr">
        <is>
          <t>93229</t>
        </is>
      </c>
      <c r="E114" s="24" t="inlineStr">
        <is>
          <t>LOL</t>
        </is>
      </c>
      <c r="F114" s="24" t="inlineStr">
        <is>
          <t>Project Conquerors</t>
        </is>
      </c>
      <c r="G114" s="24" t="inlineStr">
        <is>
          <t>Karmine Corp Blue Stars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-186</v>
      </c>
      <c r="M114" s="27" t="n">
        <v>1.537634</v>
      </c>
      <c r="N114" s="28" t="n">
        <v>0.65035</v>
      </c>
      <c r="O114" s="28" t="n">
        <v>0.542279</v>
      </c>
      <c r="P114" s="28" t="n"/>
      <c r="Q114" s="28" t="n">
        <v>-0.108071</v>
      </c>
      <c r="R114" s="26" t="n">
        <v>0</v>
      </c>
      <c r="S114" s="29" t="n">
        <v>1</v>
      </c>
      <c r="T114" s="24" t="inlineStr">
        <is>
          <t>lol-tiered-elo-v6</t>
        </is>
      </c>
      <c r="U114" s="24" t="inlineStr">
        <is>
          <t>settled</t>
        </is>
      </c>
      <c r="V114" s="24" t="inlineStr">
        <is>
          <t>win</t>
        </is>
      </c>
      <c r="W114" s="26" t="n">
        <v>0</v>
      </c>
      <c r="X114" s="26" t="n">
        <v>1</v>
      </c>
      <c r="Y114" s="25" t="n"/>
      <c r="Z114" s="26" t="n"/>
      <c r="AA114" s="28" t="n"/>
      <c r="AB114" s="28" t="n"/>
      <c r="AC114" s="30" t="n">
        <v>0.5376</v>
      </c>
      <c r="AD114" s="24" t="inlineStr">
        <is>
          <t>2026-08-29T16:02:32.765297Z</t>
        </is>
      </c>
      <c r="AE114" s="31" t="inlineStr">
        <is>
          <t>Neutral Elo baseline; executable ask 0.6500 (market_slug=aec-lol-kcbs-pcs-2026-08-29).</t>
        </is>
      </c>
      <c r="AF114" s="31" t="inlineStr">
        <is>
          <t>Config-promoted esports baseline; gates enforced at log time.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paper_call</t>
        </is>
      </c>
      <c r="AL114" s="26" t="n">
        <v>4</v>
      </c>
      <c r="AM114" s="24" t="inlineStr">
        <is>
          <t>RESEARCH_OBSERVATION</t>
        </is>
      </c>
      <c r="AN114" s="24" t="inlineStr">
        <is>
          <t>CALL</t>
        </is>
      </c>
      <c r="AO114" s="24" t="inlineStr">
        <is>
          <t>PAPER_CALL_LOW_EDGE</t>
        </is>
      </c>
      <c r="AP114" s="24" t="inlineStr">
        <is>
          <t>Project Conquerors</t>
        </is>
      </c>
      <c r="AQ114" s="24" t="inlineStr">
        <is>
          <t>Project Conquerors</t>
        </is>
      </c>
      <c r="AR114" s="24" t="inlineStr">
        <is>
          <t>Project Conquerors</t>
        </is>
      </c>
      <c r="AS114" s="24" t="inlineStr">
        <is>
          <t>Karmine Corp Blue Stars</t>
        </is>
      </c>
      <c r="AT114" s="24" t="inlineStr">
        <is>
          <t>Karmine Corp Blue Stars</t>
        </is>
      </c>
      <c r="AU114" s="24" t="inlineStr">
        <is>
          <t>Karmine Corp Blue Stars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de5dc30ea9bd3197aac7a02ef5823d5e0eb38a2b1106104be6b0deb00ea086c2</t>
        </is>
      </c>
      <c r="BB114" s="24" t="inlineStr">
        <is>
          <t>neutral_elo</t>
        </is>
      </c>
      <c r="BC114" s="24" t="inlineStr">
        <is>
          <t>lol-tiered-elo-v6</t>
        </is>
      </c>
      <c r="BD114" s="24" t="inlineStr">
        <is>
          <t>de5dc30ea9bd3197aac7a02ef5823d5e0eb38a2b1106104be6b0deb00ea086c2</t>
        </is>
      </c>
      <c r="BE114" s="24" t="inlineStr">
        <is>
          <t>1</t>
        </is>
      </c>
      <c r="BF114" s="24" t="inlineStr">
        <is>
          <t>1</t>
        </is>
      </c>
      <c r="BG114" s="24" t="inlineStr">
        <is>
          <t>lol-tiered-elo-v6</t>
        </is>
      </c>
      <c r="BH114" s="24" t="inlineStr">
        <is>
          <t>2026-08-28T12:36:03.268180Z</t>
        </is>
      </c>
      <c r="BI114" s="24" t="inlineStr">
        <is>
          <t>["same_event","same_team_same_day","same_league_same_day"]</t>
        </is>
      </c>
      <c r="BJ114" s="25" t="n"/>
      <c r="BK114" s="26" t="n">
        <v>-186</v>
      </c>
      <c r="BL114" s="27" t="n">
        <v>1.537634</v>
      </c>
      <c r="BM114" s="28" t="n">
        <v>0.65035</v>
      </c>
      <c r="BN114" s="28" t="n"/>
      <c r="BO114" s="28" t="n"/>
      <c r="BP114" s="25" t="n"/>
      <c r="BQ114" s="27" t="n"/>
      <c r="BR114" s="28" t="n"/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False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inlineStr">
        <is>
          <t>0.65035</t>
        </is>
      </c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b83dc0687dce4e4b</t>
        </is>
      </c>
      <c r="B115" s="24" t="inlineStr">
        <is>
          <t>2026-08-29T12:43:17.776891Z</t>
        </is>
      </c>
      <c r="C115" s="24" t="inlineStr">
        <is>
          <t>2026-08-29T13:00:00Z</t>
        </is>
      </c>
      <c r="D115" s="24" t="inlineStr">
        <is>
          <t>93588</t>
        </is>
      </c>
      <c r="E115" s="24" t="inlineStr">
        <is>
          <t>LOL</t>
        </is>
      </c>
      <c r="F115" s="24" t="inlineStr">
        <is>
          <t>Vitality Rising Bees</t>
        </is>
      </c>
      <c r="G115" s="24" t="inlineStr">
        <is>
          <t>Mental Rush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-104</v>
      </c>
      <c r="M115" s="27" t="n">
        <v>1.961538</v>
      </c>
      <c r="N115" s="28" t="n">
        <v>0.509804</v>
      </c>
      <c r="O115" s="28" t="n">
        <v>0.536341</v>
      </c>
      <c r="P115" s="28" t="n"/>
      <c r="Q115" s="28" t="n">
        <v>0.026537</v>
      </c>
      <c r="R115" s="26" t="n">
        <v>33</v>
      </c>
      <c r="S115" s="29" t="n">
        <v>1</v>
      </c>
      <c r="T115" s="24" t="inlineStr">
        <is>
          <t>lol-tiered-elo-v6</t>
        </is>
      </c>
      <c r="U115" s="24" t="inlineStr">
        <is>
          <t>settled</t>
        </is>
      </c>
      <c r="V115" s="24" t="inlineStr">
        <is>
          <t>loss</t>
        </is>
      </c>
      <c r="W115" s="26" t="n">
        <v>1</v>
      </c>
      <c r="X115" s="26" t="n">
        <v>0</v>
      </c>
      <c r="Y115" s="25" t="n"/>
      <c r="Z115" s="26" t="n">
        <v>-104</v>
      </c>
      <c r="AA115" s="28" t="n">
        <v>0.51</v>
      </c>
      <c r="AB115" s="28" t="n">
        <v>0.000196</v>
      </c>
      <c r="AC115" s="30" t="n">
        <v>-1</v>
      </c>
      <c r="AD115" s="24" t="inlineStr">
        <is>
          <t>2026-08-29T16:02:33.328547Z</t>
        </is>
      </c>
      <c r="AE115" s="31" t="inlineStr">
        <is>
          <t>Neutral Elo baseline; executable ask 0.5100 (market_slug=aec-lol-mr-rb-2026-08-29).</t>
        </is>
      </c>
      <c r="AF115" s="31" t="inlineStr">
        <is>
          <t>Config-promoted esports baseline; gates enforced at log time.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model_qualified</t>
        </is>
      </c>
      <c r="AL115" s="26" t="n">
        <v>4</v>
      </c>
      <c r="AM115" s="24" t="inlineStr">
        <is>
          <t>QUALIFIED_SHADOW_CALL</t>
        </is>
      </c>
      <c r="AN115" s="24" t="inlineStr">
        <is>
          <t>CALL</t>
        </is>
      </c>
      <c r="AO115" s="24" t="inlineStr">
        <is>
          <t>QUALIFIED</t>
        </is>
      </c>
      <c r="AP115" s="24" t="inlineStr">
        <is>
          <t>Vitality Rising Bees</t>
        </is>
      </c>
      <c r="AQ115" s="24" t="inlineStr">
        <is>
          <t>Vitality Rising Bees</t>
        </is>
      </c>
      <c r="AR115" s="24" t="inlineStr">
        <is>
          <t>Vitality Rising Bees</t>
        </is>
      </c>
      <c r="AS115" s="24" t="inlineStr">
        <is>
          <t>Mental Rush</t>
        </is>
      </c>
      <c r="AT115" s="24" t="inlineStr">
        <is>
          <t>Mental Rush</t>
        </is>
      </c>
      <c r="AU115" s="24" t="inlineStr">
        <is>
          <t>Mental Rush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a586cdf56240ff041890754356a0ca09786abdb04fcff951c1aaf3217c4065cd</t>
        </is>
      </c>
      <c r="BB115" s="24" t="inlineStr">
        <is>
          <t>neutral_elo</t>
        </is>
      </c>
      <c r="BC115" s="24" t="inlineStr">
        <is>
          <t>lol-tiered-elo-v6</t>
        </is>
      </c>
      <c r="BD115" s="24" t="inlineStr">
        <is>
          <t>a586cdf56240ff041890754356a0ca09786abdb04fcff951c1aaf3217c4065cd</t>
        </is>
      </c>
      <c r="BE115" s="24" t="inlineStr">
        <is>
          <t>1</t>
        </is>
      </c>
      <c r="BF115" s="24" t="inlineStr">
        <is>
          <t>1</t>
        </is>
      </c>
      <c r="BG115" s="24" t="inlineStr">
        <is>
          <t>lol-tiered-elo-v6</t>
        </is>
      </c>
      <c r="BH115" s="24" t="inlineStr">
        <is>
          <t>2026-08-29T12:43:14.313091Z</t>
        </is>
      </c>
      <c r="BI115" s="24" t="inlineStr">
        <is>
          <t>["same_event","same_team_same_day","same_league_same_day"]</t>
        </is>
      </c>
      <c r="BJ115" s="25" t="n"/>
      <c r="BK115" s="26" t="n">
        <v>-104</v>
      </c>
      <c r="BL115" s="27" t="n">
        <v>1.961538</v>
      </c>
      <c r="BM115" s="28" t="n">
        <v>0.509804</v>
      </c>
      <c r="BN115" s="28" t="n"/>
      <c r="BO115" s="28" t="n"/>
      <c r="BP115" s="25" t="n"/>
      <c r="BQ115" s="27" t="n">
        <v>1.961538</v>
      </c>
      <c r="BR115" s="28" t="n">
        <v>0.51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True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inlineStr">
        <is>
          <t>0.509804</t>
        </is>
      </c>
      <c r="DK115" s="24" t="n"/>
      <c r="DL115" s="24" t="n"/>
      <c r="DM115" s="24" t="n"/>
      <c r="DN115" s="24" t="n"/>
      <c r="DO115" s="24" t="n"/>
      <c r="DP115" s="24" t="n"/>
      <c r="DQ115" s="24" t="n"/>
    </row>
    <row r="116" ht="36" customHeight="1">
      <c r="A116" s="24" t="inlineStr">
        <is>
          <t>954c01aa4e484f55</t>
        </is>
      </c>
      <c r="B116" s="24" t="inlineStr">
        <is>
          <t>2026-08-29T16:05:49.052416Z</t>
        </is>
      </c>
      <c r="C116" s="24" t="inlineStr">
        <is>
          <t>2026-08-29T17:15:00Z</t>
        </is>
      </c>
      <c r="D116" s="24" t="inlineStr">
        <is>
          <t>93685</t>
        </is>
      </c>
      <c r="E116" s="24" t="inlineStr">
        <is>
          <t>LOL</t>
        </is>
      </c>
      <c r="F116" s="24" t="inlineStr">
        <is>
          <t>GIANTX</t>
        </is>
      </c>
      <c r="G116" s="24" t="inlineStr">
        <is>
          <t>Natus Vincere</t>
        </is>
      </c>
      <c r="H116" s="24" t="inlineStr">
        <is>
          <t>moneyline</t>
        </is>
      </c>
      <c r="I116" s="24" t="inlineStr">
        <is>
          <t>away</t>
        </is>
      </c>
      <c r="J116" s="25" t="n"/>
      <c r="K116" s="24" t="inlineStr">
        <is>
          <t>polymarket_us</t>
        </is>
      </c>
      <c r="L116" s="26" t="n">
        <v>127</v>
      </c>
      <c r="M116" s="27" t="n">
        <v>2.27</v>
      </c>
      <c r="N116" s="28" t="n">
        <v>0.440529</v>
      </c>
      <c r="O116" s="28" t="n">
        <v>0.510814</v>
      </c>
      <c r="P116" s="28" t="n"/>
      <c r="Q116" s="28" t="n">
        <v>0.070285</v>
      </c>
      <c r="R116" s="26" t="n">
        <v>55</v>
      </c>
      <c r="S116" s="29" t="n">
        <v>1.25</v>
      </c>
      <c r="T116" s="24" t="inlineStr">
        <is>
          <t>lol-tiered-elo-v6</t>
        </is>
      </c>
      <c r="U116" s="24" t="inlineStr">
        <is>
          <t>settled</t>
        </is>
      </c>
      <c r="V116" s="24" t="inlineStr">
        <is>
          <t>loss</t>
        </is>
      </c>
      <c r="W116" s="26" t="n">
        <v>0</v>
      </c>
      <c r="X116" s="26" t="n">
        <v>1</v>
      </c>
      <c r="Y116" s="25" t="n"/>
      <c r="Z116" s="26" t="n">
        <v>127</v>
      </c>
      <c r="AA116" s="28" t="n">
        <v>0.44</v>
      </c>
      <c r="AB116" s="28" t="n">
        <v>-0.000529</v>
      </c>
      <c r="AC116" s="30" t="n">
        <v>-1.25</v>
      </c>
      <c r="AD116" s="24" t="inlineStr">
        <is>
          <t>2026-08-30T03:33:19.622809Z</t>
        </is>
      </c>
      <c r="AE116" s="31" t="inlineStr">
        <is>
          <t>Neutral Elo baseline; executable ask 0.4400 (market_slug=aec-lol-navi-gx-2026-08-29).</t>
        </is>
      </c>
      <c r="AF116" s="31" t="inlineStr">
        <is>
          <t>Config-promoted esports baseline; gates enforced at log time.</t>
        </is>
      </c>
      <c r="AG116" s="24" t="inlineStr">
        <is>
          <t>review_required</t>
        </is>
      </c>
      <c r="AH116" s="24" t="n"/>
      <c r="AI116" s="31" t="n"/>
      <c r="AJ116" s="31" t="n"/>
      <c r="AK116" s="24" t="inlineStr">
        <is>
          <t>paper_call</t>
        </is>
      </c>
      <c r="AL116" s="26" t="n">
        <v>4</v>
      </c>
      <c r="AM116" s="24" t="inlineStr">
        <is>
          <t>RESEARCH_OBSERVATION</t>
        </is>
      </c>
      <c r="AN116" s="24" t="inlineStr">
        <is>
          <t>CALL</t>
        </is>
      </c>
      <c r="AO116" s="24" t="inlineStr">
        <is>
          <t>PAPER_CALL_LOW_EDGE</t>
        </is>
      </c>
      <c r="AP116" s="24" t="inlineStr">
        <is>
          <t>GIANTX</t>
        </is>
      </c>
      <c r="AQ116" s="24" t="inlineStr">
        <is>
          <t>GIANTX</t>
        </is>
      </c>
      <c r="AR116" s="24" t="inlineStr">
        <is>
          <t>GIANTX</t>
        </is>
      </c>
      <c r="AS116" s="24" t="inlineStr">
        <is>
          <t>Natus Vincere</t>
        </is>
      </c>
      <c r="AT116" s="24" t="inlineStr">
        <is>
          <t>Natus Vincere</t>
        </is>
      </c>
      <c r="AU116" s="24" t="inlineStr">
        <is>
          <t>Natus Vincere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1b2ba5d86132aa60253e03f8e0a2685778e9a9e58ef4f76088f50f15ce5447cb</t>
        </is>
      </c>
      <c r="BB116" s="24" t="inlineStr">
        <is>
          <t>neutral_elo</t>
        </is>
      </c>
      <c r="BC116" s="24" t="inlineStr">
        <is>
          <t>lol-tiered-elo-v6</t>
        </is>
      </c>
      <c r="BD116" s="24" t="inlineStr">
        <is>
          <t>1b2ba5d86132aa60253e03f8e0a2685778e9a9e58ef4f76088f50f15ce5447cb</t>
        </is>
      </c>
      <c r="BE116" s="24" t="inlineStr">
        <is>
          <t>1</t>
        </is>
      </c>
      <c r="BF116" s="24" t="inlineStr">
        <is>
          <t>1</t>
        </is>
      </c>
      <c r="BG116" s="24" t="inlineStr">
        <is>
          <t>lol-tiered-elo-v6</t>
        </is>
      </c>
      <c r="BH116" s="24" t="inlineStr">
        <is>
          <t>2026-08-29T16:05:46.846009Z</t>
        </is>
      </c>
      <c r="BI116" s="24" t="inlineStr">
        <is>
          <t>["same_event","same_team_same_day","same_league_same_day"]</t>
        </is>
      </c>
      <c r="BJ116" s="25" t="n"/>
      <c r="BK116" s="26" t="n">
        <v>127</v>
      </c>
      <c r="BL116" s="27" t="n">
        <v>2.27</v>
      </c>
      <c r="BM116" s="28" t="n">
        <v>0.440529</v>
      </c>
      <c r="BN116" s="28" t="n"/>
      <c r="BO116" s="28" t="n"/>
      <c r="BP116" s="25" t="n"/>
      <c r="BQ116" s="27" t="n">
        <v>2.27</v>
      </c>
      <c r="BR116" s="28" t="n">
        <v>0.44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True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inlineStr">
        <is>
          <t>0.440529</t>
        </is>
      </c>
      <c r="DK116" s="24" t="n"/>
      <c r="DL116" s="24" t="n"/>
      <c r="DM116" s="24" t="n"/>
      <c r="DN116" s="24" t="n"/>
      <c r="DO116" s="24" t="n"/>
      <c r="DP116" s="24" t="n"/>
      <c r="DQ116" s="24" t="n"/>
    </row>
    <row r="117" ht="36" customHeight="1">
      <c r="A117" s="24" t="inlineStr">
        <is>
          <t>909c9cfaaaf54e6c</t>
        </is>
      </c>
      <c r="B117" s="24" t="inlineStr">
        <is>
          <t>2026-08-29T16:05:49.052416Z</t>
        </is>
      </c>
      <c r="C117" s="24" t="inlineStr">
        <is>
          <t>2026-08-29T23:00:00Z</t>
        </is>
      </c>
      <c r="D117" s="24" t="inlineStr">
        <is>
          <t>93964</t>
        </is>
      </c>
      <c r="E117" s="24" t="inlineStr">
        <is>
          <t>LOL</t>
        </is>
      </c>
      <c r="F117" s="24" t="inlineStr">
        <is>
          <t>LYON</t>
        </is>
      </c>
      <c r="G117" s="24" t="inlineStr">
        <is>
          <t>Cloud9</t>
        </is>
      </c>
      <c r="H117" s="24" t="inlineStr">
        <is>
          <t>moneyline</t>
        </is>
      </c>
      <c r="I117" s="24" t="inlineStr">
        <is>
          <t>away</t>
        </is>
      </c>
      <c r="J117" s="25" t="n"/>
      <c r="K117" s="24" t="inlineStr">
        <is>
          <t>polymarket_us</t>
        </is>
      </c>
      <c r="L117" s="26" t="n">
        <v>-194</v>
      </c>
      <c r="M117" s="27" t="n">
        <v>1.515464</v>
      </c>
      <c r="N117" s="28" t="n">
        <v>0.659864</v>
      </c>
      <c r="O117" s="28" t="n">
        <v>0.524873</v>
      </c>
      <c r="P117" s="28" t="n"/>
      <c r="Q117" s="28" t="n">
        <v>-0.134991</v>
      </c>
      <c r="R117" s="26" t="n">
        <v>0</v>
      </c>
      <c r="S117" s="29" t="n">
        <v>1</v>
      </c>
      <c r="T117" s="24" t="inlineStr">
        <is>
          <t>lol-tiered-elo-v6</t>
        </is>
      </c>
      <c r="U117" s="24" t="inlineStr">
        <is>
          <t>settled</t>
        </is>
      </c>
      <c r="V117" s="24" t="inlineStr">
        <is>
          <t>win</t>
        </is>
      </c>
      <c r="W117" s="26" t="n">
        <v>1</v>
      </c>
      <c r="X117" s="26" t="n">
        <v>0</v>
      </c>
      <c r="Y117" s="25" t="n"/>
      <c r="Z117" s="26" t="n">
        <v>-194</v>
      </c>
      <c r="AA117" s="28" t="n">
        <v>0.66</v>
      </c>
      <c r="AB117" s="28" t="n">
        <v>0.000136</v>
      </c>
      <c r="AC117" s="30" t="n">
        <v>0.5155</v>
      </c>
      <c r="AD117" s="24" t="inlineStr">
        <is>
          <t>2026-08-30T03:33:20.357301Z</t>
        </is>
      </c>
      <c r="AE117" s="31" t="inlineStr">
        <is>
          <t>Neutral Elo baseline; executable ask 0.6600 (market_slug=aec-lol-c9-ly-2026-08-29).</t>
        </is>
      </c>
      <c r="AF117" s="31" t="inlineStr">
        <is>
          <t>Config-promoted esports baseline; gates enforced at log time.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4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PAPER_CALL_LOW_EDGE</t>
        </is>
      </c>
      <c r="AP117" s="24" t="inlineStr">
        <is>
          <t>LYON</t>
        </is>
      </c>
      <c r="AQ117" s="24" t="inlineStr">
        <is>
          <t>LYON</t>
        </is>
      </c>
      <c r="AR117" s="24" t="inlineStr">
        <is>
          <t>LYON</t>
        </is>
      </c>
      <c r="AS117" s="24" t="inlineStr">
        <is>
          <t>Cloud9</t>
        </is>
      </c>
      <c r="AT117" s="24" t="inlineStr">
        <is>
          <t>Cloud9</t>
        </is>
      </c>
      <c r="AU117" s="24" t="inlineStr">
        <is>
          <t>Cloud9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1b2ba5d86132aa60253e03f8e0a2685778e9a9e58ef4f76088f50f15ce5447cb</t>
        </is>
      </c>
      <c r="BB117" s="24" t="inlineStr">
        <is>
          <t>neutral_elo</t>
        </is>
      </c>
      <c r="BC117" s="24" t="inlineStr">
        <is>
          <t>lol-tiered-elo-v6</t>
        </is>
      </c>
      <c r="BD117" s="24" t="inlineStr">
        <is>
          <t>1b2ba5d86132aa60253e03f8e0a2685778e9a9e58ef4f76088f50f15ce5447cb</t>
        </is>
      </c>
      <c r="BE117" s="24" t="inlineStr">
        <is>
          <t>1</t>
        </is>
      </c>
      <c r="BF117" s="24" t="inlineStr">
        <is>
          <t>1</t>
        </is>
      </c>
      <c r="BG117" s="24" t="inlineStr">
        <is>
          <t>lol-tiered-elo-v6</t>
        </is>
      </c>
      <c r="BH117" s="24" t="inlineStr">
        <is>
          <t>2026-08-29T16:05:47.069604Z</t>
        </is>
      </c>
      <c r="BI117" s="24" t="inlineStr">
        <is>
          <t>["same_event","same_team_same_day","same_league_same_day"]</t>
        </is>
      </c>
      <c r="BJ117" s="25" t="n"/>
      <c r="BK117" s="26" t="n">
        <v>-194</v>
      </c>
      <c r="BL117" s="27" t="n">
        <v>1.515464</v>
      </c>
      <c r="BM117" s="28" t="n">
        <v>0.659864</v>
      </c>
      <c r="BN117" s="28" t="n"/>
      <c r="BO117" s="28" t="n"/>
      <c r="BP117" s="25" t="n"/>
      <c r="BQ117" s="27" t="n">
        <v>1.515464</v>
      </c>
      <c r="BR117" s="28" t="n">
        <v>0.66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False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inlineStr">
        <is>
          <t>0.659864</t>
        </is>
      </c>
      <c r="DK117" s="24" t="n"/>
      <c r="DL117" s="24" t="n"/>
      <c r="DM117" s="24" t="n"/>
      <c r="DN117" s="24" t="n"/>
      <c r="DO117" s="24" t="n"/>
      <c r="DP117" s="24" t="n"/>
      <c r="DQ117" s="24" t="n"/>
    </row>
    <row r="118" ht="36" customHeight="1">
      <c r="A118" s="24" t="inlineStr">
        <is>
          <t>1f714c5129234dfe</t>
        </is>
      </c>
      <c r="B118" s="24" t="inlineStr">
        <is>
          <t>2026-08-30T03:35:07.443202Z</t>
        </is>
      </c>
      <c r="C118" s="24" t="inlineStr">
        <is>
          <t>2026-08-30T09:00:00Z</t>
        </is>
      </c>
      <c r="D118" s="24" t="inlineStr">
        <is>
          <t>94294</t>
        </is>
      </c>
      <c r="E118" s="24" t="inlineStr">
        <is>
          <t>LOL</t>
        </is>
      </c>
      <c r="F118" s="24" t="inlineStr">
        <is>
          <t>Team WE</t>
        </is>
      </c>
      <c r="G118" s="24" t="inlineStr">
        <is>
          <t>JD Gaming</t>
        </is>
      </c>
      <c r="H118" s="24" t="inlineStr">
        <is>
          <t>moneyline</t>
        </is>
      </c>
      <c r="I118" s="24" t="inlineStr">
        <is>
          <t>home</t>
        </is>
      </c>
      <c r="J118" s="25" t="n"/>
      <c r="K118" s="24" t="inlineStr">
        <is>
          <t>polymarket_us</t>
        </is>
      </c>
      <c r="L118" s="26" t="n">
        <v>-223</v>
      </c>
      <c r="M118" s="27" t="n">
        <v>1.44843</v>
      </c>
      <c r="N118" s="28" t="n">
        <v>0.690402</v>
      </c>
      <c r="O118" s="28" t="n">
        <v>0.665408</v>
      </c>
      <c r="P118" s="28" t="n"/>
      <c r="Q118" s="28" t="n">
        <v>-0.024994</v>
      </c>
      <c r="R118" s="26" t="n">
        <v>8</v>
      </c>
      <c r="S118" s="29" t="n">
        <v>1</v>
      </c>
      <c r="T118" s="24" t="inlineStr">
        <is>
          <t>lol-tiered-elo-v6</t>
        </is>
      </c>
      <c r="U118" s="24" t="inlineStr">
        <is>
          <t>settled</t>
        </is>
      </c>
      <c r="V118" s="24" t="inlineStr">
        <is>
          <t>loss</t>
        </is>
      </c>
      <c r="W118" s="26" t="n">
        <v>1</v>
      </c>
      <c r="X118" s="26" t="n">
        <v>0</v>
      </c>
      <c r="Y118" s="25" t="n"/>
      <c r="Z118" s="26" t="n">
        <v>-223</v>
      </c>
      <c r="AA118" s="28" t="n">
        <v>0.6899999999999999</v>
      </c>
      <c r="AB118" s="28" t="n">
        <v>-0.000402</v>
      </c>
      <c r="AC118" s="30" t="n">
        <v>-1</v>
      </c>
      <c r="AD118" s="24" t="inlineStr">
        <is>
          <t>2026-08-30T16:04:28.024281Z</t>
        </is>
      </c>
      <c r="AE118" s="31" t="inlineStr">
        <is>
          <t>Neutral Elo baseline; executable ask 0.6900 (market_slug=aec-lol-jdg-we-2026-08-30).</t>
        </is>
      </c>
      <c r="AF118" s="31" t="inlineStr">
        <is>
          <t>Config-promoted esports baseline; gates enforced at log time.</t>
        </is>
      </c>
      <c r="AG118" s="24" t="inlineStr">
        <is>
          <t>review_required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4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PAPER_CALL_LOW_EDGE</t>
        </is>
      </c>
      <c r="AP118" s="24" t="inlineStr">
        <is>
          <t>Team WE</t>
        </is>
      </c>
      <c r="AQ118" s="24" t="inlineStr">
        <is>
          <t>Team WE</t>
        </is>
      </c>
      <c r="AR118" s="24" t="inlineStr">
        <is>
          <t>Team WE</t>
        </is>
      </c>
      <c r="AS118" s="24" t="inlineStr">
        <is>
          <t>JD Gaming</t>
        </is>
      </c>
      <c r="AT118" s="24" t="inlineStr">
        <is>
          <t>JD Gaming</t>
        </is>
      </c>
      <c r="AU118" s="24" t="inlineStr">
        <is>
          <t>JD Gaming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7fa93205498213fb8604f1a1defea4b05241c9e8ad0bdf64bf21f858027377cb</t>
        </is>
      </c>
      <c r="BB118" s="24" t="inlineStr">
        <is>
          <t>neutral_elo</t>
        </is>
      </c>
      <c r="BC118" s="24" t="inlineStr">
        <is>
          <t>lol-tiered-elo-v6</t>
        </is>
      </c>
      <c r="BD118" s="24" t="inlineStr">
        <is>
          <t>7fa93205498213fb8604f1a1defea4b05241c9e8ad0bdf64bf21f858027377cb</t>
        </is>
      </c>
      <c r="BE118" s="24" t="inlineStr">
        <is>
          <t>1</t>
        </is>
      </c>
      <c r="BF118" s="24" t="inlineStr">
        <is>
          <t>1</t>
        </is>
      </c>
      <c r="BG118" s="24" t="inlineStr">
        <is>
          <t>lol-tiered-elo-v6</t>
        </is>
      </c>
      <c r="BH118" s="24" t="inlineStr">
        <is>
          <t>2026-08-30T03:35:06.017367Z</t>
        </is>
      </c>
      <c r="BI118" s="24" t="inlineStr">
        <is>
          <t>["same_event","same_team_same_day","same_league_same_day"]</t>
        </is>
      </c>
      <c r="BJ118" s="25" t="n"/>
      <c r="BK118" s="26" t="n">
        <v>-223</v>
      </c>
      <c r="BL118" s="27" t="n">
        <v>1.44843</v>
      </c>
      <c r="BM118" s="28" t="n">
        <v>0.690402</v>
      </c>
      <c r="BN118" s="28" t="n"/>
      <c r="BO118" s="28" t="n"/>
      <c r="BP118" s="25" t="n"/>
      <c r="BQ118" s="27" t="n">
        <v>1.44843</v>
      </c>
      <c r="BR118" s="28" t="n">
        <v>0.6899999999999999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False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inlineStr">
        <is>
          <t>0.690402</t>
        </is>
      </c>
      <c r="DK118" s="24" t="n"/>
      <c r="DL118" s="24" t="n"/>
      <c r="DM118" s="24" t="n"/>
      <c r="DN118" s="24" t="n"/>
      <c r="DO118" s="24" t="n"/>
      <c r="DP118" s="24" t="n"/>
      <c r="DQ118" s="24" t="n"/>
    </row>
    <row r="119" ht="36" customHeight="1">
      <c r="A119" s="24" t="inlineStr">
        <is>
          <t>02c80cfbec4a440e</t>
        </is>
      </c>
      <c r="B119" s="24" t="inlineStr">
        <is>
          <t>2026-08-30T03:35:07.443202Z</t>
        </is>
      </c>
      <c r="C119" s="24" t="inlineStr">
        <is>
          <t>2026-08-30T16:00:00Z</t>
        </is>
      </c>
      <c r="D119" s="24" t="inlineStr">
        <is>
          <t>94555</t>
        </is>
      </c>
      <c r="E119" s="24" t="inlineStr">
        <is>
          <t>LOL</t>
        </is>
      </c>
      <c r="F119" s="24" t="inlineStr">
        <is>
          <t>Vivo Keyd Stars</t>
        </is>
      </c>
      <c r="G119" s="24" t="inlineStr">
        <is>
          <t>paiN Gaming</t>
        </is>
      </c>
      <c r="H119" s="24" t="inlineStr">
        <is>
          <t>moneyline</t>
        </is>
      </c>
      <c r="I119" s="24" t="inlineStr">
        <is>
          <t>away</t>
        </is>
      </c>
      <c r="J119" s="25" t="n"/>
      <c r="K119" s="24" t="inlineStr">
        <is>
          <t>polymarket_us</t>
        </is>
      </c>
      <c r="L119" s="26" t="n">
        <v>-213</v>
      </c>
      <c r="M119" s="27" t="n">
        <v>1.469484</v>
      </c>
      <c r="N119" s="28" t="n">
        <v>0.680511</v>
      </c>
      <c r="O119" s="28" t="n">
        <v>0.619517</v>
      </c>
      <c r="P119" s="28" t="n"/>
      <c r="Q119" s="28" t="n">
        <v>-0.060994</v>
      </c>
      <c r="R119" s="26" t="n">
        <v>0</v>
      </c>
      <c r="S119" s="29" t="n">
        <v>1</v>
      </c>
      <c r="T119" s="24" t="inlineStr">
        <is>
          <t>lol-tiered-elo-v6</t>
        </is>
      </c>
      <c r="U119" s="24" t="inlineStr">
        <is>
          <t>settled</t>
        </is>
      </c>
      <c r="V119" s="24" t="inlineStr">
        <is>
          <t>win</t>
        </is>
      </c>
      <c r="W119" s="26" t="n">
        <v>1</v>
      </c>
      <c r="X119" s="26" t="n">
        <v>0</v>
      </c>
      <c r="Y119" s="25" t="n"/>
      <c r="Z119" s="26" t="n">
        <v>-223</v>
      </c>
      <c r="AA119" s="28" t="n">
        <v>0.6899999999999999</v>
      </c>
      <c r="AB119" s="28" t="n">
        <v>0.009488999999999999</v>
      </c>
      <c r="AC119" s="30" t="n">
        <v>0.4695</v>
      </c>
      <c r="AD119" s="24" t="inlineStr">
        <is>
          <t>2026-08-31T04:40:59.001564Z</t>
        </is>
      </c>
      <c r="AE119" s="31" t="inlineStr">
        <is>
          <t>Neutral Elo baseline; executable ask 0.6800 (market_slug=aec-lol-png-vks-2026-08-30).</t>
        </is>
      </c>
      <c r="AF119" s="31" t="inlineStr">
        <is>
          <t>Config-promoted esports baseline; gates enforced at log time.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4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PAPER_CALL_LOW_EDGE</t>
        </is>
      </c>
      <c r="AP119" s="24" t="inlineStr">
        <is>
          <t>Vivo Keyd Stars</t>
        </is>
      </c>
      <c r="AQ119" s="24" t="inlineStr">
        <is>
          <t>Vivo Keyd Stars</t>
        </is>
      </c>
      <c r="AR119" s="24" t="inlineStr">
        <is>
          <t>Vivo Keyd Stars</t>
        </is>
      </c>
      <c r="AS119" s="24" t="inlineStr">
        <is>
          <t>paiN Gaming</t>
        </is>
      </c>
      <c r="AT119" s="24" t="inlineStr">
        <is>
          <t>paiN Gaming</t>
        </is>
      </c>
      <c r="AU119" s="24" t="inlineStr">
        <is>
          <t>paiN Gaming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7fa93205498213fb8604f1a1defea4b05241c9e8ad0bdf64bf21f858027377cb</t>
        </is>
      </c>
      <c r="BB119" s="24" t="inlineStr">
        <is>
          <t>neutral_elo</t>
        </is>
      </c>
      <c r="BC119" s="24" t="inlineStr">
        <is>
          <t>lol-tiered-elo-v6</t>
        </is>
      </c>
      <c r="BD119" s="24" t="inlineStr">
        <is>
          <t>7fa93205498213fb8604f1a1defea4b05241c9e8ad0bdf64bf21f858027377cb</t>
        </is>
      </c>
      <c r="BE119" s="24" t="inlineStr">
        <is>
          <t>1</t>
        </is>
      </c>
      <c r="BF119" s="24" t="inlineStr">
        <is>
          <t>1</t>
        </is>
      </c>
      <c r="BG119" s="24" t="inlineStr">
        <is>
          <t>lol-tiered-elo-v6</t>
        </is>
      </c>
      <c r="BH119" s="24" t="inlineStr">
        <is>
          <t>2026-08-30T03:35:06.570055Z</t>
        </is>
      </c>
      <c r="BI119" s="24" t="inlineStr">
        <is>
          <t>["same_event","same_team_same_day","same_league_same_day"]</t>
        </is>
      </c>
      <c r="BJ119" s="25" t="n"/>
      <c r="BK119" s="26" t="n">
        <v>-213</v>
      </c>
      <c r="BL119" s="27" t="n">
        <v>1.469484</v>
      </c>
      <c r="BM119" s="28" t="n">
        <v>0.680511</v>
      </c>
      <c r="BN119" s="28" t="n"/>
      <c r="BO119" s="28" t="n"/>
      <c r="BP119" s="25" t="n"/>
      <c r="BQ119" s="27" t="n">
        <v>1.44843</v>
      </c>
      <c r="BR119" s="28" t="n">
        <v>0.6899999999999999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False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inlineStr">
        <is>
          <t>0.680511</t>
        </is>
      </c>
      <c r="DK119" s="24" t="n"/>
      <c r="DL119" s="24" t="n"/>
      <c r="DM119" s="24" t="n"/>
      <c r="DN119" s="24" t="n"/>
      <c r="DO119" s="24" t="n"/>
      <c r="DP119" s="24" t="n"/>
      <c r="DQ119" s="24" t="n"/>
    </row>
    <row r="120" ht="36" customHeight="1">
      <c r="A120" s="24" t="inlineStr">
        <is>
          <t>251a40c2423d4eda</t>
        </is>
      </c>
      <c r="B120" s="24" t="inlineStr">
        <is>
          <t>2026-08-30T16:07:31.107886Z</t>
        </is>
      </c>
      <c r="C120" s="24" t="inlineStr">
        <is>
          <t>2026-08-30T16:30:00Z</t>
        </is>
      </c>
      <c r="D120" s="24" t="inlineStr">
        <is>
          <t>94567</t>
        </is>
      </c>
      <c r="E120" s="24" t="inlineStr">
        <is>
          <t>LOL</t>
        </is>
      </c>
      <c r="F120" s="24" t="inlineStr">
        <is>
          <t>GIANTX</t>
        </is>
      </c>
      <c r="G120" s="24" t="inlineStr">
        <is>
          <t>Fnatic</t>
        </is>
      </c>
      <c r="H120" s="24" t="inlineStr">
        <is>
          <t>moneyline</t>
        </is>
      </c>
      <c r="I120" s="24" t="inlineStr">
        <is>
          <t>away</t>
        </is>
      </c>
      <c r="J120" s="25" t="n"/>
      <c r="K120" s="24" t="inlineStr">
        <is>
          <t>polymarket_us</t>
        </is>
      </c>
      <c r="L120" s="26" t="n">
        <v>194</v>
      </c>
      <c r="M120" s="27" t="n">
        <v>2.94</v>
      </c>
      <c r="N120" s="28" t="n">
        <v>0.340136</v>
      </c>
      <c r="O120" s="28" t="n">
        <v>0.599089</v>
      </c>
      <c r="P120" s="28" t="n"/>
      <c r="Q120" s="28" t="n">
        <v>0.258953</v>
      </c>
      <c r="R120" s="26" t="n">
        <v>100</v>
      </c>
      <c r="S120" s="29" t="n">
        <v>2</v>
      </c>
      <c r="T120" s="24" t="inlineStr">
        <is>
          <t>lol-tiered-elo-v6</t>
        </is>
      </c>
      <c r="U120" s="24" t="inlineStr">
        <is>
          <t>settled</t>
        </is>
      </c>
      <c r="V120" s="24" t="inlineStr">
        <is>
          <t>win</t>
        </is>
      </c>
      <c r="W120" s="26" t="n">
        <v>1</v>
      </c>
      <c r="X120" s="26" t="n">
        <v>0</v>
      </c>
      <c r="Y120" s="25" t="n"/>
      <c r="Z120" s="26" t="n">
        <v>194</v>
      </c>
      <c r="AA120" s="28" t="n">
        <v>0.34</v>
      </c>
      <c r="AB120" s="28" t="n">
        <v>-0.000136</v>
      </c>
      <c r="AC120" s="30" t="n">
        <v>3.88</v>
      </c>
      <c r="AD120" s="24" t="inlineStr">
        <is>
          <t>2026-08-31T04:40:59.613669Z</t>
        </is>
      </c>
      <c r="AE120" s="31" t="inlineStr">
        <is>
          <t>Neutral Elo baseline; executable ask 0.3400 (market_slug=aec-lol-fnc-gx-2026-08-30).</t>
        </is>
      </c>
      <c r="AF120" s="31" t="inlineStr">
        <is>
          <t>Config-promoted esports baseline; gates enforced at log time.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4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GIANTX</t>
        </is>
      </c>
      <c r="AQ120" s="24" t="inlineStr">
        <is>
          <t>GIANTX</t>
        </is>
      </c>
      <c r="AR120" s="24" t="inlineStr">
        <is>
          <t>GIANTX</t>
        </is>
      </c>
      <c r="AS120" s="24" t="inlineStr">
        <is>
          <t>Fnatic</t>
        </is>
      </c>
      <c r="AT120" s="24" t="inlineStr">
        <is>
          <t>Fnatic</t>
        </is>
      </c>
      <c r="AU120" s="24" t="inlineStr">
        <is>
          <t>Fnatic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5c38c11f67b7806a4931aa505c9c62ae46c526f004843220e2e18cd19c4886ab</t>
        </is>
      </c>
      <c r="BB120" s="24" t="inlineStr">
        <is>
          <t>neutral_elo</t>
        </is>
      </c>
      <c r="BC120" s="24" t="inlineStr">
        <is>
          <t>lol-tiered-elo-v6</t>
        </is>
      </c>
      <c r="BD120" s="24" t="inlineStr">
        <is>
          <t>5c38c11f67b7806a4931aa505c9c62ae46c526f004843220e2e18cd19c4886ab</t>
        </is>
      </c>
      <c r="BE120" s="24" t="inlineStr">
        <is>
          <t>1</t>
        </is>
      </c>
      <c r="BF120" s="24" t="inlineStr">
        <is>
          <t>1</t>
        </is>
      </c>
      <c r="BG120" s="24" t="inlineStr">
        <is>
          <t>lol-tiered-elo-v6</t>
        </is>
      </c>
      <c r="BH120" s="24" t="inlineStr">
        <is>
          <t>2026-08-30T16:07:30.043877Z</t>
        </is>
      </c>
      <c r="BI120" s="24" t="inlineStr">
        <is>
          <t>["same_event","same_team_same_day","same_league_same_day"]</t>
        </is>
      </c>
      <c r="BJ120" s="25" t="n"/>
      <c r="BK120" s="26" t="n">
        <v>194</v>
      </c>
      <c r="BL120" s="27" t="n">
        <v>2.94</v>
      </c>
      <c r="BM120" s="28" t="n">
        <v>0.340136</v>
      </c>
      <c r="BN120" s="28" t="n"/>
      <c r="BO120" s="28" t="n"/>
      <c r="BP120" s="25" t="n"/>
      <c r="BQ120" s="27" t="n">
        <v>2.94</v>
      </c>
      <c r="BR120" s="28" t="n">
        <v>0.34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True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inlineStr">
        <is>
          <t>0.340136</t>
        </is>
      </c>
      <c r="DK120" s="24" t="n"/>
      <c r="DL120" s="24" t="n"/>
      <c r="DM120" s="24" t="n"/>
      <c r="DN120" s="24" t="n"/>
      <c r="DO120" s="24" t="n"/>
      <c r="DP120" s="24" t="n"/>
      <c r="DQ120" s="24" t="n"/>
    </row>
    <row r="121" ht="36" customHeight="1">
      <c r="A121" s="24" t="inlineStr">
        <is>
          <t>42a282ce16a14139</t>
        </is>
      </c>
      <c r="B121" s="24" t="inlineStr">
        <is>
          <t>2026-08-30T16:07:31.107886Z</t>
        </is>
      </c>
      <c r="C121" s="24" t="inlineStr">
        <is>
          <t>2026-08-30T20:00:00Z</t>
        </is>
      </c>
      <c r="D121" s="24" t="inlineStr">
        <is>
          <t>94906</t>
        </is>
      </c>
      <c r="E121" s="24" t="inlineStr">
        <is>
          <t>LOL</t>
        </is>
      </c>
      <c r="F121" s="24" t="inlineStr">
        <is>
          <t>Team Liquid</t>
        </is>
      </c>
      <c r="G121" s="24" t="inlineStr">
        <is>
          <t>LYON</t>
        </is>
      </c>
      <c r="H121" s="24" t="inlineStr">
        <is>
          <t>moneyline</t>
        </is>
      </c>
      <c r="I121" s="24" t="inlineStr">
        <is>
          <t>away</t>
        </is>
      </c>
      <c r="J121" s="25" t="n"/>
      <c r="K121" s="24" t="inlineStr">
        <is>
          <t>polymarket_us</t>
        </is>
      </c>
      <c r="L121" s="26" t="n">
        <v>117</v>
      </c>
      <c r="M121" s="27" t="n">
        <v>2.17</v>
      </c>
      <c r="N121" s="28" t="n">
        <v>0.460829</v>
      </c>
      <c r="O121" s="28" t="n">
        <v>0.511538</v>
      </c>
      <c r="P121" s="28" t="n"/>
      <c r="Q121" s="28" t="n">
        <v>0.050709</v>
      </c>
      <c r="R121" s="26" t="n">
        <v>45</v>
      </c>
      <c r="S121" s="29" t="n">
        <v>1</v>
      </c>
      <c r="T121" s="24" t="inlineStr">
        <is>
          <t>lol-tiered-elo-v6</t>
        </is>
      </c>
      <c r="U121" s="24" t="inlineStr">
        <is>
          <t>settled</t>
        </is>
      </c>
      <c r="V121" s="24" t="inlineStr">
        <is>
          <t>loss</t>
        </is>
      </c>
      <c r="W121" s="26" t="n">
        <v>0</v>
      </c>
      <c r="X121" s="26" t="n">
        <v>1</v>
      </c>
      <c r="Y121" s="25" t="n"/>
      <c r="Z121" s="26" t="n">
        <v>117</v>
      </c>
      <c r="AA121" s="28" t="n">
        <v>0.46</v>
      </c>
      <c r="AB121" s="28" t="n">
        <v>-0.000829</v>
      </c>
      <c r="AC121" s="30" t="n">
        <v>-1</v>
      </c>
      <c r="AD121" s="24" t="inlineStr">
        <is>
          <t>2026-08-31T04:41:00.261329Z</t>
        </is>
      </c>
      <c r="AE121" s="31" t="inlineStr">
        <is>
          <t>Neutral Elo baseline; executable ask 0.4600 (market_slug=aec-lol-ly-tl-2026-08-30).</t>
        </is>
      </c>
      <c r="AF121" s="31" t="inlineStr">
        <is>
          <t>Config-promoted esports baseline; gates enforced at log time.</t>
        </is>
      </c>
      <c r="AG121" s="24" t="inlineStr">
        <is>
          <t>review_required</t>
        </is>
      </c>
      <c r="AH121" s="24" t="n"/>
      <c r="AI121" s="31" t="n"/>
      <c r="AJ121" s="31" t="n"/>
      <c r="AK121" s="24" t="inlineStr">
        <is>
          <t>paper_call</t>
        </is>
      </c>
      <c r="AL121" s="26" t="n">
        <v>4</v>
      </c>
      <c r="AM121" s="24" t="inlineStr">
        <is>
          <t>RESEARCH_OBSERVATION</t>
        </is>
      </c>
      <c r="AN121" s="24" t="inlineStr">
        <is>
          <t>CALL</t>
        </is>
      </c>
      <c r="AO121" s="24" t="inlineStr">
        <is>
          <t>PAPER_CALL_LOW_EDGE</t>
        </is>
      </c>
      <c r="AP121" s="24" t="inlineStr">
        <is>
          <t>Team Liquid</t>
        </is>
      </c>
      <c r="AQ121" s="24" t="inlineStr">
        <is>
          <t>Team Liquid</t>
        </is>
      </c>
      <c r="AR121" s="24" t="inlineStr">
        <is>
          <t>Team Liquid</t>
        </is>
      </c>
      <c r="AS121" s="24" t="inlineStr">
        <is>
          <t>LYON</t>
        </is>
      </c>
      <c r="AT121" s="24" t="inlineStr">
        <is>
          <t>LYON</t>
        </is>
      </c>
      <c r="AU121" s="24" t="inlineStr">
        <is>
          <t>LYON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5c38c11f67b7806a4931aa505c9c62ae46c526f004843220e2e18cd19c4886ab</t>
        </is>
      </c>
      <c r="BB121" s="24" t="inlineStr">
        <is>
          <t>neutral_elo</t>
        </is>
      </c>
      <c r="BC121" s="24" t="inlineStr">
        <is>
          <t>lol-tiered-elo-v6</t>
        </is>
      </c>
      <c r="BD121" s="24" t="inlineStr">
        <is>
          <t>5c38c11f67b7806a4931aa505c9c62ae46c526f004843220e2e18cd19c4886ab</t>
        </is>
      </c>
      <c r="BE121" s="24" t="inlineStr">
        <is>
          <t>1</t>
        </is>
      </c>
      <c r="BF121" s="24" t="inlineStr">
        <is>
          <t>1</t>
        </is>
      </c>
      <c r="BG121" s="24" t="inlineStr">
        <is>
          <t>lol-tiered-elo-v6</t>
        </is>
      </c>
      <c r="BH121" s="24" t="inlineStr">
        <is>
          <t>2026-08-30T16:07:30.168053Z</t>
        </is>
      </c>
      <c r="BI121" s="24" t="inlineStr">
        <is>
          <t>["same_event","same_team_same_day","same_league_same_day"]</t>
        </is>
      </c>
      <c r="BJ121" s="25" t="n"/>
      <c r="BK121" s="26" t="n">
        <v>117</v>
      </c>
      <c r="BL121" s="27" t="n">
        <v>2.17</v>
      </c>
      <c r="BM121" s="28" t="n">
        <v>0.460829</v>
      </c>
      <c r="BN121" s="28" t="n"/>
      <c r="BO121" s="28" t="n"/>
      <c r="BP121" s="25" t="n"/>
      <c r="BQ121" s="27" t="n">
        <v>2.17</v>
      </c>
      <c r="BR121" s="28" t="n">
        <v>0.46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True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inlineStr">
        <is>
          <t>0.460829</t>
        </is>
      </c>
      <c r="DK121" s="24" t="n"/>
      <c r="DL121" s="24" t="n"/>
      <c r="DM121" s="24" t="n"/>
      <c r="DN121" s="24" t="n"/>
      <c r="DO121" s="24" t="n"/>
      <c r="DP121" s="24" t="n"/>
      <c r="DQ121" s="24" t="n"/>
    </row>
    <row r="122" ht="36" customHeight="1">
      <c r="A122" s="24" t="inlineStr">
        <is>
          <t>fcb23af9c6464fac</t>
        </is>
      </c>
      <c r="B122" s="24" t="inlineStr">
        <is>
          <t>2026-08-31T04:43:53.773002Z</t>
        </is>
      </c>
      <c r="C122" s="24" t="inlineStr">
        <is>
          <t>2026-08-31T08:00:00Z</t>
        </is>
      </c>
      <c r="D122" s="24" t="inlineStr">
        <is>
          <t>95034</t>
        </is>
      </c>
      <c r="E122" s="24" t="inlineStr">
        <is>
          <t>LOL</t>
        </is>
      </c>
      <c r="F122" s="24" t="inlineStr">
        <is>
          <t>DN SOOPers Challengers</t>
        </is>
      </c>
      <c r="G122" s="24" t="inlineStr">
        <is>
          <t>Nongshim Esports Academy</t>
        </is>
      </c>
      <c r="H122" s="24" t="inlineStr">
        <is>
          <t>moneyline</t>
        </is>
      </c>
      <c r="I122" s="24" t="inlineStr">
        <is>
          <t>home</t>
        </is>
      </c>
      <c r="J122" s="25" t="n"/>
      <c r="K122" s="24" t="inlineStr">
        <is>
          <t>polymarket_us</t>
        </is>
      </c>
      <c r="L122" s="26" t="n">
        <v>-133</v>
      </c>
      <c r="M122" s="27" t="n">
        <v>1.75188</v>
      </c>
      <c r="N122" s="28" t="n">
        <v>0.570815</v>
      </c>
      <c r="O122" s="28" t="n">
        <v>0.532211</v>
      </c>
      <c r="P122" s="28" t="n"/>
      <c r="Q122" s="28" t="n">
        <v>-0.038604</v>
      </c>
      <c r="R122" s="26" t="n">
        <v>1</v>
      </c>
      <c r="S122" s="29" t="n">
        <v>1</v>
      </c>
      <c r="T122" s="24" t="inlineStr">
        <is>
          <t>lol-tiered-elo-v6</t>
        </is>
      </c>
      <c r="U122" s="24" t="inlineStr">
        <is>
          <t>settled</t>
        </is>
      </c>
      <c r="V122" s="24" t="inlineStr">
        <is>
          <t>win</t>
        </is>
      </c>
      <c r="W122" s="26" t="n">
        <v>0</v>
      </c>
      <c r="X122" s="26" t="n">
        <v>1</v>
      </c>
      <c r="Y122" s="25" t="n"/>
      <c r="Z122" s="26" t="n">
        <v>-133</v>
      </c>
      <c r="AA122" s="28" t="n">
        <v>0.57</v>
      </c>
      <c r="AB122" s="28" t="n">
        <v>-0.000815</v>
      </c>
      <c r="AC122" s="30" t="n">
        <v>0.7519</v>
      </c>
      <c r="AD122" s="24" t="inlineStr">
        <is>
          <t>2026-08-31T16:02:19.887988Z</t>
        </is>
      </c>
      <c r="AE122" s="31" t="inlineStr">
        <is>
          <t>Neutral Elo baseline; executable ask 0.5700 (market_slug=aec-lol-nsea-dnsc-2026-08-31).</t>
        </is>
      </c>
      <c r="AF122" s="31" t="inlineStr">
        <is>
          <t>Config-promoted esports baseline; gates enforced at log time.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paper_call</t>
        </is>
      </c>
      <c r="AL122" s="26" t="n">
        <v>4</v>
      </c>
      <c r="AM122" s="24" t="inlineStr">
        <is>
          <t>RESEARCH_OBSERVATION</t>
        </is>
      </c>
      <c r="AN122" s="24" t="inlineStr">
        <is>
          <t>CALL</t>
        </is>
      </c>
      <c r="AO122" s="24" t="inlineStr">
        <is>
          <t>PAPER_CALL_LOW_EDGE</t>
        </is>
      </c>
      <c r="AP122" s="24" t="inlineStr">
        <is>
          <t>DN SOOPers Challengers</t>
        </is>
      </c>
      <c r="AQ122" s="24" t="inlineStr">
        <is>
          <t>DN SOOPers Challengers</t>
        </is>
      </c>
      <c r="AR122" s="24" t="inlineStr">
        <is>
          <t>DN SOOPers Challengers</t>
        </is>
      </c>
      <c r="AS122" s="24" t="inlineStr">
        <is>
          <t>Nongshim Esports Academy</t>
        </is>
      </c>
      <c r="AT122" s="24" t="inlineStr">
        <is>
          <t>Nongshim Esports Academy</t>
        </is>
      </c>
      <c r="AU122" s="24" t="inlineStr">
        <is>
          <t>Nongshim Esports Academy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e58544b8bd22b9ef0eaa0185538604487014b0c2244db86e6b9a3334f44d8438</t>
        </is>
      </c>
      <c r="BB122" s="24" t="inlineStr">
        <is>
          <t>neutral_elo</t>
        </is>
      </c>
      <c r="BC122" s="24" t="inlineStr">
        <is>
          <t>lol-tiered-elo-v6</t>
        </is>
      </c>
      <c r="BD122" s="24" t="inlineStr">
        <is>
          <t>e58544b8bd22b9ef0eaa0185538604487014b0c2244db86e6b9a3334f44d8438</t>
        </is>
      </c>
      <c r="BE122" s="24" t="inlineStr">
        <is>
          <t>1</t>
        </is>
      </c>
      <c r="BF122" s="24" t="inlineStr">
        <is>
          <t>1</t>
        </is>
      </c>
      <c r="BG122" s="24" t="inlineStr">
        <is>
          <t>lol-tiered-elo-v6</t>
        </is>
      </c>
      <c r="BH122" s="24" t="inlineStr">
        <is>
          <t>2026-08-31T04:43:51.947840Z</t>
        </is>
      </c>
      <c r="BI122" s="24" t="inlineStr">
        <is>
          <t>["same_event","same_team_same_day","same_league_same_day"]</t>
        </is>
      </c>
      <c r="BJ122" s="25" t="n"/>
      <c r="BK122" s="26" t="n">
        <v>-133</v>
      </c>
      <c r="BL122" s="27" t="n">
        <v>1.75188</v>
      </c>
      <c r="BM122" s="28" t="n">
        <v>0.570815</v>
      </c>
      <c r="BN122" s="28" t="n"/>
      <c r="BO122" s="28" t="n"/>
      <c r="BP122" s="25" t="n"/>
      <c r="BQ122" s="27" t="n">
        <v>1.75188</v>
      </c>
      <c r="BR122" s="28" t="n">
        <v>0.57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False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inlineStr">
        <is>
          <t>0.570815</t>
        </is>
      </c>
      <c r="DK122" s="24" t="n"/>
      <c r="DL122" s="24" t="n"/>
      <c r="DM122" s="24" t="n"/>
      <c r="DN122" s="24" t="n"/>
      <c r="DO122" s="24" t="n"/>
      <c r="DP122" s="24" t="n"/>
      <c r="DQ122" s="24" t="n"/>
    </row>
    <row r="123" ht="36" customHeight="1">
      <c r="A123" s="24" t="inlineStr">
        <is>
          <t>0bbccb5446ae4993</t>
        </is>
      </c>
      <c r="B123" s="24" t="inlineStr">
        <is>
          <t>2026-09-01T13:49:39.393232Z</t>
        </is>
      </c>
      <c r="C123" s="24" t="inlineStr">
        <is>
          <t>2026-09-01T15:00:00Z</t>
        </is>
      </c>
      <c r="D123" s="24" t="inlineStr">
        <is>
          <t>97014</t>
        </is>
      </c>
      <c r="E123" s="24" t="inlineStr">
        <is>
          <t>LOL</t>
        </is>
      </c>
      <c r="F123" s="24" t="inlineStr">
        <is>
          <t>Kaufland Hangry Knights</t>
        </is>
      </c>
      <c r="G123" s="24" t="inlineStr">
        <is>
          <t>Unicorns Of Love Sexy Edition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-186</v>
      </c>
      <c r="M123" s="27" t="n">
        <v>1.537634</v>
      </c>
      <c r="N123" s="28" t="n">
        <v>0.65035</v>
      </c>
      <c r="O123" s="28" t="n">
        <v>0.6885559999999999</v>
      </c>
      <c r="P123" s="28" t="n"/>
      <c r="Q123" s="28" t="n">
        <v>0.038206</v>
      </c>
      <c r="R123" s="26" t="n">
        <v>39</v>
      </c>
      <c r="S123" s="29" t="n">
        <v>1</v>
      </c>
      <c r="T123" s="24" t="inlineStr">
        <is>
          <t>lol-tiered-elo-v6</t>
        </is>
      </c>
      <c r="U123" s="24" t="inlineStr">
        <is>
          <t>settled</t>
        </is>
      </c>
      <c r="V123" s="24" t="inlineStr">
        <is>
          <t>loss</t>
        </is>
      </c>
      <c r="W123" s="26" t="n">
        <v>1</v>
      </c>
      <c r="X123" s="26" t="n">
        <v>0</v>
      </c>
      <c r="Y123" s="25" t="n"/>
      <c r="Z123" s="26" t="n">
        <v>-186</v>
      </c>
      <c r="AA123" s="28" t="n">
        <v>0.65</v>
      </c>
      <c r="AB123" s="28" t="n">
        <v>-0.00035</v>
      </c>
      <c r="AC123" s="30" t="n">
        <v>-1</v>
      </c>
      <c r="AD123" s="24" t="inlineStr">
        <is>
          <t>2026-09-02T04:35:46.788157Z</t>
        </is>
      </c>
      <c r="AE123" s="31" t="inlineStr">
        <is>
          <t>Neutral Elo baseline; executable ask 0.6500 (market_slug=aec-lol-use-khk-2026-09-01).</t>
        </is>
      </c>
      <c r="AF123" s="31" t="inlineStr">
        <is>
          <t>Config-promoted esports baseline; gates enforced at log time.</t>
        </is>
      </c>
      <c r="AG123" s="24" t="inlineStr">
        <is>
          <t>review_required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4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Kaufland Hangry Knights</t>
        </is>
      </c>
      <c r="AQ123" s="24" t="inlineStr">
        <is>
          <t>Kaufland Hangry Knights</t>
        </is>
      </c>
      <c r="AR123" s="24" t="inlineStr">
        <is>
          <t>Kaufland Hangry Knights</t>
        </is>
      </c>
      <c r="AS123" s="24" t="inlineStr">
        <is>
          <t>Unicorns Of Love Sexy Edition</t>
        </is>
      </c>
      <c r="AT123" s="24" t="inlineStr">
        <is>
          <t>Unicorns Of Love Sexy Edition</t>
        </is>
      </c>
      <c r="AU123" s="24" t="inlineStr">
        <is>
          <t>Unicorns Of Love Sexy Edition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fb2f49ad7c5cbf7008d00eabb18939760303c8cb2b570f5fdbdde2523474f988</t>
        </is>
      </c>
      <c r="BB123" s="24" t="inlineStr">
        <is>
          <t>neutral_elo</t>
        </is>
      </c>
      <c r="BC123" s="24" t="inlineStr">
        <is>
          <t>lol-tiered-elo-v6</t>
        </is>
      </c>
      <c r="BD123" s="24" t="inlineStr">
        <is>
          <t>fb2f49ad7c5cbf7008d00eabb18939760303c8cb2b570f5fdbdde2523474f988</t>
        </is>
      </c>
      <c r="BE123" s="24" t="inlineStr">
        <is>
          <t>1</t>
        </is>
      </c>
      <c r="BF123" s="24" t="inlineStr">
        <is>
          <t>1</t>
        </is>
      </c>
      <c r="BG123" s="24" t="inlineStr">
        <is>
          <t>lol-tiered-elo-v6</t>
        </is>
      </c>
      <c r="BH123" s="24" t="inlineStr">
        <is>
          <t>2026-09-01T13:49:37.924505Z</t>
        </is>
      </c>
      <c r="BI123" s="24" t="inlineStr">
        <is>
          <t>["same_event","same_team_same_day","same_league_same_day"]</t>
        </is>
      </c>
      <c r="BJ123" s="25" t="n"/>
      <c r="BK123" s="26" t="n">
        <v>-186</v>
      </c>
      <c r="BL123" s="27" t="n">
        <v>1.537634</v>
      </c>
      <c r="BM123" s="28" t="n">
        <v>0.65035</v>
      </c>
      <c r="BN123" s="28" t="n"/>
      <c r="BO123" s="28" t="n"/>
      <c r="BP123" s="25" t="n"/>
      <c r="BQ123" s="27" t="n">
        <v>1.537634</v>
      </c>
      <c r="BR123" s="28" t="n">
        <v>0.65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True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inlineStr">
        <is>
          <t>0.65035</t>
        </is>
      </c>
      <c r="DK123" s="24" t="n"/>
      <c r="DL123" s="24" t="n"/>
      <c r="DM123" s="24" t="n"/>
      <c r="DN123" s="24" t="n"/>
      <c r="DO123" s="24" t="n"/>
      <c r="DP123" s="24" t="n"/>
      <c r="DQ123" s="24" t="n"/>
    </row>
    <row r="124" ht="36" customHeight="1">
      <c r="A124" s="24" t="inlineStr">
        <is>
          <t>02741d4e7d19418b</t>
        </is>
      </c>
      <c r="B124" s="24" t="inlineStr">
        <is>
          <t>2026-09-01T13:49:39.393232Z</t>
        </is>
      </c>
      <c r="C124" s="24" t="inlineStr">
        <is>
          <t>2026-09-01T15:00:00Z</t>
        </is>
      </c>
      <c r="D124" s="24" t="inlineStr">
        <is>
          <t>97015</t>
        </is>
      </c>
      <c r="E124" s="24" t="inlineStr">
        <is>
          <t>LOL</t>
        </is>
      </c>
      <c r="F124" s="24" t="inlineStr">
        <is>
          <t>BOMBA Team</t>
        </is>
      </c>
      <c r="G124" s="24" t="inlineStr">
        <is>
          <t>Lodis</t>
        </is>
      </c>
      <c r="H124" s="24" t="inlineStr">
        <is>
          <t>moneyline</t>
        </is>
      </c>
      <c r="I124" s="24" t="inlineStr">
        <is>
          <t>away</t>
        </is>
      </c>
      <c r="J124" s="25" t="n"/>
      <c r="K124" s="24" t="inlineStr">
        <is>
          <t>polymarket_us</t>
        </is>
      </c>
      <c r="L124" s="26" t="n">
        <v>-150</v>
      </c>
      <c r="M124" s="27" t="n">
        <v>1.666667</v>
      </c>
      <c r="N124" s="28" t="n">
        <v>0.6</v>
      </c>
      <c r="O124" s="28" t="n">
        <v>0.593677</v>
      </c>
      <c r="P124" s="28" t="n"/>
      <c r="Q124" s="28" t="n">
        <v>-0.006323</v>
      </c>
      <c r="R124" s="26" t="n">
        <v>17</v>
      </c>
      <c r="S124" s="29" t="n">
        <v>1</v>
      </c>
      <c r="T124" s="24" t="inlineStr">
        <is>
          <t>lol-tiered-elo-v6</t>
        </is>
      </c>
      <c r="U124" s="24" t="inlineStr">
        <is>
          <t>settled</t>
        </is>
      </c>
      <c r="V124" s="24" t="inlineStr">
        <is>
          <t>win</t>
        </is>
      </c>
      <c r="W124" s="26" t="n">
        <v>1</v>
      </c>
      <c r="X124" s="26" t="n">
        <v>0</v>
      </c>
      <c r="Y124" s="25" t="n"/>
      <c r="Z124" s="26" t="n">
        <v>-150</v>
      </c>
      <c r="AA124" s="28" t="n">
        <v>0.6</v>
      </c>
      <c r="AB124" s="28" t="n">
        <v>0</v>
      </c>
      <c r="AC124" s="30" t="n">
        <v>0.6667</v>
      </c>
      <c r="AD124" s="24" t="inlineStr">
        <is>
          <t>2026-09-02T04:35:47.407841Z</t>
        </is>
      </c>
      <c r="AE124" s="31" t="inlineStr">
        <is>
          <t>Neutral Elo baseline; executable ask 0.6000 (market_slug=aec-lol-lds-boom-2026-09-01).</t>
        </is>
      </c>
      <c r="AF124" s="31" t="inlineStr">
        <is>
          <t>Config-promoted esports baseline; gates enforced at log time.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paper_call</t>
        </is>
      </c>
      <c r="AL124" s="26" t="n">
        <v>4</v>
      </c>
      <c r="AM124" s="24" t="inlineStr">
        <is>
          <t>RESEARCH_OBSERVATION</t>
        </is>
      </c>
      <c r="AN124" s="24" t="inlineStr">
        <is>
          <t>CALL</t>
        </is>
      </c>
      <c r="AO124" s="24" t="inlineStr">
        <is>
          <t>PAPER_CALL_LOW_EDGE</t>
        </is>
      </c>
      <c r="AP124" s="24" t="inlineStr">
        <is>
          <t>BOMBA Team</t>
        </is>
      </c>
      <c r="AQ124" s="24" t="inlineStr">
        <is>
          <t>BOMBA Team</t>
        </is>
      </c>
      <c r="AR124" s="24" t="inlineStr">
        <is>
          <t>BOMBA Team</t>
        </is>
      </c>
      <c r="AS124" s="24" t="inlineStr">
        <is>
          <t>Lodis</t>
        </is>
      </c>
      <c r="AT124" s="24" t="inlineStr">
        <is>
          <t>Lodis</t>
        </is>
      </c>
      <c r="AU124" s="24" t="inlineStr">
        <is>
          <t>Lodis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fb2f49ad7c5cbf7008d00eabb18939760303c8cb2b570f5fdbdde2523474f988</t>
        </is>
      </c>
      <c r="BB124" s="24" t="inlineStr">
        <is>
          <t>neutral_elo</t>
        </is>
      </c>
      <c r="BC124" s="24" t="inlineStr">
        <is>
          <t>lol-tiered-elo-v6</t>
        </is>
      </c>
      <c r="BD124" s="24" t="inlineStr">
        <is>
          <t>fb2f49ad7c5cbf7008d00eabb18939760303c8cb2b570f5fdbdde2523474f988</t>
        </is>
      </c>
      <c r="BE124" s="24" t="inlineStr">
        <is>
          <t>1</t>
        </is>
      </c>
      <c r="BF124" s="24" t="inlineStr">
        <is>
          <t>1</t>
        </is>
      </c>
      <c r="BG124" s="24" t="inlineStr">
        <is>
          <t>lol-tiered-elo-v6</t>
        </is>
      </c>
      <c r="BH124" s="24" t="inlineStr">
        <is>
          <t>2026-09-01T13:49:38.000154Z</t>
        </is>
      </c>
      <c r="BI124" s="24" t="inlineStr">
        <is>
          <t>["same_event","same_team_same_day","same_league_same_day"]</t>
        </is>
      </c>
      <c r="BJ124" s="25" t="n"/>
      <c r="BK124" s="26" t="n">
        <v>-150</v>
      </c>
      <c r="BL124" s="27" t="n">
        <v>1.666667</v>
      </c>
      <c r="BM124" s="28" t="n">
        <v>0.6</v>
      </c>
      <c r="BN124" s="28" t="n"/>
      <c r="BO124" s="28" t="n"/>
      <c r="BP124" s="25" t="n"/>
      <c r="BQ124" s="27" t="n">
        <v>1.666667</v>
      </c>
      <c r="BR124" s="28" t="n">
        <v>0.6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False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inlineStr">
        <is>
          <t>0.6</t>
        </is>
      </c>
      <c r="DK124" s="24" t="n"/>
      <c r="DL124" s="24" t="n"/>
      <c r="DM124" s="24" t="n"/>
      <c r="DN124" s="24" t="n"/>
      <c r="DO124" s="24" t="n"/>
      <c r="DP124" s="24" t="n"/>
      <c r="DQ124" s="24" t="n"/>
    </row>
    <row r="125" ht="36" customHeight="1">
      <c r="A125" s="24" t="inlineStr">
        <is>
          <t>200fd7c0267d4737</t>
        </is>
      </c>
      <c r="B125" s="24" t="inlineStr">
        <is>
          <t>2026-09-01T13:49:39.393232Z</t>
        </is>
      </c>
      <c r="C125" s="24" t="inlineStr">
        <is>
          <t>2026-09-01T16:00:00Z</t>
        </is>
      </c>
      <c r="D125" s="24" t="inlineStr">
        <is>
          <t>97016</t>
        </is>
      </c>
      <c r="E125" s="24" t="inlineStr">
        <is>
          <t>LOL</t>
        </is>
      </c>
      <c r="F125" s="24" t="inlineStr">
        <is>
          <t>Karmine Corp Blue</t>
        </is>
      </c>
      <c r="G125" s="24" t="inlineStr">
        <is>
          <t>TLN Pirates</t>
        </is>
      </c>
      <c r="H125" s="24" t="inlineStr">
        <is>
          <t>moneyline</t>
        </is>
      </c>
      <c r="I125" s="24" t="inlineStr">
        <is>
          <t>away</t>
        </is>
      </c>
      <c r="J125" s="25" t="n"/>
      <c r="K125" s="24" t="inlineStr">
        <is>
          <t>polymarket_us</t>
        </is>
      </c>
      <c r="L125" s="26" t="n">
        <v>-127</v>
      </c>
      <c r="M125" s="27" t="n">
        <v>1.787402</v>
      </c>
      <c r="N125" s="28" t="n">
        <v>0.5594710000000001</v>
      </c>
      <c r="O125" s="28" t="n">
        <v>0.50704</v>
      </c>
      <c r="P125" s="28" t="n"/>
      <c r="Q125" s="28" t="n">
        <v>-0.052431</v>
      </c>
      <c r="R125" s="26" t="n">
        <v>0</v>
      </c>
      <c r="S125" s="29" t="n">
        <v>1</v>
      </c>
      <c r="T125" s="24" t="inlineStr">
        <is>
          <t>lol-tiered-elo-v6</t>
        </is>
      </c>
      <c r="U125" s="24" t="inlineStr">
        <is>
          <t>settled</t>
        </is>
      </c>
      <c r="V125" s="24" t="inlineStr">
        <is>
          <t>loss</t>
        </is>
      </c>
      <c r="W125" s="26" t="n">
        <v>0</v>
      </c>
      <c r="X125" s="26" t="n">
        <v>1</v>
      </c>
      <c r="Y125" s="25" t="n"/>
      <c r="Z125" s="26" t="n">
        <v>-127</v>
      </c>
      <c r="AA125" s="28" t="n">
        <v>0.5600000000000001</v>
      </c>
      <c r="AB125" s="28" t="n">
        <v>0.000529</v>
      </c>
      <c r="AC125" s="30" t="n">
        <v>-1</v>
      </c>
      <c r="AD125" s="24" t="inlineStr">
        <is>
          <t>2026-09-02T04:35:47.939559Z</t>
        </is>
      </c>
      <c r="AE125" s="31" t="inlineStr">
        <is>
          <t>Neutral Elo baseline; executable ask 0.5600 (market_slug=aec-lol-tlnp-kcb-2026-09-01).</t>
        </is>
      </c>
      <c r="AF125" s="31" t="inlineStr">
        <is>
          <t>Config-promoted esports baseline; gates enforced at log time.</t>
        </is>
      </c>
      <c r="AG125" s="24" t="inlineStr">
        <is>
          <t>review_required</t>
        </is>
      </c>
      <c r="AH125" s="24" t="n"/>
      <c r="AI125" s="31" t="n"/>
      <c r="AJ125" s="31" t="n"/>
      <c r="AK125" s="24" t="inlineStr">
        <is>
          <t>paper_call</t>
        </is>
      </c>
      <c r="AL125" s="26" t="n">
        <v>4</v>
      </c>
      <c r="AM125" s="24" t="inlineStr">
        <is>
          <t>RESEARCH_OBSERVATION</t>
        </is>
      </c>
      <c r="AN125" s="24" t="inlineStr">
        <is>
          <t>CALL</t>
        </is>
      </c>
      <c r="AO125" s="24" t="inlineStr">
        <is>
          <t>PAPER_CALL_LOW_EDGE</t>
        </is>
      </c>
      <c r="AP125" s="24" t="inlineStr">
        <is>
          <t>Karmine Corp Blue</t>
        </is>
      </c>
      <c r="AQ125" s="24" t="inlineStr">
        <is>
          <t>Karmine Corp Blue</t>
        </is>
      </c>
      <c r="AR125" s="24" t="inlineStr">
        <is>
          <t>Karmine Corp Blue</t>
        </is>
      </c>
      <c r="AS125" s="24" t="inlineStr">
        <is>
          <t>TLN Pirates</t>
        </is>
      </c>
      <c r="AT125" s="24" t="inlineStr">
        <is>
          <t>TLN Pirates</t>
        </is>
      </c>
      <c r="AU125" s="24" t="inlineStr">
        <is>
          <t>TLN Pirates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fb2f49ad7c5cbf7008d00eabb18939760303c8cb2b570f5fdbdde2523474f988</t>
        </is>
      </c>
      <c r="BB125" s="24" t="inlineStr">
        <is>
          <t>neutral_elo</t>
        </is>
      </c>
      <c r="BC125" s="24" t="inlineStr">
        <is>
          <t>lol-tiered-elo-v6</t>
        </is>
      </c>
      <c r="BD125" s="24" t="inlineStr">
        <is>
          <t>fb2f49ad7c5cbf7008d00eabb18939760303c8cb2b570f5fdbdde2523474f988</t>
        </is>
      </c>
      <c r="BE125" s="24" t="inlineStr">
        <is>
          <t>1</t>
        </is>
      </c>
      <c r="BF125" s="24" t="inlineStr">
        <is>
          <t>1</t>
        </is>
      </c>
      <c r="BG125" s="24" t="inlineStr">
        <is>
          <t>lol-tiered-elo-v6</t>
        </is>
      </c>
      <c r="BH125" s="24" t="inlineStr">
        <is>
          <t>2026-09-01T13:49:38.219704Z</t>
        </is>
      </c>
      <c r="BI125" s="24" t="inlineStr">
        <is>
          <t>["same_event","same_team_same_day","same_league_same_day"]</t>
        </is>
      </c>
      <c r="BJ125" s="25" t="n"/>
      <c r="BK125" s="26" t="n">
        <v>-127</v>
      </c>
      <c r="BL125" s="27" t="n">
        <v>1.787402</v>
      </c>
      <c r="BM125" s="28" t="n">
        <v>0.5594710000000001</v>
      </c>
      <c r="BN125" s="28" t="n"/>
      <c r="BO125" s="28" t="n"/>
      <c r="BP125" s="25" t="n"/>
      <c r="BQ125" s="27" t="n">
        <v>1.787402</v>
      </c>
      <c r="BR125" s="28" t="n">
        <v>0.5600000000000001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False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inlineStr">
        <is>
          <t>0.559471</t>
        </is>
      </c>
      <c r="DK125" s="24" t="n"/>
      <c r="DL125" s="24" t="n"/>
      <c r="DM125" s="24" t="n"/>
      <c r="DN125" s="24" t="n"/>
      <c r="DO125" s="24" t="n"/>
      <c r="DP125" s="24" t="n"/>
      <c r="DQ125" s="24" t="n"/>
    </row>
    <row r="126" ht="36" customHeight="1">
      <c r="A126" s="24" t="inlineStr">
        <is>
          <t>74740b259d3442c8</t>
        </is>
      </c>
      <c r="B126" s="24" t="inlineStr">
        <is>
          <t>2026-09-01T16:07:32.649455Z</t>
        </is>
      </c>
      <c r="C126" s="24" t="inlineStr">
        <is>
          <t>2026-09-01T20:00:00Z</t>
        </is>
      </c>
      <c r="D126" s="24" t="inlineStr">
        <is>
          <t>97020</t>
        </is>
      </c>
      <c r="E126" s="24" t="inlineStr">
        <is>
          <t>LOL</t>
        </is>
      </c>
      <c r="F126" s="24" t="inlineStr">
        <is>
          <t>Maze Gaming</t>
        </is>
      </c>
      <c r="G126" s="24" t="inlineStr">
        <is>
          <t>Golden Lions</t>
        </is>
      </c>
      <c r="H126" s="24" t="inlineStr">
        <is>
          <t>moneyline</t>
        </is>
      </c>
      <c r="I126" s="24" t="inlineStr">
        <is>
          <t>home</t>
        </is>
      </c>
      <c r="J126" s="25" t="n"/>
      <c r="K126" s="24" t="inlineStr">
        <is>
          <t>polymarket_us</t>
        </is>
      </c>
      <c r="L126" s="26" t="n">
        <v>-113</v>
      </c>
      <c r="M126" s="27" t="n">
        <v>1.884956</v>
      </c>
      <c r="N126" s="28" t="n">
        <v>0.530516</v>
      </c>
      <c r="O126" s="28" t="n">
        <v>0.575892</v>
      </c>
      <c r="P126" s="28" t="n"/>
      <c r="Q126" s="28" t="n">
        <v>0.045376</v>
      </c>
      <c r="R126" s="26" t="n">
        <v>43</v>
      </c>
      <c r="S126" s="29" t="n">
        <v>1</v>
      </c>
      <c r="T126" s="24" t="inlineStr">
        <is>
          <t>lol-tiered-elo-v6</t>
        </is>
      </c>
      <c r="U126" s="24" t="inlineStr">
        <is>
          <t>settled</t>
        </is>
      </c>
      <c r="V126" s="24" t="inlineStr">
        <is>
          <t>win</t>
        </is>
      </c>
      <c r="W126" s="26" t="n">
        <v>0</v>
      </c>
      <c r="X126" s="26" t="n">
        <v>1</v>
      </c>
      <c r="Y126" s="25" t="n"/>
      <c r="Z126" s="26" t="n">
        <v>-113</v>
      </c>
      <c r="AA126" s="28" t="n">
        <v>0.53</v>
      </c>
      <c r="AB126" s="28" t="n">
        <v>-0.000516</v>
      </c>
      <c r="AC126" s="30" t="n">
        <v>0.885</v>
      </c>
      <c r="AD126" s="24" t="inlineStr">
        <is>
          <t>2026-09-02T04:35:48.494362Z</t>
        </is>
      </c>
      <c r="AE126" s="31" t="inlineStr">
        <is>
          <t>Neutral Elo baseline; executable ask 0.5300 (market_slug=aec-lol-gl-maz-2026-09-01).</t>
        </is>
      </c>
      <c r="AF126" s="31" t="inlineStr">
        <is>
          <t>Config-promoted esports baseline; gates enforced at log time.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model_qualified</t>
        </is>
      </c>
      <c r="AL126" s="26" t="n">
        <v>4</v>
      </c>
      <c r="AM126" s="24" t="inlineStr">
        <is>
          <t>QUALIFIED_SHADOW_CALL</t>
        </is>
      </c>
      <c r="AN126" s="24" t="inlineStr">
        <is>
          <t>CALL</t>
        </is>
      </c>
      <c r="AO126" s="24" t="inlineStr">
        <is>
          <t>QUALIFIED</t>
        </is>
      </c>
      <c r="AP126" s="24" t="inlineStr">
        <is>
          <t>Maze Gaming</t>
        </is>
      </c>
      <c r="AQ126" s="24" t="inlineStr">
        <is>
          <t>Maze Gaming</t>
        </is>
      </c>
      <c r="AR126" s="24" t="inlineStr">
        <is>
          <t>Maze Gaming</t>
        </is>
      </c>
      <c r="AS126" s="24" t="inlineStr">
        <is>
          <t>Golden Lions</t>
        </is>
      </c>
      <c r="AT126" s="24" t="inlineStr">
        <is>
          <t>Golden Lions</t>
        </is>
      </c>
      <c r="AU126" s="24" t="inlineStr">
        <is>
          <t>Golden Lions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1de25c340f67d487e286999d637f02ab222cf972d00f98fb8bd85d980da73b8b</t>
        </is>
      </c>
      <c r="BB126" s="24" t="inlineStr">
        <is>
          <t>neutral_elo</t>
        </is>
      </c>
      <c r="BC126" s="24" t="inlineStr">
        <is>
          <t>lol-tiered-elo-v6</t>
        </is>
      </c>
      <c r="BD126" s="24" t="inlineStr">
        <is>
          <t>1de25c340f67d487e286999d637f02ab222cf972d00f98fb8bd85d980da73b8b</t>
        </is>
      </c>
      <c r="BE126" s="24" t="inlineStr">
        <is>
          <t>1</t>
        </is>
      </c>
      <c r="BF126" s="24" t="inlineStr">
        <is>
          <t>1</t>
        </is>
      </c>
      <c r="BG126" s="24" t="inlineStr">
        <is>
          <t>lol-tiered-elo-v6</t>
        </is>
      </c>
      <c r="BH126" s="24" t="inlineStr">
        <is>
          <t>2026-09-01T16:07:32.079471Z</t>
        </is>
      </c>
      <c r="BI126" s="24" t="inlineStr">
        <is>
          <t>["same_event","same_team_same_day","same_league_same_day"]</t>
        </is>
      </c>
      <c r="BJ126" s="25" t="n"/>
      <c r="BK126" s="26" t="n">
        <v>-113</v>
      </c>
      <c r="BL126" s="27" t="n">
        <v>1.884956</v>
      </c>
      <c r="BM126" s="28" t="n">
        <v>0.530516</v>
      </c>
      <c r="BN126" s="28" t="n"/>
      <c r="BO126" s="28" t="n"/>
      <c r="BP126" s="25" t="n"/>
      <c r="BQ126" s="27" t="n">
        <v>1.884956</v>
      </c>
      <c r="BR126" s="28" t="n">
        <v>0.53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True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inlineStr">
        <is>
          <t>0.530516</t>
        </is>
      </c>
      <c r="DK126" s="24" t="n"/>
      <c r="DL126" s="24" t="n"/>
      <c r="DM126" s="24" t="n"/>
      <c r="DN126" s="24" t="n"/>
      <c r="DO126" s="24" t="n"/>
      <c r="DP126" s="24" t="n"/>
      <c r="DQ126" s="24" t="n"/>
    </row>
    <row r="127" ht="36" customHeight="1">
      <c r="A127" s="24" t="inlineStr">
        <is>
          <t>6ccf965034194cf8</t>
        </is>
      </c>
      <c r="B127" s="24" t="inlineStr">
        <is>
          <t>2026-09-02T04:39:23.745614Z</t>
        </is>
      </c>
      <c r="C127" s="24" t="inlineStr">
        <is>
          <t>2026-09-02T08:00:00Z</t>
        </is>
      </c>
      <c r="D127" s="24" t="inlineStr">
        <is>
          <t>97464</t>
        </is>
      </c>
      <c r="E127" s="24" t="inlineStr">
        <is>
          <t>LOL</t>
        </is>
      </c>
      <c r="F127" s="24" t="inlineStr">
        <is>
          <t>T1</t>
        </is>
      </c>
      <c r="G127" s="24" t="inlineStr">
        <is>
          <t>Hanwha Life Esports</t>
        </is>
      </c>
      <c r="H127" s="24" t="inlineStr">
        <is>
          <t>moneyline</t>
        </is>
      </c>
      <c r="I127" s="24" t="inlineStr">
        <is>
          <t>home</t>
        </is>
      </c>
      <c r="J127" s="25" t="n"/>
      <c r="K127" s="24" t="inlineStr">
        <is>
          <t>polymarket_us</t>
        </is>
      </c>
      <c r="L127" s="26" t="n">
        <v>-194</v>
      </c>
      <c r="M127" s="27" t="n">
        <v>1.515464</v>
      </c>
      <c r="N127" s="28" t="n">
        <v>0.659864</v>
      </c>
      <c r="O127" s="28" t="n">
        <v>0.599961</v>
      </c>
      <c r="P127" s="28" t="n"/>
      <c r="Q127" s="28" t="n">
        <v>-0.059903</v>
      </c>
      <c r="R127" s="26" t="n">
        <v>0</v>
      </c>
      <c r="S127" s="29" t="n">
        <v>1</v>
      </c>
      <c r="T127" s="24" t="inlineStr">
        <is>
          <t>lol-tiered-elo-v6</t>
        </is>
      </c>
      <c r="U127" s="24" t="inlineStr">
        <is>
          <t>settled</t>
        </is>
      </c>
      <c r="V127" s="24" t="inlineStr">
        <is>
          <t>win</t>
        </is>
      </c>
      <c r="W127" s="26" t="n">
        <v>0</v>
      </c>
      <c r="X127" s="26" t="n">
        <v>1</v>
      </c>
      <c r="Y127" s="25" t="n"/>
      <c r="Z127" s="26" t="n">
        <v>-194</v>
      </c>
      <c r="AA127" s="28" t="n">
        <v>0.66</v>
      </c>
      <c r="AB127" s="28" t="n">
        <v>0.000136</v>
      </c>
      <c r="AC127" s="30" t="n">
        <v>0.5155</v>
      </c>
      <c r="AD127" s="24" t="inlineStr">
        <is>
          <t>2026-09-02T16:06:04.812862Z</t>
        </is>
      </c>
      <c r="AE127" s="31" t="inlineStr">
        <is>
          <t>Neutral Elo baseline; executable ask 0.6600 (market_slug=aec-lol-hle-t1-2026-09-02).</t>
        </is>
      </c>
      <c r="AF127" s="31" t="inlineStr">
        <is>
          <t>Config-promoted esports baseline; gates enforced at log time.</t>
        </is>
      </c>
      <c r="AG127" s="24" t="inlineStr">
        <is>
          <t>not_applicable</t>
        </is>
      </c>
      <c r="AH127" s="24" t="n"/>
      <c r="AI127" s="31" t="n"/>
      <c r="AJ127" s="31" t="n"/>
      <c r="AK127" s="24" t="inlineStr">
        <is>
          <t>paper_call</t>
        </is>
      </c>
      <c r="AL127" s="26" t="n">
        <v>4</v>
      </c>
      <c r="AM127" s="24" t="inlineStr">
        <is>
          <t>RESEARCH_OBSERVATION</t>
        </is>
      </c>
      <c r="AN127" s="24" t="inlineStr">
        <is>
          <t>CALL</t>
        </is>
      </c>
      <c r="AO127" s="24" t="inlineStr">
        <is>
          <t>PAPER_CALL_LOW_EDGE</t>
        </is>
      </c>
      <c r="AP127" s="24" t="inlineStr">
        <is>
          <t>T1</t>
        </is>
      </c>
      <c r="AQ127" s="24" t="inlineStr">
        <is>
          <t>T1</t>
        </is>
      </c>
      <c r="AR127" s="24" t="inlineStr">
        <is>
          <t>T1</t>
        </is>
      </c>
      <c r="AS127" s="24" t="inlineStr">
        <is>
          <t>Hanwha Life Esports</t>
        </is>
      </c>
      <c r="AT127" s="24" t="inlineStr">
        <is>
          <t>Hanwha Life Esports</t>
        </is>
      </c>
      <c r="AU127" s="24" t="inlineStr">
        <is>
          <t>Hanwha Life Esports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2aab22608b54871ff37e5a234090feca89477103ce2b0ff88ecc99d62d11706a</t>
        </is>
      </c>
      <c r="BB127" s="24" t="inlineStr">
        <is>
          <t>neutral_elo</t>
        </is>
      </c>
      <c r="BC127" s="24" t="inlineStr">
        <is>
          <t>lol-tiered-elo-v6</t>
        </is>
      </c>
      <c r="BD127" s="24" t="inlineStr">
        <is>
          <t>2aab22608b54871ff37e5a234090feca89477103ce2b0ff88ecc99d62d11706a</t>
        </is>
      </c>
      <c r="BE127" s="24" t="inlineStr">
        <is>
          <t>1</t>
        </is>
      </c>
      <c r="BF127" s="24" t="inlineStr">
        <is>
          <t>1</t>
        </is>
      </c>
      <c r="BG127" s="24" t="inlineStr">
        <is>
          <t>lol-tiered-elo-v6</t>
        </is>
      </c>
      <c r="BH127" s="24" t="inlineStr">
        <is>
          <t>2026-09-02T04:39:22.549119Z</t>
        </is>
      </c>
      <c r="BI127" s="24" t="inlineStr">
        <is>
          <t>["same_event","same_team_same_day","same_league_same_day"]</t>
        </is>
      </c>
      <c r="BJ127" s="25" t="n"/>
      <c r="BK127" s="26" t="n">
        <v>-194</v>
      </c>
      <c r="BL127" s="27" t="n">
        <v>1.515464</v>
      </c>
      <c r="BM127" s="28" t="n">
        <v>0.659864</v>
      </c>
      <c r="BN127" s="28" t="n"/>
      <c r="BO127" s="28" t="n"/>
      <c r="BP127" s="25" t="n"/>
      <c r="BQ127" s="27" t="n">
        <v>1.515464</v>
      </c>
      <c r="BR127" s="28" t="n">
        <v>0.66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False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inlineStr">
        <is>
          <t>0.659864</t>
        </is>
      </c>
      <c r="DK127" s="24" t="n"/>
      <c r="DL127" s="24" t="n"/>
      <c r="DM127" s="24" t="n"/>
      <c r="DN127" s="24" t="n"/>
      <c r="DO127" s="24" t="n"/>
      <c r="DP127" s="24" t="n"/>
      <c r="DQ127" s="24" t="n"/>
    </row>
    <row r="128" ht="36" customHeight="1">
      <c r="A128" s="24" t="inlineStr">
        <is>
          <t>74ec94b1a85c490f</t>
        </is>
      </c>
      <c r="B128" s="24" t="inlineStr">
        <is>
          <t>2026-09-02T04:39:23.745614Z</t>
        </is>
      </c>
      <c r="C128" s="24" t="inlineStr">
        <is>
          <t>2026-09-02T15:00:00Z</t>
        </is>
      </c>
      <c r="D128" s="24" t="inlineStr">
        <is>
          <t>97467</t>
        </is>
      </c>
      <c r="E128" s="24" t="inlineStr">
        <is>
          <t>LOL</t>
        </is>
      </c>
      <c r="F128" s="24" t="inlineStr">
        <is>
          <t>SU Esports</t>
        </is>
      </c>
      <c r="G128" s="24" t="inlineStr">
        <is>
          <t>Bushido Wildcats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138</v>
      </c>
      <c r="M128" s="27" t="n">
        <v>2.38</v>
      </c>
      <c r="N128" s="28" t="n">
        <v>0.420168</v>
      </c>
      <c r="O128" s="28" t="n">
        <v>0.511862</v>
      </c>
      <c r="P128" s="28" t="n"/>
      <c r="Q128" s="28" t="n">
        <v>0.091694</v>
      </c>
      <c r="R128" s="26" t="n">
        <v>66</v>
      </c>
      <c r="S128" s="29" t="n">
        <v>1.25</v>
      </c>
      <c r="T128" s="24" t="inlineStr">
        <is>
          <t>lol-tiered-elo-v6</t>
        </is>
      </c>
      <c r="U128" s="24" t="inlineStr">
        <is>
          <t>settled</t>
        </is>
      </c>
      <c r="V128" s="24" t="inlineStr">
        <is>
          <t>win</t>
        </is>
      </c>
      <c r="W128" s="26" t="n">
        <v>0</v>
      </c>
      <c r="X128" s="26" t="n">
        <v>1</v>
      </c>
      <c r="Y128" s="25" t="n"/>
      <c r="Z128" s="26" t="n">
        <v>138</v>
      </c>
      <c r="AA128" s="28" t="n">
        <v>0.42</v>
      </c>
      <c r="AB128" s="28" t="n">
        <v>-0.000168</v>
      </c>
      <c r="AC128" s="30" t="n">
        <v>1.725</v>
      </c>
      <c r="AD128" s="24" t="inlineStr">
        <is>
          <t>2026-09-03T04:33:57.000046Z</t>
        </is>
      </c>
      <c r="AE128" s="31" t="inlineStr">
        <is>
          <t>Neutral Elo baseline; executable ask 0.4200 (market_slug=aec-lol-bw-su-2026-09-02).</t>
        </is>
      </c>
      <c r="AF128" s="31" t="inlineStr">
        <is>
          <t>Config-promoted esports baseline; gates enforced at log time.</t>
        </is>
      </c>
      <c r="AG128" s="24" t="inlineStr">
        <is>
          <t>not_applicable</t>
        </is>
      </c>
      <c r="AH128" s="24" t="n"/>
      <c r="AI128" s="31" t="n"/>
      <c r="AJ128" s="31" t="n"/>
      <c r="AK128" s="24" t="inlineStr">
        <is>
          <t>paper_call</t>
        </is>
      </c>
      <c r="AL128" s="26" t="n">
        <v>4</v>
      </c>
      <c r="AM128" s="24" t="inlineStr">
        <is>
          <t>RESEARCH_OBSERVATION</t>
        </is>
      </c>
      <c r="AN128" s="24" t="inlineStr">
        <is>
          <t>CALL</t>
        </is>
      </c>
      <c r="AO128" s="24" t="inlineStr">
        <is>
          <t>PAPER_CALL_LOW_EDGE</t>
        </is>
      </c>
      <c r="AP128" s="24" t="inlineStr">
        <is>
          <t>SU Esports</t>
        </is>
      </c>
      <c r="AQ128" s="24" t="inlineStr">
        <is>
          <t>SU Esports</t>
        </is>
      </c>
      <c r="AR128" s="24" t="inlineStr">
        <is>
          <t>SU Esports</t>
        </is>
      </c>
      <c r="AS128" s="24" t="inlineStr">
        <is>
          <t>Bushido Wildcats</t>
        </is>
      </c>
      <c r="AT128" s="24" t="inlineStr">
        <is>
          <t>Bushido Wildcats</t>
        </is>
      </c>
      <c r="AU128" s="24" t="inlineStr">
        <is>
          <t>Bushido Wildcats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2aab22608b54871ff37e5a234090feca89477103ce2b0ff88ecc99d62d11706a</t>
        </is>
      </c>
      <c r="BB128" s="24" t="inlineStr">
        <is>
          <t>neutral_elo</t>
        </is>
      </c>
      <c r="BC128" s="24" t="inlineStr">
        <is>
          <t>lol-tiered-elo-v6</t>
        </is>
      </c>
      <c r="BD128" s="24" t="inlineStr">
        <is>
          <t>2aab22608b54871ff37e5a234090feca89477103ce2b0ff88ecc99d62d11706a</t>
        </is>
      </c>
      <c r="BE128" s="24" t="inlineStr">
        <is>
          <t>1</t>
        </is>
      </c>
      <c r="BF128" s="24" t="inlineStr">
        <is>
          <t>1</t>
        </is>
      </c>
      <c r="BG128" s="24" t="inlineStr">
        <is>
          <t>lol-tiered-elo-v6</t>
        </is>
      </c>
      <c r="BH128" s="24" t="inlineStr">
        <is>
          <t>2026-09-02T04:39:22.688162Z</t>
        </is>
      </c>
      <c r="BI128" s="24" t="inlineStr">
        <is>
          <t>["same_event","same_team_same_day","same_league_same_day"]</t>
        </is>
      </c>
      <c r="BJ128" s="25" t="n"/>
      <c r="BK128" s="26" t="n">
        <v>138</v>
      </c>
      <c r="BL128" s="27" t="n">
        <v>2.38</v>
      </c>
      <c r="BM128" s="28" t="n">
        <v>0.420168</v>
      </c>
      <c r="BN128" s="28" t="n"/>
      <c r="BO128" s="28" t="n"/>
      <c r="BP128" s="25" t="n"/>
      <c r="BQ128" s="27" t="n">
        <v>2.38</v>
      </c>
      <c r="BR128" s="28" t="n">
        <v>0.42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True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inlineStr">
        <is>
          <t>0.420168</t>
        </is>
      </c>
      <c r="DK128" s="24" t="n"/>
      <c r="DL128" s="24" t="n"/>
      <c r="DM128" s="24" t="n"/>
      <c r="DN128" s="24" t="n"/>
      <c r="DO128" s="24" t="n"/>
      <c r="DP128" s="24" t="n"/>
      <c r="DQ128" s="24" t="n"/>
    </row>
    <row r="129" ht="36" customHeight="1">
      <c r="A129" s="24" t="inlineStr">
        <is>
          <t>47577f3c854845a2</t>
        </is>
      </c>
      <c r="B129" s="24" t="inlineStr">
        <is>
          <t>2026-09-02T04:39:23.745614Z</t>
        </is>
      </c>
      <c r="C129" s="24" t="inlineStr">
        <is>
          <t>2026-09-02T15:00:00Z</t>
        </is>
      </c>
      <c r="D129" s="24" t="inlineStr">
        <is>
          <t>97468</t>
        </is>
      </c>
      <c r="E129" s="24" t="inlineStr">
        <is>
          <t>LOL</t>
        </is>
      </c>
      <c r="F129" s="24" t="inlineStr">
        <is>
          <t>Forsaken</t>
        </is>
      </c>
      <c r="G129" s="24" t="inlineStr">
        <is>
          <t>devils.one inStreamly</t>
        </is>
      </c>
      <c r="H129" s="24" t="inlineStr">
        <is>
          <t>moneyline</t>
        </is>
      </c>
      <c r="I129" s="24" t="inlineStr">
        <is>
          <t>away</t>
        </is>
      </c>
      <c r="J129" s="25" t="n"/>
      <c r="K129" s="24" t="inlineStr">
        <is>
          <t>polymarket_us</t>
        </is>
      </c>
      <c r="L129" s="26" t="n">
        <v>144</v>
      </c>
      <c r="M129" s="27" t="n">
        <v>2.44</v>
      </c>
      <c r="N129" s="28" t="n">
        <v>0.409836</v>
      </c>
      <c r="O129" s="28" t="n">
        <v>0.719193</v>
      </c>
      <c r="P129" s="28" t="n"/>
      <c r="Q129" s="28" t="n">
        <v>0.309357</v>
      </c>
      <c r="R129" s="26" t="n">
        <v>100</v>
      </c>
      <c r="S129" s="29" t="n">
        <v>2</v>
      </c>
      <c r="T129" s="24" t="inlineStr">
        <is>
          <t>lol-tiered-elo-v6</t>
        </is>
      </c>
      <c r="U129" s="24" t="inlineStr">
        <is>
          <t>settled</t>
        </is>
      </c>
      <c r="V129" s="24" t="inlineStr">
        <is>
          <t>win</t>
        </is>
      </c>
      <c r="W129" s="26" t="n">
        <v>1</v>
      </c>
      <c r="X129" s="26" t="n">
        <v>0</v>
      </c>
      <c r="Y129" s="25" t="n"/>
      <c r="Z129" s="26" t="n">
        <v>144</v>
      </c>
      <c r="AA129" s="28" t="n">
        <v>0.41</v>
      </c>
      <c r="AB129" s="28" t="n">
        <v>0.000164</v>
      </c>
      <c r="AC129" s="30" t="n">
        <v>2.88</v>
      </c>
      <c r="AD129" s="24" t="inlineStr">
        <is>
          <t>2026-09-03T04:33:57.508517Z</t>
        </is>
      </c>
      <c r="AE129" s="31" t="inlineStr">
        <is>
          <t>Neutral Elo baseline; executable ask 0.4100 (market_slug=aec-lol-dv1-fsk-2026-09-02).</t>
        </is>
      </c>
      <c r="AF129" s="31" t="inlineStr">
        <is>
          <t>Config-promoted esports baseline; gates enforced at log time.</t>
        </is>
      </c>
      <c r="AG129" s="24" t="inlineStr">
        <is>
          <t>not_applicable</t>
        </is>
      </c>
      <c r="AH129" s="24" t="n"/>
      <c r="AI129" s="31" t="n"/>
      <c r="AJ129" s="31" t="n"/>
      <c r="AK129" s="24" t="inlineStr">
        <is>
          <t>model_qualified</t>
        </is>
      </c>
      <c r="AL129" s="26" t="n">
        <v>4</v>
      </c>
      <c r="AM129" s="24" t="inlineStr">
        <is>
          <t>QUALIFIED_SHADOW_CALL</t>
        </is>
      </c>
      <c r="AN129" s="24" t="inlineStr">
        <is>
          <t>CALL</t>
        </is>
      </c>
      <c r="AO129" s="24" t="inlineStr">
        <is>
          <t>QUALIFIED</t>
        </is>
      </c>
      <c r="AP129" s="24" t="inlineStr">
        <is>
          <t>Forsaken</t>
        </is>
      </c>
      <c r="AQ129" s="24" t="inlineStr">
        <is>
          <t>Forsaken</t>
        </is>
      </c>
      <c r="AR129" s="24" t="inlineStr">
        <is>
          <t>Forsaken</t>
        </is>
      </c>
      <c r="AS129" s="24" t="inlineStr">
        <is>
          <t>devils.one inStreamly</t>
        </is>
      </c>
      <c r="AT129" s="24" t="inlineStr">
        <is>
          <t>devils.one inStreamly</t>
        </is>
      </c>
      <c r="AU129" s="24" t="inlineStr">
        <is>
          <t>devils.one inStreamly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2aab22608b54871ff37e5a234090feca89477103ce2b0ff88ecc99d62d11706a</t>
        </is>
      </c>
      <c r="BB129" s="24" t="inlineStr">
        <is>
          <t>neutral_elo</t>
        </is>
      </c>
      <c r="BC129" s="24" t="inlineStr">
        <is>
          <t>lol-tiered-elo-v6</t>
        </is>
      </c>
      <c r="BD129" s="24" t="inlineStr">
        <is>
          <t>2aab22608b54871ff37e5a234090feca89477103ce2b0ff88ecc99d62d11706a</t>
        </is>
      </c>
      <c r="BE129" s="24" t="inlineStr">
        <is>
          <t>1</t>
        </is>
      </c>
      <c r="BF129" s="24" t="inlineStr">
        <is>
          <t>1</t>
        </is>
      </c>
      <c r="BG129" s="24" t="inlineStr">
        <is>
          <t>lol-tiered-elo-v6</t>
        </is>
      </c>
      <c r="BH129" s="24" t="inlineStr">
        <is>
          <t>2026-09-02T04:39:22.798777Z</t>
        </is>
      </c>
      <c r="BI129" s="24" t="inlineStr">
        <is>
          <t>["same_event","same_team_same_day","same_league_same_day"]</t>
        </is>
      </c>
      <c r="BJ129" s="25" t="n"/>
      <c r="BK129" s="26" t="n">
        <v>144</v>
      </c>
      <c r="BL129" s="27" t="n">
        <v>2.44</v>
      </c>
      <c r="BM129" s="28" t="n">
        <v>0.409836</v>
      </c>
      <c r="BN129" s="28" t="n"/>
      <c r="BO129" s="28" t="n"/>
      <c r="BP129" s="25" t="n"/>
      <c r="BQ129" s="27" t="n">
        <v>2.44</v>
      </c>
      <c r="BR129" s="28" t="n">
        <v>0.41</v>
      </c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True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inlineStr">
        <is>
          <t>0.409836</t>
        </is>
      </c>
      <c r="DK129" s="24" t="n"/>
      <c r="DL129" s="24" t="n"/>
      <c r="DM129" s="24" t="n"/>
      <c r="DN129" s="24" t="n"/>
      <c r="DO129" s="24" t="n"/>
      <c r="DP129" s="24" t="n"/>
      <c r="DQ129" s="24" t="n"/>
    </row>
    <row r="130" ht="36" customHeight="1">
      <c r="A130" s="24" t="inlineStr">
        <is>
          <t>27b9f34c57784241</t>
        </is>
      </c>
      <c r="B130" s="24" t="inlineStr">
        <is>
          <t>2026-09-02T04:39:23.745614Z</t>
        </is>
      </c>
      <c r="C130" s="24" t="inlineStr">
        <is>
          <t>2026-09-02T16:00:00Z</t>
        </is>
      </c>
      <c r="D130" s="24" t="inlineStr">
        <is>
          <t>97469</t>
        </is>
      </c>
      <c r="E130" s="24" t="inlineStr">
        <is>
          <t>LOL</t>
        </is>
      </c>
      <c r="F130" s="24" t="inlineStr">
        <is>
          <t>TITANS</t>
        </is>
      </c>
      <c r="G130" s="24" t="inlineStr">
        <is>
          <t>Zena Esports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-133</v>
      </c>
      <c r="M130" s="27" t="n">
        <v>1.75188</v>
      </c>
      <c r="N130" s="28" t="n">
        <v>0.570815</v>
      </c>
      <c r="O130" s="28" t="n">
        <v>0.544038</v>
      </c>
      <c r="P130" s="28" t="n"/>
      <c r="Q130" s="28" t="n">
        <v>-0.026777</v>
      </c>
      <c r="R130" s="26" t="n">
        <v>7</v>
      </c>
      <c r="S130" s="29" t="n">
        <v>1</v>
      </c>
      <c r="T130" s="24" t="inlineStr">
        <is>
          <t>lol-tiered-elo-v6</t>
        </is>
      </c>
      <c r="U130" s="24" t="inlineStr">
        <is>
          <t>settled</t>
        </is>
      </c>
      <c r="V130" s="24" t="inlineStr">
        <is>
          <t>win</t>
        </is>
      </c>
      <c r="W130" s="26" t="n">
        <v>0</v>
      </c>
      <c r="X130" s="26" t="n">
        <v>1</v>
      </c>
      <c r="Y130" s="25" t="n"/>
      <c r="Z130" s="26" t="n">
        <v>-133</v>
      </c>
      <c r="AA130" s="28" t="n">
        <v>0.57</v>
      </c>
      <c r="AB130" s="28" t="n">
        <v>-0.000815</v>
      </c>
      <c r="AC130" s="30" t="n">
        <v>0.7519</v>
      </c>
      <c r="AD130" s="24" t="inlineStr">
        <is>
          <t>2026-09-03T04:33:57.846046Z</t>
        </is>
      </c>
      <c r="AE130" s="31" t="inlineStr">
        <is>
          <t>Neutral Elo baseline; executable ask 0.5700 (market_slug=aec-lol-zena-tts-2026-09-02).</t>
        </is>
      </c>
      <c r="AF130" s="31" t="inlineStr">
        <is>
          <t>Config-promoted esports baseline; gates enforced at log time.</t>
        </is>
      </c>
      <c r="AG130" s="24" t="inlineStr">
        <is>
          <t>not_applicable</t>
        </is>
      </c>
      <c r="AH130" s="24" t="n"/>
      <c r="AI130" s="31" t="n"/>
      <c r="AJ130" s="31" t="n"/>
      <c r="AK130" s="24" t="inlineStr">
        <is>
          <t>paper_call</t>
        </is>
      </c>
      <c r="AL130" s="26" t="n">
        <v>4</v>
      </c>
      <c r="AM130" s="24" t="inlineStr">
        <is>
          <t>RESEARCH_OBSERVATION</t>
        </is>
      </c>
      <c r="AN130" s="24" t="inlineStr">
        <is>
          <t>CALL</t>
        </is>
      </c>
      <c r="AO130" s="24" t="inlineStr">
        <is>
          <t>PAPER_CALL_LOW_EDGE</t>
        </is>
      </c>
      <c r="AP130" s="24" t="inlineStr">
        <is>
          <t>TITANS</t>
        </is>
      </c>
      <c r="AQ130" s="24" t="inlineStr">
        <is>
          <t>TITANS</t>
        </is>
      </c>
      <c r="AR130" s="24" t="inlineStr">
        <is>
          <t>TITANS</t>
        </is>
      </c>
      <c r="AS130" s="24" t="inlineStr">
        <is>
          <t>Zena Esports</t>
        </is>
      </c>
      <c r="AT130" s="24" t="inlineStr">
        <is>
          <t>Zena Esports</t>
        </is>
      </c>
      <c r="AU130" s="24" t="inlineStr">
        <is>
          <t>Zena Esports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2aab22608b54871ff37e5a234090feca89477103ce2b0ff88ecc99d62d11706a</t>
        </is>
      </c>
      <c r="BB130" s="24" t="inlineStr">
        <is>
          <t>neutral_elo</t>
        </is>
      </c>
      <c r="BC130" s="24" t="inlineStr">
        <is>
          <t>lol-tiered-elo-v6</t>
        </is>
      </c>
      <c r="BD130" s="24" t="inlineStr">
        <is>
          <t>2aab22608b54871ff37e5a234090feca89477103ce2b0ff88ecc99d62d11706a</t>
        </is>
      </c>
      <c r="BE130" s="24" t="inlineStr">
        <is>
          <t>1</t>
        </is>
      </c>
      <c r="BF130" s="24" t="inlineStr">
        <is>
          <t>1</t>
        </is>
      </c>
      <c r="BG130" s="24" t="inlineStr">
        <is>
          <t>lol-tiered-elo-v6</t>
        </is>
      </c>
      <c r="BH130" s="24" t="inlineStr">
        <is>
          <t>2026-09-02T04:39:22.852842Z</t>
        </is>
      </c>
      <c r="BI130" s="24" t="inlineStr">
        <is>
          <t>["same_event","same_team_same_day","same_league_same_day"]</t>
        </is>
      </c>
      <c r="BJ130" s="25" t="n"/>
      <c r="BK130" s="26" t="n">
        <v>-133</v>
      </c>
      <c r="BL130" s="27" t="n">
        <v>1.75188</v>
      </c>
      <c r="BM130" s="28" t="n">
        <v>0.570815</v>
      </c>
      <c r="BN130" s="28" t="n"/>
      <c r="BO130" s="28" t="n"/>
      <c r="BP130" s="25" t="n"/>
      <c r="BQ130" s="27" t="n">
        <v>1.75188</v>
      </c>
      <c r="BR130" s="28" t="n">
        <v>0.57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False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inlineStr">
        <is>
          <t>0.570815</t>
        </is>
      </c>
      <c r="DK130" s="24" t="n"/>
      <c r="DL130" s="24" t="n"/>
      <c r="DM130" s="24" t="n"/>
      <c r="DN130" s="24" t="n"/>
      <c r="DO130" s="24" t="n"/>
      <c r="DP130" s="24" t="n"/>
      <c r="DQ130" s="24" t="n"/>
    </row>
    <row r="131" ht="36" customHeight="1">
      <c r="A131" s="24" t="inlineStr">
        <is>
          <t>10c9f43003af4fa1</t>
        </is>
      </c>
      <c r="B131" s="24" t="inlineStr">
        <is>
          <t>2026-09-02T04:39:23.745614Z</t>
        </is>
      </c>
      <c r="C131" s="24" t="inlineStr">
        <is>
          <t>2026-09-02T16:00:00Z</t>
        </is>
      </c>
      <c r="D131" s="24" t="inlineStr">
        <is>
          <t>98879</t>
        </is>
      </c>
      <c r="E131" s="24" t="inlineStr">
        <is>
          <t>LOL</t>
        </is>
      </c>
      <c r="F131" s="24" t="inlineStr">
        <is>
          <t>Deer Gaming</t>
        </is>
      </c>
      <c r="G131" s="24" t="inlineStr">
        <is>
          <t>Bulldog Esports</t>
        </is>
      </c>
      <c r="H131" s="24" t="inlineStr">
        <is>
          <t>moneyline</t>
        </is>
      </c>
      <c r="I131" s="24" t="inlineStr">
        <is>
          <t>away</t>
        </is>
      </c>
      <c r="J131" s="25" t="n"/>
      <c r="K131" s="24" t="inlineStr">
        <is>
          <t>polymarket_us</t>
        </is>
      </c>
      <c r="L131" s="26" t="n">
        <v>122</v>
      </c>
      <c r="M131" s="27" t="n">
        <v>2.22</v>
      </c>
      <c r="N131" s="28" t="n">
        <v>0.45045</v>
      </c>
      <c r="O131" s="28" t="n">
        <v>0.5229549999999999</v>
      </c>
      <c r="P131" s="28" t="n"/>
      <c r="Q131" s="28" t="n">
        <v>0.072505</v>
      </c>
      <c r="R131" s="26" t="n">
        <v>56</v>
      </c>
      <c r="S131" s="29" t="n">
        <v>1.25</v>
      </c>
      <c r="T131" s="24" t="inlineStr">
        <is>
          <t>lol-tiered-elo-v6</t>
        </is>
      </c>
      <c r="U131" s="24" t="inlineStr">
        <is>
          <t>settled</t>
        </is>
      </c>
      <c r="V131" s="24" t="inlineStr">
        <is>
          <t>win</t>
        </is>
      </c>
      <c r="W131" s="26" t="n">
        <v>1</v>
      </c>
      <c r="X131" s="26" t="n">
        <v>0</v>
      </c>
      <c r="Y131" s="25" t="n"/>
      <c r="Z131" s="26" t="n">
        <v>122</v>
      </c>
      <c r="AA131" s="28" t="n">
        <v>0.45</v>
      </c>
      <c r="AB131" s="28" t="n">
        <v>-0.00045</v>
      </c>
      <c r="AC131" s="30" t="n">
        <v>1.525</v>
      </c>
      <c r="AD131" s="24" t="inlineStr">
        <is>
          <t>2026-09-03T04:33:58.199639Z</t>
        </is>
      </c>
      <c r="AE131" s="31" t="inlineStr">
        <is>
          <t>Neutral Elo baseline; executable ask 0.4500 (market_slug=aec-lol-bld-deer-2026-09-02).</t>
        </is>
      </c>
      <c r="AF131" s="31" t="inlineStr">
        <is>
          <t>Config-promoted esports baseline; gates enforced at log time.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paper_call</t>
        </is>
      </c>
      <c r="AL131" s="26" t="n">
        <v>4</v>
      </c>
      <c r="AM131" s="24" t="inlineStr">
        <is>
          <t>RESEARCH_OBSERVATION</t>
        </is>
      </c>
      <c r="AN131" s="24" t="inlineStr">
        <is>
          <t>CALL</t>
        </is>
      </c>
      <c r="AO131" s="24" t="inlineStr">
        <is>
          <t>PAPER_CALL_LOW_EDGE</t>
        </is>
      </c>
      <c r="AP131" s="24" t="inlineStr">
        <is>
          <t>Deer Gaming</t>
        </is>
      </c>
      <c r="AQ131" s="24" t="inlineStr">
        <is>
          <t>Deer Gaming</t>
        </is>
      </c>
      <c r="AR131" s="24" t="inlineStr">
        <is>
          <t>Deer Gaming</t>
        </is>
      </c>
      <c r="AS131" s="24" t="inlineStr">
        <is>
          <t>Bulldog Esports</t>
        </is>
      </c>
      <c r="AT131" s="24" t="inlineStr">
        <is>
          <t>Bulldog Esports</t>
        </is>
      </c>
      <c r="AU131" s="24" t="inlineStr">
        <is>
          <t>Bulldog Esports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2aab22608b54871ff37e5a234090feca89477103ce2b0ff88ecc99d62d11706a</t>
        </is>
      </c>
      <c r="BB131" s="24" t="inlineStr">
        <is>
          <t>neutral_elo</t>
        </is>
      </c>
      <c r="BC131" s="24" t="inlineStr">
        <is>
          <t>lol-tiered-elo-v6</t>
        </is>
      </c>
      <c r="BD131" s="24" t="inlineStr">
        <is>
          <t>2aab22608b54871ff37e5a234090feca89477103ce2b0ff88ecc99d62d11706a</t>
        </is>
      </c>
      <c r="BE131" s="24" t="inlineStr">
        <is>
          <t>1</t>
        </is>
      </c>
      <c r="BF131" s="24" t="inlineStr">
        <is>
          <t>1</t>
        </is>
      </c>
      <c r="BG131" s="24" t="inlineStr">
        <is>
          <t>lol-tiered-elo-v6</t>
        </is>
      </c>
      <c r="BH131" s="24" t="inlineStr">
        <is>
          <t>2026-09-02T04:39:22.907237Z</t>
        </is>
      </c>
      <c r="BI131" s="24" t="inlineStr">
        <is>
          <t>["same_event","same_team_same_day","same_league_same_day"]</t>
        </is>
      </c>
      <c r="BJ131" s="25" t="n"/>
      <c r="BK131" s="26" t="n">
        <v>122</v>
      </c>
      <c r="BL131" s="27" t="n">
        <v>2.22</v>
      </c>
      <c r="BM131" s="28" t="n">
        <v>0.45045</v>
      </c>
      <c r="BN131" s="28" t="n"/>
      <c r="BO131" s="28" t="n"/>
      <c r="BP131" s="25" t="n"/>
      <c r="BQ131" s="27" t="n">
        <v>2.22</v>
      </c>
      <c r="BR131" s="28" t="n">
        <v>0.45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True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inlineStr">
        <is>
          <t>0.45045</t>
        </is>
      </c>
      <c r="DK131" s="24" t="n"/>
      <c r="DL131" s="24" t="n"/>
      <c r="DM131" s="24" t="n"/>
      <c r="DN131" s="24" t="n"/>
      <c r="DO131" s="24" t="n"/>
      <c r="DP131" s="24" t="n"/>
      <c r="DQ131" s="24" t="n"/>
    </row>
    <row r="132" ht="36" customHeight="1">
      <c r="A132" s="24" t="inlineStr">
        <is>
          <t>499f668b627b4948</t>
        </is>
      </c>
      <c r="B132" s="24" t="inlineStr">
        <is>
          <t>2026-09-03T04:36:12.763221Z</t>
        </is>
      </c>
      <c r="C132" s="24" t="inlineStr">
        <is>
          <t>2026-09-03T15:00:00Z</t>
        </is>
      </c>
      <c r="D132" s="24" t="inlineStr">
        <is>
          <t>100685</t>
        </is>
      </c>
      <c r="E132" s="24" t="inlineStr">
        <is>
          <t>LOL</t>
        </is>
      </c>
      <c r="F132" s="24" t="inlineStr">
        <is>
          <t>Barcząca Esports</t>
        </is>
      </c>
      <c r="G132" s="24" t="inlineStr">
        <is>
          <t>DOCISK</t>
        </is>
      </c>
      <c r="H132" s="24" t="inlineStr">
        <is>
          <t>moneyline</t>
        </is>
      </c>
      <c r="I132" s="24" t="inlineStr">
        <is>
          <t>away</t>
        </is>
      </c>
      <c r="J132" s="25" t="n"/>
      <c r="K132" s="24" t="inlineStr">
        <is>
          <t>polymarket_us</t>
        </is>
      </c>
      <c r="L132" s="26" t="n">
        <v>150</v>
      </c>
      <c r="M132" s="27" t="n">
        <v>2.5</v>
      </c>
      <c r="N132" s="28" t="n">
        <v>0.4</v>
      </c>
      <c r="O132" s="28" t="n">
        <v>0.510748</v>
      </c>
      <c r="P132" s="28" t="n"/>
      <c r="Q132" s="28" t="n">
        <v>0.110748</v>
      </c>
      <c r="R132" s="26" t="n">
        <v>75</v>
      </c>
      <c r="S132" s="29" t="n">
        <v>1.5</v>
      </c>
      <c r="T132" s="24" t="inlineStr">
        <is>
          <t>lol-tiered-elo-v6</t>
        </is>
      </c>
      <c r="U132" s="24" t="inlineStr">
        <is>
          <t>settled</t>
        </is>
      </c>
      <c r="V132" s="24" t="inlineStr">
        <is>
          <t>loss</t>
        </is>
      </c>
      <c r="W132" s="26" t="n">
        <v>0</v>
      </c>
      <c r="X132" s="26" t="n">
        <v>1</v>
      </c>
      <c r="Y132" s="25" t="n"/>
      <c r="Z132" s="26" t="n">
        <v>150</v>
      </c>
      <c r="AA132" s="28" t="n">
        <v>0.4</v>
      </c>
      <c r="AB132" s="28" t="n">
        <v>0</v>
      </c>
      <c r="AC132" s="30" t="n">
        <v>-1.5</v>
      </c>
      <c r="AD132" s="24" t="inlineStr">
        <is>
          <t>2026-09-04T04:34:37.423944Z</t>
        </is>
      </c>
      <c r="AE132" s="31" t="inlineStr">
        <is>
          <t>Neutral Elo baseline; executable ask 0.4000 (market_slug=aec-lol-doc-bce-2026-09-03).</t>
        </is>
      </c>
      <c r="AF132" s="31" t="inlineStr">
        <is>
          <t>Config-promoted esports baseline; gates enforced at log time.</t>
        </is>
      </c>
      <c r="AG132" s="24" t="inlineStr">
        <is>
          <t>review_required</t>
        </is>
      </c>
      <c r="AH132" s="24" t="n"/>
      <c r="AI132" s="31" t="n"/>
      <c r="AJ132" s="31" t="n"/>
      <c r="AK132" s="24" t="inlineStr">
        <is>
          <t>paper_call</t>
        </is>
      </c>
      <c r="AL132" s="26" t="n">
        <v>4</v>
      </c>
      <c r="AM132" s="24" t="inlineStr">
        <is>
          <t>RESEARCH_OBSERVATION</t>
        </is>
      </c>
      <c r="AN132" s="24" t="inlineStr">
        <is>
          <t>CALL</t>
        </is>
      </c>
      <c r="AO132" s="24" t="inlineStr">
        <is>
          <t>PAPER_CALL_LOW_EDGE</t>
        </is>
      </c>
      <c r="AP132" s="24" t="inlineStr">
        <is>
          <t>Barcząca Esports</t>
        </is>
      </c>
      <c r="AQ132" s="24" t="inlineStr">
        <is>
          <t>Barcząca Esports</t>
        </is>
      </c>
      <c r="AR132" s="24" t="inlineStr">
        <is>
          <t>Barcząca Esports</t>
        </is>
      </c>
      <c r="AS132" s="24" t="inlineStr">
        <is>
          <t>DOCISK</t>
        </is>
      </c>
      <c r="AT132" s="24" t="inlineStr">
        <is>
          <t>DOCISK</t>
        </is>
      </c>
      <c r="AU132" s="24" t="inlineStr">
        <is>
          <t>DOCISK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59f5780f16014144de38e0a7d6e1a3e2438dd4fdf84d30e515b8bd86a8861724</t>
        </is>
      </c>
      <c r="BB132" s="24" t="inlineStr">
        <is>
          <t>neutral_elo</t>
        </is>
      </c>
      <c r="BC132" s="24" t="inlineStr">
        <is>
          <t>lol-tiered-elo-v6</t>
        </is>
      </c>
      <c r="BD132" s="24" t="inlineStr">
        <is>
          <t>59f5780f16014144de38e0a7d6e1a3e2438dd4fdf84d30e515b8bd86a8861724</t>
        </is>
      </c>
      <c r="BE132" s="24" t="inlineStr">
        <is>
          <t>1</t>
        </is>
      </c>
      <c r="BF132" s="24" t="inlineStr">
        <is>
          <t>1</t>
        </is>
      </c>
      <c r="BG132" s="24" t="inlineStr">
        <is>
          <t>lol-tiered-elo-v6</t>
        </is>
      </c>
      <c r="BH132" s="24" t="inlineStr">
        <is>
          <t>2026-09-03T04:36:11.935246Z</t>
        </is>
      </c>
      <c r="BI132" s="24" t="inlineStr">
        <is>
          <t>["same_event","same_team_same_day","same_league_same_day"]</t>
        </is>
      </c>
      <c r="BJ132" s="25" t="n"/>
      <c r="BK132" s="26" t="n">
        <v>150</v>
      </c>
      <c r="BL132" s="27" t="n">
        <v>2.5</v>
      </c>
      <c r="BM132" s="28" t="n">
        <v>0.4</v>
      </c>
      <c r="BN132" s="28" t="n"/>
      <c r="BO132" s="28" t="n"/>
      <c r="BP132" s="25" t="n"/>
      <c r="BQ132" s="27" t="n">
        <v>2.5</v>
      </c>
      <c r="BR132" s="28" t="n">
        <v>0.4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True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inlineStr">
        <is>
          <t>0.4</t>
        </is>
      </c>
      <c r="DK132" s="24" t="n"/>
      <c r="DL132" s="24" t="n"/>
      <c r="DM132" s="24" t="n"/>
      <c r="DN132" s="24" t="n"/>
      <c r="DO132" s="24" t="n"/>
      <c r="DP132" s="24" t="n"/>
      <c r="DQ132" s="24" t="n"/>
    </row>
    <row r="133" ht="36" customHeight="1">
      <c r="A133" s="24" t="inlineStr">
        <is>
          <t>1afb1ec1d9d340e5</t>
        </is>
      </c>
      <c r="B133" s="24" t="inlineStr">
        <is>
          <t>2026-09-03T04:36:12.763221Z</t>
        </is>
      </c>
      <c r="C133" s="24" t="inlineStr">
        <is>
          <t>2026-09-03T15:00:00Z</t>
        </is>
      </c>
      <c r="D133" s="24" t="inlineStr">
        <is>
          <t>100929</t>
        </is>
      </c>
      <c r="E133" s="24" t="inlineStr">
        <is>
          <t>LOL</t>
        </is>
      </c>
      <c r="F133" s="24" t="inlineStr">
        <is>
          <t>SU Esports</t>
        </is>
      </c>
      <c r="G133" s="24" t="inlineStr">
        <is>
          <t xml:space="preserve">PCIFIC </t>
        </is>
      </c>
      <c r="H133" s="24" t="inlineStr">
        <is>
          <t>moneyline</t>
        </is>
      </c>
      <c r="I133" s="24" t="inlineStr">
        <is>
          <t>home</t>
        </is>
      </c>
      <c r="J133" s="25" t="n"/>
      <c r="K133" s="24" t="inlineStr">
        <is>
          <t>polymarket_us</t>
        </is>
      </c>
      <c r="L133" s="26" t="n">
        <v>138</v>
      </c>
      <c r="M133" s="27" t="n">
        <v>2.38</v>
      </c>
      <c r="N133" s="28" t="n">
        <v>0.420168</v>
      </c>
      <c r="O133" s="28" t="n">
        <v>0.549183</v>
      </c>
      <c r="P133" s="28" t="n"/>
      <c r="Q133" s="28" t="n">
        <v>0.129015</v>
      </c>
      <c r="R133" s="26" t="n">
        <v>85</v>
      </c>
      <c r="S133" s="29" t="n">
        <v>1.5</v>
      </c>
      <c r="T133" s="24" t="inlineStr">
        <is>
          <t>lol-tiered-elo-v6</t>
        </is>
      </c>
      <c r="U133" s="24" t="inlineStr">
        <is>
          <t>settled</t>
        </is>
      </c>
      <c r="V133" s="24" t="inlineStr">
        <is>
          <t>win</t>
        </is>
      </c>
      <c r="W133" s="26" t="n">
        <v>0</v>
      </c>
      <c r="X133" s="26" t="n">
        <v>1</v>
      </c>
      <c r="Y133" s="25" t="n"/>
      <c r="Z133" s="26" t="n">
        <v>138</v>
      </c>
      <c r="AA133" s="28" t="n">
        <v>0.42</v>
      </c>
      <c r="AB133" s="28" t="n">
        <v>-0.000168</v>
      </c>
      <c r="AC133" s="30" t="n">
        <v>2.07</v>
      </c>
      <c r="AD133" s="24" t="inlineStr">
        <is>
          <t>2026-09-04T04:34:38.019132Z</t>
        </is>
      </c>
      <c r="AE133" s="31" t="inlineStr">
        <is>
          <t>Neutral Elo baseline; executable ask 0.4200 (market_slug=aec-lol-pcific-su-2026-09-03).</t>
        </is>
      </c>
      <c r="AF133" s="31" t="inlineStr">
        <is>
          <t>Config-promoted esports baseline; gates enforced at log time.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model_qualified</t>
        </is>
      </c>
      <c r="AL133" s="26" t="n">
        <v>4</v>
      </c>
      <c r="AM133" s="24" t="inlineStr">
        <is>
          <t>QUALIFIED_SHADOW_CALL</t>
        </is>
      </c>
      <c r="AN133" s="24" t="inlineStr">
        <is>
          <t>CALL</t>
        </is>
      </c>
      <c r="AO133" s="24" t="inlineStr">
        <is>
          <t>QUALIFIED</t>
        </is>
      </c>
      <c r="AP133" s="24" t="inlineStr">
        <is>
          <t>SU Esports</t>
        </is>
      </c>
      <c r="AQ133" s="24" t="inlineStr">
        <is>
          <t>SU Esports</t>
        </is>
      </c>
      <c r="AR133" s="24" t="inlineStr">
        <is>
          <t>SU Esports</t>
        </is>
      </c>
      <c r="AS133" s="24" t="inlineStr">
        <is>
          <t xml:space="preserve">PCIFIC </t>
        </is>
      </c>
      <c r="AT133" s="24" t="inlineStr">
        <is>
          <t xml:space="preserve">PCIFIC </t>
        </is>
      </c>
      <c r="AU133" s="24" t="inlineStr">
        <is>
          <t xml:space="preserve">PCIFIC 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59f5780f16014144de38e0a7d6e1a3e2438dd4fdf84d30e515b8bd86a8861724</t>
        </is>
      </c>
      <c r="BB133" s="24" t="inlineStr">
        <is>
          <t>neutral_elo</t>
        </is>
      </c>
      <c r="BC133" s="24" t="inlineStr">
        <is>
          <t>lol-tiered-elo-v6</t>
        </is>
      </c>
      <c r="BD133" s="24" t="inlineStr">
        <is>
          <t>59f5780f16014144de38e0a7d6e1a3e2438dd4fdf84d30e515b8bd86a8861724</t>
        </is>
      </c>
      <c r="BE133" s="24" t="inlineStr">
        <is>
          <t>1</t>
        </is>
      </c>
      <c r="BF133" s="24" t="inlineStr">
        <is>
          <t>1</t>
        </is>
      </c>
      <c r="BG133" s="24" t="inlineStr">
        <is>
          <t>lol-tiered-elo-v6</t>
        </is>
      </c>
      <c r="BH133" s="24" t="inlineStr">
        <is>
          <t>2026-09-03T04:36:12.001914Z</t>
        </is>
      </c>
      <c r="BI133" s="24" t="inlineStr">
        <is>
          <t>["same_event","same_team_same_day","same_league_same_day"]</t>
        </is>
      </c>
      <c r="BJ133" s="25" t="n"/>
      <c r="BK133" s="26" t="n">
        <v>138</v>
      </c>
      <c r="BL133" s="27" t="n">
        <v>2.38</v>
      </c>
      <c r="BM133" s="28" t="n">
        <v>0.420168</v>
      </c>
      <c r="BN133" s="28" t="n"/>
      <c r="BO133" s="28" t="n"/>
      <c r="BP133" s="25" t="n"/>
      <c r="BQ133" s="27" t="n">
        <v>2.38</v>
      </c>
      <c r="BR133" s="28" t="n">
        <v>0.42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True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inlineStr">
        <is>
          <t>0.420168</t>
        </is>
      </c>
      <c r="DK133" s="24" t="n"/>
      <c r="DL133" s="24" t="n"/>
      <c r="DM133" s="24" t="n"/>
      <c r="DN133" s="24" t="n"/>
      <c r="DO133" s="24" t="n"/>
      <c r="DP133" s="24" t="n"/>
      <c r="DQ133" s="24" t="n"/>
    </row>
    <row r="134" ht="36" customHeight="1">
      <c r="A134" s="24" t="inlineStr">
        <is>
          <t>5ea53b60e25a46ef</t>
        </is>
      </c>
      <c r="B134" s="24" t="inlineStr">
        <is>
          <t>2026-09-03T04:36:12.763221Z</t>
        </is>
      </c>
      <c r="C134" s="24" t="inlineStr">
        <is>
          <t>2026-09-03T16:00:00Z</t>
        </is>
      </c>
      <c r="D134" s="24" t="inlineStr">
        <is>
          <t>100266</t>
        </is>
      </c>
      <c r="E134" s="24" t="inlineStr">
        <is>
          <t>LOL</t>
        </is>
      </c>
      <c r="F134" s="24" t="inlineStr">
        <is>
          <t>Myth Esports</t>
        </is>
      </c>
      <c r="G134" s="24" t="inlineStr">
        <is>
          <t>Senshi Esports</t>
        </is>
      </c>
      <c r="H134" s="24" t="inlineStr">
        <is>
          <t>moneyline</t>
        </is>
      </c>
      <c r="I134" s="24" t="inlineStr">
        <is>
          <t>home</t>
        </is>
      </c>
      <c r="J134" s="25" t="n"/>
      <c r="K134" s="24" t="inlineStr">
        <is>
          <t>polymarket_us</t>
        </is>
      </c>
      <c r="L134" s="26" t="n">
        <v>108</v>
      </c>
      <c r="M134" s="27" t="n">
        <v>2.08</v>
      </c>
      <c r="N134" s="28" t="n">
        <v>0.480769</v>
      </c>
      <c r="O134" s="28" t="n">
        <v>0.553502</v>
      </c>
      <c r="P134" s="28" t="n"/>
      <c r="Q134" s="28" t="n">
        <v>0.07273300000000001</v>
      </c>
      <c r="R134" s="26" t="n">
        <v>56</v>
      </c>
      <c r="S134" s="29" t="n">
        <v>1.25</v>
      </c>
      <c r="T134" s="24" t="inlineStr">
        <is>
          <t>lol-tiered-elo-v6</t>
        </is>
      </c>
      <c r="U134" s="24" t="inlineStr">
        <is>
          <t>settled</t>
        </is>
      </c>
      <c r="V134" s="24" t="inlineStr">
        <is>
          <t>win</t>
        </is>
      </c>
      <c r="W134" s="26" t="n">
        <v>0</v>
      </c>
      <c r="X134" s="26" t="n">
        <v>1</v>
      </c>
      <c r="Y134" s="25" t="n"/>
      <c r="Z134" s="26" t="n">
        <v>108</v>
      </c>
      <c r="AA134" s="28" t="n">
        <v>0.48</v>
      </c>
      <c r="AB134" s="28" t="n">
        <v>-0.000769</v>
      </c>
      <c r="AC134" s="30" t="n">
        <v>1.35</v>
      </c>
      <c r="AD134" s="24" t="inlineStr">
        <is>
          <t>2026-09-04T04:34:38.525699Z</t>
        </is>
      </c>
      <c r="AE134" s="31" t="inlineStr">
        <is>
          <t>Neutral Elo baseline; executable ask 0.4800 (market_slug=aec-lol-sec-myth-2026-09-03).</t>
        </is>
      </c>
      <c r="AF134" s="31" t="inlineStr">
        <is>
          <t>Config-promoted esports baseline; gates enforced at log time.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4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Myth Esports</t>
        </is>
      </c>
      <c r="AQ134" s="24" t="inlineStr">
        <is>
          <t>Myth Esports</t>
        </is>
      </c>
      <c r="AR134" s="24" t="inlineStr">
        <is>
          <t>Myth Esports</t>
        </is>
      </c>
      <c r="AS134" s="24" t="inlineStr">
        <is>
          <t>Senshi Esports</t>
        </is>
      </c>
      <c r="AT134" s="24" t="inlineStr">
        <is>
          <t>Senshi Esports</t>
        </is>
      </c>
      <c r="AU134" s="24" t="inlineStr">
        <is>
          <t>Senshi Esports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59f5780f16014144de38e0a7d6e1a3e2438dd4fdf84d30e515b8bd86a8861724</t>
        </is>
      </c>
      <c r="BB134" s="24" t="inlineStr">
        <is>
          <t>neutral_elo</t>
        </is>
      </c>
      <c r="BC134" s="24" t="inlineStr">
        <is>
          <t>lol-tiered-elo-v6</t>
        </is>
      </c>
      <c r="BD134" s="24" t="inlineStr">
        <is>
          <t>59f5780f16014144de38e0a7d6e1a3e2438dd4fdf84d30e515b8bd86a8861724</t>
        </is>
      </c>
      <c r="BE134" s="24" t="inlineStr">
        <is>
          <t>1</t>
        </is>
      </c>
      <c r="BF134" s="24" t="inlineStr">
        <is>
          <t>1</t>
        </is>
      </c>
      <c r="BG134" s="24" t="inlineStr">
        <is>
          <t>lol-tiered-elo-v6</t>
        </is>
      </c>
      <c r="BH134" s="24" t="inlineStr">
        <is>
          <t>2026-09-03T04:36:12.169961Z</t>
        </is>
      </c>
      <c r="BI134" s="24" t="inlineStr">
        <is>
          <t>["same_event","same_team_same_day","same_league_same_day"]</t>
        </is>
      </c>
      <c r="BJ134" s="25" t="n"/>
      <c r="BK134" s="26" t="n">
        <v>108</v>
      </c>
      <c r="BL134" s="27" t="n">
        <v>2.08</v>
      </c>
      <c r="BM134" s="28" t="n">
        <v>0.480769</v>
      </c>
      <c r="BN134" s="28" t="n"/>
      <c r="BO134" s="28" t="n"/>
      <c r="BP134" s="25" t="n"/>
      <c r="BQ134" s="27" t="n">
        <v>2.08</v>
      </c>
      <c r="BR134" s="28" t="n">
        <v>0.48</v>
      </c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True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inlineStr">
        <is>
          <t>0.480769</t>
        </is>
      </c>
      <c r="DK134" s="24" t="n"/>
      <c r="DL134" s="24" t="n"/>
      <c r="DM134" s="24" t="n"/>
      <c r="DN134" s="24" t="n"/>
      <c r="DO134" s="24" t="n"/>
      <c r="DP134" s="24" t="n"/>
      <c r="DQ134" s="24" t="n"/>
    </row>
    <row r="135" ht="36" customHeight="1">
      <c r="A135" s="24" t="inlineStr">
        <is>
          <t>69407be023a84a22</t>
        </is>
      </c>
      <c r="B135" s="24" t="inlineStr">
        <is>
          <t>2026-09-03T16:12:31.510050Z</t>
        </is>
      </c>
      <c r="C135" s="24" t="inlineStr">
        <is>
          <t>2026-09-03T17:30:00Z</t>
        </is>
      </c>
      <c r="D135" s="24" t="inlineStr">
        <is>
          <t>101179</t>
        </is>
      </c>
      <c r="E135" s="24" t="inlineStr">
        <is>
          <t>LOL</t>
        </is>
      </c>
      <c r="F135" s="24" t="inlineStr">
        <is>
          <t>devils.one inStreamly</t>
        </is>
      </c>
      <c r="G135" s="24" t="inlineStr">
        <is>
          <t>Lodis</t>
        </is>
      </c>
      <c r="H135" s="24" t="inlineStr">
        <is>
          <t>moneyline</t>
        </is>
      </c>
      <c r="I135" s="24" t="inlineStr">
        <is>
          <t>home</t>
        </is>
      </c>
      <c r="J135" s="25" t="n"/>
      <c r="K135" s="24" t="inlineStr">
        <is>
          <t>polymarket_us</t>
        </is>
      </c>
      <c r="L135" s="26" t="n">
        <v>104</v>
      </c>
      <c r="M135" s="27" t="n">
        <v>2.04</v>
      </c>
      <c r="N135" s="28" t="n">
        <v>0.490196</v>
      </c>
      <c r="O135" s="28" t="n">
        <v>0.579895</v>
      </c>
      <c r="P135" s="28" t="n"/>
      <c r="Q135" s="28" t="n">
        <v>0.089699</v>
      </c>
      <c r="R135" s="26" t="n">
        <v>65</v>
      </c>
      <c r="S135" s="29" t="n">
        <v>1.25</v>
      </c>
      <c r="T135" s="24" t="inlineStr">
        <is>
          <t>lol-tiered-elo-v6</t>
        </is>
      </c>
      <c r="U135" s="24" t="inlineStr">
        <is>
          <t>settled</t>
        </is>
      </c>
      <c r="V135" s="24" t="inlineStr">
        <is>
          <t>loss</t>
        </is>
      </c>
      <c r="W135" s="26" t="n">
        <v>1</v>
      </c>
      <c r="X135" s="26" t="n">
        <v>0</v>
      </c>
      <c r="Y135" s="25" t="n"/>
      <c r="Z135" s="26" t="n">
        <v>104</v>
      </c>
      <c r="AA135" s="28" t="n">
        <v>0.49</v>
      </c>
      <c r="AB135" s="28" t="n">
        <v>-0.000196</v>
      </c>
      <c r="AC135" s="30" t="n">
        <v>-1.25</v>
      </c>
      <c r="AD135" s="24" t="inlineStr">
        <is>
          <t>2026-09-04T04:34:39.032580Z</t>
        </is>
      </c>
      <c r="AE135" s="31" t="inlineStr">
        <is>
          <t>Neutral Elo baseline; executable ask 0.4900 (market_slug=aec-lol-lds-dv1-2026-09-03).</t>
        </is>
      </c>
      <c r="AF135" s="31" t="inlineStr">
        <is>
          <t>Config-promoted esports baseline; gates enforced at log time.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model_qualified</t>
        </is>
      </c>
      <c r="AL135" s="26" t="n">
        <v>4</v>
      </c>
      <c r="AM135" s="24" t="inlineStr">
        <is>
          <t>QUALIFIED_SHADOW_CALL</t>
        </is>
      </c>
      <c r="AN135" s="24" t="inlineStr">
        <is>
          <t>CALL</t>
        </is>
      </c>
      <c r="AO135" s="24" t="inlineStr">
        <is>
          <t>QUALIFIED</t>
        </is>
      </c>
      <c r="AP135" s="24" t="inlineStr">
        <is>
          <t>devils.one inStreamly</t>
        </is>
      </c>
      <c r="AQ135" s="24" t="inlineStr">
        <is>
          <t>devils.one inStreamly</t>
        </is>
      </c>
      <c r="AR135" s="24" t="inlineStr">
        <is>
          <t>devils.one inStreamly</t>
        </is>
      </c>
      <c r="AS135" s="24" t="inlineStr">
        <is>
          <t>Lodis</t>
        </is>
      </c>
      <c r="AT135" s="24" t="inlineStr">
        <is>
          <t>Lodis</t>
        </is>
      </c>
      <c r="AU135" s="24" t="inlineStr">
        <is>
          <t>Lodis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e44b8d5a1806aad6b1d9c984ca948f46904e1b43a6bc59e97a18f4dfa00256d1</t>
        </is>
      </c>
      <c r="BB135" s="24" t="inlineStr">
        <is>
          <t>neutral_elo</t>
        </is>
      </c>
      <c r="BC135" s="24" t="inlineStr">
        <is>
          <t>lol-tiered-elo-v6</t>
        </is>
      </c>
      <c r="BD135" s="24" t="inlineStr">
        <is>
          <t>e44b8d5a1806aad6b1d9c984ca948f46904e1b43a6bc59e97a18f4dfa00256d1</t>
        </is>
      </c>
      <c r="BE135" s="24" t="inlineStr">
        <is>
          <t>1</t>
        </is>
      </c>
      <c r="BF135" s="24" t="inlineStr">
        <is>
          <t>1</t>
        </is>
      </c>
      <c r="BG135" s="24" t="inlineStr">
        <is>
          <t>lol-tiered-elo-v6</t>
        </is>
      </c>
      <c r="BH135" s="24" t="inlineStr">
        <is>
          <t>2026-09-03T16:12:30.516927Z</t>
        </is>
      </c>
      <c r="BI135" s="24" t="inlineStr">
        <is>
          <t>["same_event","same_team_same_day","same_league_same_day"]</t>
        </is>
      </c>
      <c r="BJ135" s="25" t="n"/>
      <c r="BK135" s="26" t="n">
        <v>104</v>
      </c>
      <c r="BL135" s="27" t="n">
        <v>2.04</v>
      </c>
      <c r="BM135" s="28" t="n">
        <v>0.490196</v>
      </c>
      <c r="BN135" s="28" t="n"/>
      <c r="BO135" s="28" t="n"/>
      <c r="BP135" s="25" t="n"/>
      <c r="BQ135" s="27" t="n">
        <v>2.04</v>
      </c>
      <c r="BR135" s="28" t="n">
        <v>0.49</v>
      </c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True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inlineStr">
        <is>
          <t>0.490196</t>
        </is>
      </c>
      <c r="DK135" s="24" t="n"/>
      <c r="DL135" s="24" t="n"/>
      <c r="DM135" s="24" t="n"/>
      <c r="DN135" s="24" t="n"/>
      <c r="DO135" s="24" t="n"/>
      <c r="DP135" s="24" t="n"/>
      <c r="DQ135" s="24" t="n"/>
    </row>
    <row r="136" ht="36" customHeight="1">
      <c r="A136" s="24" t="inlineStr">
        <is>
          <t>0728642db62e4a1c</t>
        </is>
      </c>
      <c r="B136" s="24" t="inlineStr">
        <is>
          <t>2026-09-03T16:12:31.510050Z</t>
        </is>
      </c>
      <c r="C136" s="24" t="inlineStr">
        <is>
          <t>2026-09-03T18:00:00Z</t>
        </is>
      </c>
      <c r="D136" s="24" t="inlineStr">
        <is>
          <t>98882</t>
        </is>
      </c>
      <c r="E136" s="24" t="inlineStr">
        <is>
          <t>LOL</t>
        </is>
      </c>
      <c r="F136" s="24" t="inlineStr">
        <is>
          <t>Dream Esports</t>
        </is>
      </c>
      <c r="G136" s="24" t="inlineStr">
        <is>
          <t>Dominion Goblins</t>
        </is>
      </c>
      <c r="H136" s="24" t="inlineStr">
        <is>
          <t>moneyline</t>
        </is>
      </c>
      <c r="I136" s="24" t="inlineStr">
        <is>
          <t>home</t>
        </is>
      </c>
      <c r="J136" s="25" t="n"/>
      <c r="K136" s="24" t="inlineStr">
        <is>
          <t>polymarket_us</t>
        </is>
      </c>
      <c r="L136" s="26" t="n">
        <v>-170</v>
      </c>
      <c r="M136" s="27" t="n">
        <v>1.588235</v>
      </c>
      <c r="N136" s="28" t="n">
        <v>0.62963</v>
      </c>
      <c r="O136" s="28" t="n">
        <v>0.516014</v>
      </c>
      <c r="P136" s="28" t="n"/>
      <c r="Q136" s="28" t="n">
        <v>-0.113616</v>
      </c>
      <c r="R136" s="26" t="n">
        <v>0</v>
      </c>
      <c r="S136" s="29" t="n">
        <v>1</v>
      </c>
      <c r="T136" s="24" t="inlineStr">
        <is>
          <t>lol-tiered-elo-v6</t>
        </is>
      </c>
      <c r="U136" s="24" t="inlineStr">
        <is>
          <t>settled</t>
        </is>
      </c>
      <c r="V136" s="24" t="inlineStr">
        <is>
          <t>win</t>
        </is>
      </c>
      <c r="W136" s="26" t="n">
        <v>0</v>
      </c>
      <c r="X136" s="26" t="n">
        <v>1</v>
      </c>
      <c r="Y136" s="25" t="n"/>
      <c r="Z136" s="26" t="n">
        <v>-170</v>
      </c>
      <c r="AA136" s="28" t="n">
        <v>0.63</v>
      </c>
      <c r="AB136" s="28" t="n">
        <v>0.00037</v>
      </c>
      <c r="AC136" s="30" t="n">
        <v>0.5881999999999999</v>
      </c>
      <c r="AD136" s="24" t="inlineStr">
        <is>
          <t>2026-09-04T04:34:39.570842Z</t>
        </is>
      </c>
      <c r="AE136" s="31" t="inlineStr">
        <is>
          <t>Neutral Elo baseline; executable ask 0.6300 (market_slug=aec-lol-domi-drm-2026-09-03).</t>
        </is>
      </c>
      <c r="AF136" s="31" t="inlineStr">
        <is>
          <t>Config-promoted esports baseline; gates enforced at log time.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paper_call</t>
        </is>
      </c>
      <c r="AL136" s="26" t="n">
        <v>4</v>
      </c>
      <c r="AM136" s="24" t="inlineStr">
        <is>
          <t>RESEARCH_OBSERVATION</t>
        </is>
      </c>
      <c r="AN136" s="24" t="inlineStr">
        <is>
          <t>CALL</t>
        </is>
      </c>
      <c r="AO136" s="24" t="inlineStr">
        <is>
          <t>PAPER_CALL_LOW_EDGE</t>
        </is>
      </c>
      <c r="AP136" s="24" t="inlineStr">
        <is>
          <t>Dream Esports</t>
        </is>
      </c>
      <c r="AQ136" s="24" t="inlineStr">
        <is>
          <t>Dream Esports</t>
        </is>
      </c>
      <c r="AR136" s="24" t="inlineStr">
        <is>
          <t>Dream Esports</t>
        </is>
      </c>
      <c r="AS136" s="24" t="inlineStr">
        <is>
          <t>Dominion Goblins</t>
        </is>
      </c>
      <c r="AT136" s="24" t="inlineStr">
        <is>
          <t>Dominion Goblins</t>
        </is>
      </c>
      <c r="AU136" s="24" t="inlineStr">
        <is>
          <t>Dominion Goblins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e44b8d5a1806aad6b1d9c984ca948f46904e1b43a6bc59e97a18f4dfa00256d1</t>
        </is>
      </c>
      <c r="BB136" s="24" t="inlineStr">
        <is>
          <t>neutral_elo</t>
        </is>
      </c>
      <c r="BC136" s="24" t="inlineStr">
        <is>
          <t>lol-tiered-elo-v6</t>
        </is>
      </c>
      <c r="BD136" s="24" t="inlineStr">
        <is>
          <t>e44b8d5a1806aad6b1d9c984ca948f46904e1b43a6bc59e97a18f4dfa00256d1</t>
        </is>
      </c>
      <c r="BE136" s="24" t="inlineStr">
        <is>
          <t>1</t>
        </is>
      </c>
      <c r="BF136" s="24" t="inlineStr">
        <is>
          <t>1</t>
        </is>
      </c>
      <c r="BG136" s="24" t="inlineStr">
        <is>
          <t>lol-tiered-elo-v6</t>
        </is>
      </c>
      <c r="BH136" s="24" t="inlineStr">
        <is>
          <t>2026-09-03T16:12:30.672411Z</t>
        </is>
      </c>
      <c r="BI136" s="24" t="inlineStr">
        <is>
          <t>["same_event","same_team_same_day","same_league_same_day"]</t>
        </is>
      </c>
      <c r="BJ136" s="25" t="n"/>
      <c r="BK136" s="26" t="n">
        <v>-170</v>
      </c>
      <c r="BL136" s="27" t="n">
        <v>1.588235</v>
      </c>
      <c r="BM136" s="28" t="n">
        <v>0.62963</v>
      </c>
      <c r="BN136" s="28" t="n"/>
      <c r="BO136" s="28" t="n"/>
      <c r="BP136" s="25" t="n"/>
      <c r="BQ136" s="27" t="n">
        <v>1.588235</v>
      </c>
      <c r="BR136" s="28" t="n">
        <v>0.63</v>
      </c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False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inlineStr">
        <is>
          <t>0.62963</t>
        </is>
      </c>
      <c r="DK136" s="24" t="n"/>
      <c r="DL136" s="24" t="n"/>
      <c r="DM136" s="24" t="n"/>
      <c r="DN136" s="24" t="n"/>
      <c r="DO136" s="24" t="n"/>
      <c r="DP136" s="24" t="n"/>
      <c r="DQ136" s="24" t="n"/>
    </row>
    <row r="137" ht="36" customHeight="1">
      <c r="A137" s="24" t="inlineStr">
        <is>
          <t>371d2efdee6c45a1</t>
        </is>
      </c>
      <c r="B137" s="24" t="inlineStr">
        <is>
          <t>2026-09-04T04:37:13.977875Z</t>
        </is>
      </c>
      <c r="C137" s="24" t="inlineStr">
        <is>
          <t>2026-09-04T08:00:00Z</t>
        </is>
      </c>
      <c r="D137" s="24" t="inlineStr">
        <is>
          <t>101566</t>
        </is>
      </c>
      <c r="E137" s="24" t="inlineStr">
        <is>
          <t>LOL</t>
        </is>
      </c>
      <c r="F137" s="24" t="inlineStr">
        <is>
          <t>KT Rolster</t>
        </is>
      </c>
      <c r="G137" s="24" t="inlineStr">
        <is>
          <t>Dplus KIA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-186</v>
      </c>
      <c r="M137" s="27" t="n">
        <v>1.537634</v>
      </c>
      <c r="N137" s="28" t="n">
        <v>0.65035</v>
      </c>
      <c r="O137" s="28" t="n">
        <v>0.66932</v>
      </c>
      <c r="P137" s="28" t="n"/>
      <c r="Q137" s="28" t="n">
        <v>0.01897</v>
      </c>
      <c r="R137" s="26" t="n">
        <v>29</v>
      </c>
      <c r="S137" s="29" t="n">
        <v>1</v>
      </c>
      <c r="T137" s="24" t="inlineStr">
        <is>
          <t>lol-tiered-elo-v6</t>
        </is>
      </c>
      <c r="U137" s="24" t="inlineStr">
        <is>
          <t>settled</t>
        </is>
      </c>
      <c r="V137" s="24" t="inlineStr">
        <is>
          <t>win</t>
        </is>
      </c>
      <c r="W137" s="26" t="n">
        <v>0</v>
      </c>
      <c r="X137" s="26" t="n">
        <v>1</v>
      </c>
      <c r="Y137" s="25" t="n"/>
      <c r="Z137" s="26" t="n">
        <v>-186</v>
      </c>
      <c r="AA137" s="28" t="n">
        <v>0.65</v>
      </c>
      <c r="AB137" s="28" t="n">
        <v>-0.00035</v>
      </c>
      <c r="AC137" s="30" t="n">
        <v>0.5376</v>
      </c>
      <c r="AD137" s="24" t="inlineStr">
        <is>
          <t>2026-09-04T16:01:53.332266Z</t>
        </is>
      </c>
      <c r="AE137" s="31" t="inlineStr">
        <is>
          <t>Neutral Elo baseline; executable ask 0.6500 (market_slug=aec-lol-dk-kt-2026-09-04).</t>
        </is>
      </c>
      <c r="AF137" s="31" t="inlineStr">
        <is>
          <t>Config-promoted esports baseline; gates enforced at log time.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paper_call</t>
        </is>
      </c>
      <c r="AL137" s="26" t="n">
        <v>4</v>
      </c>
      <c r="AM137" s="24" t="inlineStr">
        <is>
          <t>RESEARCH_OBSERVATION</t>
        </is>
      </c>
      <c r="AN137" s="24" t="inlineStr">
        <is>
          <t>CALL</t>
        </is>
      </c>
      <c r="AO137" s="24" t="inlineStr">
        <is>
          <t>PAPER_CALL_LOW_EDGE</t>
        </is>
      </c>
      <c r="AP137" s="24" t="inlineStr">
        <is>
          <t>KT Rolster</t>
        </is>
      </c>
      <c r="AQ137" s="24" t="inlineStr">
        <is>
          <t>KT Rolster</t>
        </is>
      </c>
      <c r="AR137" s="24" t="inlineStr">
        <is>
          <t>KT Rolster</t>
        </is>
      </c>
      <c r="AS137" s="24" t="inlineStr">
        <is>
          <t>Dplus KIA</t>
        </is>
      </c>
      <c r="AT137" s="24" t="inlineStr">
        <is>
          <t>Dplus KIA</t>
        </is>
      </c>
      <c r="AU137" s="24" t="inlineStr">
        <is>
          <t>Dplus KIA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55a3995119c1407b3d6d90b9201cc4d7548a835b6b6e38bedad7b33de6103918</t>
        </is>
      </c>
      <c r="BB137" s="24" t="inlineStr">
        <is>
          <t>neutral_elo</t>
        </is>
      </c>
      <c r="BC137" s="24" t="inlineStr">
        <is>
          <t>lol-tiered-elo-v6</t>
        </is>
      </c>
      <c r="BD137" s="24" t="inlineStr">
        <is>
          <t>55a3995119c1407b3d6d90b9201cc4d7548a835b6b6e38bedad7b33de6103918</t>
        </is>
      </c>
      <c r="BE137" s="24" t="inlineStr">
        <is>
          <t>1</t>
        </is>
      </c>
      <c r="BF137" s="24" t="inlineStr">
        <is>
          <t>1</t>
        </is>
      </c>
      <c r="BG137" s="24" t="inlineStr">
        <is>
          <t>lol-tiered-elo-v6</t>
        </is>
      </c>
      <c r="BH137" s="24" t="inlineStr">
        <is>
          <t>2026-09-04T04:37:12.829670Z</t>
        </is>
      </c>
      <c r="BI137" s="24" t="inlineStr">
        <is>
          <t>["same_event","same_team_same_day","same_league_same_day"]</t>
        </is>
      </c>
      <c r="BJ137" s="25" t="n"/>
      <c r="BK137" s="26" t="n">
        <v>-186</v>
      </c>
      <c r="BL137" s="27" t="n">
        <v>1.537634</v>
      </c>
      <c r="BM137" s="28" t="n">
        <v>0.65035</v>
      </c>
      <c r="BN137" s="28" t="n"/>
      <c r="BO137" s="28" t="n"/>
      <c r="BP137" s="25" t="n"/>
      <c r="BQ137" s="27" t="n">
        <v>1.537634</v>
      </c>
      <c r="BR137" s="28" t="n">
        <v>0.65</v>
      </c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True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inlineStr">
        <is>
          <t>0.65035</t>
        </is>
      </c>
      <c r="DK137" s="24" t="n"/>
      <c r="DL137" s="24" t="n"/>
      <c r="DM137" s="24" t="n"/>
      <c r="DN137" s="24" t="n"/>
      <c r="DO137" s="24" t="n"/>
      <c r="DP137" s="24" t="n"/>
      <c r="DQ137" s="24" t="n"/>
    </row>
    <row r="138" ht="36" customHeight="1">
      <c r="A138" s="24" t="inlineStr">
        <is>
          <t>75f64b0455a84828</t>
        </is>
      </c>
      <c r="B138" s="24" t="inlineStr">
        <is>
          <t>2026-09-04T04:37:13.977875Z</t>
        </is>
      </c>
      <c r="C138" s="24" t="inlineStr">
        <is>
          <t>2026-09-04T09:00:00Z</t>
        </is>
      </c>
      <c r="D138" s="24" t="inlineStr">
        <is>
          <t>100270</t>
        </is>
      </c>
      <c r="E138" s="24" t="inlineStr">
        <is>
          <t>LOL</t>
        </is>
      </c>
      <c r="F138" s="24" t="inlineStr">
        <is>
          <t>LGD Gaming</t>
        </is>
      </c>
      <c r="G138" s="24" t="inlineStr">
        <is>
          <t>Anyone's Legend</t>
        </is>
      </c>
      <c r="H138" s="24" t="inlineStr">
        <is>
          <t>moneyline</t>
        </is>
      </c>
      <c r="I138" s="24" t="inlineStr">
        <is>
          <t>home</t>
        </is>
      </c>
      <c r="J138" s="25" t="n"/>
      <c r="K138" s="24" t="inlineStr">
        <is>
          <t>polymarket_us</t>
        </is>
      </c>
      <c r="L138" s="26" t="n">
        <v>-223</v>
      </c>
      <c r="M138" s="27" t="n">
        <v>1.44843</v>
      </c>
      <c r="N138" s="28" t="n">
        <v>0.690402</v>
      </c>
      <c r="O138" s="28" t="n">
        <v>0.610449</v>
      </c>
      <c r="P138" s="28" t="n"/>
      <c r="Q138" s="28" t="n">
        <v>-0.079953</v>
      </c>
      <c r="R138" s="26" t="n">
        <v>0</v>
      </c>
      <c r="S138" s="29" t="n">
        <v>1</v>
      </c>
      <c r="T138" s="24" t="inlineStr">
        <is>
          <t>lol-tiered-elo-v6</t>
        </is>
      </c>
      <c r="U138" s="24" t="inlineStr">
        <is>
          <t>settled</t>
        </is>
      </c>
      <c r="V138" s="24" t="inlineStr">
        <is>
          <t>win</t>
        </is>
      </c>
      <c r="W138" s="26" t="n">
        <v>0</v>
      </c>
      <c r="X138" s="26" t="n">
        <v>1</v>
      </c>
      <c r="Y138" s="25" t="n"/>
      <c r="Z138" s="26" t="n">
        <v>-223</v>
      </c>
      <c r="AA138" s="28" t="n">
        <v>0.6899999999999999</v>
      </c>
      <c r="AB138" s="28" t="n">
        <v>-0.000402</v>
      </c>
      <c r="AC138" s="30" t="n">
        <v>0.4484</v>
      </c>
      <c r="AD138" s="24" t="inlineStr">
        <is>
          <t>2026-09-04T16:01:53.733718Z</t>
        </is>
      </c>
      <c r="AE138" s="31" t="inlineStr">
        <is>
          <t>Neutral Elo baseline; executable ask 0.6900 (market_slug=aec-lol-al-lgd-2026-09-04).</t>
        </is>
      </c>
      <c r="AF138" s="31" t="inlineStr">
        <is>
          <t>Config-promoted esports baseline; gates enforced at log time.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paper_call</t>
        </is>
      </c>
      <c r="AL138" s="26" t="n">
        <v>4</v>
      </c>
      <c r="AM138" s="24" t="inlineStr">
        <is>
          <t>RESEARCH_OBSERVATION</t>
        </is>
      </c>
      <c r="AN138" s="24" t="inlineStr">
        <is>
          <t>CALL</t>
        </is>
      </c>
      <c r="AO138" s="24" t="inlineStr">
        <is>
          <t>PAPER_CALL_LOW_EDGE</t>
        </is>
      </c>
      <c r="AP138" s="24" t="inlineStr">
        <is>
          <t>LGD Gaming</t>
        </is>
      </c>
      <c r="AQ138" s="24" t="inlineStr">
        <is>
          <t>LGD Gaming</t>
        </is>
      </c>
      <c r="AR138" s="24" t="inlineStr">
        <is>
          <t>LGD Gaming</t>
        </is>
      </c>
      <c r="AS138" s="24" t="inlineStr">
        <is>
          <t>Anyone's Legend</t>
        </is>
      </c>
      <c r="AT138" s="24" t="inlineStr">
        <is>
          <t>Anyone's Legend</t>
        </is>
      </c>
      <c r="AU138" s="24" t="inlineStr">
        <is>
          <t>Anyone's Legend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55a3995119c1407b3d6d90b9201cc4d7548a835b6b6e38bedad7b33de6103918</t>
        </is>
      </c>
      <c r="BB138" s="24" t="inlineStr">
        <is>
          <t>neutral_elo</t>
        </is>
      </c>
      <c r="BC138" s="24" t="inlineStr">
        <is>
          <t>lol-tiered-elo-v6</t>
        </is>
      </c>
      <c r="BD138" s="24" t="inlineStr">
        <is>
          <t>55a3995119c1407b3d6d90b9201cc4d7548a835b6b6e38bedad7b33de6103918</t>
        </is>
      </c>
      <c r="BE138" s="24" t="inlineStr">
        <is>
          <t>1</t>
        </is>
      </c>
      <c r="BF138" s="24" t="inlineStr">
        <is>
          <t>1</t>
        </is>
      </c>
      <c r="BG138" s="24" t="inlineStr">
        <is>
          <t>lol-tiered-elo-v6</t>
        </is>
      </c>
      <c r="BH138" s="24" t="inlineStr">
        <is>
          <t>2026-09-04T04:37:12.892199Z</t>
        </is>
      </c>
      <c r="BI138" s="24" t="inlineStr">
        <is>
          <t>["same_event","same_team_same_day","same_league_same_day"]</t>
        </is>
      </c>
      <c r="BJ138" s="25" t="n"/>
      <c r="BK138" s="26" t="n">
        <v>-223</v>
      </c>
      <c r="BL138" s="27" t="n">
        <v>1.44843</v>
      </c>
      <c r="BM138" s="28" t="n">
        <v>0.690402</v>
      </c>
      <c r="BN138" s="28" t="n"/>
      <c r="BO138" s="28" t="n"/>
      <c r="BP138" s="25" t="n"/>
      <c r="BQ138" s="27" t="n">
        <v>1.44843</v>
      </c>
      <c r="BR138" s="28" t="n">
        <v>0.6899999999999999</v>
      </c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False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inlineStr">
        <is>
          <t>0.690402</t>
        </is>
      </c>
      <c r="DK138" s="24" t="n"/>
      <c r="DL138" s="24" t="n"/>
      <c r="DM138" s="24" t="n"/>
      <c r="DN138" s="24" t="n"/>
      <c r="DO138" s="24" t="n"/>
      <c r="DP138" s="24" t="n"/>
      <c r="DQ138" s="24" t="n"/>
    </row>
    <row r="139" ht="36" customHeight="1">
      <c r="A139" s="24" t="inlineStr">
        <is>
          <t>0526051980a54f55</t>
        </is>
      </c>
      <c r="B139" s="24" t="inlineStr">
        <is>
          <t>2026-09-04T22:04:34.232577Z</t>
        </is>
      </c>
      <c r="C139" s="24" t="inlineStr">
        <is>
          <t>2026-09-05T04:00:00Z</t>
        </is>
      </c>
      <c r="D139" s="24" t="inlineStr">
        <is>
          <t>100274</t>
        </is>
      </c>
      <c r="E139" s="24" t="inlineStr">
        <is>
          <t>LOL</t>
        </is>
      </c>
      <c r="F139" s="24" t="inlineStr">
        <is>
          <t>Onetricks</t>
        </is>
      </c>
      <c r="G139" s="24" t="inlineStr">
        <is>
          <t>Gromp Esports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108</v>
      </c>
      <c r="M139" s="27" t="n">
        <v>2.08</v>
      </c>
      <c r="N139" s="28" t="n">
        <v>0.480769</v>
      </c>
      <c r="O139" s="28" t="n">
        <v>0.510683</v>
      </c>
      <c r="P139" s="28" t="n"/>
      <c r="Q139" s="28" t="n">
        <v>0.029914</v>
      </c>
      <c r="R139" s="26" t="n">
        <v>35</v>
      </c>
      <c r="S139" s="29" t="n">
        <v>1</v>
      </c>
      <c r="T139" s="24" t="inlineStr">
        <is>
          <t>lol-tiered-elo-v6</t>
        </is>
      </c>
      <c r="U139" s="24" t="inlineStr">
        <is>
          <t>settled</t>
        </is>
      </c>
      <c r="V139" s="24" t="inlineStr">
        <is>
          <t>win</t>
        </is>
      </c>
      <c r="W139" s="26" t="n">
        <v>0</v>
      </c>
      <c r="X139" s="26" t="n">
        <v>1</v>
      </c>
      <c r="Y139" s="25" t="n"/>
      <c r="Z139" s="26" t="n">
        <v>-104</v>
      </c>
      <c r="AA139" s="28" t="n">
        <v>0.51</v>
      </c>
      <c r="AB139" s="28" t="n">
        <v>0.029231</v>
      </c>
      <c r="AC139" s="30" t="n">
        <v>1.08</v>
      </c>
      <c r="AD139" s="24" t="inlineStr">
        <is>
          <t>2026-09-05T10:02:17.252341Z</t>
        </is>
      </c>
      <c r="AE139" s="31" t="inlineStr">
        <is>
          <t>Neutral Elo baseline; executable ask 0.4800 (market_slug=aec-lol-ger-onet-2026-09-05).</t>
        </is>
      </c>
      <c r="AF139" s="31" t="inlineStr">
        <is>
          <t>Config-promoted esports baseline; gates enforced at log time.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paper_call</t>
        </is>
      </c>
      <c r="AL139" s="26" t="n">
        <v>4</v>
      </c>
      <c r="AM139" s="24" t="inlineStr">
        <is>
          <t>RESEARCH_OBSERVATION</t>
        </is>
      </c>
      <c r="AN139" s="24" t="inlineStr">
        <is>
          <t>CALL</t>
        </is>
      </c>
      <c r="AO139" s="24" t="inlineStr">
        <is>
          <t>PAPER_CALL_LOW_EDGE</t>
        </is>
      </c>
      <c r="AP139" s="24" t="inlineStr">
        <is>
          <t>Onetricks</t>
        </is>
      </c>
      <c r="AQ139" s="24" t="inlineStr">
        <is>
          <t>Onetricks</t>
        </is>
      </c>
      <c r="AR139" s="24" t="inlineStr">
        <is>
          <t>Onetricks</t>
        </is>
      </c>
      <c r="AS139" s="24" t="inlineStr">
        <is>
          <t>Gromp Esports</t>
        </is>
      </c>
      <c r="AT139" s="24" t="inlineStr">
        <is>
          <t>Gromp Esports</t>
        </is>
      </c>
      <c r="AU139" s="24" t="inlineStr">
        <is>
          <t>Gromp Esports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60ad579bbdf7cea8aea2bde6b7a1e8b185e0fd7861c49d74d818fed4fbe362d0</t>
        </is>
      </c>
      <c r="BB139" s="24" t="inlineStr">
        <is>
          <t>neutral_elo</t>
        </is>
      </c>
      <c r="BC139" s="24" t="inlineStr">
        <is>
          <t>lol-tiered-elo-v6</t>
        </is>
      </c>
      <c r="BD139" s="24" t="inlineStr">
        <is>
          <t>60ad579bbdf7cea8aea2bde6b7a1e8b185e0fd7861c49d74d818fed4fbe362d0</t>
        </is>
      </c>
      <c r="BE139" s="24" t="inlineStr">
        <is>
          <t>1</t>
        </is>
      </c>
      <c r="BF139" s="24" t="inlineStr">
        <is>
          <t>1</t>
        </is>
      </c>
      <c r="BG139" s="24" t="inlineStr">
        <is>
          <t>lol-tiered-elo-v6</t>
        </is>
      </c>
      <c r="BH139" s="24" t="inlineStr">
        <is>
          <t>2026-09-04T22:04:33.091746Z</t>
        </is>
      </c>
      <c r="BI139" s="24" t="inlineStr">
        <is>
          <t>["same_event","same_team_same_day","same_league_same_day"]</t>
        </is>
      </c>
      <c r="BJ139" s="25" t="n"/>
      <c r="BK139" s="26" t="n">
        <v>108</v>
      </c>
      <c r="BL139" s="27" t="n">
        <v>2.08</v>
      </c>
      <c r="BM139" s="28" t="n">
        <v>0.480769</v>
      </c>
      <c r="BN139" s="28" t="n"/>
      <c r="BO139" s="28" t="n"/>
      <c r="BP139" s="25" t="n"/>
      <c r="BQ139" s="27" t="n">
        <v>1.961538</v>
      </c>
      <c r="BR139" s="28" t="n">
        <v>0.51</v>
      </c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True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inlineStr">
        <is>
          <t>0.480769</t>
        </is>
      </c>
      <c r="DK139" s="24" t="n"/>
      <c r="DL139" s="24" t="n"/>
      <c r="DM139" s="24" t="n"/>
      <c r="DN139" s="24" t="n"/>
      <c r="DO139" s="24" t="n"/>
      <c r="DP139" s="24" t="n"/>
      <c r="DQ139" s="24" t="n"/>
    </row>
    <row r="140" ht="36" customHeight="1">
      <c r="A140" s="24" t="inlineStr">
        <is>
          <t>6e8312e7bbad43d6</t>
        </is>
      </c>
      <c r="B140" s="24" t="inlineStr">
        <is>
          <t>2026-09-05T04:44:17.486463Z</t>
        </is>
      </c>
      <c r="C140" s="24" t="inlineStr">
        <is>
          <t>2026-09-05T06:00:00Z</t>
        </is>
      </c>
      <c r="D140" s="24" t="inlineStr">
        <is>
          <t>100278</t>
        </is>
      </c>
      <c r="E140" s="24" t="inlineStr">
        <is>
          <t>LOL</t>
        </is>
      </c>
      <c r="F140" s="24" t="inlineStr">
        <is>
          <t>Top Esports</t>
        </is>
      </c>
      <c r="G140" s="24" t="inlineStr">
        <is>
          <t>Invictus Gaming</t>
        </is>
      </c>
      <c r="H140" s="24" t="inlineStr">
        <is>
          <t>moneyline</t>
        </is>
      </c>
      <c r="I140" s="24" t="inlineStr">
        <is>
          <t>away</t>
        </is>
      </c>
      <c r="J140" s="25" t="n"/>
      <c r="K140" s="24" t="inlineStr">
        <is>
          <t>polymarket_us</t>
        </is>
      </c>
      <c r="L140" s="26" t="n">
        <v>-113</v>
      </c>
      <c r="M140" s="27" t="n">
        <v>1.884956</v>
      </c>
      <c r="N140" s="28" t="n">
        <v>0.530516</v>
      </c>
      <c r="O140" s="28" t="n">
        <v>0.523354</v>
      </c>
      <c r="P140" s="28" t="n"/>
      <c r="Q140" s="28" t="n">
        <v>-0.007162</v>
      </c>
      <c r="R140" s="26" t="n">
        <v>16</v>
      </c>
      <c r="S140" s="29" t="n">
        <v>1</v>
      </c>
      <c r="T140" s="24" t="inlineStr">
        <is>
          <t>lol-tiered-elo-v6</t>
        </is>
      </c>
      <c r="U140" s="24" t="inlineStr">
        <is>
          <t>settled</t>
        </is>
      </c>
      <c r="V140" s="24" t="inlineStr">
        <is>
          <t>loss</t>
        </is>
      </c>
      <c r="W140" s="26" t="n">
        <v>0</v>
      </c>
      <c r="X140" s="26" t="n">
        <v>1</v>
      </c>
      <c r="Y140" s="25" t="n"/>
      <c r="Z140" s="26" t="n">
        <v>-113</v>
      </c>
      <c r="AA140" s="28" t="n">
        <v>0.53</v>
      </c>
      <c r="AB140" s="28" t="n">
        <v>-0.000516</v>
      </c>
      <c r="AC140" s="30" t="n">
        <v>-1</v>
      </c>
      <c r="AD140" s="24" t="inlineStr">
        <is>
          <t>2026-09-05T16:01:58.670009Z</t>
        </is>
      </c>
      <c r="AE140" s="31" t="inlineStr">
        <is>
          <t>Neutral Elo baseline; executable ask 0.5300 (market_slug=aec-lol-ig-tes-2026-09-05).</t>
        </is>
      </c>
      <c r="AF140" s="31" t="inlineStr">
        <is>
          <t>Config-promoted esports baseline; gates enforced at log time.</t>
        </is>
      </c>
      <c r="AG140" s="24" t="inlineStr">
        <is>
          <t>review_required</t>
        </is>
      </c>
      <c r="AH140" s="24" t="n"/>
      <c r="AI140" s="31" t="n"/>
      <c r="AJ140" s="31" t="n"/>
      <c r="AK140" s="24" t="inlineStr">
        <is>
          <t>paper_call</t>
        </is>
      </c>
      <c r="AL140" s="26" t="n">
        <v>4</v>
      </c>
      <c r="AM140" s="24" t="inlineStr">
        <is>
          <t>RESEARCH_OBSERVATION</t>
        </is>
      </c>
      <c r="AN140" s="24" t="inlineStr">
        <is>
          <t>CALL</t>
        </is>
      </c>
      <c r="AO140" s="24" t="inlineStr">
        <is>
          <t>PAPER_CALL_LOW_EDGE</t>
        </is>
      </c>
      <c r="AP140" s="24" t="inlineStr">
        <is>
          <t>Top Esports</t>
        </is>
      </c>
      <c r="AQ140" s="24" t="inlineStr">
        <is>
          <t>Top Esports</t>
        </is>
      </c>
      <c r="AR140" s="24" t="inlineStr">
        <is>
          <t>Top Esports</t>
        </is>
      </c>
      <c r="AS140" s="24" t="inlineStr">
        <is>
          <t>Invictus Gaming</t>
        </is>
      </c>
      <c r="AT140" s="24" t="inlineStr">
        <is>
          <t>Invictus Gaming</t>
        </is>
      </c>
      <c r="AU140" s="24" t="inlineStr">
        <is>
          <t>Invictus Gaming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e256dc061870dad30797ba87433f0b0bb620ec8e75b67bece34cfea2f2a6d79d</t>
        </is>
      </c>
      <c r="BB140" s="24" t="inlineStr">
        <is>
          <t>neutral_elo</t>
        </is>
      </c>
      <c r="BC140" s="24" t="inlineStr">
        <is>
          <t>lol-tiered-elo-v6</t>
        </is>
      </c>
      <c r="BD140" s="24" t="inlineStr">
        <is>
          <t>e256dc061870dad30797ba87433f0b0bb620ec8e75b67bece34cfea2f2a6d79d</t>
        </is>
      </c>
      <c r="BE140" s="24" t="inlineStr">
        <is>
          <t>1</t>
        </is>
      </c>
      <c r="BF140" s="24" t="inlineStr">
        <is>
          <t>1</t>
        </is>
      </c>
      <c r="BG140" s="24" t="inlineStr">
        <is>
          <t>lol-tiered-elo-v6</t>
        </is>
      </c>
      <c r="BH140" s="24" t="inlineStr">
        <is>
          <t>2026-09-05T04:44:16.133200Z</t>
        </is>
      </c>
      <c r="BI140" s="24" t="inlineStr">
        <is>
          <t>["same_event","same_team_same_day","same_league_same_day"]</t>
        </is>
      </c>
      <c r="BJ140" s="25" t="n"/>
      <c r="BK140" s="26" t="n">
        <v>-113</v>
      </c>
      <c r="BL140" s="27" t="n">
        <v>1.884956</v>
      </c>
      <c r="BM140" s="28" t="n">
        <v>0.530516</v>
      </c>
      <c r="BN140" s="28" t="n"/>
      <c r="BO140" s="28" t="n"/>
      <c r="BP140" s="25" t="n"/>
      <c r="BQ140" s="27" t="n">
        <v>1.884956</v>
      </c>
      <c r="BR140" s="28" t="n">
        <v>0.53</v>
      </c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False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inlineStr">
        <is>
          <t>0.530516</t>
        </is>
      </c>
      <c r="DK140" s="24" t="n"/>
      <c r="DL140" s="24" t="n"/>
      <c r="DM140" s="24" t="n"/>
      <c r="DN140" s="24" t="n"/>
      <c r="DO140" s="24" t="n"/>
      <c r="DP140" s="24" t="n"/>
      <c r="DQ140" s="24" t="n"/>
    </row>
    <row r="141" ht="36" customHeight="1">
      <c r="A141" s="24" t="inlineStr">
        <is>
          <t>eab9fb2c5d19410c</t>
        </is>
      </c>
      <c r="B141" s="24" t="inlineStr">
        <is>
          <t>2026-09-05T04:44:17.486463Z</t>
        </is>
      </c>
      <c r="C141" s="24" t="inlineStr">
        <is>
          <t>2026-09-05T08:00:00Z</t>
        </is>
      </c>
      <c r="D141" s="24" t="inlineStr">
        <is>
          <t>100280</t>
        </is>
      </c>
      <c r="E141" s="24" t="inlineStr">
        <is>
          <t>LOL</t>
        </is>
      </c>
      <c r="F141" s="24" t="inlineStr">
        <is>
          <t>Hanwha Life Esports</t>
        </is>
      </c>
      <c r="G141" s="24" t="inlineStr">
        <is>
          <t>Gen.G</t>
        </is>
      </c>
      <c r="H141" s="24" t="inlineStr">
        <is>
          <t>moneyline</t>
        </is>
      </c>
      <c r="I141" s="24" t="inlineStr">
        <is>
          <t>away</t>
        </is>
      </c>
      <c r="J141" s="25" t="n"/>
      <c r="K141" s="24" t="inlineStr">
        <is>
          <t>polymarket_us</t>
        </is>
      </c>
      <c r="L141" s="26" t="n">
        <v>138</v>
      </c>
      <c r="M141" s="27" t="n">
        <v>2.38</v>
      </c>
      <c r="N141" s="28" t="n">
        <v>0.420168</v>
      </c>
      <c r="O141" s="28" t="n">
        <v>0.54047</v>
      </c>
      <c r="P141" s="28" t="n"/>
      <c r="Q141" s="28" t="n">
        <v>0.120302</v>
      </c>
      <c r="R141" s="26" t="n">
        <v>80</v>
      </c>
      <c r="S141" s="29" t="n">
        <v>1.5</v>
      </c>
      <c r="T141" s="24" t="inlineStr">
        <is>
          <t>lol-tiered-elo-v6</t>
        </is>
      </c>
      <c r="U141" s="24" t="inlineStr">
        <is>
          <t>settled</t>
        </is>
      </c>
      <c r="V141" s="24" t="inlineStr">
        <is>
          <t>loss</t>
        </is>
      </c>
      <c r="W141" s="26" t="n">
        <v>0</v>
      </c>
      <c r="X141" s="26" t="n">
        <v>1</v>
      </c>
      <c r="Y141" s="25" t="n"/>
      <c r="Z141" s="26" t="n">
        <v>138</v>
      </c>
      <c r="AA141" s="28" t="n">
        <v>0.42</v>
      </c>
      <c r="AB141" s="28" t="n">
        <v>-0.000168</v>
      </c>
      <c r="AC141" s="30" t="n">
        <v>-1.5</v>
      </c>
      <c r="AD141" s="24" t="inlineStr">
        <is>
          <t>2026-09-05T16:01:58.951382Z</t>
        </is>
      </c>
      <c r="AE141" s="31" t="inlineStr">
        <is>
          <t>Neutral Elo baseline; executable ask 0.4200 (market_slug=aec-lol-gen-hle-2026-09-05).</t>
        </is>
      </c>
      <c r="AF141" s="31" t="inlineStr">
        <is>
          <t>Config-promoted esports baseline; gates enforced at log time.</t>
        </is>
      </c>
      <c r="AG141" s="24" t="inlineStr">
        <is>
          <t>review_required</t>
        </is>
      </c>
      <c r="AH141" s="24" t="n"/>
      <c r="AI141" s="31" t="n"/>
      <c r="AJ141" s="31" t="n"/>
      <c r="AK141" s="24" t="inlineStr">
        <is>
          <t>model_qualified</t>
        </is>
      </c>
      <c r="AL141" s="26" t="n">
        <v>4</v>
      </c>
      <c r="AM141" s="24" t="inlineStr">
        <is>
          <t>QUALIFIED_SHADOW_CALL</t>
        </is>
      </c>
      <c r="AN141" s="24" t="inlineStr">
        <is>
          <t>CALL</t>
        </is>
      </c>
      <c r="AO141" s="24" t="inlineStr">
        <is>
          <t>QUALIFIED</t>
        </is>
      </c>
      <c r="AP141" s="24" t="inlineStr">
        <is>
          <t>Hanwha Life Esports</t>
        </is>
      </c>
      <c r="AQ141" s="24" t="inlineStr">
        <is>
          <t>Hanwha Life Esports</t>
        </is>
      </c>
      <c r="AR141" s="24" t="inlineStr">
        <is>
          <t>Hanwha Life Esports</t>
        </is>
      </c>
      <c r="AS141" s="24" t="inlineStr">
        <is>
          <t>Gen.G</t>
        </is>
      </c>
      <c r="AT141" s="24" t="inlineStr">
        <is>
          <t>Gen.G</t>
        </is>
      </c>
      <c r="AU141" s="24" t="inlineStr">
        <is>
          <t>Gen.G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e256dc061870dad30797ba87433f0b0bb620ec8e75b67bece34cfea2f2a6d79d</t>
        </is>
      </c>
      <c r="BB141" s="24" t="inlineStr">
        <is>
          <t>neutral_elo</t>
        </is>
      </c>
      <c r="BC141" s="24" t="inlineStr">
        <is>
          <t>lol-tiered-elo-v6</t>
        </is>
      </c>
      <c r="BD141" s="24" t="inlineStr">
        <is>
          <t>e256dc061870dad30797ba87433f0b0bb620ec8e75b67bece34cfea2f2a6d79d</t>
        </is>
      </c>
      <c r="BE141" s="24" t="inlineStr">
        <is>
          <t>1</t>
        </is>
      </c>
      <c r="BF141" s="24" t="inlineStr">
        <is>
          <t>1</t>
        </is>
      </c>
      <c r="BG141" s="24" t="inlineStr">
        <is>
          <t>lol-tiered-elo-v6</t>
        </is>
      </c>
      <c r="BH141" s="24" t="inlineStr">
        <is>
          <t>2026-09-05T04:44:16.210113Z</t>
        </is>
      </c>
      <c r="BI141" s="24" t="inlineStr">
        <is>
          <t>["same_event","same_team_same_day","same_league_same_day"]</t>
        </is>
      </c>
      <c r="BJ141" s="25" t="n"/>
      <c r="BK141" s="26" t="n">
        <v>138</v>
      </c>
      <c r="BL141" s="27" t="n">
        <v>2.38</v>
      </c>
      <c r="BM141" s="28" t="n">
        <v>0.420168</v>
      </c>
      <c r="BN141" s="28" t="n"/>
      <c r="BO141" s="28" t="n"/>
      <c r="BP141" s="25" t="n"/>
      <c r="BQ141" s="27" t="n">
        <v>2.38</v>
      </c>
      <c r="BR141" s="28" t="n">
        <v>0.42</v>
      </c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True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inlineStr">
        <is>
          <t>0.420168</t>
        </is>
      </c>
      <c r="DK141" s="24" t="n"/>
      <c r="DL141" s="24" t="n"/>
      <c r="DM141" s="24" t="n"/>
      <c r="DN141" s="24" t="n"/>
      <c r="DO141" s="24" t="n"/>
      <c r="DP141" s="24" t="n"/>
      <c r="DQ141" s="24" t="n"/>
    </row>
    <row r="142" ht="36" customHeight="1">
      <c r="A142" s="24" t="inlineStr">
        <is>
          <t>36ba839d3207429e</t>
        </is>
      </c>
      <c r="B142" s="24" t="inlineStr">
        <is>
          <t>2026-09-05T04:44:17.486463Z</t>
        </is>
      </c>
      <c r="C142" s="24" t="inlineStr">
        <is>
          <t>2026-09-05T09:00:00Z</t>
        </is>
      </c>
      <c r="D142" s="24" t="inlineStr">
        <is>
          <t>100282</t>
        </is>
      </c>
      <c r="E142" s="24" t="inlineStr">
        <is>
          <t>LOL</t>
        </is>
      </c>
      <c r="F142" s="24" t="inlineStr">
        <is>
          <t>JD Gaming</t>
        </is>
      </c>
      <c r="G142" s="24" t="inlineStr">
        <is>
          <t>Ninjas in Pyjamas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113</v>
      </c>
      <c r="M142" s="27" t="n">
        <v>2.13</v>
      </c>
      <c r="N142" s="28" t="n">
        <v>0.469484</v>
      </c>
      <c r="O142" s="28" t="n">
        <v>0.550909</v>
      </c>
      <c r="P142" s="28" t="n"/>
      <c r="Q142" s="28" t="n">
        <v>0.081425</v>
      </c>
      <c r="R142" s="26" t="n">
        <v>61</v>
      </c>
      <c r="S142" s="29" t="n">
        <v>1.25</v>
      </c>
      <c r="T142" s="24" t="inlineStr">
        <is>
          <t>lol-tiered-elo-v6</t>
        </is>
      </c>
      <c r="U142" s="24" t="inlineStr">
        <is>
          <t>settled</t>
        </is>
      </c>
      <c r="V142" s="24" t="inlineStr">
        <is>
          <t>win</t>
        </is>
      </c>
      <c r="W142" s="26" t="n">
        <v>0</v>
      </c>
      <c r="X142" s="26" t="n">
        <v>1</v>
      </c>
      <c r="Y142" s="25" t="n"/>
      <c r="Z142" s="26" t="n">
        <v>113</v>
      </c>
      <c r="AA142" s="28" t="n">
        <v>0.47</v>
      </c>
      <c r="AB142" s="28" t="n">
        <v>0.000516</v>
      </c>
      <c r="AC142" s="30" t="n">
        <v>1.4125</v>
      </c>
      <c r="AD142" s="24" t="inlineStr">
        <is>
          <t>2026-09-05T16:01:59.348497Z</t>
        </is>
      </c>
      <c r="AE142" s="31" t="inlineStr">
        <is>
          <t>Neutral Elo baseline; executable ask 0.4700 (market_slug=aec-lol-nip-jdg-2026-09-05).</t>
        </is>
      </c>
      <c r="AF142" s="31" t="inlineStr">
        <is>
          <t>Config-promoted esports baseline; gates enforced at log time.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4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JD Gaming</t>
        </is>
      </c>
      <c r="AQ142" s="24" t="inlineStr">
        <is>
          <t>JD Gaming</t>
        </is>
      </c>
      <c r="AR142" s="24" t="inlineStr">
        <is>
          <t>JD Gaming</t>
        </is>
      </c>
      <c r="AS142" s="24" t="inlineStr">
        <is>
          <t>Ninjas in Pyjamas</t>
        </is>
      </c>
      <c r="AT142" s="24" t="inlineStr">
        <is>
          <t>Ninjas in Pyjamas</t>
        </is>
      </c>
      <c r="AU142" s="24" t="inlineStr">
        <is>
          <t>Ninjas in Pyjamas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e256dc061870dad30797ba87433f0b0bb620ec8e75b67bece34cfea2f2a6d79d</t>
        </is>
      </c>
      <c r="BB142" s="24" t="inlineStr">
        <is>
          <t>neutral_elo</t>
        </is>
      </c>
      <c r="BC142" s="24" t="inlineStr">
        <is>
          <t>lol-tiered-elo-v6</t>
        </is>
      </c>
      <c r="BD142" s="24" t="inlineStr">
        <is>
          <t>e256dc061870dad30797ba87433f0b0bb620ec8e75b67bece34cfea2f2a6d79d</t>
        </is>
      </c>
      <c r="BE142" s="24" t="inlineStr">
        <is>
          <t>1</t>
        </is>
      </c>
      <c r="BF142" s="24" t="inlineStr">
        <is>
          <t>1</t>
        </is>
      </c>
      <c r="BG142" s="24" t="inlineStr">
        <is>
          <t>lol-tiered-elo-v6</t>
        </is>
      </c>
      <c r="BH142" s="24" t="inlineStr">
        <is>
          <t>2026-09-05T04:44:16.286015Z</t>
        </is>
      </c>
      <c r="BI142" s="24" t="inlineStr">
        <is>
          <t>["same_event","same_team_same_day","same_league_same_day"]</t>
        </is>
      </c>
      <c r="BJ142" s="25" t="n"/>
      <c r="BK142" s="26" t="n">
        <v>113</v>
      </c>
      <c r="BL142" s="27" t="n">
        <v>2.13</v>
      </c>
      <c r="BM142" s="28" t="n">
        <v>0.469484</v>
      </c>
      <c r="BN142" s="28" t="n"/>
      <c r="BO142" s="28" t="n"/>
      <c r="BP142" s="25" t="n"/>
      <c r="BQ142" s="27" t="n">
        <v>2.13</v>
      </c>
      <c r="BR142" s="28" t="n">
        <v>0.47</v>
      </c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True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inlineStr">
        <is>
          <t>0.469484</t>
        </is>
      </c>
      <c r="DK142" s="24" t="n"/>
      <c r="DL142" s="24" t="n"/>
      <c r="DM142" s="24" t="n"/>
      <c r="DN142" s="24" t="n"/>
      <c r="DO142" s="24" t="n"/>
      <c r="DP142" s="24" t="n"/>
      <c r="DQ142" s="24" t="n"/>
    </row>
    <row r="143" ht="36" customHeight="1">
      <c r="A143" s="24" t="inlineStr">
        <is>
          <t>dd54f23060de40be</t>
        </is>
      </c>
      <c r="B143" s="24" t="inlineStr">
        <is>
          <t>2026-09-05T10:06:01.774678Z</t>
        </is>
      </c>
      <c r="C143" s="24" t="inlineStr">
        <is>
          <t>2026-09-05T16:00:00Z</t>
        </is>
      </c>
      <c r="D143" s="24" t="inlineStr">
        <is>
          <t>100687</t>
        </is>
      </c>
      <c r="E143" s="24" t="inlineStr">
        <is>
          <t>LOL</t>
        </is>
      </c>
      <c r="F143" s="24" t="inlineStr">
        <is>
          <t>paiN Gaming</t>
        </is>
      </c>
      <c r="G143" s="24" t="inlineStr">
        <is>
          <t>Vivo Keyd Stars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-203</v>
      </c>
      <c r="M143" s="27" t="n">
        <v>1.492611</v>
      </c>
      <c r="N143" s="28" t="n">
        <v>0.669967</v>
      </c>
      <c r="O143" s="28" t="n">
        <v>0.6830540000000001</v>
      </c>
      <c r="P143" s="28" t="n"/>
      <c r="Q143" s="28" t="n">
        <v>0.013087</v>
      </c>
      <c r="R143" s="26" t="n">
        <v>27</v>
      </c>
      <c r="S143" s="29" t="n">
        <v>1</v>
      </c>
      <c r="T143" s="24" t="inlineStr">
        <is>
          <t>lol-tiered-elo-v6</t>
        </is>
      </c>
      <c r="U143" s="24" t="inlineStr">
        <is>
          <t>settled</t>
        </is>
      </c>
      <c r="V143" s="24" t="inlineStr">
        <is>
          <t>loss</t>
        </is>
      </c>
      <c r="W143" s="26" t="n">
        <v>1</v>
      </c>
      <c r="X143" s="26" t="n">
        <v>0</v>
      </c>
      <c r="Y143" s="25" t="n"/>
      <c r="Z143" s="26" t="n">
        <v>-203</v>
      </c>
      <c r="AA143" s="28" t="n">
        <v>0.67</v>
      </c>
      <c r="AB143" s="28" t="n">
        <v>3.3e-05</v>
      </c>
      <c r="AC143" s="30" t="n">
        <v>-1</v>
      </c>
      <c r="AD143" s="24" t="inlineStr">
        <is>
          <t>2026-09-29T22:04:04.887020Z</t>
        </is>
      </c>
      <c r="AE143" s="31" t="inlineStr">
        <is>
          <t>Neutral Elo baseline; executable ask 0.6700 (market_slug=aec-lol-vks-png-2026-09-05).</t>
        </is>
      </c>
      <c r="AF143" s="31" t="inlineStr">
        <is>
          <t>Config-promoted esports baseline; gates enforced at log time.</t>
        </is>
      </c>
      <c r="AG143" s="24" t="inlineStr">
        <is>
          <t>review_required</t>
        </is>
      </c>
      <c r="AH143" s="24" t="n"/>
      <c r="AI143" s="31" t="n"/>
      <c r="AJ143" s="31" t="n"/>
      <c r="AK143" s="24" t="inlineStr">
        <is>
          <t>paper_call</t>
        </is>
      </c>
      <c r="AL143" s="26" t="n">
        <v>4</v>
      </c>
      <c r="AM143" s="24" t="inlineStr">
        <is>
          <t>RESEARCH_OBSERVATION</t>
        </is>
      </c>
      <c r="AN143" s="24" t="inlineStr">
        <is>
          <t>CALL</t>
        </is>
      </c>
      <c r="AO143" s="24" t="inlineStr">
        <is>
          <t>PAPER_CALL_LOW_EDGE</t>
        </is>
      </c>
      <c r="AP143" s="24" t="inlineStr">
        <is>
          <t>paiN Gaming</t>
        </is>
      </c>
      <c r="AQ143" s="24" t="inlineStr">
        <is>
          <t>paiN Gaming</t>
        </is>
      </c>
      <c r="AR143" s="24" t="inlineStr">
        <is>
          <t>paiN Gaming</t>
        </is>
      </c>
      <c r="AS143" s="24" t="inlineStr">
        <is>
          <t>Vivo Keyd Stars</t>
        </is>
      </c>
      <c r="AT143" s="24" t="inlineStr">
        <is>
          <t>Vivo Keyd Stars</t>
        </is>
      </c>
      <c r="AU143" s="24" t="inlineStr">
        <is>
          <t>Vivo Keyd Stars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ca3f75f120258ecf2f70b8a4e6a8ada5ba0cd1132762c539b6789737e5ec835d</t>
        </is>
      </c>
      <c r="BB143" s="24" t="inlineStr">
        <is>
          <t>neutral_elo</t>
        </is>
      </c>
      <c r="BC143" s="24" t="inlineStr">
        <is>
          <t>lol-tiered-elo-v6</t>
        </is>
      </c>
      <c r="BD143" s="24" t="inlineStr">
        <is>
          <t>ca3f75f120258ecf2f70b8a4e6a8ada5ba0cd1132762c539b6789737e5ec835d</t>
        </is>
      </c>
      <c r="BE143" s="24" t="inlineStr">
        <is>
          <t>1</t>
        </is>
      </c>
      <c r="BF143" s="24" t="inlineStr">
        <is>
          <t>1</t>
        </is>
      </c>
      <c r="BG143" s="24" t="inlineStr">
        <is>
          <t>lol-tiered-elo-v6</t>
        </is>
      </c>
      <c r="BH143" s="24" t="inlineStr">
        <is>
          <t>2026-09-05T10:06:00.655342Z</t>
        </is>
      </c>
      <c r="BI143" s="24" t="inlineStr">
        <is>
          <t>["same_event","same_team_same_day","same_league_same_day"]</t>
        </is>
      </c>
      <c r="BJ143" s="25" t="n"/>
      <c r="BK143" s="26" t="n">
        <v>-203</v>
      </c>
      <c r="BL143" s="27" t="n">
        <v>1.492611</v>
      </c>
      <c r="BM143" s="28" t="n">
        <v>0.669967</v>
      </c>
      <c r="BN143" s="28" t="n"/>
      <c r="BO143" s="28" t="n"/>
      <c r="BP143" s="25" t="n"/>
      <c r="BQ143" s="27" t="n">
        <v>1.492611</v>
      </c>
      <c r="BR143" s="28" t="n">
        <v>0.67</v>
      </c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True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inlineStr">
        <is>
          <t>0.669967</t>
        </is>
      </c>
      <c r="DK143" s="24" t="n"/>
      <c r="DL143" s="24" t="n"/>
      <c r="DM143" s="24" t="n"/>
      <c r="DN143" s="24" t="n"/>
      <c r="DO143" s="24" t="n"/>
      <c r="DP143" s="24" t="n"/>
      <c r="DQ143" s="24" t="n"/>
    </row>
    <row r="144" ht="36" customHeight="1">
      <c r="A144" s="24" t="inlineStr">
        <is>
          <t>703c227ada884e36</t>
        </is>
      </c>
      <c r="B144" s="24" t="inlineStr">
        <is>
          <t>2026-09-05T16:06:11.425316Z</t>
        </is>
      </c>
      <c r="C144" s="24" t="inlineStr">
        <is>
          <t>2026-09-05T20:00:00Z</t>
        </is>
      </c>
      <c r="D144" s="24" t="inlineStr">
        <is>
          <t>101180</t>
        </is>
      </c>
      <c r="E144" s="24" t="inlineStr">
        <is>
          <t>LOL</t>
        </is>
      </c>
      <c r="F144" s="24" t="inlineStr">
        <is>
          <t>Cloud9</t>
        </is>
      </c>
      <c r="G144" s="24" t="inlineStr">
        <is>
          <t>Sentinels</t>
        </is>
      </c>
      <c r="H144" s="24" t="inlineStr">
        <is>
          <t>moneyline</t>
        </is>
      </c>
      <c r="I144" s="24" t="inlineStr">
        <is>
          <t>away</t>
        </is>
      </c>
      <c r="J144" s="25" t="n"/>
      <c r="K144" s="24" t="inlineStr">
        <is>
          <t>polymarket_us</t>
        </is>
      </c>
      <c r="L144" s="26" t="n">
        <v>-144</v>
      </c>
      <c r="M144" s="27" t="n">
        <v>1.694444</v>
      </c>
      <c r="N144" s="28" t="n">
        <v>0.590164</v>
      </c>
      <c r="O144" s="28" t="n">
        <v>0.512862</v>
      </c>
      <c r="P144" s="28" t="n"/>
      <c r="Q144" s="28" t="n">
        <v>-0.077302</v>
      </c>
      <c r="R144" s="26" t="n">
        <v>0</v>
      </c>
      <c r="S144" s="29" t="n">
        <v>1</v>
      </c>
      <c r="T144" s="24" t="inlineStr">
        <is>
          <t>lol-tiered-elo-v6</t>
        </is>
      </c>
      <c r="U144" s="24" t="inlineStr">
        <is>
          <t>settled</t>
        </is>
      </c>
      <c r="V144" s="24" t="inlineStr">
        <is>
          <t>win</t>
        </is>
      </c>
      <c r="W144" s="26" t="n">
        <v>1</v>
      </c>
      <c r="X144" s="26" t="n">
        <v>0</v>
      </c>
      <c r="Y144" s="25" t="n"/>
      <c r="Z144" s="26" t="n">
        <v>-144</v>
      </c>
      <c r="AA144" s="28" t="n">
        <v>0.59</v>
      </c>
      <c r="AB144" s="28" t="n">
        <v>-0.000164</v>
      </c>
      <c r="AC144" s="30" t="n">
        <v>0.6944</v>
      </c>
      <c r="AD144" s="24" t="inlineStr">
        <is>
          <t>2026-09-06T04:33:48.515489Z</t>
        </is>
      </c>
      <c r="AE144" s="31" t="inlineStr">
        <is>
          <t>Neutral Elo baseline; executable ask 0.5900 (market_slug=aec-lol-sen-c9-2026-09-05).</t>
        </is>
      </c>
      <c r="AF144" s="31" t="inlineStr">
        <is>
          <t>Config-promoted esports baseline; gates enforced at log time.</t>
        </is>
      </c>
      <c r="AG144" s="24" t="inlineStr">
        <is>
          <t>not_applicable</t>
        </is>
      </c>
      <c r="AH144" s="24" t="n"/>
      <c r="AI144" s="31" t="n"/>
      <c r="AJ144" s="31" t="n"/>
      <c r="AK144" s="24" t="inlineStr">
        <is>
          <t>paper_call</t>
        </is>
      </c>
      <c r="AL144" s="26" t="n">
        <v>4</v>
      </c>
      <c r="AM144" s="24" t="inlineStr">
        <is>
          <t>RESEARCH_OBSERVATION</t>
        </is>
      </c>
      <c r="AN144" s="24" t="inlineStr">
        <is>
          <t>CALL</t>
        </is>
      </c>
      <c r="AO144" s="24" t="inlineStr">
        <is>
          <t>PAPER_CALL_LOW_EDGE</t>
        </is>
      </c>
      <c r="AP144" s="24" t="inlineStr">
        <is>
          <t>Cloud9</t>
        </is>
      </c>
      <c r="AQ144" s="24" t="inlineStr">
        <is>
          <t>Cloud9</t>
        </is>
      </c>
      <c r="AR144" s="24" t="inlineStr">
        <is>
          <t>Cloud9</t>
        </is>
      </c>
      <c r="AS144" s="24" t="inlineStr">
        <is>
          <t>Sentinels</t>
        </is>
      </c>
      <c r="AT144" s="24" t="inlineStr">
        <is>
          <t>Sentinels</t>
        </is>
      </c>
      <c r="AU144" s="24" t="inlineStr">
        <is>
          <t>Sentinels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0c798f45d42262a85dc67a7d9ba7558b84e351df762af82172e3761ead9f6b32</t>
        </is>
      </c>
      <c r="BB144" s="24" t="inlineStr">
        <is>
          <t>neutral_elo</t>
        </is>
      </c>
      <c r="BC144" s="24" t="inlineStr">
        <is>
          <t>lol-tiered-elo-v6</t>
        </is>
      </c>
      <c r="BD144" s="24" t="inlineStr">
        <is>
          <t>0c798f45d42262a85dc67a7d9ba7558b84e351df762af82172e3761ead9f6b32</t>
        </is>
      </c>
      <c r="BE144" s="24" t="inlineStr">
        <is>
          <t>1</t>
        </is>
      </c>
      <c r="BF144" s="24" t="inlineStr">
        <is>
          <t>1</t>
        </is>
      </c>
      <c r="BG144" s="24" t="inlineStr">
        <is>
          <t>lol-tiered-elo-v6</t>
        </is>
      </c>
      <c r="BH144" s="24" t="inlineStr">
        <is>
          <t>2026-09-05T16:06:09.953163Z</t>
        </is>
      </c>
      <c r="BI144" s="24" t="inlineStr">
        <is>
          <t>["same_event","same_team_same_day","same_league_same_day"]</t>
        </is>
      </c>
      <c r="BJ144" s="25" t="n"/>
      <c r="BK144" s="26" t="n">
        <v>-144</v>
      </c>
      <c r="BL144" s="27" t="n">
        <v>1.694444</v>
      </c>
      <c r="BM144" s="28" t="n">
        <v>0.590164</v>
      </c>
      <c r="BN144" s="28" t="n"/>
      <c r="BO144" s="28" t="n"/>
      <c r="BP144" s="25" t="n"/>
      <c r="BQ144" s="27" t="n">
        <v>1.694444</v>
      </c>
      <c r="BR144" s="28" t="n">
        <v>0.59</v>
      </c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False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inlineStr">
        <is>
          <t>0.590164</t>
        </is>
      </c>
      <c r="DK144" s="24" t="n"/>
      <c r="DL144" s="24" t="n"/>
      <c r="DM144" s="24" t="n"/>
      <c r="DN144" s="24" t="n"/>
      <c r="DO144" s="24" t="n"/>
      <c r="DP144" s="24" t="n"/>
      <c r="DQ144" s="24" t="n"/>
    </row>
    <row r="145" ht="36" customHeight="1">
      <c r="A145" s="24" t="inlineStr">
        <is>
          <t>8c1779dad16c4f26</t>
        </is>
      </c>
      <c r="B145" s="24" t="inlineStr">
        <is>
          <t>2026-09-06T04:36:30.279309Z</t>
        </is>
      </c>
      <c r="C145" s="24" t="inlineStr">
        <is>
          <t>2026-09-06T06:00:00Z</t>
        </is>
      </c>
      <c r="D145" s="24" t="inlineStr">
        <is>
          <t>103106</t>
        </is>
      </c>
      <c r="E145" s="24" t="inlineStr">
        <is>
          <t>LOL</t>
        </is>
      </c>
      <c r="F145" s="24" t="inlineStr">
        <is>
          <t>Invictus Gaming</t>
        </is>
      </c>
      <c r="G145" s="24" t="inlineStr">
        <is>
          <t>Team WE</t>
        </is>
      </c>
      <c r="H145" s="24" t="inlineStr">
        <is>
          <t>moneyline</t>
        </is>
      </c>
      <c r="I145" s="24" t="inlineStr">
        <is>
          <t>away</t>
        </is>
      </c>
      <c r="J145" s="25" t="n"/>
      <c r="K145" s="24" t="inlineStr">
        <is>
          <t>polymarket_us</t>
        </is>
      </c>
      <c r="L145" s="26" t="n">
        <v>-156</v>
      </c>
      <c r="M145" s="27" t="n">
        <v>1.641026</v>
      </c>
      <c r="N145" s="28" t="n">
        <v>0.609375</v>
      </c>
      <c r="O145" s="28" t="n">
        <v>0.52434</v>
      </c>
      <c r="P145" s="28" t="n"/>
      <c r="Q145" s="28" t="n">
        <v>-0.085035</v>
      </c>
      <c r="R145" s="26" t="n">
        <v>0</v>
      </c>
      <c r="S145" s="29" t="n">
        <v>1</v>
      </c>
      <c r="T145" s="24" t="inlineStr">
        <is>
          <t>lol-tiered-elo-v6</t>
        </is>
      </c>
      <c r="U145" s="24" t="inlineStr">
        <is>
          <t>settled</t>
        </is>
      </c>
      <c r="V145" s="24" t="inlineStr">
        <is>
          <t>win</t>
        </is>
      </c>
      <c r="W145" s="26" t="n">
        <v>1</v>
      </c>
      <c r="X145" s="26" t="n">
        <v>0</v>
      </c>
      <c r="Y145" s="25" t="n"/>
      <c r="Z145" s="26" t="n">
        <v>-156</v>
      </c>
      <c r="AA145" s="28" t="n">
        <v>0.61</v>
      </c>
      <c r="AB145" s="28" t="n">
        <v>0.000625</v>
      </c>
      <c r="AC145" s="30" t="n">
        <v>0.641</v>
      </c>
      <c r="AD145" s="24" t="inlineStr">
        <is>
          <t>2026-09-06T16:01:49.426040Z</t>
        </is>
      </c>
      <c r="AE145" s="31" t="inlineStr">
        <is>
          <t>Neutral Elo baseline; executable ask 0.6100 (market_slug=aec-lol-we-ig-2026-09-06).</t>
        </is>
      </c>
      <c r="AF145" s="31" t="inlineStr">
        <is>
          <t>Config-promoted esports baseline; gates enforced at log time.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paper_call</t>
        </is>
      </c>
      <c r="AL145" s="26" t="n">
        <v>4</v>
      </c>
      <c r="AM145" s="24" t="inlineStr">
        <is>
          <t>RESEARCH_OBSERVATION</t>
        </is>
      </c>
      <c r="AN145" s="24" t="inlineStr">
        <is>
          <t>CALL</t>
        </is>
      </c>
      <c r="AO145" s="24" t="inlineStr">
        <is>
          <t>PAPER_CALL_LOW_EDGE</t>
        </is>
      </c>
      <c r="AP145" s="24" t="inlineStr">
        <is>
          <t>Invictus Gaming</t>
        </is>
      </c>
      <c r="AQ145" s="24" t="inlineStr">
        <is>
          <t>Invictus Gaming</t>
        </is>
      </c>
      <c r="AR145" s="24" t="inlineStr">
        <is>
          <t>Invictus Gaming</t>
        </is>
      </c>
      <c r="AS145" s="24" t="inlineStr">
        <is>
          <t>Team WE</t>
        </is>
      </c>
      <c r="AT145" s="24" t="inlineStr">
        <is>
          <t>Team WE</t>
        </is>
      </c>
      <c r="AU145" s="24" t="inlineStr">
        <is>
          <t>Team WE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0d8ed55efe53c87fe53f3022f0881fa9bc185930a48aa23359ff61a2431b739f</t>
        </is>
      </c>
      <c r="BB145" s="24" t="inlineStr">
        <is>
          <t>neutral_elo</t>
        </is>
      </c>
      <c r="BC145" s="24" t="inlineStr">
        <is>
          <t>lol-tiered-elo-v6</t>
        </is>
      </c>
      <c r="BD145" s="24" t="inlineStr">
        <is>
          <t>0d8ed55efe53c87fe53f3022f0881fa9bc185930a48aa23359ff61a2431b739f</t>
        </is>
      </c>
      <c r="BE145" s="24" t="inlineStr">
        <is>
          <t>1</t>
        </is>
      </c>
      <c r="BF145" s="24" t="inlineStr">
        <is>
          <t>1</t>
        </is>
      </c>
      <c r="BG145" s="24" t="inlineStr">
        <is>
          <t>lol-tiered-elo-v6</t>
        </is>
      </c>
      <c r="BH145" s="24" t="inlineStr">
        <is>
          <t>2026-09-06T04:36:27.698250Z</t>
        </is>
      </c>
      <c r="BI145" s="24" t="inlineStr">
        <is>
          <t>["same_event","same_team_same_day","same_league_same_day"]</t>
        </is>
      </c>
      <c r="BJ145" s="25" t="n"/>
      <c r="BK145" s="26" t="n">
        <v>-156</v>
      </c>
      <c r="BL145" s="27" t="n">
        <v>1.641026</v>
      </c>
      <c r="BM145" s="28" t="n">
        <v>0.609375</v>
      </c>
      <c r="BN145" s="28" t="n"/>
      <c r="BO145" s="28" t="n"/>
      <c r="BP145" s="25" t="n"/>
      <c r="BQ145" s="27" t="n">
        <v>1.641026</v>
      </c>
      <c r="BR145" s="28" t="n">
        <v>0.61</v>
      </c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False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inlineStr">
        <is>
          <t>0.609375</t>
        </is>
      </c>
      <c r="DK145" s="24" t="n"/>
      <c r="DL145" s="24" t="n"/>
      <c r="DM145" s="24" t="n"/>
      <c r="DN145" s="24" t="n"/>
      <c r="DO145" s="24" t="n"/>
      <c r="DP145" s="24" t="n"/>
      <c r="DQ145" s="24" t="n"/>
    </row>
    <row r="146" ht="36" customHeight="1">
      <c r="A146" s="24" t="inlineStr">
        <is>
          <t>774f833cfecc44ec</t>
        </is>
      </c>
      <c r="B146" s="24" t="inlineStr">
        <is>
          <t>2026-09-06T04:36:30.279309Z</t>
        </is>
      </c>
      <c r="C146" s="24" t="inlineStr">
        <is>
          <t>2026-09-06T08:00:00Z</t>
        </is>
      </c>
      <c r="D146" s="24" t="inlineStr">
        <is>
          <t>102376</t>
        </is>
      </c>
      <c r="E146" s="24" t="inlineStr">
        <is>
          <t>LOL</t>
        </is>
      </c>
      <c r="F146" s="24" t="inlineStr">
        <is>
          <t>T1</t>
        </is>
      </c>
      <c r="G146" s="24" t="inlineStr">
        <is>
          <t>Dplus KIA</t>
        </is>
      </c>
      <c r="H146" s="24" t="inlineStr">
        <is>
          <t>moneyline</t>
        </is>
      </c>
      <c r="I146" s="24" t="inlineStr">
        <is>
          <t>home</t>
        </is>
      </c>
      <c r="J146" s="25" t="n"/>
      <c r="K146" s="24" t="inlineStr">
        <is>
          <t>polymarket_us</t>
        </is>
      </c>
      <c r="L146" s="26" t="n">
        <v>138</v>
      </c>
      <c r="M146" s="27" t="n">
        <v>2.38</v>
      </c>
      <c r="N146" s="28" t="n">
        <v>0.420168</v>
      </c>
      <c r="O146" s="28" t="n">
        <v>0.599875</v>
      </c>
      <c r="P146" s="28" t="n"/>
      <c r="Q146" s="28" t="n">
        <v>0.179707</v>
      </c>
      <c r="R146" s="26" t="n">
        <v>100</v>
      </c>
      <c r="S146" s="29" t="n">
        <v>1.75</v>
      </c>
      <c r="T146" s="24" t="inlineStr">
        <is>
          <t>lol-tiered-elo-v6</t>
        </is>
      </c>
      <c r="U146" s="24" t="inlineStr">
        <is>
          <t>settled</t>
        </is>
      </c>
      <c r="V146" s="24" t="inlineStr">
        <is>
          <t>loss</t>
        </is>
      </c>
      <c r="W146" s="26" t="n">
        <v>1</v>
      </c>
      <c r="X146" s="26" t="n">
        <v>0</v>
      </c>
      <c r="Y146" s="25" t="n"/>
      <c r="Z146" s="26" t="n">
        <v>138</v>
      </c>
      <c r="AA146" s="28" t="n">
        <v>0.42</v>
      </c>
      <c r="AB146" s="28" t="n">
        <v>-0.000168</v>
      </c>
      <c r="AC146" s="30" t="n">
        <v>-1.75</v>
      </c>
      <c r="AD146" s="24" t="inlineStr">
        <is>
          <t>2026-09-06T16:01:49.746888Z</t>
        </is>
      </c>
      <c r="AE146" s="31" t="inlineStr">
        <is>
          <t>Neutral Elo baseline; executable ask 0.4200 (market_slug=aec-lol-dk-t1-2026-09-06).</t>
        </is>
      </c>
      <c r="AF146" s="31" t="inlineStr">
        <is>
          <t>Config-promoted esports baseline; gates enforced at log time.</t>
        </is>
      </c>
      <c r="AG146" s="24" t="inlineStr">
        <is>
          <t>review_required</t>
        </is>
      </c>
      <c r="AH146" s="24" t="n"/>
      <c r="AI146" s="31" t="n"/>
      <c r="AJ146" s="31" t="n"/>
      <c r="AK146" s="24" t="inlineStr">
        <is>
          <t>model_qualified</t>
        </is>
      </c>
      <c r="AL146" s="26" t="n">
        <v>4</v>
      </c>
      <c r="AM146" s="24" t="inlineStr">
        <is>
          <t>QUALIFIED_SHADOW_CALL</t>
        </is>
      </c>
      <c r="AN146" s="24" t="inlineStr">
        <is>
          <t>CALL</t>
        </is>
      </c>
      <c r="AO146" s="24" t="inlineStr">
        <is>
          <t>QUALIFIED</t>
        </is>
      </c>
      <c r="AP146" s="24" t="inlineStr">
        <is>
          <t>T1</t>
        </is>
      </c>
      <c r="AQ146" s="24" t="inlineStr">
        <is>
          <t>T1</t>
        </is>
      </c>
      <c r="AR146" s="24" t="inlineStr">
        <is>
          <t>T1</t>
        </is>
      </c>
      <c r="AS146" s="24" t="inlineStr">
        <is>
          <t>Dplus KIA</t>
        </is>
      </c>
      <c r="AT146" s="24" t="inlineStr">
        <is>
          <t>Dplus KIA</t>
        </is>
      </c>
      <c r="AU146" s="24" t="inlineStr">
        <is>
          <t>Dplus KIA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0d8ed55efe53c87fe53f3022f0881fa9bc185930a48aa23359ff61a2431b739f</t>
        </is>
      </c>
      <c r="BB146" s="24" t="inlineStr">
        <is>
          <t>neutral_elo</t>
        </is>
      </c>
      <c r="BC146" s="24" t="inlineStr">
        <is>
          <t>lol-tiered-elo-v6</t>
        </is>
      </c>
      <c r="BD146" s="24" t="inlineStr">
        <is>
          <t>0d8ed55efe53c87fe53f3022f0881fa9bc185930a48aa23359ff61a2431b739f</t>
        </is>
      </c>
      <c r="BE146" s="24" t="inlineStr">
        <is>
          <t>1</t>
        </is>
      </c>
      <c r="BF146" s="24" t="inlineStr">
        <is>
          <t>1</t>
        </is>
      </c>
      <c r="BG146" s="24" t="inlineStr">
        <is>
          <t>lol-tiered-elo-v6</t>
        </is>
      </c>
      <c r="BH146" s="24" t="inlineStr">
        <is>
          <t>2026-09-06T04:36:27.762925Z</t>
        </is>
      </c>
      <c r="BI146" s="24" t="inlineStr">
        <is>
          <t>["same_event","same_team_same_day","same_league_same_day"]</t>
        </is>
      </c>
      <c r="BJ146" s="25" t="n"/>
      <c r="BK146" s="26" t="n">
        <v>138</v>
      </c>
      <c r="BL146" s="27" t="n">
        <v>2.38</v>
      </c>
      <c r="BM146" s="28" t="n">
        <v>0.420168</v>
      </c>
      <c r="BN146" s="28" t="n"/>
      <c r="BO146" s="28" t="n"/>
      <c r="BP146" s="25" t="n"/>
      <c r="BQ146" s="27" t="n">
        <v>2.38</v>
      </c>
      <c r="BR146" s="28" t="n">
        <v>0.42</v>
      </c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True</t>
        </is>
      </c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inlineStr">
        <is>
          <t>0.420168</t>
        </is>
      </c>
      <c r="DK146" s="24" t="n"/>
      <c r="DL146" s="24" t="n"/>
      <c r="DM146" s="24" t="n"/>
      <c r="DN146" s="24" t="n"/>
      <c r="DO146" s="24" t="n"/>
      <c r="DP146" s="24" t="n"/>
      <c r="DQ146" s="24" t="n"/>
    </row>
    <row r="147" ht="36" customHeight="1">
      <c r="A147" s="24" t="inlineStr">
        <is>
          <t>61f6c12a95fc4202</t>
        </is>
      </c>
      <c r="B147" s="24" t="inlineStr">
        <is>
          <t>2026-09-06T04:36:30.279309Z</t>
        </is>
      </c>
      <c r="C147" s="24" t="inlineStr">
        <is>
          <t>2026-09-06T09:00:00Z</t>
        </is>
      </c>
      <c r="D147" s="24" t="inlineStr">
        <is>
          <t>103247</t>
        </is>
      </c>
      <c r="E147" s="24" t="inlineStr">
        <is>
          <t>LOL</t>
        </is>
      </c>
      <c r="F147" s="24" t="inlineStr">
        <is>
          <t>Ninjas in Pyjamas</t>
        </is>
      </c>
      <c r="G147" s="24" t="inlineStr">
        <is>
          <t>LGD Gaming</t>
        </is>
      </c>
      <c r="H147" s="24" t="inlineStr">
        <is>
          <t>moneyline</t>
        </is>
      </c>
      <c r="I147" s="24" t="inlineStr">
        <is>
          <t>away</t>
        </is>
      </c>
      <c r="J147" s="25" t="n"/>
      <c r="K147" s="24" t="inlineStr">
        <is>
          <t>polymarket_us</t>
        </is>
      </c>
      <c r="L147" s="26" t="n">
        <v>-178</v>
      </c>
      <c r="M147" s="27" t="n">
        <v>1.561798</v>
      </c>
      <c r="N147" s="28" t="n">
        <v>0.640288</v>
      </c>
      <c r="O147" s="28" t="n">
        <v>0.632953</v>
      </c>
      <c r="P147" s="28" t="n"/>
      <c r="Q147" s="28" t="n">
        <v>-0.007335</v>
      </c>
      <c r="R147" s="26" t="n">
        <v>16</v>
      </c>
      <c r="S147" s="29" t="n">
        <v>1</v>
      </c>
      <c r="T147" s="24" t="inlineStr">
        <is>
          <t>lol-tiered-elo-v6</t>
        </is>
      </c>
      <c r="U147" s="24" t="inlineStr">
        <is>
          <t>settled</t>
        </is>
      </c>
      <c r="V147" s="24" t="inlineStr">
        <is>
          <t>loss</t>
        </is>
      </c>
      <c r="W147" s="26" t="n">
        <v>0</v>
      </c>
      <c r="X147" s="26" t="n">
        <v>1</v>
      </c>
      <c r="Y147" s="25" t="n"/>
      <c r="Z147" s="26" t="n">
        <v>-178</v>
      </c>
      <c r="AA147" s="28" t="n">
        <v>0.64</v>
      </c>
      <c r="AB147" s="28" t="n">
        <v>-0.000288</v>
      </c>
      <c r="AC147" s="30" t="n">
        <v>-1</v>
      </c>
      <c r="AD147" s="24" t="inlineStr">
        <is>
          <t>2026-09-06T16:01:50.072552Z</t>
        </is>
      </c>
      <c r="AE147" s="31" t="inlineStr">
        <is>
          <t>Neutral Elo baseline; executable ask 0.6400 (market_slug=aec-lol-lgd-nip-2026-09-06).</t>
        </is>
      </c>
      <c r="AF147" s="31" t="inlineStr">
        <is>
          <t>Config-promoted esports baseline; gates enforced at log time.</t>
        </is>
      </c>
      <c r="AG147" s="24" t="inlineStr">
        <is>
          <t>review_required</t>
        </is>
      </c>
      <c r="AH147" s="24" t="n"/>
      <c r="AI147" s="31" t="n"/>
      <c r="AJ147" s="31" t="n"/>
      <c r="AK147" s="24" t="inlineStr">
        <is>
          <t>paper_call</t>
        </is>
      </c>
      <c r="AL147" s="26" t="n">
        <v>4</v>
      </c>
      <c r="AM147" s="24" t="inlineStr">
        <is>
          <t>RESEARCH_OBSERVATION</t>
        </is>
      </c>
      <c r="AN147" s="24" t="inlineStr">
        <is>
          <t>CALL</t>
        </is>
      </c>
      <c r="AO147" s="24" t="inlineStr">
        <is>
          <t>PAPER_CALL_LOW_EDGE</t>
        </is>
      </c>
      <c r="AP147" s="24" t="inlineStr">
        <is>
          <t>Ninjas in Pyjamas</t>
        </is>
      </c>
      <c r="AQ147" s="24" t="inlineStr">
        <is>
          <t>Ninjas in Pyjamas</t>
        </is>
      </c>
      <c r="AR147" s="24" t="inlineStr">
        <is>
          <t>Ninjas in Pyjamas</t>
        </is>
      </c>
      <c r="AS147" s="24" t="inlineStr">
        <is>
          <t>LGD Gaming</t>
        </is>
      </c>
      <c r="AT147" s="24" t="inlineStr">
        <is>
          <t>LGD Gaming</t>
        </is>
      </c>
      <c r="AU147" s="24" t="inlineStr">
        <is>
          <t>LGD Gaming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0d8ed55efe53c87fe53f3022f0881fa9bc185930a48aa23359ff61a2431b739f</t>
        </is>
      </c>
      <c r="BB147" s="24" t="inlineStr">
        <is>
          <t>neutral_elo</t>
        </is>
      </c>
      <c r="BC147" s="24" t="inlineStr">
        <is>
          <t>lol-tiered-elo-v6</t>
        </is>
      </c>
      <c r="BD147" s="24" t="inlineStr">
        <is>
          <t>0d8ed55efe53c87fe53f3022f0881fa9bc185930a48aa23359ff61a2431b739f</t>
        </is>
      </c>
      <c r="BE147" s="24" t="inlineStr">
        <is>
          <t>1</t>
        </is>
      </c>
      <c r="BF147" s="24" t="inlineStr">
        <is>
          <t>1</t>
        </is>
      </c>
      <c r="BG147" s="24" t="inlineStr">
        <is>
          <t>lol-tiered-elo-v6</t>
        </is>
      </c>
      <c r="BH147" s="24" t="inlineStr">
        <is>
          <t>2026-09-06T04:36:27.829936Z</t>
        </is>
      </c>
      <c r="BI147" s="24" t="inlineStr">
        <is>
          <t>["same_event","same_team_same_day","same_league_same_day"]</t>
        </is>
      </c>
      <c r="BJ147" s="25" t="n"/>
      <c r="BK147" s="26" t="n">
        <v>-178</v>
      </c>
      <c r="BL147" s="27" t="n">
        <v>1.561798</v>
      </c>
      <c r="BM147" s="28" t="n">
        <v>0.640288</v>
      </c>
      <c r="BN147" s="28" t="n"/>
      <c r="BO147" s="28" t="n"/>
      <c r="BP147" s="25" t="n"/>
      <c r="BQ147" s="27" t="n">
        <v>1.561798</v>
      </c>
      <c r="BR147" s="28" t="n">
        <v>0.64</v>
      </c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False</t>
        </is>
      </c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n"/>
      <c r="DE147" s="24" t="n"/>
      <c r="DF147" s="24" t="n"/>
      <c r="DG147" s="24" t="n"/>
      <c r="DH147" s="24" t="n"/>
      <c r="DI147" s="24" t="n"/>
      <c r="DJ147" s="24" t="inlineStr">
        <is>
          <t>0.640288</t>
        </is>
      </c>
      <c r="DK147" s="24" t="n"/>
      <c r="DL147" s="24" t="n"/>
      <c r="DM147" s="24" t="n"/>
      <c r="DN147" s="24" t="n"/>
      <c r="DO147" s="24" t="n"/>
      <c r="DP147" s="24" t="n"/>
      <c r="DQ147" s="24" t="n"/>
    </row>
    <row r="148" ht="36" customHeight="1">
      <c r="A148" s="24" t="inlineStr">
        <is>
          <t>00953f8f953545fe</t>
        </is>
      </c>
      <c r="B148" s="24" t="inlineStr">
        <is>
          <t>2026-09-06T04:36:30.279309Z</t>
        </is>
      </c>
      <c r="C148" s="24" t="inlineStr">
        <is>
          <t>2026-09-06T10:00:00Z</t>
        </is>
      </c>
      <c r="D148" s="24" t="inlineStr">
        <is>
          <t>101543</t>
        </is>
      </c>
      <c r="E148" s="24" t="inlineStr">
        <is>
          <t>LOL</t>
        </is>
      </c>
      <c r="F148" s="24" t="inlineStr">
        <is>
          <t>⁠Movistar KOI Fénix</t>
        </is>
      </c>
      <c r="G148" s="24" t="inlineStr">
        <is>
          <t>Team Heretics Academy</t>
        </is>
      </c>
      <c r="H148" s="24" t="inlineStr">
        <is>
          <t>moneyline</t>
        </is>
      </c>
      <c r="I148" s="24" t="inlineStr">
        <is>
          <t>away</t>
        </is>
      </c>
      <c r="J148" s="25" t="n"/>
      <c r="K148" s="24" t="inlineStr">
        <is>
          <t>polymarket_us</t>
        </is>
      </c>
      <c r="L148" s="26" t="n">
        <v>-108</v>
      </c>
      <c r="M148" s="27" t="n">
        <v>1.925926</v>
      </c>
      <c r="N148" s="28" t="n">
        <v>0.519231</v>
      </c>
      <c r="O148" s="28" t="n">
        <v>0.552962</v>
      </c>
      <c r="P148" s="28" t="n"/>
      <c r="Q148" s="28" t="n">
        <v>0.033731</v>
      </c>
      <c r="R148" s="26" t="n">
        <v>37</v>
      </c>
      <c r="S148" s="29" t="n">
        <v>1</v>
      </c>
      <c r="T148" s="24" t="inlineStr">
        <is>
          <t>lol-tiered-elo-v6</t>
        </is>
      </c>
      <c r="U148" s="24" t="inlineStr">
        <is>
          <t>settled</t>
        </is>
      </c>
      <c r="V148" s="24" t="inlineStr">
        <is>
          <t>win</t>
        </is>
      </c>
      <c r="W148" s="26" t="n">
        <v>1</v>
      </c>
      <c r="X148" s="26" t="n">
        <v>0</v>
      </c>
      <c r="Y148" s="25" t="n"/>
      <c r="Z148" s="26" t="n">
        <v>-108</v>
      </c>
      <c r="AA148" s="28" t="n">
        <v>0.52</v>
      </c>
      <c r="AB148" s="28" t="n">
        <v>0.000769</v>
      </c>
      <c r="AC148" s="30" t="n">
        <v>0.9258999999999999</v>
      </c>
      <c r="AD148" s="24" t="inlineStr">
        <is>
          <t>2026-09-06T16:01:50.361054Z</t>
        </is>
      </c>
      <c r="AE148" s="31" t="inlineStr">
        <is>
          <t>Neutral Elo baseline; executable ask 0.5200 (market_slug=aec-lol-hrts-mkf-2026-09-06).</t>
        </is>
      </c>
      <c r="AF148" s="31" t="inlineStr">
        <is>
          <t>Config-promoted esports baseline; gates enforced at log time.</t>
        </is>
      </c>
      <c r="AG148" s="24" t="inlineStr">
        <is>
          <t>not_applicable</t>
        </is>
      </c>
      <c r="AH148" s="24" t="n"/>
      <c r="AI148" s="31" t="n"/>
      <c r="AJ148" s="31" t="n"/>
      <c r="AK148" s="24" t="inlineStr">
        <is>
          <t>model_qualified</t>
        </is>
      </c>
      <c r="AL148" s="26" t="n">
        <v>4</v>
      </c>
      <c r="AM148" s="24" t="inlineStr">
        <is>
          <t>QUALIFIED_SHADOW_CALL</t>
        </is>
      </c>
      <c r="AN148" s="24" t="inlineStr">
        <is>
          <t>CALL</t>
        </is>
      </c>
      <c r="AO148" s="24" t="inlineStr">
        <is>
          <t>QUALIFIED</t>
        </is>
      </c>
      <c r="AP148" s="24" t="inlineStr">
        <is>
          <t>⁠Movistar KOI Fénix</t>
        </is>
      </c>
      <c r="AQ148" s="24" t="inlineStr">
        <is>
          <t>⁠Movistar KOI Fénix</t>
        </is>
      </c>
      <c r="AR148" s="24" t="inlineStr">
        <is>
          <t>⁠Movistar KOI Fénix</t>
        </is>
      </c>
      <c r="AS148" s="24" t="inlineStr">
        <is>
          <t>Team Heretics Academy</t>
        </is>
      </c>
      <c r="AT148" s="24" t="inlineStr">
        <is>
          <t>Team Heretics Academy</t>
        </is>
      </c>
      <c r="AU148" s="24" t="inlineStr">
        <is>
          <t>Team Heretics Academy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0d8ed55efe53c87fe53f3022f0881fa9bc185930a48aa23359ff61a2431b739f</t>
        </is>
      </c>
      <c r="BB148" s="24" t="inlineStr">
        <is>
          <t>neutral_elo</t>
        </is>
      </c>
      <c r="BC148" s="24" t="inlineStr">
        <is>
          <t>lol-tiered-elo-v6</t>
        </is>
      </c>
      <c r="BD148" s="24" t="inlineStr">
        <is>
          <t>0d8ed55efe53c87fe53f3022f0881fa9bc185930a48aa23359ff61a2431b739f</t>
        </is>
      </c>
      <c r="BE148" s="24" t="inlineStr">
        <is>
          <t>1</t>
        </is>
      </c>
      <c r="BF148" s="24" t="inlineStr">
        <is>
          <t>1</t>
        </is>
      </c>
      <c r="BG148" s="24" t="inlineStr">
        <is>
          <t>lol-tiered-elo-v6</t>
        </is>
      </c>
      <c r="BH148" s="24" t="inlineStr">
        <is>
          <t>2026-09-06T04:36:27.894024Z</t>
        </is>
      </c>
      <c r="BI148" s="24" t="inlineStr">
        <is>
          <t>["same_event","same_team_same_day","same_league_same_day"]</t>
        </is>
      </c>
      <c r="BJ148" s="25" t="n"/>
      <c r="BK148" s="26" t="n">
        <v>-108</v>
      </c>
      <c r="BL148" s="27" t="n">
        <v>1.925926</v>
      </c>
      <c r="BM148" s="28" t="n">
        <v>0.519231</v>
      </c>
      <c r="BN148" s="28" t="n"/>
      <c r="BO148" s="28" t="n"/>
      <c r="BP148" s="25" t="n"/>
      <c r="BQ148" s="27" t="n">
        <v>1.925926</v>
      </c>
      <c r="BR148" s="28" t="n">
        <v>0.52</v>
      </c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True</t>
        </is>
      </c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/>
      <c r="DH148" s="24" t="n"/>
      <c r="DI148" s="24" t="n"/>
      <c r="DJ148" s="24" t="inlineStr">
        <is>
          <t>0.519231</t>
        </is>
      </c>
      <c r="DK148" s="24" t="n"/>
      <c r="DL148" s="24" t="n"/>
      <c r="DM148" s="24" t="n"/>
      <c r="DN148" s="24" t="n"/>
      <c r="DO148" s="24" t="n"/>
      <c r="DP148" s="24" t="n"/>
      <c r="DQ148" s="24" t="n"/>
    </row>
    <row r="149" ht="36" customHeight="1">
      <c r="A149" s="24" t="inlineStr">
        <is>
          <t>af19e00703064a3a</t>
        </is>
      </c>
      <c r="B149" s="24" t="inlineStr">
        <is>
          <t>2026-09-06T16:03:59.382966Z</t>
        </is>
      </c>
      <c r="C149" s="24" t="inlineStr">
        <is>
          <t>2026-09-06T20:00:00Z</t>
        </is>
      </c>
      <c r="D149" s="24" t="inlineStr">
        <is>
          <t>102087</t>
        </is>
      </c>
      <c r="E149" s="24" t="inlineStr">
        <is>
          <t>LOL</t>
        </is>
      </c>
      <c r="F149" s="24" t="inlineStr">
        <is>
          <t>FlyQuest</t>
        </is>
      </c>
      <c r="G149" s="24" t="inlineStr">
        <is>
          <t>Shopify Rebellion</t>
        </is>
      </c>
      <c r="H149" s="24" t="inlineStr">
        <is>
          <t>moneyline</t>
        </is>
      </c>
      <c r="I149" s="24" t="inlineStr">
        <is>
          <t>away</t>
        </is>
      </c>
      <c r="J149" s="25" t="n"/>
      <c r="K149" s="24" t="inlineStr">
        <is>
          <t>polymarket_us</t>
        </is>
      </c>
      <c r="L149" s="26" t="n">
        <v>-194</v>
      </c>
      <c r="M149" s="27" t="n">
        <v>1.515464</v>
      </c>
      <c r="N149" s="28" t="n">
        <v>0.659864</v>
      </c>
      <c r="O149" s="28" t="n">
        <v>0.581166</v>
      </c>
      <c r="P149" s="28" t="n"/>
      <c r="Q149" s="28" t="n">
        <v>-0.078698</v>
      </c>
      <c r="R149" s="26" t="n">
        <v>0</v>
      </c>
      <c r="S149" s="29" t="n">
        <v>1</v>
      </c>
      <c r="T149" s="24" t="inlineStr">
        <is>
          <t>lol-tiered-elo-v6</t>
        </is>
      </c>
      <c r="U149" s="24" t="inlineStr">
        <is>
          <t>settled</t>
        </is>
      </c>
      <c r="V149" s="24" t="inlineStr">
        <is>
          <t>win</t>
        </is>
      </c>
      <c r="W149" s="26" t="n">
        <v>1</v>
      </c>
      <c r="X149" s="26" t="n">
        <v>0</v>
      </c>
      <c r="Y149" s="25" t="n"/>
      <c r="Z149" s="26" t="n">
        <v>-194</v>
      </c>
      <c r="AA149" s="28" t="n">
        <v>0.66</v>
      </c>
      <c r="AB149" s="28" t="n">
        <v>0.000136</v>
      </c>
      <c r="AC149" s="30" t="n">
        <v>0.5155</v>
      </c>
      <c r="AD149" s="24" t="inlineStr">
        <is>
          <t>2026-09-06T22:02:55.367491Z</t>
        </is>
      </c>
      <c r="AE149" s="31" t="inlineStr">
        <is>
          <t>Neutral Elo baseline; executable ask 0.6600 (market_slug=aec-lol-sr-fly-2026-09-06).</t>
        </is>
      </c>
      <c r="AF149" s="31" t="inlineStr">
        <is>
          <t>Config-promoted esports baseline; gates enforced at log time.</t>
        </is>
      </c>
      <c r="AG149" s="24" t="inlineStr">
        <is>
          <t>not_applicable</t>
        </is>
      </c>
      <c r="AH149" s="24" t="n"/>
      <c r="AI149" s="31" t="n"/>
      <c r="AJ149" s="31" t="n"/>
      <c r="AK149" s="24" t="inlineStr">
        <is>
          <t>paper_call</t>
        </is>
      </c>
      <c r="AL149" s="26" t="n">
        <v>4</v>
      </c>
      <c r="AM149" s="24" t="inlineStr">
        <is>
          <t>RESEARCH_OBSERVATION</t>
        </is>
      </c>
      <c r="AN149" s="24" t="inlineStr">
        <is>
          <t>CALL</t>
        </is>
      </c>
      <c r="AO149" s="24" t="inlineStr">
        <is>
          <t>PAPER_CALL_LOW_EDGE</t>
        </is>
      </c>
      <c r="AP149" s="24" t="inlineStr">
        <is>
          <t>FlyQuest</t>
        </is>
      </c>
      <c r="AQ149" s="24" t="inlineStr">
        <is>
          <t>FlyQuest</t>
        </is>
      </c>
      <c r="AR149" s="24" t="inlineStr">
        <is>
          <t>FlyQuest</t>
        </is>
      </c>
      <c r="AS149" s="24" t="inlineStr">
        <is>
          <t>Shopify Rebellion</t>
        </is>
      </c>
      <c r="AT149" s="24" t="inlineStr">
        <is>
          <t>Shopify Rebellion</t>
        </is>
      </c>
      <c r="AU149" s="24" t="inlineStr">
        <is>
          <t>Shopify Rebellion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35772be2aa5247fe7db89682c37f89294eacc9f178aa5f1d247f60dcdcdd48e0</t>
        </is>
      </c>
      <c r="BB149" s="24" t="inlineStr">
        <is>
          <t>neutral_elo</t>
        </is>
      </c>
      <c r="BC149" s="24" t="inlineStr">
        <is>
          <t>lol-tiered-elo-v6</t>
        </is>
      </c>
      <c r="BD149" s="24" t="inlineStr">
        <is>
          <t>35772be2aa5247fe7db89682c37f89294eacc9f178aa5f1d247f60dcdcdd48e0</t>
        </is>
      </c>
      <c r="BE149" s="24" t="inlineStr">
        <is>
          <t>1</t>
        </is>
      </c>
      <c r="BF149" s="24" t="inlineStr">
        <is>
          <t>1</t>
        </is>
      </c>
      <c r="BG149" s="24" t="inlineStr">
        <is>
          <t>lol-tiered-elo-v6</t>
        </is>
      </c>
      <c r="BH149" s="24" t="inlineStr">
        <is>
          <t>2026-09-06T16:03:58.116364Z</t>
        </is>
      </c>
      <c r="BI149" s="24" t="inlineStr">
        <is>
          <t>["same_event","same_team_same_day","same_league_same_day"]</t>
        </is>
      </c>
      <c r="BJ149" s="25" t="n"/>
      <c r="BK149" s="26" t="n">
        <v>-194</v>
      </c>
      <c r="BL149" s="27" t="n">
        <v>1.515464</v>
      </c>
      <c r="BM149" s="28" t="n">
        <v>0.659864</v>
      </c>
      <c r="BN149" s="28" t="n"/>
      <c r="BO149" s="28" t="n"/>
      <c r="BP149" s="25" t="n"/>
      <c r="BQ149" s="27" t="n">
        <v>1.515464</v>
      </c>
      <c r="BR149" s="28" t="n">
        <v>0.66</v>
      </c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False</t>
        </is>
      </c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n"/>
      <c r="DE149" s="24" t="n"/>
      <c r="DF149" s="24" t="n"/>
      <c r="DG149" s="24" t="n"/>
      <c r="DH149" s="24" t="n"/>
      <c r="DI149" s="24" t="n"/>
      <c r="DJ149" s="24" t="inlineStr">
        <is>
          <t>0.659864</t>
        </is>
      </c>
      <c r="DK149" s="24" t="n"/>
      <c r="DL149" s="24" t="n"/>
      <c r="DM149" s="24" t="n"/>
      <c r="DN149" s="24" t="n"/>
      <c r="DO149" s="24" t="n"/>
      <c r="DP149" s="24" t="n"/>
      <c r="DQ149" s="24" t="n"/>
    </row>
    <row r="150" ht="36" customHeight="1">
      <c r="A150" s="24" t="inlineStr">
        <is>
          <t>53dc455711da4a6a</t>
        </is>
      </c>
      <c r="B150" s="24" t="inlineStr">
        <is>
          <t>2026-09-07T10:03:22.964583Z</t>
        </is>
      </c>
      <c r="C150" s="24" t="inlineStr">
        <is>
          <t>2026-09-07T16:00:00Z</t>
        </is>
      </c>
      <c r="D150" s="24" t="inlineStr">
        <is>
          <t>102465</t>
        </is>
      </c>
      <c r="E150" s="24" t="inlineStr">
        <is>
          <t>LOL</t>
        </is>
      </c>
      <c r="F150" s="24" t="inlineStr">
        <is>
          <t>Ruddy Corporation</t>
        </is>
      </c>
      <c r="G150" s="24" t="inlineStr">
        <is>
          <t>Arctic Pandas</t>
        </is>
      </c>
      <c r="H150" s="24" t="inlineStr">
        <is>
          <t>moneyline</t>
        </is>
      </c>
      <c r="I150" s="24" t="inlineStr">
        <is>
          <t>home</t>
        </is>
      </c>
      <c r="J150" s="25" t="n"/>
      <c r="K150" s="24" t="inlineStr">
        <is>
          <t>polymarket_us</t>
        </is>
      </c>
      <c r="L150" s="26" t="n">
        <v>163</v>
      </c>
      <c r="M150" s="27" t="n">
        <v>2.63</v>
      </c>
      <c r="N150" s="28" t="n">
        <v>0.380228</v>
      </c>
      <c r="O150" s="28" t="n">
        <v>0.578699</v>
      </c>
      <c r="P150" s="28" t="n"/>
      <c r="Q150" s="28" t="n">
        <v>0.198471</v>
      </c>
      <c r="R150" s="26" t="n">
        <v>100</v>
      </c>
      <c r="S150" s="29" t="n">
        <v>2</v>
      </c>
      <c r="T150" s="24" t="inlineStr">
        <is>
          <t>lol-tiered-elo-v6</t>
        </is>
      </c>
      <c r="U150" s="24" t="inlineStr">
        <is>
          <t>settled</t>
        </is>
      </c>
      <c r="V150" s="24" t="inlineStr">
        <is>
          <t>loss</t>
        </is>
      </c>
      <c r="W150" s="26" t="n">
        <v>1</v>
      </c>
      <c r="X150" s="26" t="n">
        <v>0</v>
      </c>
      <c r="Y150" s="25" t="n"/>
      <c r="Z150" s="26" t="n">
        <v>233</v>
      </c>
      <c r="AA150" s="28" t="n">
        <v>0.3</v>
      </c>
      <c r="AB150" s="28" t="n">
        <v>-0.08022799999999999</v>
      </c>
      <c r="AC150" s="30" t="n">
        <v>-2</v>
      </c>
      <c r="AD150" s="24" t="inlineStr">
        <is>
          <t>2026-09-07T22:03:02.083362Z</t>
        </is>
      </c>
      <c r="AE150" s="31" t="inlineStr">
        <is>
          <t>Neutral Elo baseline; executable ask 0.3800 (market_slug=aec-lol-ap-rud-2026-09-07).</t>
        </is>
      </c>
      <c r="AF150" s="31" t="inlineStr">
        <is>
          <t>Config-promoted esports baseline; gates enforced at log time.</t>
        </is>
      </c>
      <c r="AG150" s="24" t="inlineStr">
        <is>
          <t>review_required</t>
        </is>
      </c>
      <c r="AH150" s="24" t="n"/>
      <c r="AI150" s="31" t="n"/>
      <c r="AJ150" s="31" t="n"/>
      <c r="AK150" s="24" t="inlineStr">
        <is>
          <t>model_qualified</t>
        </is>
      </c>
      <c r="AL150" s="26" t="n">
        <v>4</v>
      </c>
      <c r="AM150" s="24" t="inlineStr">
        <is>
          <t>QUALIFIED_SHADOW_CALL</t>
        </is>
      </c>
      <c r="AN150" s="24" t="inlineStr">
        <is>
          <t>CALL</t>
        </is>
      </c>
      <c r="AO150" s="24" t="inlineStr">
        <is>
          <t>QUALIFIED</t>
        </is>
      </c>
      <c r="AP150" s="24" t="inlineStr">
        <is>
          <t>Ruddy Corporation</t>
        </is>
      </c>
      <c r="AQ150" s="24" t="inlineStr">
        <is>
          <t>Ruddy Corporation</t>
        </is>
      </c>
      <c r="AR150" s="24" t="inlineStr">
        <is>
          <t>Ruddy Corporation</t>
        </is>
      </c>
      <c r="AS150" s="24" t="inlineStr">
        <is>
          <t>Arctic Pandas</t>
        </is>
      </c>
      <c r="AT150" s="24" t="inlineStr">
        <is>
          <t>Arctic Pandas</t>
        </is>
      </c>
      <c r="AU150" s="24" t="inlineStr">
        <is>
          <t>Arctic Pandas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ea7ec9239fa191821f308820c1ee4df867938e26632f5fa20f672e01287abd83</t>
        </is>
      </c>
      <c r="BB150" s="24" t="inlineStr">
        <is>
          <t>neutral_elo</t>
        </is>
      </c>
      <c r="BC150" s="24" t="inlineStr">
        <is>
          <t>lol-tiered-elo-v6</t>
        </is>
      </c>
      <c r="BD150" s="24" t="inlineStr">
        <is>
          <t>ea7ec9239fa191821f308820c1ee4df867938e26632f5fa20f672e01287abd83</t>
        </is>
      </c>
      <c r="BE150" s="24" t="inlineStr">
        <is>
          <t>1</t>
        </is>
      </c>
      <c r="BF150" s="24" t="inlineStr">
        <is>
          <t>1</t>
        </is>
      </c>
      <c r="BG150" s="24" t="inlineStr">
        <is>
          <t>lol-tiered-elo-v6</t>
        </is>
      </c>
      <c r="BH150" s="24" t="inlineStr">
        <is>
          <t>2026-09-07T10:03:21.413056Z</t>
        </is>
      </c>
      <c r="BI150" s="24" t="inlineStr">
        <is>
          <t>["same_event","same_team_same_day","same_league_same_day"]</t>
        </is>
      </c>
      <c r="BJ150" s="25" t="n"/>
      <c r="BK150" s="26" t="n">
        <v>163</v>
      </c>
      <c r="BL150" s="27" t="n">
        <v>2.63</v>
      </c>
      <c r="BM150" s="28" t="n">
        <v>0.380228</v>
      </c>
      <c r="BN150" s="28" t="n"/>
      <c r="BO150" s="28" t="n"/>
      <c r="BP150" s="25" t="n"/>
      <c r="BQ150" s="27" t="n">
        <v>3.33</v>
      </c>
      <c r="BR150" s="28" t="n">
        <v>0.3</v>
      </c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True</t>
        </is>
      </c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n"/>
      <c r="DE150" s="24" t="n"/>
      <c r="DF150" s="24" t="n"/>
      <c r="DG150" s="24" t="n"/>
      <c r="DH150" s="24" t="n"/>
      <c r="DI150" s="24" t="n"/>
      <c r="DJ150" s="24" t="inlineStr">
        <is>
          <t>0.380228</t>
        </is>
      </c>
      <c r="DK150" s="24" t="n"/>
      <c r="DL150" s="24" t="n"/>
      <c r="DM150" s="24" t="n"/>
      <c r="DN150" s="24" t="n"/>
      <c r="DO150" s="24" t="n"/>
      <c r="DP150" s="24" t="n"/>
      <c r="DQ150" s="24" t="n"/>
    </row>
    <row r="151" ht="36" customHeight="1">
      <c r="A151" s="24" t="inlineStr">
        <is>
          <t>8f4dc2ccf4754e91</t>
        </is>
      </c>
      <c r="B151" s="24" t="inlineStr">
        <is>
          <t>2026-09-07T16:03:47.642088Z</t>
        </is>
      </c>
      <c r="C151" s="24" t="inlineStr">
        <is>
          <t>2026-09-07T18:00:00Z</t>
        </is>
      </c>
      <c r="D151" s="24" t="inlineStr">
        <is>
          <t>102506</t>
        </is>
      </c>
      <c r="E151" s="24" t="inlineStr">
        <is>
          <t>LOL</t>
        </is>
      </c>
      <c r="F151" s="24" t="inlineStr">
        <is>
          <t>The Otter Side</t>
        </is>
      </c>
      <c r="G151" s="24" t="inlineStr">
        <is>
          <t>Bubliki</t>
        </is>
      </c>
      <c r="H151" s="24" t="inlineStr">
        <is>
          <t>moneyline</t>
        </is>
      </c>
      <c r="I151" s="24" t="inlineStr">
        <is>
          <t>away</t>
        </is>
      </c>
      <c r="J151" s="25" t="n"/>
      <c r="K151" s="24" t="inlineStr">
        <is>
          <t>polymarket_us</t>
        </is>
      </c>
      <c r="L151" s="26" t="n">
        <v>-127</v>
      </c>
      <c r="M151" s="27" t="n">
        <v>1.787402</v>
      </c>
      <c r="N151" s="28" t="n">
        <v>0.5594710000000001</v>
      </c>
      <c r="O151" s="28" t="n">
        <v>0.58009</v>
      </c>
      <c r="P151" s="28" t="n"/>
      <c r="Q151" s="28" t="n">
        <v>0.020619</v>
      </c>
      <c r="R151" s="26" t="n">
        <v>30</v>
      </c>
      <c r="S151" s="29" t="n">
        <v>1</v>
      </c>
      <c r="T151" s="24" t="inlineStr">
        <is>
          <t>lol-tiered-elo-v6</t>
        </is>
      </c>
      <c r="U151" s="24" t="inlineStr">
        <is>
          <t>settled</t>
        </is>
      </c>
      <c r="V151" s="24" t="inlineStr">
        <is>
          <t>win</t>
        </is>
      </c>
      <c r="W151" s="26" t="n">
        <v>1</v>
      </c>
      <c r="X151" s="26" t="n">
        <v>0</v>
      </c>
      <c r="Y151" s="25" t="n"/>
      <c r="Z151" s="26" t="n">
        <v>-127</v>
      </c>
      <c r="AA151" s="28" t="n">
        <v>0.5600000000000001</v>
      </c>
      <c r="AB151" s="28" t="n">
        <v>0.000529</v>
      </c>
      <c r="AC151" s="30" t="n">
        <v>0.7874</v>
      </c>
      <c r="AD151" s="24" t="inlineStr">
        <is>
          <t>2026-09-07T22:03:02.528596Z</t>
        </is>
      </c>
      <c r="AE151" s="31" t="inlineStr">
        <is>
          <t>Neutral Elo baseline; executable ask 0.5600 (market_slug=aec-lol-bub-tos-2026-09-07).</t>
        </is>
      </c>
      <c r="AF151" s="31" t="inlineStr">
        <is>
          <t>Config-promoted esports baseline; gates enforced at log time.</t>
        </is>
      </c>
      <c r="AG151" s="24" t="inlineStr">
        <is>
          <t>not_applicable</t>
        </is>
      </c>
      <c r="AH151" s="24" t="n"/>
      <c r="AI151" s="31" t="n"/>
      <c r="AJ151" s="31" t="n"/>
      <c r="AK151" s="24" t="inlineStr">
        <is>
          <t>paper_call</t>
        </is>
      </c>
      <c r="AL151" s="26" t="n">
        <v>4</v>
      </c>
      <c r="AM151" s="24" t="inlineStr">
        <is>
          <t>RESEARCH_OBSERVATION</t>
        </is>
      </c>
      <c r="AN151" s="24" t="inlineStr">
        <is>
          <t>CALL</t>
        </is>
      </c>
      <c r="AO151" s="24" t="inlineStr">
        <is>
          <t>PAPER_CALL_LOW_EDGE</t>
        </is>
      </c>
      <c r="AP151" s="24" t="inlineStr">
        <is>
          <t>The Otter Side</t>
        </is>
      </c>
      <c r="AQ151" s="24" t="inlineStr">
        <is>
          <t>The Otter Side</t>
        </is>
      </c>
      <c r="AR151" s="24" t="inlineStr">
        <is>
          <t>The Otter Side</t>
        </is>
      </c>
      <c r="AS151" s="24" t="inlineStr">
        <is>
          <t>Bubliki</t>
        </is>
      </c>
      <c r="AT151" s="24" t="inlineStr">
        <is>
          <t>Bubliki</t>
        </is>
      </c>
      <c r="AU151" s="24" t="inlineStr">
        <is>
          <t>Bubliki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c8da128bbd8924105b4c036d1a0127c7c17a0faf203d33a9ce18b806b31aceac</t>
        </is>
      </c>
      <c r="BB151" s="24" t="inlineStr">
        <is>
          <t>neutral_elo</t>
        </is>
      </c>
      <c r="BC151" s="24" t="inlineStr">
        <is>
          <t>lol-tiered-elo-v6</t>
        </is>
      </c>
      <c r="BD151" s="24" t="inlineStr">
        <is>
          <t>c8da128bbd8924105b4c036d1a0127c7c17a0faf203d33a9ce18b806b31aceac</t>
        </is>
      </c>
      <c r="BE151" s="24" t="inlineStr">
        <is>
          <t>1</t>
        </is>
      </c>
      <c r="BF151" s="24" t="inlineStr">
        <is>
          <t>1</t>
        </is>
      </c>
      <c r="BG151" s="24" t="inlineStr">
        <is>
          <t>lol-tiered-elo-v6</t>
        </is>
      </c>
      <c r="BH151" s="24" t="inlineStr">
        <is>
          <t>2026-09-07T16:03:46.166417Z</t>
        </is>
      </c>
      <c r="BI151" s="24" t="inlineStr">
        <is>
          <t>["same_event","same_team_same_day","same_league_same_day"]</t>
        </is>
      </c>
      <c r="BJ151" s="25" t="n"/>
      <c r="BK151" s="26" t="n">
        <v>-127</v>
      </c>
      <c r="BL151" s="27" t="n">
        <v>1.787402</v>
      </c>
      <c r="BM151" s="28" t="n">
        <v>0.5594710000000001</v>
      </c>
      <c r="BN151" s="28" t="n"/>
      <c r="BO151" s="28" t="n"/>
      <c r="BP151" s="25" t="n"/>
      <c r="BQ151" s="27" t="n">
        <v>1.787402</v>
      </c>
      <c r="BR151" s="28" t="n">
        <v>0.5600000000000001</v>
      </c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True</t>
        </is>
      </c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n"/>
      <c r="DE151" s="24" t="n"/>
      <c r="DF151" s="24" t="n"/>
      <c r="DG151" s="24" t="n"/>
      <c r="DH151" s="24" t="n"/>
      <c r="DI151" s="24" t="n"/>
      <c r="DJ151" s="24" t="inlineStr">
        <is>
          <t>0.559471</t>
        </is>
      </c>
      <c r="DK151" s="24" t="n"/>
      <c r="DL151" s="24" t="n"/>
      <c r="DM151" s="24" t="n"/>
      <c r="DN151" s="24" t="n"/>
      <c r="DO151" s="24" t="n"/>
      <c r="DP151" s="24" t="n"/>
      <c r="DQ151" s="24" t="n"/>
    </row>
    <row r="152" ht="36" customHeight="1">
      <c r="A152" s="24" t="inlineStr">
        <is>
          <t>ce56705070e7428b</t>
        </is>
      </c>
      <c r="B152" s="24" t="inlineStr">
        <is>
          <t>2026-09-07T16:03:47.642088Z</t>
        </is>
      </c>
      <c r="C152" s="24" t="inlineStr">
        <is>
          <t>2026-09-07T20:00:00Z</t>
        </is>
      </c>
      <c r="D152" s="24" t="inlineStr">
        <is>
          <t>102820</t>
        </is>
      </c>
      <c r="E152" s="24" t="inlineStr">
        <is>
          <t>LOL</t>
        </is>
      </c>
      <c r="F152" s="24" t="inlineStr">
        <is>
          <t>KaBuM! Ilha das Lendas</t>
        </is>
      </c>
      <c r="G152" s="24" t="inlineStr">
        <is>
          <t>INTZ e-Sports</t>
        </is>
      </c>
      <c r="H152" s="24" t="inlineStr">
        <is>
          <t>moneyline</t>
        </is>
      </c>
      <c r="I152" s="24" t="inlineStr">
        <is>
          <t>home</t>
        </is>
      </c>
      <c r="J152" s="25" t="n"/>
      <c r="K152" s="24" t="inlineStr">
        <is>
          <t>polymarket_us</t>
        </is>
      </c>
      <c r="L152" s="26" t="n">
        <v>122</v>
      </c>
      <c r="M152" s="27" t="n">
        <v>2.22</v>
      </c>
      <c r="N152" s="28" t="n">
        <v>0.45045</v>
      </c>
      <c r="O152" s="28" t="n">
        <v>0.503819</v>
      </c>
      <c r="P152" s="28" t="n"/>
      <c r="Q152" s="28" t="n">
        <v>0.053369</v>
      </c>
      <c r="R152" s="26" t="n">
        <v>47</v>
      </c>
      <c r="S152" s="29" t="n">
        <v>1</v>
      </c>
      <c r="T152" s="24" t="inlineStr">
        <is>
          <t>lol-tiered-elo-v6</t>
        </is>
      </c>
      <c r="U152" s="24" t="inlineStr">
        <is>
          <t>settled</t>
        </is>
      </c>
      <c r="V152" s="24" t="inlineStr">
        <is>
          <t>loss</t>
        </is>
      </c>
      <c r="W152" s="26" t="n">
        <v>1</v>
      </c>
      <c r="X152" s="26" t="n">
        <v>0</v>
      </c>
      <c r="Y152" s="25" t="n"/>
      <c r="Z152" s="26" t="n">
        <v>122</v>
      </c>
      <c r="AA152" s="28" t="n">
        <v>0.45</v>
      </c>
      <c r="AB152" s="28" t="n">
        <v>-0.00045</v>
      </c>
      <c r="AC152" s="30" t="n">
        <v>-1</v>
      </c>
      <c r="AD152" s="24" t="inlineStr">
        <is>
          <t>2026-09-08T04:32:40.464287Z</t>
        </is>
      </c>
      <c r="AE152" s="31" t="inlineStr">
        <is>
          <t>Neutral Elo baseline; executable ask 0.4500 (market_slug=aec-lol-itz-kbm-2026-09-07).</t>
        </is>
      </c>
      <c r="AF152" s="31" t="inlineStr">
        <is>
          <t>Config-promoted esports baseline; gates enforced at log time.</t>
        </is>
      </c>
      <c r="AG152" s="24" t="inlineStr">
        <is>
          <t>review_required</t>
        </is>
      </c>
      <c r="AH152" s="24" t="n"/>
      <c r="AI152" s="31" t="n"/>
      <c r="AJ152" s="31" t="n"/>
      <c r="AK152" s="24" t="inlineStr">
        <is>
          <t>paper_call</t>
        </is>
      </c>
      <c r="AL152" s="26" t="n">
        <v>4</v>
      </c>
      <c r="AM152" s="24" t="inlineStr">
        <is>
          <t>RESEARCH_OBSERVATION</t>
        </is>
      </c>
      <c r="AN152" s="24" t="inlineStr">
        <is>
          <t>CALL</t>
        </is>
      </c>
      <c r="AO152" s="24" t="inlineStr">
        <is>
          <t>PAPER_CALL_LOW_EDGE</t>
        </is>
      </c>
      <c r="AP152" s="24" t="inlineStr">
        <is>
          <t>KaBuM! Ilha das Lendas</t>
        </is>
      </c>
      <c r="AQ152" s="24" t="inlineStr">
        <is>
          <t>KaBuM! Ilha das Lendas</t>
        </is>
      </c>
      <c r="AR152" s="24" t="inlineStr">
        <is>
          <t>KaBuM! Ilha das Lendas</t>
        </is>
      </c>
      <c r="AS152" s="24" t="inlineStr">
        <is>
          <t>INTZ e-Sports</t>
        </is>
      </c>
      <c r="AT152" s="24" t="inlineStr">
        <is>
          <t>INTZ e-Sports</t>
        </is>
      </c>
      <c r="AU152" s="24" t="inlineStr">
        <is>
          <t>INTZ e-Sports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c8da128bbd8924105b4c036d1a0127c7c17a0faf203d33a9ce18b806b31aceac</t>
        </is>
      </c>
      <c r="BB152" s="24" t="inlineStr">
        <is>
          <t>neutral_elo</t>
        </is>
      </c>
      <c r="BC152" s="24" t="inlineStr">
        <is>
          <t>lol-tiered-elo-v6</t>
        </is>
      </c>
      <c r="BD152" s="24" t="inlineStr">
        <is>
          <t>c8da128bbd8924105b4c036d1a0127c7c17a0faf203d33a9ce18b806b31aceac</t>
        </is>
      </c>
      <c r="BE152" s="24" t="inlineStr">
        <is>
          <t>1</t>
        </is>
      </c>
      <c r="BF152" s="24" t="inlineStr">
        <is>
          <t>1</t>
        </is>
      </c>
      <c r="BG152" s="24" t="inlineStr">
        <is>
          <t>lol-tiered-elo-v6</t>
        </is>
      </c>
      <c r="BH152" s="24" t="inlineStr">
        <is>
          <t>2026-09-07T16:03:46.236177Z</t>
        </is>
      </c>
      <c r="BI152" s="24" t="inlineStr">
        <is>
          <t>["same_event","same_team_same_day","same_league_same_day"]</t>
        </is>
      </c>
      <c r="BJ152" s="25" t="n"/>
      <c r="BK152" s="26" t="n">
        <v>122</v>
      </c>
      <c r="BL152" s="27" t="n">
        <v>2.22</v>
      </c>
      <c r="BM152" s="28" t="n">
        <v>0.45045</v>
      </c>
      <c r="BN152" s="28" t="n"/>
      <c r="BO152" s="28" t="n"/>
      <c r="BP152" s="25" t="n"/>
      <c r="BQ152" s="27" t="n">
        <v>2.22</v>
      </c>
      <c r="BR152" s="28" t="n">
        <v>0.45</v>
      </c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True</t>
        </is>
      </c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n"/>
      <c r="DE152" s="24" t="n"/>
      <c r="DF152" s="24" t="n"/>
      <c r="DG152" s="24" t="n"/>
      <c r="DH152" s="24" t="n"/>
      <c r="DI152" s="24" t="n"/>
      <c r="DJ152" s="24" t="inlineStr">
        <is>
          <t>0.45045</t>
        </is>
      </c>
      <c r="DK152" s="24" t="n"/>
      <c r="DL152" s="24" t="n"/>
      <c r="DM152" s="24" t="n"/>
      <c r="DN152" s="24" t="n"/>
      <c r="DO152" s="24" t="n"/>
      <c r="DP152" s="24" t="n"/>
      <c r="DQ152" s="24" t="n"/>
    </row>
    <row r="153" ht="36" customHeight="1">
      <c r="A153" s="24" t="inlineStr">
        <is>
          <t>d6b0ea13634e4956</t>
        </is>
      </c>
      <c r="B153" s="24" t="inlineStr">
        <is>
          <t>2026-09-07T22:04:57.350389Z</t>
        </is>
      </c>
      <c r="C153" s="24" t="inlineStr">
        <is>
          <t>2026-09-07T23:00:00Z</t>
        </is>
      </c>
      <c r="D153" s="24" t="inlineStr">
        <is>
          <t>102887</t>
        </is>
      </c>
      <c r="E153" s="24" t="inlineStr">
        <is>
          <t>LOL</t>
        </is>
      </c>
      <c r="F153" s="24" t="inlineStr">
        <is>
          <t>Fuego</t>
        </is>
      </c>
      <c r="G153" s="24" t="inlineStr">
        <is>
          <t>Zeu5 Esports</t>
        </is>
      </c>
      <c r="H153" s="24" t="inlineStr">
        <is>
          <t>moneyline</t>
        </is>
      </c>
      <c r="I153" s="24" t="inlineStr">
        <is>
          <t>away</t>
        </is>
      </c>
      <c r="J153" s="25" t="n"/>
      <c r="K153" s="24" t="inlineStr">
        <is>
          <t>polymarket_us</t>
        </is>
      </c>
      <c r="L153" s="26" t="n">
        <v>-223</v>
      </c>
      <c r="M153" s="27" t="n">
        <v>1.44843</v>
      </c>
      <c r="N153" s="28" t="n">
        <v>0.690402</v>
      </c>
      <c r="O153" s="28" t="n">
        <v>0.523689</v>
      </c>
      <c r="P153" s="28" t="n"/>
      <c r="Q153" s="28" t="n">
        <v>-0.166713</v>
      </c>
      <c r="R153" s="26" t="n">
        <v>0</v>
      </c>
      <c r="S153" s="29" t="n">
        <v>1</v>
      </c>
      <c r="T153" s="24" t="inlineStr">
        <is>
          <t>lol-tiered-elo-v6</t>
        </is>
      </c>
      <c r="U153" s="24" t="inlineStr">
        <is>
          <t>settled</t>
        </is>
      </c>
      <c r="V153" s="24" t="inlineStr">
        <is>
          <t>win</t>
        </is>
      </c>
      <c r="W153" s="26" t="n">
        <v>1</v>
      </c>
      <c r="X153" s="26" t="n">
        <v>0</v>
      </c>
      <c r="Y153" s="25" t="n"/>
      <c r="Z153" s="26" t="n">
        <v>-223</v>
      </c>
      <c r="AA153" s="28" t="n">
        <v>0.6899999999999999</v>
      </c>
      <c r="AB153" s="28" t="n">
        <v>-0.000402</v>
      </c>
      <c r="AC153" s="30" t="n">
        <v>0.4484</v>
      </c>
      <c r="AD153" s="24" t="inlineStr">
        <is>
          <t>2026-09-08T04:32:41.179164Z</t>
        </is>
      </c>
      <c r="AE153" s="31" t="inlineStr">
        <is>
          <t>Neutral Elo baseline; executable ask 0.6900 (market_slug=aec-lol-z5-fue-2026-09-07).</t>
        </is>
      </c>
      <c r="AF153" s="31" t="inlineStr">
        <is>
          <t>Config-promoted esports baseline; gates enforced at log time.</t>
        </is>
      </c>
      <c r="AG153" s="24" t="inlineStr">
        <is>
          <t>not_applicable</t>
        </is>
      </c>
      <c r="AH153" s="24" t="n"/>
      <c r="AI153" s="31" t="n"/>
      <c r="AJ153" s="31" t="n"/>
      <c r="AK153" s="24" t="inlineStr">
        <is>
          <t>paper_call</t>
        </is>
      </c>
      <c r="AL153" s="26" t="n">
        <v>4</v>
      </c>
      <c r="AM153" s="24" t="inlineStr">
        <is>
          <t>RESEARCH_OBSERVATION</t>
        </is>
      </c>
      <c r="AN153" s="24" t="inlineStr">
        <is>
          <t>CALL</t>
        </is>
      </c>
      <c r="AO153" s="24" t="inlineStr">
        <is>
          <t>PAPER_CALL_LOW_EDGE</t>
        </is>
      </c>
      <c r="AP153" s="24" t="inlineStr">
        <is>
          <t>Fuego</t>
        </is>
      </c>
      <c r="AQ153" s="24" t="inlineStr">
        <is>
          <t>Fuego</t>
        </is>
      </c>
      <c r="AR153" s="24" t="inlineStr">
        <is>
          <t>Fuego</t>
        </is>
      </c>
      <c r="AS153" s="24" t="inlineStr">
        <is>
          <t>Zeu5 Esports</t>
        </is>
      </c>
      <c r="AT153" s="24" t="inlineStr">
        <is>
          <t>Zeu5 Esports</t>
        </is>
      </c>
      <c r="AU153" s="24" t="inlineStr">
        <is>
          <t>Zeu5 Esports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9635253fbdfdf405add96dc2900a1cbff82998b1dc4fa3ec20e4da89e32ec8f5</t>
        </is>
      </c>
      <c r="BB153" s="24" t="inlineStr">
        <is>
          <t>neutral_elo</t>
        </is>
      </c>
      <c r="BC153" s="24" t="inlineStr">
        <is>
          <t>lol-tiered-elo-v6</t>
        </is>
      </c>
      <c r="BD153" s="24" t="inlineStr">
        <is>
          <t>9635253fbdfdf405add96dc2900a1cbff82998b1dc4fa3ec20e4da89e32ec8f5</t>
        </is>
      </c>
      <c r="BE153" s="24" t="inlineStr">
        <is>
          <t>1</t>
        </is>
      </c>
      <c r="BF153" s="24" t="inlineStr">
        <is>
          <t>1</t>
        </is>
      </c>
      <c r="BG153" s="24" t="inlineStr">
        <is>
          <t>lol-tiered-elo-v6</t>
        </is>
      </c>
      <c r="BH153" s="24" t="inlineStr">
        <is>
          <t>2026-09-07T22:04:56.096898Z</t>
        </is>
      </c>
      <c r="BI153" s="24" t="inlineStr">
        <is>
          <t>["same_event","same_team_same_day","same_league_same_day"]</t>
        </is>
      </c>
      <c r="BJ153" s="25" t="n"/>
      <c r="BK153" s="26" t="n">
        <v>-223</v>
      </c>
      <c r="BL153" s="27" t="n">
        <v>1.44843</v>
      </c>
      <c r="BM153" s="28" t="n">
        <v>0.690402</v>
      </c>
      <c r="BN153" s="28" t="n"/>
      <c r="BO153" s="28" t="n"/>
      <c r="BP153" s="25" t="n"/>
      <c r="BQ153" s="27" t="n">
        <v>1.44843</v>
      </c>
      <c r="BR153" s="28" t="n">
        <v>0.6899999999999999</v>
      </c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False</t>
        </is>
      </c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n"/>
      <c r="DE153" s="24" t="n"/>
      <c r="DF153" s="24" t="n"/>
      <c r="DG153" s="24" t="n"/>
      <c r="DH153" s="24" t="n"/>
      <c r="DI153" s="24" t="n"/>
      <c r="DJ153" s="24" t="inlineStr">
        <is>
          <t>0.690402</t>
        </is>
      </c>
      <c r="DK153" s="24" t="n"/>
      <c r="DL153" s="24" t="n"/>
      <c r="DM153" s="24" t="n"/>
      <c r="DN153" s="24" t="n"/>
      <c r="DO153" s="24" t="n"/>
      <c r="DP153" s="24" t="n"/>
      <c r="DQ153" s="24" t="n"/>
    </row>
    <row r="154" ht="36" customHeight="1">
      <c r="A154" s="24" t="inlineStr">
        <is>
          <t>b8f05aea8adc445e</t>
        </is>
      </c>
      <c r="B154" s="24" t="inlineStr">
        <is>
          <t>2026-09-08T04:36:08.778671Z</t>
        </is>
      </c>
      <c r="C154" s="24" t="inlineStr">
        <is>
          <t>2026-09-08T05:00:00Z</t>
        </is>
      </c>
      <c r="D154" s="24" t="inlineStr">
        <is>
          <t>103001</t>
        </is>
      </c>
      <c r="E154" s="24" t="inlineStr">
        <is>
          <t>LOL</t>
        </is>
      </c>
      <c r="F154" s="24" t="inlineStr">
        <is>
          <t>KT Rolster Challengers</t>
        </is>
      </c>
      <c r="G154" s="24" t="inlineStr">
        <is>
          <t>T1 Academy</t>
        </is>
      </c>
      <c r="H154" s="24" t="inlineStr">
        <is>
          <t>moneyline</t>
        </is>
      </c>
      <c r="I154" s="24" t="inlineStr">
        <is>
          <t>home</t>
        </is>
      </c>
      <c r="J154" s="25" t="n"/>
      <c r="K154" s="24" t="inlineStr">
        <is>
          <t>polymarket_us</t>
        </is>
      </c>
      <c r="L154" s="26" t="n">
        <v>-186</v>
      </c>
      <c r="M154" s="27" t="n">
        <v>1.537634</v>
      </c>
      <c r="N154" s="28" t="n">
        <v>0.65035</v>
      </c>
      <c r="O154" s="28" t="n">
        <v>0.535413</v>
      </c>
      <c r="P154" s="28" t="n"/>
      <c r="Q154" s="28" t="n">
        <v>-0.114937</v>
      </c>
      <c r="R154" s="26" t="n">
        <v>0</v>
      </c>
      <c r="S154" s="29" t="n">
        <v>1</v>
      </c>
      <c r="T154" s="24" t="inlineStr">
        <is>
          <t>lol-tiered-elo-v6</t>
        </is>
      </c>
      <c r="U154" s="24" t="inlineStr">
        <is>
          <t>settled</t>
        </is>
      </c>
      <c r="V154" s="24" t="inlineStr">
        <is>
          <t>win</t>
        </is>
      </c>
      <c r="W154" s="26" t="n">
        <v>0</v>
      </c>
      <c r="X154" s="26" t="n">
        <v>1</v>
      </c>
      <c r="Y154" s="25" t="n"/>
      <c r="Z154" s="26" t="n">
        <v>-186</v>
      </c>
      <c r="AA154" s="28" t="n">
        <v>0.65</v>
      </c>
      <c r="AB154" s="28" t="n">
        <v>-0.00035</v>
      </c>
      <c r="AC154" s="30" t="n">
        <v>0.5376</v>
      </c>
      <c r="AD154" s="24" t="inlineStr">
        <is>
          <t>2026-09-08T16:03:31.232819Z</t>
        </is>
      </c>
      <c r="AE154" s="31" t="inlineStr">
        <is>
          <t>Neutral Elo baseline; executable ask 0.6500 (market_slug=aec-lol-t1a-ktc-2026-09-08).</t>
        </is>
      </c>
      <c r="AF154" s="31" t="inlineStr">
        <is>
          <t>Config-promoted esports baseline; gates enforced at log time.</t>
        </is>
      </c>
      <c r="AG154" s="24" t="inlineStr">
        <is>
          <t>not_applicable</t>
        </is>
      </c>
      <c r="AH154" s="24" t="n"/>
      <c r="AI154" s="31" t="n"/>
      <c r="AJ154" s="31" t="n"/>
      <c r="AK154" s="24" t="inlineStr">
        <is>
          <t>paper_call</t>
        </is>
      </c>
      <c r="AL154" s="26" t="n">
        <v>4</v>
      </c>
      <c r="AM154" s="24" t="inlineStr">
        <is>
          <t>RESEARCH_OBSERVATION</t>
        </is>
      </c>
      <c r="AN154" s="24" t="inlineStr">
        <is>
          <t>CALL</t>
        </is>
      </c>
      <c r="AO154" s="24" t="inlineStr">
        <is>
          <t>PAPER_CALL_LOW_EDGE</t>
        </is>
      </c>
      <c r="AP154" s="24" t="inlineStr">
        <is>
          <t>KT Rolster Challengers</t>
        </is>
      </c>
      <c r="AQ154" s="24" t="inlineStr">
        <is>
          <t>KT Rolster Challengers</t>
        </is>
      </c>
      <c r="AR154" s="24" t="inlineStr">
        <is>
          <t>KT Rolster Challengers</t>
        </is>
      </c>
      <c r="AS154" s="24" t="inlineStr">
        <is>
          <t>T1 Academy</t>
        </is>
      </c>
      <c r="AT154" s="24" t="inlineStr">
        <is>
          <t>T1 Academy</t>
        </is>
      </c>
      <c r="AU154" s="24" t="inlineStr">
        <is>
          <t>T1 Academy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94331a30c9ae4094d36c9acc3dbc6c9c77a60df6b7dd2a123829f9ff406ddf4c</t>
        </is>
      </c>
      <c r="BB154" s="24" t="inlineStr">
        <is>
          <t>neutral_elo</t>
        </is>
      </c>
      <c r="BC154" s="24" t="inlineStr">
        <is>
          <t>lol-tiered-elo-v6</t>
        </is>
      </c>
      <c r="BD154" s="24" t="inlineStr">
        <is>
          <t>94331a30c9ae4094d36c9acc3dbc6c9c77a60df6b7dd2a123829f9ff406ddf4c</t>
        </is>
      </c>
      <c r="BE154" s="24" t="inlineStr">
        <is>
          <t>1</t>
        </is>
      </c>
      <c r="BF154" s="24" t="inlineStr">
        <is>
          <t>1</t>
        </is>
      </c>
      <c r="BG154" s="24" t="inlineStr">
        <is>
          <t>lol-tiered-elo-v6</t>
        </is>
      </c>
      <c r="BH154" s="24" t="inlineStr">
        <is>
          <t>2026-09-08T04:36:07.608804Z</t>
        </is>
      </c>
      <c r="BI154" s="24" t="inlineStr">
        <is>
          <t>["same_event","same_team_same_day","same_league_same_day"]</t>
        </is>
      </c>
      <c r="BJ154" s="25" t="n"/>
      <c r="BK154" s="26" t="n">
        <v>-186</v>
      </c>
      <c r="BL154" s="27" t="n">
        <v>1.537634</v>
      </c>
      <c r="BM154" s="28" t="n">
        <v>0.65035</v>
      </c>
      <c r="BN154" s="28" t="n"/>
      <c r="BO154" s="28" t="n"/>
      <c r="BP154" s="25" t="n"/>
      <c r="BQ154" s="27" t="n">
        <v>1.537634</v>
      </c>
      <c r="BR154" s="28" t="n">
        <v>0.65</v>
      </c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False</t>
        </is>
      </c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/>
      <c r="DH154" s="24" t="n"/>
      <c r="DI154" s="24" t="n"/>
      <c r="DJ154" s="24" t="inlineStr">
        <is>
          <t>0.65035</t>
        </is>
      </c>
      <c r="DK154" s="24" t="n"/>
      <c r="DL154" s="24" t="n"/>
      <c r="DM154" s="24" t="n"/>
      <c r="DN154" s="24" t="n"/>
      <c r="DO154" s="24" t="n"/>
      <c r="DP154" s="24" t="n"/>
      <c r="DQ154" s="24" t="n"/>
    </row>
    <row r="155" ht="36" customHeight="1">
      <c r="A155" s="24" t="inlineStr">
        <is>
          <t>5606de52a6674e2c</t>
        </is>
      </c>
      <c r="B155" s="24" t="inlineStr">
        <is>
          <t>2026-09-08T04:36:08.778671Z</t>
        </is>
      </c>
      <c r="C155" s="24" t="inlineStr">
        <is>
          <t>2026-09-08T08:00:00Z</t>
        </is>
      </c>
      <c r="D155" s="24" t="inlineStr">
        <is>
          <t>103033</t>
        </is>
      </c>
      <c r="E155" s="24" t="inlineStr">
        <is>
          <t>LOL</t>
        </is>
      </c>
      <c r="F155" s="24" t="inlineStr">
        <is>
          <t>Nongshim Esports Academy</t>
        </is>
      </c>
      <c r="G155" s="24" t="inlineStr">
        <is>
          <t>Dplus KIA Challengers</t>
        </is>
      </c>
      <c r="H155" s="24" t="inlineStr">
        <is>
          <t>moneyline</t>
        </is>
      </c>
      <c r="I155" s="24" t="inlineStr">
        <is>
          <t>home</t>
        </is>
      </c>
      <c r="J155" s="25" t="n"/>
      <c r="K155" s="24" t="inlineStr">
        <is>
          <t>polymarket_us</t>
        </is>
      </c>
      <c r="L155" s="26" t="n">
        <v>104</v>
      </c>
      <c r="M155" s="27" t="n">
        <v>2.04</v>
      </c>
      <c r="N155" s="28" t="n">
        <v>0.490196</v>
      </c>
      <c r="O155" s="28" t="n">
        <v>0.619904</v>
      </c>
      <c r="P155" s="28" t="n"/>
      <c r="Q155" s="28" t="n">
        <v>0.129708</v>
      </c>
      <c r="R155" s="26" t="n">
        <v>85</v>
      </c>
      <c r="S155" s="29" t="n">
        <v>1.5</v>
      </c>
      <c r="T155" s="24" t="inlineStr">
        <is>
          <t>lol-tiered-elo-v6</t>
        </is>
      </c>
      <c r="U155" s="24" t="inlineStr">
        <is>
          <t>settled</t>
        </is>
      </c>
      <c r="V155" s="24" t="inlineStr">
        <is>
          <t>win</t>
        </is>
      </c>
      <c r="W155" s="26" t="n">
        <v>0</v>
      </c>
      <c r="X155" s="26" t="n">
        <v>1</v>
      </c>
      <c r="Y155" s="25" t="n"/>
      <c r="Z155" s="26" t="n">
        <v>104</v>
      </c>
      <c r="AA155" s="28" t="n">
        <v>0.49</v>
      </c>
      <c r="AB155" s="28" t="n">
        <v>-0.000196</v>
      </c>
      <c r="AC155" s="30" t="n">
        <v>1.56</v>
      </c>
      <c r="AD155" s="24" t="inlineStr">
        <is>
          <t>2026-09-08T16:03:31.775831Z</t>
        </is>
      </c>
      <c r="AE155" s="31" t="inlineStr">
        <is>
          <t>Neutral Elo baseline; executable ask 0.4900 (market_slug=aec-lol-dkc-nsea-2026-09-08).</t>
        </is>
      </c>
      <c r="AF155" s="31" t="inlineStr">
        <is>
          <t>Config-promoted esports baseline; gates enforced at log time.</t>
        </is>
      </c>
      <c r="AG155" s="24" t="inlineStr">
        <is>
          <t>not_applicable</t>
        </is>
      </c>
      <c r="AH155" s="24" t="n"/>
      <c r="AI155" s="31" t="n"/>
      <c r="AJ155" s="31" t="n"/>
      <c r="AK155" s="24" t="inlineStr">
        <is>
          <t>model_qualified</t>
        </is>
      </c>
      <c r="AL155" s="26" t="n">
        <v>4</v>
      </c>
      <c r="AM155" s="24" t="inlineStr">
        <is>
          <t>QUALIFIED_SHADOW_CALL</t>
        </is>
      </c>
      <c r="AN155" s="24" t="inlineStr">
        <is>
          <t>CALL</t>
        </is>
      </c>
      <c r="AO155" s="24" t="inlineStr">
        <is>
          <t>QUALIFIED</t>
        </is>
      </c>
      <c r="AP155" s="24" t="inlineStr">
        <is>
          <t>Nongshim Esports Academy</t>
        </is>
      </c>
      <c r="AQ155" s="24" t="inlineStr">
        <is>
          <t>Nongshim Esports Academy</t>
        </is>
      </c>
      <c r="AR155" s="24" t="inlineStr">
        <is>
          <t>Nongshim Esports Academy</t>
        </is>
      </c>
      <c r="AS155" s="24" t="inlineStr">
        <is>
          <t>Dplus KIA Challengers</t>
        </is>
      </c>
      <c r="AT155" s="24" t="inlineStr">
        <is>
          <t>Dplus KIA Challengers</t>
        </is>
      </c>
      <c r="AU155" s="24" t="inlineStr">
        <is>
          <t>Dplus KIA Challengers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94331a30c9ae4094d36c9acc3dbc6c9c77a60df6b7dd2a123829f9ff406ddf4c</t>
        </is>
      </c>
      <c r="BB155" s="24" t="inlineStr">
        <is>
          <t>neutral_elo</t>
        </is>
      </c>
      <c r="BC155" s="24" t="inlineStr">
        <is>
          <t>lol-tiered-elo-v6</t>
        </is>
      </c>
      <c r="BD155" s="24" t="inlineStr">
        <is>
          <t>94331a30c9ae4094d36c9acc3dbc6c9c77a60df6b7dd2a123829f9ff406ddf4c</t>
        </is>
      </c>
      <c r="BE155" s="24" t="inlineStr">
        <is>
          <t>1</t>
        </is>
      </c>
      <c r="BF155" s="24" t="inlineStr">
        <is>
          <t>1</t>
        </is>
      </c>
      <c r="BG155" s="24" t="inlineStr">
        <is>
          <t>lol-tiered-elo-v6</t>
        </is>
      </c>
      <c r="BH155" s="24" t="inlineStr">
        <is>
          <t>2026-09-08T04:36:07.680769Z</t>
        </is>
      </c>
      <c r="BI155" s="24" t="inlineStr">
        <is>
          <t>["same_event","same_team_same_day","same_league_same_day"]</t>
        </is>
      </c>
      <c r="BJ155" s="25" t="n"/>
      <c r="BK155" s="26" t="n">
        <v>104</v>
      </c>
      <c r="BL155" s="27" t="n">
        <v>2.04</v>
      </c>
      <c r="BM155" s="28" t="n">
        <v>0.490196</v>
      </c>
      <c r="BN155" s="28" t="n"/>
      <c r="BO155" s="28" t="n"/>
      <c r="BP155" s="25" t="n"/>
      <c r="BQ155" s="27" t="n">
        <v>2.04</v>
      </c>
      <c r="BR155" s="28" t="n">
        <v>0.49</v>
      </c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True</t>
        </is>
      </c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n"/>
      <c r="DE155" s="24" t="n"/>
      <c r="DF155" s="24" t="n"/>
      <c r="DG155" s="24" t="n"/>
      <c r="DH155" s="24" t="n"/>
      <c r="DI155" s="24" t="n"/>
      <c r="DJ155" s="24" t="inlineStr">
        <is>
          <t>0.490196</t>
        </is>
      </c>
      <c r="DK155" s="24" t="n"/>
      <c r="DL155" s="24" t="n"/>
      <c r="DM155" s="24" t="n"/>
      <c r="DN155" s="24" t="n"/>
      <c r="DO155" s="24" t="n"/>
      <c r="DP155" s="24" t="n"/>
      <c r="DQ155" s="24" t="n"/>
    </row>
    <row r="156" ht="36" customHeight="1">
      <c r="A156" s="24" t="inlineStr">
        <is>
          <t>360143857747459a</t>
        </is>
      </c>
      <c r="B156" s="24" t="inlineStr">
        <is>
          <t>2026-09-08T04:36:08.778671Z</t>
        </is>
      </c>
      <c r="C156" s="24" t="inlineStr">
        <is>
          <t>2026-09-08T09:00:00Z</t>
        </is>
      </c>
      <c r="D156" s="24" t="inlineStr">
        <is>
          <t>104638</t>
        </is>
      </c>
      <c r="E156" s="24" t="inlineStr">
        <is>
          <t>LOL</t>
        </is>
      </c>
      <c r="F156" s="24" t="inlineStr">
        <is>
          <t>LGD Gaming</t>
        </is>
      </c>
      <c r="G156" s="24" t="inlineStr">
        <is>
          <t>Invictus Gaming</t>
        </is>
      </c>
      <c r="H156" s="24" t="inlineStr">
        <is>
          <t>moneyline</t>
        </is>
      </c>
      <c r="I156" s="24" t="inlineStr">
        <is>
          <t>home</t>
        </is>
      </c>
      <c r="J156" s="25" t="n"/>
      <c r="K156" s="24" t="inlineStr">
        <is>
          <t>polymarket_us</t>
        </is>
      </c>
      <c r="L156" s="26" t="n">
        <v>-178</v>
      </c>
      <c r="M156" s="27" t="n">
        <v>1.561798</v>
      </c>
      <c r="N156" s="28" t="n">
        <v>0.640288</v>
      </c>
      <c r="O156" s="28" t="n">
        <v>0.55443</v>
      </c>
      <c r="P156" s="28" t="n"/>
      <c r="Q156" s="28" t="n">
        <v>-0.085858</v>
      </c>
      <c r="R156" s="26" t="n">
        <v>0</v>
      </c>
      <c r="S156" s="29" t="n">
        <v>1</v>
      </c>
      <c r="T156" s="24" t="inlineStr">
        <is>
          <t>lol-tiered-elo-v6</t>
        </is>
      </c>
      <c r="U156" s="24" t="inlineStr">
        <is>
          <t>settled</t>
        </is>
      </c>
      <c r="V156" s="24" t="inlineStr">
        <is>
          <t>win</t>
        </is>
      </c>
      <c r="W156" s="26" t="n">
        <v>0</v>
      </c>
      <c r="X156" s="26" t="n">
        <v>1</v>
      </c>
      <c r="Y156" s="25" t="n"/>
      <c r="Z156" s="26" t="n">
        <v>-178</v>
      </c>
      <c r="AA156" s="28" t="n">
        <v>0.64</v>
      </c>
      <c r="AB156" s="28" t="n">
        <v>-0.000288</v>
      </c>
      <c r="AC156" s="30" t="n">
        <v>0.5618</v>
      </c>
      <c r="AD156" s="24" t="inlineStr">
        <is>
          <t>2026-09-08T16:03:32.354499Z</t>
        </is>
      </c>
      <c r="AE156" s="31" t="inlineStr">
        <is>
          <t>Neutral Elo baseline; executable ask 0.6400 (market_slug=aec-lol-ig-lgd-2026-09-08).</t>
        </is>
      </c>
      <c r="AF156" s="31" t="inlineStr">
        <is>
          <t>Config-promoted esports baseline; gates enforced at log time.</t>
        </is>
      </c>
      <c r="AG156" s="24" t="inlineStr">
        <is>
          <t>not_applicable</t>
        </is>
      </c>
      <c r="AH156" s="24" t="n"/>
      <c r="AI156" s="31" t="n"/>
      <c r="AJ156" s="31" t="n"/>
      <c r="AK156" s="24" t="inlineStr">
        <is>
          <t>paper_call</t>
        </is>
      </c>
      <c r="AL156" s="26" t="n">
        <v>4</v>
      </c>
      <c r="AM156" s="24" t="inlineStr">
        <is>
          <t>RESEARCH_OBSERVATION</t>
        </is>
      </c>
      <c r="AN156" s="24" t="inlineStr">
        <is>
          <t>CALL</t>
        </is>
      </c>
      <c r="AO156" s="24" t="inlineStr">
        <is>
          <t>PAPER_CALL_LOW_EDGE</t>
        </is>
      </c>
      <c r="AP156" s="24" t="inlineStr">
        <is>
          <t>LGD Gaming</t>
        </is>
      </c>
      <c r="AQ156" s="24" t="inlineStr">
        <is>
          <t>LGD Gaming</t>
        </is>
      </c>
      <c r="AR156" s="24" t="inlineStr">
        <is>
          <t>LGD Gaming</t>
        </is>
      </c>
      <c r="AS156" s="24" t="inlineStr">
        <is>
          <t>Invictus Gaming</t>
        </is>
      </c>
      <c r="AT156" s="24" t="inlineStr">
        <is>
          <t>Invictus Gaming</t>
        </is>
      </c>
      <c r="AU156" s="24" t="inlineStr">
        <is>
          <t>Invictus Gaming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94331a30c9ae4094d36c9acc3dbc6c9c77a60df6b7dd2a123829f9ff406ddf4c</t>
        </is>
      </c>
      <c r="BB156" s="24" t="inlineStr">
        <is>
          <t>neutral_elo</t>
        </is>
      </c>
      <c r="BC156" s="24" t="inlineStr">
        <is>
          <t>lol-tiered-elo-v6</t>
        </is>
      </c>
      <c r="BD156" s="24" t="inlineStr">
        <is>
          <t>94331a30c9ae4094d36c9acc3dbc6c9c77a60df6b7dd2a123829f9ff406ddf4c</t>
        </is>
      </c>
      <c r="BE156" s="24" t="inlineStr">
        <is>
          <t>1</t>
        </is>
      </c>
      <c r="BF156" s="24" t="inlineStr">
        <is>
          <t>1</t>
        </is>
      </c>
      <c r="BG156" s="24" t="inlineStr">
        <is>
          <t>lol-tiered-elo-v6</t>
        </is>
      </c>
      <c r="BH156" s="24" t="inlineStr">
        <is>
          <t>2026-09-08T04:36:07.750784Z</t>
        </is>
      </c>
      <c r="BI156" s="24" t="inlineStr">
        <is>
          <t>["same_event","same_team_same_day","same_league_same_day"]</t>
        </is>
      </c>
      <c r="BJ156" s="25" t="n"/>
      <c r="BK156" s="26" t="n">
        <v>-178</v>
      </c>
      <c r="BL156" s="27" t="n">
        <v>1.561798</v>
      </c>
      <c r="BM156" s="28" t="n">
        <v>0.640288</v>
      </c>
      <c r="BN156" s="28" t="n"/>
      <c r="BO156" s="28" t="n"/>
      <c r="BP156" s="25" t="n"/>
      <c r="BQ156" s="27" t="n">
        <v>1.561798</v>
      </c>
      <c r="BR156" s="28" t="n">
        <v>0.64</v>
      </c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False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inlineStr">
        <is>
          <t>0.640288</t>
        </is>
      </c>
      <c r="DK156" s="24" t="n"/>
      <c r="DL156" s="24" t="n"/>
      <c r="DM156" s="24" t="n"/>
      <c r="DN156" s="24" t="n"/>
      <c r="DO156" s="24" t="n"/>
      <c r="DP156" s="24" t="n"/>
      <c r="DQ156" s="24" t="n"/>
    </row>
    <row r="157" ht="36" customHeight="1">
      <c r="A157" s="24" t="inlineStr">
        <is>
          <t>2e7d7dde80f8450e</t>
        </is>
      </c>
      <c r="B157" s="24" t="inlineStr">
        <is>
          <t>2026-09-08T16:17:14.464731Z</t>
        </is>
      </c>
      <c r="C157" s="24" t="inlineStr">
        <is>
          <t>2026-09-08T20:00:00Z</t>
        </is>
      </c>
      <c r="D157" s="24" t="inlineStr">
        <is>
          <t>106443</t>
        </is>
      </c>
      <c r="E157" s="24" t="inlineStr">
        <is>
          <t>LOL</t>
        </is>
      </c>
      <c r="F157" s="24" t="inlineStr">
        <is>
          <t>KaBuM! Ilha das Lendas</t>
        </is>
      </c>
      <c r="G157" s="24" t="inlineStr">
        <is>
          <t>Vivo Keyd Stars Academy</t>
        </is>
      </c>
      <c r="H157" s="24" t="inlineStr">
        <is>
          <t>moneyline</t>
        </is>
      </c>
      <c r="I157" s="24" t="inlineStr">
        <is>
          <t>away</t>
        </is>
      </c>
      <c r="J157" s="25" t="n"/>
      <c r="K157" s="24" t="inlineStr">
        <is>
          <t>polymarket_us</t>
        </is>
      </c>
      <c r="L157" s="26" t="n">
        <v>104</v>
      </c>
      <c r="M157" s="27" t="n">
        <v>2.04</v>
      </c>
      <c r="N157" s="28" t="n">
        <v>0.490196</v>
      </c>
      <c r="O157" s="28" t="n">
        <v>0.529122</v>
      </c>
      <c r="P157" s="28" t="n"/>
      <c r="Q157" s="28" t="n">
        <v>0.038926</v>
      </c>
      <c r="R157" s="26" t="n">
        <v>39</v>
      </c>
      <c r="S157" s="29" t="n">
        <v>1</v>
      </c>
      <c r="T157" s="24" t="inlineStr">
        <is>
          <t>lol-tiered-elo-v6</t>
        </is>
      </c>
      <c r="U157" s="24" t="inlineStr">
        <is>
          <t>settled</t>
        </is>
      </c>
      <c r="V157" s="24" t="inlineStr">
        <is>
          <t>win</t>
        </is>
      </c>
      <c r="W157" s="26" t="n">
        <v>1</v>
      </c>
      <c r="X157" s="26" t="n">
        <v>0</v>
      </c>
      <c r="Y157" s="25" t="n"/>
      <c r="Z157" s="26" t="n">
        <v>104</v>
      </c>
      <c r="AA157" s="28" t="n">
        <v>0.49</v>
      </c>
      <c r="AB157" s="28" t="n">
        <v>-0.000196</v>
      </c>
      <c r="AC157" s="30" t="n">
        <v>1.04</v>
      </c>
      <c r="AD157" s="24" t="inlineStr">
        <is>
          <t>2026-09-09T04:32:57.372704Z</t>
        </is>
      </c>
      <c r="AE157" s="31" t="inlineStr">
        <is>
          <t>Neutral Elo baseline; executable ask 0.4900 (market_slug=aec-lol-vksa-kbm-2026-09-08).</t>
        </is>
      </c>
      <c r="AF157" s="31" t="inlineStr">
        <is>
          <t>Config-promoted esports baseline; gates enforced at log time.</t>
        </is>
      </c>
      <c r="AG157" s="24" t="inlineStr">
        <is>
          <t>not_applicable</t>
        </is>
      </c>
      <c r="AH157" s="24" t="n"/>
      <c r="AI157" s="31" t="n"/>
      <c r="AJ157" s="31" t="n"/>
      <c r="AK157" s="24" t="inlineStr">
        <is>
          <t>paper_call</t>
        </is>
      </c>
      <c r="AL157" s="26" t="n">
        <v>4</v>
      </c>
      <c r="AM157" s="24" t="inlineStr">
        <is>
          <t>RESEARCH_OBSERVATION</t>
        </is>
      </c>
      <c r="AN157" s="24" t="inlineStr">
        <is>
          <t>CALL</t>
        </is>
      </c>
      <c r="AO157" s="24" t="inlineStr">
        <is>
          <t>PAPER_CALL_LOW_EDGE</t>
        </is>
      </c>
      <c r="AP157" s="24" t="inlineStr">
        <is>
          <t>KaBuM! Ilha das Lendas</t>
        </is>
      </c>
      <c r="AQ157" s="24" t="inlineStr">
        <is>
          <t>KaBuM! Ilha das Lendas</t>
        </is>
      </c>
      <c r="AR157" s="24" t="inlineStr">
        <is>
          <t>KaBuM! Ilha das Lendas</t>
        </is>
      </c>
      <c r="AS157" s="24" t="inlineStr">
        <is>
          <t>Vivo Keyd Stars Academy</t>
        </is>
      </c>
      <c r="AT157" s="24" t="inlineStr">
        <is>
          <t>Vivo Keyd Stars Academy</t>
        </is>
      </c>
      <c r="AU157" s="24" t="inlineStr">
        <is>
          <t>Vivo Keyd Stars Academy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3580155fadac5c9b61a6f23ca9f058e49690af6d7ba67b0c4f90a57d97cd2c32</t>
        </is>
      </c>
      <c r="BB157" s="24" t="inlineStr">
        <is>
          <t>neutral_elo</t>
        </is>
      </c>
      <c r="BC157" s="24" t="inlineStr">
        <is>
          <t>lol-tiered-elo-v6</t>
        </is>
      </c>
      <c r="BD157" s="24" t="inlineStr">
        <is>
          <t>3580155fadac5c9b61a6f23ca9f058e49690af6d7ba67b0c4f90a57d97cd2c32</t>
        </is>
      </c>
      <c r="BE157" s="24" t="inlineStr">
        <is>
          <t>1</t>
        </is>
      </c>
      <c r="BF157" s="24" t="inlineStr">
        <is>
          <t>1</t>
        </is>
      </c>
      <c r="BG157" s="24" t="inlineStr">
        <is>
          <t>lol-tiered-elo-v6</t>
        </is>
      </c>
      <c r="BH157" s="24" t="inlineStr">
        <is>
          <t>2026-09-08T16:17:13.415076Z</t>
        </is>
      </c>
      <c r="BI157" s="24" t="inlineStr">
        <is>
          <t>["same_event","same_team_same_day","same_league_same_day"]</t>
        </is>
      </c>
      <c r="BJ157" s="25" t="n"/>
      <c r="BK157" s="26" t="n">
        <v>104</v>
      </c>
      <c r="BL157" s="27" t="n">
        <v>2.04</v>
      </c>
      <c r="BM157" s="28" t="n">
        <v>0.490196</v>
      </c>
      <c r="BN157" s="28" t="n"/>
      <c r="BO157" s="28" t="n"/>
      <c r="BP157" s="25" t="n"/>
      <c r="BQ157" s="27" t="n">
        <v>2.04</v>
      </c>
      <c r="BR157" s="28" t="n">
        <v>0.49</v>
      </c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True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inlineStr">
        <is>
          <t>0.490196</t>
        </is>
      </c>
      <c r="DK157" s="24" t="n"/>
      <c r="DL157" s="24" t="n"/>
      <c r="DM157" s="24" t="n"/>
      <c r="DN157" s="24" t="n"/>
      <c r="DO157" s="24" t="n"/>
      <c r="DP157" s="24" t="n"/>
      <c r="DQ157" s="24" t="n"/>
    </row>
    <row r="158" ht="36" customHeight="1">
      <c r="A158" s="24" t="inlineStr">
        <is>
          <t>70fb23c70c524d59</t>
        </is>
      </c>
      <c r="B158" s="24" t="inlineStr">
        <is>
          <t>2026-09-09T04:35:24.265619Z</t>
        </is>
      </c>
      <c r="C158" s="24" t="inlineStr">
        <is>
          <t>2026-09-09T08:00:00Z</t>
        </is>
      </c>
      <c r="D158" s="24" t="inlineStr">
        <is>
          <t>106961</t>
        </is>
      </c>
      <c r="E158" s="24" t="inlineStr">
        <is>
          <t>LOL</t>
        </is>
      </c>
      <c r="F158" s="24" t="inlineStr">
        <is>
          <t>Nongshim Esports Academy</t>
        </is>
      </c>
      <c r="G158" s="24" t="inlineStr">
        <is>
          <t>DN SOOPers Challengers</t>
        </is>
      </c>
      <c r="H158" s="24" t="inlineStr">
        <is>
          <t>moneyline</t>
        </is>
      </c>
      <c r="I158" s="24" t="inlineStr">
        <is>
          <t>away</t>
        </is>
      </c>
      <c r="J158" s="25" t="n"/>
      <c r="K158" s="24" t="inlineStr">
        <is>
          <t>polymarket_us</t>
        </is>
      </c>
      <c r="L158" s="26" t="n">
        <v>-138</v>
      </c>
      <c r="M158" s="27" t="n">
        <v>1.724638</v>
      </c>
      <c r="N158" s="28" t="n">
        <v>0.579832</v>
      </c>
      <c r="O158" s="28" t="n">
        <v>0.505745</v>
      </c>
      <c r="P158" s="28" t="n"/>
      <c r="Q158" s="28" t="n">
        <v>-0.074087</v>
      </c>
      <c r="R158" s="26" t="n">
        <v>0</v>
      </c>
      <c r="S158" s="29" t="n">
        <v>1</v>
      </c>
      <c r="T158" s="24" t="inlineStr">
        <is>
          <t>lol-tiered-elo-v6</t>
        </is>
      </c>
      <c r="U158" s="24" t="inlineStr">
        <is>
          <t>settled</t>
        </is>
      </c>
      <c r="V158" s="24" t="inlineStr">
        <is>
          <t>loss</t>
        </is>
      </c>
      <c r="W158" s="26" t="n">
        <v>0</v>
      </c>
      <c r="X158" s="26" t="n">
        <v>1</v>
      </c>
      <c r="Y158" s="25" t="n"/>
      <c r="Z158" s="26" t="n">
        <v>-138</v>
      </c>
      <c r="AA158" s="28" t="n">
        <v>0.58</v>
      </c>
      <c r="AB158" s="28" t="n">
        <v>0.000168</v>
      </c>
      <c r="AC158" s="30" t="n">
        <v>-1</v>
      </c>
      <c r="AD158" s="24" t="inlineStr">
        <is>
          <t>2026-09-09T16:02:31.301957Z</t>
        </is>
      </c>
      <c r="AE158" s="31" t="inlineStr">
        <is>
          <t>Neutral Elo baseline; executable ask 0.5800 (market_slug=aec-lol-dnsc-nsea-2026-09-09).</t>
        </is>
      </c>
      <c r="AF158" s="31" t="inlineStr">
        <is>
          <t>Config-promoted esports baseline; gates enforced at log time.</t>
        </is>
      </c>
      <c r="AG158" s="24" t="inlineStr">
        <is>
          <t>review_required</t>
        </is>
      </c>
      <c r="AH158" s="24" t="n"/>
      <c r="AI158" s="31" t="n"/>
      <c r="AJ158" s="31" t="n"/>
      <c r="AK158" s="24" t="inlineStr">
        <is>
          <t>paper_call</t>
        </is>
      </c>
      <c r="AL158" s="26" t="n">
        <v>4</v>
      </c>
      <c r="AM158" s="24" t="inlineStr">
        <is>
          <t>RESEARCH_OBSERVATION</t>
        </is>
      </c>
      <c r="AN158" s="24" t="inlineStr">
        <is>
          <t>CALL</t>
        </is>
      </c>
      <c r="AO158" s="24" t="inlineStr">
        <is>
          <t>PAPER_CALL_LOW_EDGE</t>
        </is>
      </c>
      <c r="AP158" s="24" t="inlineStr">
        <is>
          <t>Nongshim Esports Academy</t>
        </is>
      </c>
      <c r="AQ158" s="24" t="inlineStr">
        <is>
          <t>Nongshim Esports Academy</t>
        </is>
      </c>
      <c r="AR158" s="24" t="inlineStr">
        <is>
          <t>Nongshim Esports Academy</t>
        </is>
      </c>
      <c r="AS158" s="24" t="inlineStr">
        <is>
          <t>DN SOOPers Challengers</t>
        </is>
      </c>
      <c r="AT158" s="24" t="inlineStr">
        <is>
          <t>DN SOOPers Challengers</t>
        </is>
      </c>
      <c r="AU158" s="24" t="inlineStr">
        <is>
          <t>DN SOOPers Challengers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28956bbc7f5db93be3b6cf14a5dd7055d66971a31741e2a25d3f2f8866f1600e</t>
        </is>
      </c>
      <c r="BB158" s="24" t="inlineStr">
        <is>
          <t>neutral_elo</t>
        </is>
      </c>
      <c r="BC158" s="24" t="inlineStr">
        <is>
          <t>lol-tiered-elo-v6</t>
        </is>
      </c>
      <c r="BD158" s="24" t="inlineStr">
        <is>
          <t>28956bbc7f5db93be3b6cf14a5dd7055d66971a31741e2a25d3f2f8866f1600e</t>
        </is>
      </c>
      <c r="BE158" s="24" t="inlineStr">
        <is>
          <t>1</t>
        </is>
      </c>
      <c r="BF158" s="24" t="inlineStr">
        <is>
          <t>1</t>
        </is>
      </c>
      <c r="BG158" s="24" t="inlineStr">
        <is>
          <t>lol-tiered-elo-v6</t>
        </is>
      </c>
      <c r="BH158" s="24" t="inlineStr">
        <is>
          <t>2026-09-09T04:35:23.189454Z</t>
        </is>
      </c>
      <c r="BI158" s="24" t="inlineStr">
        <is>
          <t>["same_event","same_team_same_day","same_league_same_day"]</t>
        </is>
      </c>
      <c r="BJ158" s="25" t="n"/>
      <c r="BK158" s="26" t="n">
        <v>-138</v>
      </c>
      <c r="BL158" s="27" t="n">
        <v>1.724638</v>
      </c>
      <c r="BM158" s="28" t="n">
        <v>0.579832</v>
      </c>
      <c r="BN158" s="28" t="n"/>
      <c r="BO158" s="28" t="n"/>
      <c r="BP158" s="25" t="n"/>
      <c r="BQ158" s="27" t="n">
        <v>1.724638</v>
      </c>
      <c r="BR158" s="28" t="n">
        <v>0.58</v>
      </c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False</t>
        </is>
      </c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inlineStr">
        <is>
          <t>0.579832</t>
        </is>
      </c>
      <c r="DK158" s="24" t="n"/>
      <c r="DL158" s="24" t="n"/>
      <c r="DM158" s="24" t="n"/>
      <c r="DN158" s="24" t="n"/>
      <c r="DO158" s="24" t="n"/>
      <c r="DP158" s="24" t="n"/>
      <c r="DQ158" s="24" t="n"/>
    </row>
    <row r="159" ht="36" customHeight="1">
      <c r="A159" s="24" t="inlineStr">
        <is>
          <t>b1c8ee40a5d64ecb</t>
        </is>
      </c>
      <c r="B159" s="24" t="inlineStr">
        <is>
          <t>2026-09-10T04:36:19.105575Z</t>
        </is>
      </c>
      <c r="C159" s="24" t="inlineStr">
        <is>
          <t>2026-09-10T08:00:00Z</t>
        </is>
      </c>
      <c r="D159" s="24" t="inlineStr">
        <is>
          <t>106753</t>
        </is>
      </c>
      <c r="E159" s="24" t="inlineStr">
        <is>
          <t>LOL</t>
        </is>
      </c>
      <c r="F159" s="24" t="inlineStr">
        <is>
          <t>Dplus KIA Challengers</t>
        </is>
      </c>
      <c r="G159" s="24" t="inlineStr">
        <is>
          <t>T1 Academy</t>
        </is>
      </c>
      <c r="H159" s="24" t="inlineStr">
        <is>
          <t>moneyline</t>
        </is>
      </c>
      <c r="I159" s="24" t="inlineStr">
        <is>
          <t>away</t>
        </is>
      </c>
      <c r="J159" s="25" t="n"/>
      <c r="K159" s="24" t="inlineStr">
        <is>
          <t>polymarket_us</t>
        </is>
      </c>
      <c r="L159" s="26" t="n">
        <v>127</v>
      </c>
      <c r="M159" s="27" t="n">
        <v>2.27</v>
      </c>
      <c r="N159" s="28" t="n">
        <v>0.440529</v>
      </c>
      <c r="O159" s="28" t="n">
        <v>0.509159</v>
      </c>
      <c r="P159" s="28" t="n"/>
      <c r="Q159" s="28" t="n">
        <v>0.06863</v>
      </c>
      <c r="R159" s="26" t="n">
        <v>54</v>
      </c>
      <c r="S159" s="29" t="n">
        <v>1</v>
      </c>
      <c r="T159" s="24" t="inlineStr">
        <is>
          <t>lol-tiered-elo-v6</t>
        </is>
      </c>
      <c r="U159" s="24" t="inlineStr">
        <is>
          <t>settled</t>
        </is>
      </c>
      <c r="V159" s="24" t="inlineStr">
        <is>
          <t>loss</t>
        </is>
      </c>
      <c r="W159" s="26" t="n">
        <v>0</v>
      </c>
      <c r="X159" s="26" t="n">
        <v>1</v>
      </c>
      <c r="Y159" s="25" t="n"/>
      <c r="Z159" s="26" t="n">
        <v>127</v>
      </c>
      <c r="AA159" s="28" t="n">
        <v>0.44</v>
      </c>
      <c r="AB159" s="28" t="n">
        <v>-0.000529</v>
      </c>
      <c r="AC159" s="30" t="n">
        <v>-1</v>
      </c>
      <c r="AD159" s="24" t="inlineStr">
        <is>
          <t>2026-09-10T22:03:14.805388Z</t>
        </is>
      </c>
      <c r="AE159" s="31" t="inlineStr">
        <is>
          <t>Neutral Elo baseline; executable ask 0.4400 (market_slug=aec-lol-t1a-dkc-2026-09-10).</t>
        </is>
      </c>
      <c r="AF159" s="31" t="inlineStr">
        <is>
          <t>Config-promoted esports baseline; gates enforced at log time.</t>
        </is>
      </c>
      <c r="AG159" s="24" t="inlineStr">
        <is>
          <t>review_required</t>
        </is>
      </c>
      <c r="AH159" s="24" t="n"/>
      <c r="AI159" s="31" t="n"/>
      <c r="AJ159" s="31" t="n"/>
      <c r="AK159" s="24" t="inlineStr">
        <is>
          <t>paper_call</t>
        </is>
      </c>
      <c r="AL159" s="26" t="n">
        <v>4</v>
      </c>
      <c r="AM159" s="24" t="inlineStr">
        <is>
          <t>RESEARCH_OBSERVATION</t>
        </is>
      </c>
      <c r="AN159" s="24" t="inlineStr">
        <is>
          <t>CALL</t>
        </is>
      </c>
      <c r="AO159" s="24" t="inlineStr">
        <is>
          <t>PAPER_CALL_LOW_EDGE</t>
        </is>
      </c>
      <c r="AP159" s="24" t="inlineStr">
        <is>
          <t>Dplus KIA Challengers</t>
        </is>
      </c>
      <c r="AQ159" s="24" t="inlineStr">
        <is>
          <t>Dplus KIA Challengers</t>
        </is>
      </c>
      <c r="AR159" s="24" t="inlineStr">
        <is>
          <t>Dplus KIA Challengers</t>
        </is>
      </c>
      <c r="AS159" s="24" t="inlineStr">
        <is>
          <t>T1 Academy</t>
        </is>
      </c>
      <c r="AT159" s="24" t="inlineStr">
        <is>
          <t>T1 Academy</t>
        </is>
      </c>
      <c r="AU159" s="24" t="inlineStr">
        <is>
          <t>T1 Academy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5ecca44a9bcc7294efb5544d3141862f40e37779b21035eb4123d48a6be5461c</t>
        </is>
      </c>
      <c r="BB159" s="24" t="inlineStr">
        <is>
          <t>neutral_elo</t>
        </is>
      </c>
      <c r="BC159" s="24" t="inlineStr">
        <is>
          <t>lol-tiered-elo-v6</t>
        </is>
      </c>
      <c r="BD159" s="24" t="inlineStr">
        <is>
          <t>5ecca44a9bcc7294efb5544d3141862f40e37779b21035eb4123d48a6be5461c</t>
        </is>
      </c>
      <c r="BE159" s="24" t="inlineStr">
        <is>
          <t>1</t>
        </is>
      </c>
      <c r="BF159" s="24" t="inlineStr">
        <is>
          <t>1</t>
        </is>
      </c>
      <c r="BG159" s="24" t="inlineStr">
        <is>
          <t>lol-tiered-elo-v6</t>
        </is>
      </c>
      <c r="BH159" s="24" t="inlineStr">
        <is>
          <t>2026-09-10T04:36:17.849140Z</t>
        </is>
      </c>
      <c r="BI159" s="24" t="inlineStr">
        <is>
          <t>["same_event","same_team_same_day","same_league_same_day"]</t>
        </is>
      </c>
      <c r="BJ159" s="25" t="n"/>
      <c r="BK159" s="26" t="n">
        <v>127</v>
      </c>
      <c r="BL159" s="27" t="n">
        <v>2.27</v>
      </c>
      <c r="BM159" s="28" t="n">
        <v>0.440529</v>
      </c>
      <c r="BN159" s="28" t="n"/>
      <c r="BO159" s="28" t="n"/>
      <c r="BP159" s="25" t="n"/>
      <c r="BQ159" s="27" t="n">
        <v>2.27</v>
      </c>
      <c r="BR159" s="28" t="n">
        <v>0.44</v>
      </c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True</t>
        </is>
      </c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/>
      <c r="DJ159" s="24" t="inlineStr">
        <is>
          <t>0.440529</t>
        </is>
      </c>
      <c r="DK159" s="24" t="n"/>
      <c r="DL159" s="24" t="n"/>
      <c r="DM159" s="24" t="n"/>
      <c r="DN159" s="24" t="n"/>
      <c r="DO159" s="24" t="n"/>
      <c r="DP159" s="24" t="n"/>
      <c r="DQ159" s="24" t="inlineStr">
        <is>
          <t>{"artifact_hash": "5ecca44a9bcc7294efb5544d3141862f40e37779b21035eb4123d48a6be5461c", "away_team": "Dplus KIA Challengers", "event_id": "106753", "event_start_utc": "2026-09-10T08:00:00Z", "features": {"away_elo": 1894.643263, "away_history_count": 139, "home_elo": 1865.133784, "home_history_count": 148}, "historical_source_observation_times_verified": false, "home_team": "T1 Academy", "inference_inputs": {"book_state": {"games_played": {"bo3:3:16865": 139, "bo3:3:17053": 148}, "inactivity_half_life_days": null, "inactivity_max_pull": null, "k": 40.0, "last_match_utc": {"bo3:3:16865": "2026-09-08T09:30:00Z", "bo3:3:17053": "2026-09-08T05:00:00Z"}, "minimum_reliable_games": null, "platt_intercept": 0.09147419392370856, "platt_slope": 0.7894897660335292, "ratings": {"bo3:3:16865": 1894.643263, "bo3:3:17053": 1865.133784},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"2026-09-10T04:36:17.661332+00:00", "team_ids": ["bo3:3:17053", "bo3:3:16865"]}, "market_type": "moneyline", "model_version": "lol-tiered-elo-v6", "observed_at_utc": "2026-09-10T04:36:17.661332+00:00", "probabilities": {"away": 0.509159, "home": 0.490841}, "replay_scope": "Exact serving book state, calibration, temperature, inactivity reference and thin-history adjustments; training provenance not certified.", "schema": "esports-elo-replay-v1", "snapshot_hash": "926a9709388accf9a0a950eeb50695b30cbb0a461c388fd4fd76de476dda55cb", "sport": "LOL"}</t>
        </is>
      </c>
    </row>
    <row r="160" ht="36" customHeight="1">
      <c r="A160" s="24" t="inlineStr">
        <is>
          <t>8405db0350a94c0b</t>
        </is>
      </c>
      <c r="B160" s="24" t="inlineStr">
        <is>
          <t>2026-09-10T10:04:53.790237Z</t>
        </is>
      </c>
      <c r="C160" s="24" t="inlineStr">
        <is>
          <t>2026-09-10T15:00:00Z</t>
        </is>
      </c>
      <c r="D160" s="24" t="inlineStr">
        <is>
          <t>108074</t>
        </is>
      </c>
      <c r="E160" s="24" t="inlineStr">
        <is>
          <t>LOL</t>
        </is>
      </c>
      <c r="F160" s="24" t="inlineStr">
        <is>
          <t>Lodis</t>
        </is>
      </c>
      <c r="G160" s="24" t="inlineStr">
        <is>
          <t>BOMBA Team</t>
        </is>
      </c>
      <c r="H160" s="24" t="inlineStr">
        <is>
          <t>moneyline</t>
        </is>
      </c>
      <c r="I160" s="24" t="inlineStr">
        <is>
          <t>home</t>
        </is>
      </c>
      <c r="J160" s="25" t="n"/>
      <c r="K160" s="24" t="inlineStr">
        <is>
          <t>polymarket_us</t>
        </is>
      </c>
      <c r="L160" s="26" t="n">
        <v>122</v>
      </c>
      <c r="M160" s="27" t="n">
        <v>2.22</v>
      </c>
      <c r="N160" s="28" t="n">
        <v>0.45045</v>
      </c>
      <c r="O160" s="28" t="n">
        <v>0.626007</v>
      </c>
      <c r="P160" s="28" t="n"/>
      <c r="Q160" s="28" t="n">
        <v>0.175557</v>
      </c>
      <c r="R160" s="26" t="n">
        <v>100</v>
      </c>
      <c r="S160" s="29" t="n">
        <v>1.75</v>
      </c>
      <c r="T160" s="24" t="inlineStr">
        <is>
          <t>lol-tiered-elo-v6</t>
        </is>
      </c>
      <c r="U160" s="24" t="inlineStr">
        <is>
          <t>settled</t>
        </is>
      </c>
      <c r="V160" s="24" t="inlineStr">
        <is>
          <t>win</t>
        </is>
      </c>
      <c r="W160" s="26" t="n">
        <v>0</v>
      </c>
      <c r="X160" s="26" t="n">
        <v>1</v>
      </c>
      <c r="Y160" s="25" t="n"/>
      <c r="Z160" s="26" t="n">
        <v>122</v>
      </c>
      <c r="AA160" s="28" t="n">
        <v>0.45</v>
      </c>
      <c r="AB160" s="28" t="n">
        <v>-0.00045</v>
      </c>
      <c r="AC160" s="30" t="n">
        <v>2.135</v>
      </c>
      <c r="AD160" s="24" t="inlineStr">
        <is>
          <t>2026-09-10T22:03:15.173178Z</t>
        </is>
      </c>
      <c r="AE160" s="31" t="inlineStr">
        <is>
          <t>Neutral Elo baseline; executable ask 0.4500 (market_slug=aec-lol-boom-lds-2026-09-10).</t>
        </is>
      </c>
      <c r="AF160" s="31" t="inlineStr">
        <is>
          <t>Config-promoted esports baseline; gates enforced at log time.</t>
        </is>
      </c>
      <c r="AG160" s="24" t="inlineStr">
        <is>
          <t>not_applicable</t>
        </is>
      </c>
      <c r="AH160" s="24" t="n"/>
      <c r="AI160" s="31" t="n"/>
      <c r="AJ160" s="31" t="n"/>
      <c r="AK160" s="24" t="inlineStr">
        <is>
          <t>model_qualified</t>
        </is>
      </c>
      <c r="AL160" s="26" t="n">
        <v>4</v>
      </c>
      <c r="AM160" s="24" t="inlineStr">
        <is>
          <t>QUALIFIED_SHADOW_CALL</t>
        </is>
      </c>
      <c r="AN160" s="24" t="inlineStr">
        <is>
          <t>CALL</t>
        </is>
      </c>
      <c r="AO160" s="24" t="inlineStr">
        <is>
          <t>QUALIFIED</t>
        </is>
      </c>
      <c r="AP160" s="24" t="inlineStr">
        <is>
          <t>Lodis</t>
        </is>
      </c>
      <c r="AQ160" s="24" t="inlineStr">
        <is>
          <t>Lodis</t>
        </is>
      </c>
      <c r="AR160" s="24" t="inlineStr">
        <is>
          <t>Lodis</t>
        </is>
      </c>
      <c r="AS160" s="24" t="inlineStr">
        <is>
          <t>BOMBA Team</t>
        </is>
      </c>
      <c r="AT160" s="24" t="inlineStr">
        <is>
          <t>BOMBA Team</t>
        </is>
      </c>
      <c r="AU160" s="24" t="inlineStr">
        <is>
          <t>BOMBA Team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ac0dffeaffcd4fdc27530bd41f3f015b53b088e802c32ced1523803b49097dbc</t>
        </is>
      </c>
      <c r="BB160" s="24" t="inlineStr">
        <is>
          <t>neutral_elo</t>
        </is>
      </c>
      <c r="BC160" s="24" t="inlineStr">
        <is>
          <t>lol-tiered-elo-v6</t>
        </is>
      </c>
      <c r="BD160" s="24" t="inlineStr">
        <is>
          <t>ac0dffeaffcd4fdc27530bd41f3f015b53b088e802c32ced1523803b49097dbc</t>
        </is>
      </c>
      <c r="BE160" s="24" t="inlineStr">
        <is>
          <t>1</t>
        </is>
      </c>
      <c r="BF160" s="24" t="inlineStr">
        <is>
          <t>1</t>
        </is>
      </c>
      <c r="BG160" s="24" t="inlineStr">
        <is>
          <t>lol-tiered-elo-v6</t>
        </is>
      </c>
      <c r="BH160" s="24" t="inlineStr">
        <is>
          <t>2026-09-10T10:04:52.645774Z</t>
        </is>
      </c>
      <c r="BI160" s="24" t="inlineStr">
        <is>
          <t>["same_event","same_team_same_day","same_league_same_day"]</t>
        </is>
      </c>
      <c r="BJ160" s="25" t="n"/>
      <c r="BK160" s="26" t="n">
        <v>122</v>
      </c>
      <c r="BL160" s="27" t="n">
        <v>2.22</v>
      </c>
      <c r="BM160" s="28" t="n">
        <v>0.45045</v>
      </c>
      <c r="BN160" s="28" t="n"/>
      <c r="BO160" s="28" t="n"/>
      <c r="BP160" s="25" t="n"/>
      <c r="BQ160" s="27" t="n">
        <v>2.22</v>
      </c>
      <c r="BR160" s="28" t="n">
        <v>0.45</v>
      </c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True</t>
        </is>
      </c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inlineStr">
        <is>
          <t>0.45045</t>
        </is>
      </c>
      <c r="DK160" s="24" t="n"/>
      <c r="DL160" s="24" t="n"/>
      <c r="DM160" s="24" t="n"/>
      <c r="DN160" s="24" t="n"/>
      <c r="DO160" s="24" t="n"/>
      <c r="DP160" s="24" t="n"/>
      <c r="DQ160" s="24" t="inlineStr">
        <is>
          <t>{"artifact_hash": "ac0dffeaffcd4fdc27530bd41f3f015b53b088e802c32ced1523803b49097dbc", "away_team": "Lodis", "event_id": "108074", "event_start_utc": "2026-09-10T15:00:00Z", "features": {"away_elo": 1487.40024, "away_history_count": 51, "home_elo": 1602.795652, "home_history_count": 116}, "historical_source_observation_times_verified": false, "home_team": "BOMBA Team", "inference_inputs": {"book_state": {"games_played": {"bo3:3:16893": 51, "bo3:3:18311": 116}, "inactivity_half_life_days": null, "inactivity_max_pull": null, "k": 40.0, "last_match_utc": {"bo3:3:16893": "2026-09-09T15:00:00Z", "bo3:3:18311": "2026-09-08T15:00:00Z"}, "minimum_reliable_games": null, "platt_intercept": 0.09147419392370856, "platt_slope": 0.7894897660335292, "ratings": {"bo3:3:16893": 1487.40024, "bo3:3:18311": 1602.795652},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"2026-09-10T10:04:52.263564+00:00", "team_ids": ["bo3:3:18311", "bo3:3:16893"]}, "market_type": "moneyline", "model_version": "lol-tiered-elo-v6", "observed_at_utc": "2026-09-10T10:04:52.263564+00:00", "probabilities": {"away": 0.373993, "home": 0.626007}, "replay_scope": "Exact serving book state, calibration, temperature, inactivity reference and thin-history adjustments; training provenance not certified.", "schema": "esports-elo-replay-v1", "snapshot_hash": "f11066f132b0461675fc83ac331bc2d749c06b387ab2d60ade5a9cdbc942c97c", "sport": "LOL"}</t>
        </is>
      </c>
    </row>
    <row r="161" ht="36" customHeight="1">
      <c r="A161" s="24" t="inlineStr">
        <is>
          <t>27dcaec3fdd7468a</t>
        </is>
      </c>
      <c r="B161" s="24" t="inlineStr">
        <is>
          <t>2026-09-10T10:04:53.790237Z</t>
        </is>
      </c>
      <c r="C161" s="24" t="inlineStr">
        <is>
          <t>2026-09-10T16:00:00Z</t>
        </is>
      </c>
      <c r="D161" s="24" t="inlineStr">
        <is>
          <t>107247</t>
        </is>
      </c>
      <c r="E161" s="24" t="inlineStr">
        <is>
          <t>LOL</t>
        </is>
      </c>
      <c r="F161" s="24" t="inlineStr">
        <is>
          <t>MAGAZA</t>
        </is>
      </c>
      <c r="G161" s="24" t="inlineStr">
        <is>
          <t>The Secret Club</t>
        </is>
      </c>
      <c r="H161" s="24" t="inlineStr">
        <is>
          <t>moneyline</t>
        </is>
      </c>
      <c r="I161" s="24" t="inlineStr">
        <is>
          <t>home</t>
        </is>
      </c>
      <c r="J161" s="25" t="n"/>
      <c r="K161" s="24" t="inlineStr">
        <is>
          <t>polymarket_us</t>
        </is>
      </c>
      <c r="L161" s="26" t="n">
        <v>117</v>
      </c>
      <c r="M161" s="27" t="n">
        <v>2.17</v>
      </c>
      <c r="N161" s="28" t="n">
        <v>0.460829</v>
      </c>
      <c r="O161" s="28" t="n">
        <v>0.569707</v>
      </c>
      <c r="P161" s="28" t="n"/>
      <c r="Q161" s="28" t="n">
        <v>0.108878</v>
      </c>
      <c r="R161" s="26" t="n">
        <v>74</v>
      </c>
      <c r="S161" s="29" t="n">
        <v>1.5</v>
      </c>
      <c r="T161" s="24" t="inlineStr">
        <is>
          <t>lol-tiered-elo-v6</t>
        </is>
      </c>
      <c r="U161" s="24" t="inlineStr">
        <is>
          <t>settled</t>
        </is>
      </c>
      <c r="V161" s="24" t="inlineStr">
        <is>
          <t>loss</t>
        </is>
      </c>
      <c r="W161" s="26" t="n">
        <v>1</v>
      </c>
      <c r="X161" s="26" t="n">
        <v>0</v>
      </c>
      <c r="Y161" s="25" t="n"/>
      <c r="Z161" s="26" t="n">
        <v>117</v>
      </c>
      <c r="AA161" s="28" t="n">
        <v>0.46</v>
      </c>
      <c r="AB161" s="28" t="n">
        <v>-0.000829</v>
      </c>
      <c r="AC161" s="30" t="n">
        <v>-1.5</v>
      </c>
      <c r="AD161" s="24" t="inlineStr">
        <is>
          <t>2026-09-10T22:03:15.539909Z</t>
        </is>
      </c>
      <c r="AE161" s="31" t="inlineStr">
        <is>
          <t>Neutral Elo baseline; executable ask 0.4600 (market_slug=aec-lol-tsc-mgz-2026-09-10).</t>
        </is>
      </c>
      <c r="AF161" s="31" t="inlineStr">
        <is>
          <t>Config-promoted esports baseline; gates enforced at log time.</t>
        </is>
      </c>
      <c r="AG161" s="24" t="inlineStr">
        <is>
          <t>review_required</t>
        </is>
      </c>
      <c r="AH161" s="24" t="n"/>
      <c r="AI161" s="31" t="n"/>
      <c r="AJ161" s="31" t="n"/>
      <c r="AK161" s="24" t="inlineStr">
        <is>
          <t>model_qualified</t>
        </is>
      </c>
      <c r="AL161" s="26" t="n">
        <v>4</v>
      </c>
      <c r="AM161" s="24" t="inlineStr">
        <is>
          <t>QUALIFIED_SHADOW_CALL</t>
        </is>
      </c>
      <c r="AN161" s="24" t="inlineStr">
        <is>
          <t>CALL</t>
        </is>
      </c>
      <c r="AO161" s="24" t="inlineStr">
        <is>
          <t>QUALIFIED</t>
        </is>
      </c>
      <c r="AP161" s="24" t="inlineStr">
        <is>
          <t>MAGAZA</t>
        </is>
      </c>
      <c r="AQ161" s="24" t="inlineStr">
        <is>
          <t>MAGAZA</t>
        </is>
      </c>
      <c r="AR161" s="24" t="inlineStr">
        <is>
          <t>MAGAZA</t>
        </is>
      </c>
      <c r="AS161" s="24" t="inlineStr">
        <is>
          <t>The Secret Club</t>
        </is>
      </c>
      <c r="AT161" s="24" t="inlineStr">
        <is>
          <t>The Secret Club</t>
        </is>
      </c>
      <c r="AU161" s="24" t="inlineStr">
        <is>
          <t>The Secret Club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ac0dffeaffcd4fdc27530bd41f3f015b53b088e802c32ced1523803b49097dbc</t>
        </is>
      </c>
      <c r="BB161" s="24" t="inlineStr">
        <is>
          <t>neutral_elo</t>
        </is>
      </c>
      <c r="BC161" s="24" t="inlineStr">
        <is>
          <t>lol-tiered-elo-v6</t>
        </is>
      </c>
      <c r="BD161" s="24" t="inlineStr">
        <is>
          <t>ac0dffeaffcd4fdc27530bd41f3f015b53b088e802c32ced1523803b49097dbc</t>
        </is>
      </c>
      <c r="BE161" s="24" t="inlineStr">
        <is>
          <t>1</t>
        </is>
      </c>
      <c r="BF161" s="24" t="inlineStr">
        <is>
          <t>1</t>
        </is>
      </c>
      <c r="BG161" s="24" t="inlineStr">
        <is>
          <t>lol-tiered-elo-v6</t>
        </is>
      </c>
      <c r="BH161" s="24" t="inlineStr">
        <is>
          <t>2026-09-10T10:04:52.823548Z</t>
        </is>
      </c>
      <c r="BI161" s="24" t="inlineStr">
        <is>
          <t>["same_event","same_team_same_day","same_league_same_day"]</t>
        </is>
      </c>
      <c r="BJ161" s="25" t="n"/>
      <c r="BK161" s="26" t="n">
        <v>117</v>
      </c>
      <c r="BL161" s="27" t="n">
        <v>2.17</v>
      </c>
      <c r="BM161" s="28" t="n">
        <v>0.460829</v>
      </c>
      <c r="BN161" s="28" t="n"/>
      <c r="BO161" s="28" t="n"/>
      <c r="BP161" s="25" t="n"/>
      <c r="BQ161" s="27" t="n">
        <v>2.17</v>
      </c>
      <c r="BR161" s="28" t="n">
        <v>0.46</v>
      </c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True</t>
        </is>
      </c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 t="n"/>
      <c r="DG161" s="24" t="n"/>
      <c r="DH161" s="24" t="n"/>
      <c r="DI161" s="24" t="n"/>
      <c r="DJ161" s="24" t="inlineStr">
        <is>
          <t>0.460829</t>
        </is>
      </c>
      <c r="DK161" s="24" t="n"/>
      <c r="DL161" s="24" t="n"/>
      <c r="DM161" s="24" t="n"/>
      <c r="DN161" s="24" t="n"/>
      <c r="DO161" s="24" t="n"/>
      <c r="DP161" s="24" t="n"/>
      <c r="DQ161" s="24" t="inlineStr">
        <is>
          <t>{"artifact_hash": "ac0dffeaffcd4fdc27530bd41f3f015b53b088e802c32ced1523803b49097dbc", "away_team": "MAGAZA", "event_id": "107247", "event_start_utc": "2026-09-10T16:00:00Z", "features": {"away_elo": 1589.012022, "away_history_count": 28, "home_elo": 1643.917126, "home_history_count": 37}, "historical_source_observation_times_verified": false, "home_team": "The Secret Club", "inference_inputs": {"book_state": {"games_played": {"bo3:3:16845": 28, "bo3:3:19924": 37}, "inactivity_half_life_days": null, "inactivity_max_pull": null, "k": 40.0, "last_match_utc": {"bo3:3:16845": "2026-09-08T16:00:00Z", "bo3:3:19924": "2026-09-07T16:00:00Z"}, "minimum_reliable_games": null, "platt_intercept": 0.09147419392370856, "platt_slope": 0.7894897660335292, "ratings": {"bo3:3:16845": 1589.012022, "bo3:3:19924": 1643.917126},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"2026-09-10T10:04:52.263564+00:00", "team_ids": ["bo3:3:19924", "bo3:3:16845"]}, "market_type": "moneyline", "model_version": "lol-tiered-elo-v6", "observed_at_utc": "2026-09-10T10:04:52.263564+00:00", "probabilities": {"away": 0.430293, "home": 0.569707}, "replay_scope": "Exact serving book state, calibration, temperature, inactivity reference and thin-history adjustments; training provenance not certified.", "schema": "esports-elo-replay-v1", "snapshot_hash": "b631bdba433a55ff57a9bc2f30032f3a734a3f43f7646561fea4b9c5701273df", "sport": "LOL"}</t>
        </is>
      </c>
    </row>
    <row r="162" ht="36" customHeight="1">
      <c r="A162" s="24" t="inlineStr">
        <is>
          <t>a755dd8fd04e4e3a</t>
        </is>
      </c>
      <c r="B162" s="24" t="inlineStr">
        <is>
          <t>2026-09-10T10:04:53.790237Z</t>
        </is>
      </c>
      <c r="C162" s="24" t="inlineStr">
        <is>
          <t>2026-09-10T16:00:00Z</t>
        </is>
      </c>
      <c r="D162" s="24" t="inlineStr">
        <is>
          <t>108686</t>
        </is>
      </c>
      <c r="E162" s="24" t="inlineStr">
        <is>
          <t>LOL</t>
        </is>
      </c>
      <c r="F162" s="24" t="inlineStr">
        <is>
          <t>Los Goccioles</t>
        </is>
      </c>
      <c r="G162" s="24" t="inlineStr">
        <is>
          <t>Zena Esports</t>
        </is>
      </c>
      <c r="H162" s="24" t="inlineStr">
        <is>
          <t>moneyline</t>
        </is>
      </c>
      <c r="I162" s="24" t="inlineStr">
        <is>
          <t>home</t>
        </is>
      </c>
      <c r="J162" s="25" t="n"/>
      <c r="K162" s="24" t="inlineStr">
        <is>
          <t>polymarket_us</t>
        </is>
      </c>
      <c r="L162" s="26" t="n">
        <v>178</v>
      </c>
      <c r="M162" s="27" t="n">
        <v>2.78</v>
      </c>
      <c r="N162" s="28" t="n">
        <v>0.359712</v>
      </c>
      <c r="O162" s="28" t="n">
        <v>0.511624</v>
      </c>
      <c r="P162" s="28" t="n"/>
      <c r="Q162" s="28" t="n">
        <v>0.151912</v>
      </c>
      <c r="R162" s="26" t="n">
        <v>96</v>
      </c>
      <c r="S162" s="29" t="n">
        <v>1.75</v>
      </c>
      <c r="T162" s="24" t="inlineStr">
        <is>
          <t>lol-tiered-elo-v6</t>
        </is>
      </c>
      <c r="U162" s="24" t="inlineStr">
        <is>
          <t>settled</t>
        </is>
      </c>
      <c r="V162" s="24" t="inlineStr">
        <is>
          <t>loss</t>
        </is>
      </c>
      <c r="W162" s="26" t="n">
        <v>1</v>
      </c>
      <c r="X162" s="26" t="n">
        <v>0</v>
      </c>
      <c r="Y162" s="25" t="n"/>
      <c r="Z162" s="26" t="n">
        <v>178</v>
      </c>
      <c r="AA162" s="28" t="n">
        <v>0.36</v>
      </c>
      <c r="AB162" s="28" t="n">
        <v>0.000288</v>
      </c>
      <c r="AC162" s="30" t="n">
        <v>-1.75</v>
      </c>
      <c r="AD162" s="24" t="inlineStr">
        <is>
          <t>2026-09-10T22:03:15.872924Z</t>
        </is>
      </c>
      <c r="AE162" s="31" t="inlineStr">
        <is>
          <t>Neutral Elo baseline; executable ask 0.3600 (market_slug=aec-lol-zena-lgc-2026-09-10).</t>
        </is>
      </c>
      <c r="AF162" s="31" t="inlineStr">
        <is>
          <t>Config-promoted esports baseline; gates enforced at log time.</t>
        </is>
      </c>
      <c r="AG162" s="24" t="inlineStr">
        <is>
          <t>review_required</t>
        </is>
      </c>
      <c r="AH162" s="24" t="n"/>
      <c r="AI162" s="31" t="n"/>
      <c r="AJ162" s="31" t="n"/>
      <c r="AK162" s="24" t="inlineStr">
        <is>
          <t>paper_call</t>
        </is>
      </c>
      <c r="AL162" s="26" t="n">
        <v>4</v>
      </c>
      <c r="AM162" s="24" t="inlineStr">
        <is>
          <t>RESEARCH_OBSERVATION</t>
        </is>
      </c>
      <c r="AN162" s="24" t="inlineStr">
        <is>
          <t>CALL</t>
        </is>
      </c>
      <c r="AO162" s="24" t="inlineStr">
        <is>
          <t>PAPER_CALL_MODEL_UNVALIDATED</t>
        </is>
      </c>
      <c r="AP162" s="24" t="inlineStr">
        <is>
          <t>Los Goccioles</t>
        </is>
      </c>
      <c r="AQ162" s="24" t="inlineStr">
        <is>
          <t>Los Goccioles</t>
        </is>
      </c>
      <c r="AR162" s="24" t="inlineStr">
        <is>
          <t>Los Goccioles</t>
        </is>
      </c>
      <c r="AS162" s="24" t="inlineStr">
        <is>
          <t>Zena Esports</t>
        </is>
      </c>
      <c r="AT162" s="24" t="inlineStr">
        <is>
          <t>Zena Esports</t>
        </is>
      </c>
      <c r="AU162" s="24" t="inlineStr">
        <is>
          <t>Zena Esports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ac0dffeaffcd4fdc27530bd41f3f015b53b088e802c32ced1523803b49097dbc</t>
        </is>
      </c>
      <c r="BB162" s="24" t="inlineStr">
        <is>
          <t>neutral_elo</t>
        </is>
      </c>
      <c r="BC162" s="24" t="inlineStr">
        <is>
          <t>lol-tiered-elo-v6</t>
        </is>
      </c>
      <c r="BD162" s="24" t="inlineStr">
        <is>
          <t>ac0dffeaffcd4fdc27530bd41f3f015b53b088e802c32ced1523803b49097dbc</t>
        </is>
      </c>
      <c r="BE162" s="24" t="inlineStr">
        <is>
          <t>1</t>
        </is>
      </c>
      <c r="BF162" s="24" t="inlineStr">
        <is>
          <t>1</t>
        </is>
      </c>
      <c r="BG162" s="24" t="inlineStr">
        <is>
          <t>lol-tiered-elo-v6</t>
        </is>
      </c>
      <c r="BH162" s="24" t="inlineStr">
        <is>
          <t>2026-09-10T10:04:52.903208Z</t>
        </is>
      </c>
      <c r="BI162" s="24" t="inlineStr">
        <is>
          <t>["same_event","same_team_same_day","same_league_same_day"]</t>
        </is>
      </c>
      <c r="BJ162" s="25" t="n"/>
      <c r="BK162" s="26" t="n">
        <v>178</v>
      </c>
      <c r="BL162" s="27" t="n">
        <v>2.78</v>
      </c>
      <c r="BM162" s="28" t="n">
        <v>0.359712</v>
      </c>
      <c r="BN162" s="28" t="n"/>
      <c r="BO162" s="28" t="n"/>
      <c r="BP162" s="25" t="n"/>
      <c r="BQ162" s="27" t="n">
        <v>2.78</v>
      </c>
      <c r="BR162" s="28" t="n">
        <v>0.36</v>
      </c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True</t>
        </is>
      </c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n"/>
      <c r="DE162" s="24" t="n"/>
      <c r="DF162" s="24" t="n"/>
      <c r="DG162" s="24" t="n"/>
      <c r="DH162" s="24" t="n"/>
      <c r="DI162" s="24" t="n"/>
      <c r="DJ162" s="24" t="inlineStr">
        <is>
          <t>0.359712</t>
        </is>
      </c>
      <c r="DK162" s="24" t="n"/>
      <c r="DL162" s="24" t="n"/>
      <c r="DM162" s="24" t="n"/>
      <c r="DN162" s="24" t="n"/>
      <c r="DO162" s="24" t="n"/>
      <c r="DP162" s="24" t="n"/>
      <c r="DQ162" s="24" t="inlineStr">
        <is>
          <t>{"artifact_hash": "ac0dffeaffcd4fdc27530bd41f3f015b53b088e802c32ced1523803b49097dbc", "away_team": "Los Goccioles", "event_id": "108686", "event_start_utc": "2026-09-10T16:00:00Z", "features": {"away_elo": 1500.0, "away_history_count": 0, "home_elo": 1504.062212, "home_history_count": 54}, "historical_source_observation_times_verified": false, "home_team": "Zena Esports", "inference_inputs": {"book_state": {"games_played": {"bo3:3:19201": 54}, "inactivity_half_life_days": null, "inactivity_max_pull": null, "k": 40.0, "last_match_utc": {"bo3:3:19201": "2026-09-09T16:00:00Z"}, "minimum_reliable_games": null, "platt_intercept": 0.09147419392370856, "platt_slope": 0.7894897660335292, "ratings": {"bo3:3:19201": 1504.062212},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"2026-09-10T10:04:52.263564+00:00", "team_ids": ["bo3:3:19201", "unknown:losgoccioles"]}, "market_type": "moneyline", "model_version": "lol-tiered-elo-v6", "observed_at_utc": "2026-09-10T10:04:52.263564+00:00", "probabilities": {"away": 0.488376, "home": 0.511624}, "replay_scope": "Exact serving book state, calibration, temperature, inactivity reference and thin-history adjustments; training provenance not certified.", "schema": "esports-elo-replay-v1", "snapshot_hash": "dd5e1ec1731c3137435bf50304742471402fac6557831d573e772b6369a8179e", "sport": "LOL"}</t>
        </is>
      </c>
    </row>
    <row r="163" ht="36" customHeight="1">
      <c r="A163" s="24" t="inlineStr">
        <is>
          <t>a5603f1e9d9c4ad0</t>
        </is>
      </c>
      <c r="B163" s="24" t="inlineStr">
        <is>
          <t>2026-09-11T04:34:26.997768Z</t>
        </is>
      </c>
      <c r="C163" s="24" t="inlineStr">
        <is>
          <t>2026-09-11T08:00:00Z</t>
        </is>
      </c>
      <c r="D163" s="24" t="inlineStr">
        <is>
          <t>107794</t>
        </is>
      </c>
      <c r="E163" s="24" t="inlineStr">
        <is>
          <t>LOL</t>
        </is>
      </c>
      <c r="F163" s="24" t="inlineStr">
        <is>
          <t>KT Rolster Challengers</t>
        </is>
      </c>
      <c r="G163" s="24" t="inlineStr">
        <is>
          <t>DN SOOPers Challengers</t>
        </is>
      </c>
      <c r="H163" s="24" t="inlineStr">
        <is>
          <t>moneyline</t>
        </is>
      </c>
      <c r="I163" s="24" t="inlineStr">
        <is>
          <t>away</t>
        </is>
      </c>
      <c r="J163" s="25" t="n"/>
      <c r="K163" s="24" t="inlineStr">
        <is>
          <t>polymarket_us</t>
        </is>
      </c>
      <c r="L163" s="26" t="n">
        <v>-223</v>
      </c>
      <c r="M163" s="27" t="n">
        <v>1.44843</v>
      </c>
      <c r="N163" s="28" t="n">
        <v>0.690402</v>
      </c>
      <c r="O163" s="28" t="n">
        <v>0.531083</v>
      </c>
      <c r="P163" s="28" t="n"/>
      <c r="Q163" s="28" t="n">
        <v>-0.159319</v>
      </c>
      <c r="R163" s="26" t="n">
        <v>0</v>
      </c>
      <c r="S163" s="29" t="n">
        <v>1</v>
      </c>
      <c r="T163" s="24" t="inlineStr">
        <is>
          <t>lol-tiered-elo-v6</t>
        </is>
      </c>
      <c r="U163" s="24" t="inlineStr">
        <is>
          <t>settled</t>
        </is>
      </c>
      <c r="V163" s="24" t="inlineStr">
        <is>
          <t>win</t>
        </is>
      </c>
      <c r="W163" s="26" t="n">
        <v>1</v>
      </c>
      <c r="X163" s="26" t="n">
        <v>0</v>
      </c>
      <c r="Y163" s="25" t="n"/>
      <c r="Z163" s="26" t="n">
        <v>-223</v>
      </c>
      <c r="AA163" s="28" t="n">
        <v>0.6899999999999999</v>
      </c>
      <c r="AB163" s="28" t="n">
        <v>-0.000402</v>
      </c>
      <c r="AC163" s="30" t="n">
        <v>0.4484</v>
      </c>
      <c r="AD163" s="24" t="inlineStr">
        <is>
          <t>2026-09-11T16:02:37.723334Z</t>
        </is>
      </c>
      <c r="AE163" s="31" t="inlineStr">
        <is>
          <t>Neutral Elo baseline; executable ask 0.6900 (market_slug=aec-lol-dnsc-ktc-2026-09-11).</t>
        </is>
      </c>
      <c r="AF163" s="31" t="inlineStr">
        <is>
          <t>Config-promoted esports baseline; gates enforced at log time.</t>
        </is>
      </c>
      <c r="AG163" s="24" t="inlineStr">
        <is>
          <t>not_applicable</t>
        </is>
      </c>
      <c r="AH163" s="24" t="n"/>
      <c r="AI163" s="31" t="n"/>
      <c r="AJ163" s="31" t="n"/>
      <c r="AK163" s="24" t="inlineStr">
        <is>
          <t>paper_call</t>
        </is>
      </c>
      <c r="AL163" s="26" t="n">
        <v>4</v>
      </c>
      <c r="AM163" s="24" t="inlineStr">
        <is>
          <t>RESEARCH_OBSERVATION</t>
        </is>
      </c>
      <c r="AN163" s="24" t="inlineStr">
        <is>
          <t>CALL</t>
        </is>
      </c>
      <c r="AO163" s="24" t="inlineStr">
        <is>
          <t>PAPER_CALL_LOW_EDGE</t>
        </is>
      </c>
      <c r="AP163" s="24" t="inlineStr">
        <is>
          <t>KT Rolster Challengers</t>
        </is>
      </c>
      <c r="AQ163" s="24" t="inlineStr">
        <is>
          <t>KT Rolster Challengers</t>
        </is>
      </c>
      <c r="AR163" s="24" t="inlineStr">
        <is>
          <t>KT Rolster Challengers</t>
        </is>
      </c>
      <c r="AS163" s="24" t="inlineStr">
        <is>
          <t>DN SOOPers Challengers</t>
        </is>
      </c>
      <c r="AT163" s="24" t="inlineStr">
        <is>
          <t>DN SOOPers Challengers</t>
        </is>
      </c>
      <c r="AU163" s="24" t="inlineStr">
        <is>
          <t>DN SOOPers Challengers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18f5856f3209d8b791c7209d957c5ad9e5117cbac52794b811c08dcb5015b2e4</t>
        </is>
      </c>
      <c r="BB163" s="24" t="inlineStr">
        <is>
          <t>neutral_elo</t>
        </is>
      </c>
      <c r="BC163" s="24" t="inlineStr">
        <is>
          <t>lol-tiered-elo-v6</t>
        </is>
      </c>
      <c r="BD163" s="24" t="inlineStr">
        <is>
          <t>18f5856f3209d8b791c7209d957c5ad9e5117cbac52794b811c08dcb5015b2e4</t>
        </is>
      </c>
      <c r="BE163" s="24" t="inlineStr">
        <is>
          <t>1</t>
        </is>
      </c>
      <c r="BF163" s="24" t="inlineStr">
        <is>
          <t>1</t>
        </is>
      </c>
      <c r="BG163" s="24" t="inlineStr">
        <is>
          <t>lol-tiered-elo-v6</t>
        </is>
      </c>
      <c r="BH163" s="24" t="inlineStr">
        <is>
          <t>2026-09-11T04:34:25.338087Z</t>
        </is>
      </c>
      <c r="BI163" s="24" t="inlineStr">
        <is>
          <t>["same_event","same_team_same_day","same_league_same_day"]</t>
        </is>
      </c>
      <c r="BJ163" s="25" t="n"/>
      <c r="BK163" s="26" t="n">
        <v>-223</v>
      </c>
      <c r="BL163" s="27" t="n">
        <v>1.44843</v>
      </c>
      <c r="BM163" s="28" t="n">
        <v>0.690402</v>
      </c>
      <c r="BN163" s="28" t="n"/>
      <c r="BO163" s="28" t="n"/>
      <c r="BP163" s="25" t="n"/>
      <c r="BQ163" s="27" t="n">
        <v>1.44843</v>
      </c>
      <c r="BR163" s="28" t="n">
        <v>0.6899999999999999</v>
      </c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False</t>
        </is>
      </c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/>
      <c r="DJ163" s="24" t="inlineStr">
        <is>
          <t>0.690402</t>
        </is>
      </c>
      <c r="DK163" s="24" t="n"/>
      <c r="DL163" s="24" t="n"/>
      <c r="DM163" s="24" t="n"/>
      <c r="DN163" s="24" t="n"/>
      <c r="DO163" s="24" t="n"/>
      <c r="DP163" s="24" t="n"/>
      <c r="DQ163" s="24" t="inlineStr">
        <is>
          <t>{"artifact_hash": "18f5856f3209d8b791c7209d957c5ad9e5117cbac52794b811c08dcb5015b2e4", "away_team": "KT Rolster Challengers", "event_id": "107794", "event_start_utc": "2026-09-11T08:00:00Z", "features": {"away_elo": 1772.936461, "away_history_count": 147, "home_elo": 1717.9337, "home_history_count": 92}, "historical_source_observation_times_verified": false, "home_team": "DN SOOPers Challengers", "inference_inputs": {"book_state": {"games_played": {"bo3:3:17264": 147, "bo3:3:19136": 92}, "inactivity_half_life_days": null, "inactivity_max_pull": null, "k": 40.0, "last_match_utc": {"bo3:3:17264": "2026-09-08T05:00:00Z", "bo3:3:19136": "2026-09-09T08:00:00Z"}, "minimum_reliable_games": null, "platt_intercept": 0.08702859477627518, "platt_slope": 0.7915726343355358, "ratings": {"bo3:3:17264": 1772.936461, "bo3:3:19136": 1717.9337},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"2026-09-11T04:34:25.272989+00:00", "team_ids": ["bo3:3:19136", "bo3:3:17264"]}, "market_type": "moneyline", "model_version": "lol-tiered-elo-v6", "observed_at_utc": "2026-09-11T04:34:25.272989+00:00", "probabilities": {"away": 0.531083, "home": 0.468917}, "replay_scope": "Exact serving book state, calibration, temperature, inactivity reference and thin-history adjustments; training provenance not certified.", "schema": "esports-elo-replay-v1", "snapshot_hash": "f393f236aa3a1b5ec8ecb0d19ed6a50121c6f0a1b602534d4f7c869a3ce65790", "sport": "LOL"}</t>
        </is>
      </c>
    </row>
    <row r="164" ht="36" customHeight="1">
      <c r="A164" s="24" t="inlineStr">
        <is>
          <t>c6fef71aa95841a9</t>
        </is>
      </c>
      <c r="B164" s="24" t="inlineStr">
        <is>
          <t>2026-09-11T04:34:26.997768Z</t>
        </is>
      </c>
      <c r="C164" s="24" t="inlineStr">
        <is>
          <t>2026-09-11T09:00:00Z</t>
        </is>
      </c>
      <c r="D164" s="24" t="inlineStr">
        <is>
          <t>107763</t>
        </is>
      </c>
      <c r="E164" s="24" t="inlineStr">
        <is>
          <t>LOL</t>
        </is>
      </c>
      <c r="F164" s="24" t="inlineStr">
        <is>
          <t>1TAP Dino</t>
        </is>
      </c>
      <c r="G164" s="24" t="inlineStr">
        <is>
          <t>CyberCore Esports</t>
        </is>
      </c>
      <c r="H164" s="24" t="inlineStr">
        <is>
          <t>moneyline</t>
        </is>
      </c>
      <c r="I164" s="24" t="inlineStr">
        <is>
          <t>away</t>
        </is>
      </c>
      <c r="J164" s="25" t="n"/>
      <c r="K164" s="24" t="inlineStr">
        <is>
          <t>polymarket_us</t>
        </is>
      </c>
      <c r="L164" s="26" t="n">
        <v>-194</v>
      </c>
      <c r="M164" s="27" t="n">
        <v>1.515464</v>
      </c>
      <c r="N164" s="28" t="n">
        <v>0.659864</v>
      </c>
      <c r="O164" s="28" t="n">
        <v>0.571708</v>
      </c>
      <c r="P164" s="28" t="n"/>
      <c r="Q164" s="28" t="n">
        <v>-0.088156</v>
      </c>
      <c r="R164" s="26" t="n">
        <v>0</v>
      </c>
      <c r="S164" s="29" t="n">
        <v>1</v>
      </c>
      <c r="T164" s="24" t="inlineStr">
        <is>
          <t>lol-tiered-elo-v6</t>
        </is>
      </c>
      <c r="U164" s="24" t="inlineStr">
        <is>
          <t>settled</t>
        </is>
      </c>
      <c r="V164" s="24" t="inlineStr">
        <is>
          <t>loss</t>
        </is>
      </c>
      <c r="W164" s="26" t="n">
        <v>0</v>
      </c>
      <c r="X164" s="26" t="n">
        <v>1</v>
      </c>
      <c r="Y164" s="25" t="n"/>
      <c r="Z164" s="26" t="n">
        <v>-194</v>
      </c>
      <c r="AA164" s="28" t="n">
        <v>0.66</v>
      </c>
      <c r="AB164" s="28" t="n">
        <v>0.000136</v>
      </c>
      <c r="AC164" s="30" t="n">
        <v>-1</v>
      </c>
      <c r="AD164" s="24" t="inlineStr">
        <is>
          <t>2026-09-11T16:02:38.721452Z</t>
        </is>
      </c>
      <c r="AE164" s="31" t="inlineStr">
        <is>
          <t>Neutral Elo baseline; executable ask 0.6600 (market_slug=aec-lol-cbc-tda-2026-09-11).</t>
        </is>
      </c>
      <c r="AF164" s="31" t="inlineStr">
        <is>
          <t>Config-promoted esports baseline; gates enforced at log time.</t>
        </is>
      </c>
      <c r="AG164" s="24" t="inlineStr">
        <is>
          <t>review_required</t>
        </is>
      </c>
      <c r="AH164" s="24" t="n"/>
      <c r="AI164" s="31" t="n"/>
      <c r="AJ164" s="31" t="n"/>
      <c r="AK164" s="24" t="inlineStr">
        <is>
          <t>paper_call</t>
        </is>
      </c>
      <c r="AL164" s="26" t="n">
        <v>4</v>
      </c>
      <c r="AM164" s="24" t="inlineStr">
        <is>
          <t>RESEARCH_OBSERVATION</t>
        </is>
      </c>
      <c r="AN164" s="24" t="inlineStr">
        <is>
          <t>CALL</t>
        </is>
      </c>
      <c r="AO164" s="24" t="inlineStr">
        <is>
          <t>PAPER_CALL_LOW_EDGE</t>
        </is>
      </c>
      <c r="AP164" s="24" t="inlineStr">
        <is>
          <t>1TAP Dino</t>
        </is>
      </c>
      <c r="AQ164" s="24" t="inlineStr">
        <is>
          <t>1TAP Dino</t>
        </is>
      </c>
      <c r="AR164" s="24" t="inlineStr">
        <is>
          <t>1TAP Dino</t>
        </is>
      </c>
      <c r="AS164" s="24" t="inlineStr">
        <is>
          <t>CyberCore Esports</t>
        </is>
      </c>
      <c r="AT164" s="24" t="inlineStr">
        <is>
          <t>CyberCore Esports</t>
        </is>
      </c>
      <c r="AU164" s="24" t="inlineStr">
        <is>
          <t>CyberCore Esports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18f5856f3209d8b791c7209d957c5ad9e5117cbac52794b811c08dcb5015b2e4</t>
        </is>
      </c>
      <c r="BB164" s="24" t="inlineStr">
        <is>
          <t>neutral_elo</t>
        </is>
      </c>
      <c r="BC164" s="24" t="inlineStr">
        <is>
          <t>lol-tiered-elo-v6</t>
        </is>
      </c>
      <c r="BD164" s="24" t="inlineStr">
        <is>
          <t>18f5856f3209d8b791c7209d957c5ad9e5117cbac52794b811c08dcb5015b2e4</t>
        </is>
      </c>
      <c r="BE164" s="24" t="inlineStr">
        <is>
          <t>1</t>
        </is>
      </c>
      <c r="BF164" s="24" t="inlineStr">
        <is>
          <t>1</t>
        </is>
      </c>
      <c r="BG164" s="24" t="inlineStr">
        <is>
          <t>lol-tiered-elo-v6</t>
        </is>
      </c>
      <c r="BH164" s="24" t="inlineStr">
        <is>
          <t>2026-09-11T04:34:25.499870Z</t>
        </is>
      </c>
      <c r="BI164" s="24" t="inlineStr">
        <is>
          <t>["same_event","same_team_same_day","same_league_same_day"]</t>
        </is>
      </c>
      <c r="BJ164" s="25" t="n"/>
      <c r="BK164" s="26" t="n">
        <v>-194</v>
      </c>
      <c r="BL164" s="27" t="n">
        <v>1.515464</v>
      </c>
      <c r="BM164" s="28" t="n">
        <v>0.659864</v>
      </c>
      <c r="BN164" s="28" t="n"/>
      <c r="BO164" s="28" t="n"/>
      <c r="BP164" s="25" t="n"/>
      <c r="BQ164" s="27" t="n">
        <v>1.515464</v>
      </c>
      <c r="BR164" s="28" t="n">
        <v>0.66</v>
      </c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False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inlineStr">
        <is>
          <t>0.659864</t>
        </is>
      </c>
      <c r="DK164" s="24" t="n"/>
      <c r="DL164" s="24" t="n"/>
      <c r="DM164" s="24" t="n"/>
      <c r="DN164" s="24" t="n"/>
      <c r="DO164" s="24" t="n"/>
      <c r="DP164" s="24" t="n"/>
      <c r="DQ164" s="24" t="inlineStr">
        <is>
          <t>{"artifact_hash": "18f5856f3209d8b791c7209d957c5ad9e5117cbac52794b811c08dcb5015b2e4", "away_team": "1TAP Dino", "event_id": "107763", "event_start_utc": "2026-09-11T09:00:00Z", "features": {"away_elo": 1533.322018, "away_history_count": 39, "home_elo": 1364.382558, "home_history_count": 29}, "historical_source_observation_times_verified": false, "home_team": "CyberCore Esports", "inference_inputs": {"book_state": {"games_played": {"bo3:3:19964": 39, "bo3:3:20020": 29}, "inactivity_half_life_days": null, "inactivity_max_pull": null, "k": 40.0, "last_match_utc": {"bo3:3:19964": "2026-06-20T10:00:00Z", "bo3:3:20020": "2026-06-14T10:00:00Z"}, "minimum_reliable_games": null, "platt_intercept": 0.08702859477627518, "platt_slope": 0.7915726343355358, "ratings": {"bo3:3:19964": 1533.322018, "bo3:3:20020": 1364.382558},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"2026-09-11T04:34:25.272989+00:00", "team_ids": ["bo3:3:20020", "bo3:3:19964"]}, "market_type": "moneyline", "model_version": "lol-tiered-elo-v6", "observed_at_utc": "2026-09-11T04:34:25.272989+00:00", "probabilities": {"away": 0.571708, "home": 0.428292}, "replay_scope": "Exact serving book state, calibration, temperature, inactivity reference and thin-history adjustments; training provenance not certified.", "schema": "esports-elo-replay-v1", "snapshot_hash": "2bd0c7eee93847bd1c612c24530a63491158c4817fb3cfdf9f20e190e5593a5d", "sport": "LOL"}</t>
        </is>
      </c>
    </row>
    <row r="165" ht="36" customHeight="1">
      <c r="A165" s="24" t="inlineStr">
        <is>
          <t>c21b21cc93aa4f7f</t>
        </is>
      </c>
      <c r="B165" s="24" t="inlineStr">
        <is>
          <t>2026-09-11T16:05:30.006458Z</t>
        </is>
      </c>
      <c r="C165" s="24" t="inlineStr">
        <is>
          <t>2026-09-11T21:00:00Z</t>
        </is>
      </c>
      <c r="D165" s="24" t="inlineStr">
        <is>
          <t>109359</t>
        </is>
      </c>
      <c r="E165" s="24" t="inlineStr">
        <is>
          <t>LOL</t>
        </is>
      </c>
      <c r="F165" s="24" t="inlineStr">
        <is>
          <t>Maryville University</t>
        </is>
      </c>
      <c r="G165" s="24" t="inlineStr">
        <is>
          <t>Cupid Esports</t>
        </is>
      </c>
      <c r="H165" s="24" t="inlineStr">
        <is>
          <t>moneyline</t>
        </is>
      </c>
      <c r="I165" s="24" t="inlineStr">
        <is>
          <t>home</t>
        </is>
      </c>
      <c r="J165" s="25" t="n"/>
      <c r="K165" s="24" t="inlineStr">
        <is>
          <t>polymarket_us</t>
        </is>
      </c>
      <c r="L165" s="26" t="n">
        <v>-133</v>
      </c>
      <c r="M165" s="27" t="n">
        <v>1.75188</v>
      </c>
      <c r="N165" s="28" t="n">
        <v>0.570815</v>
      </c>
      <c r="O165" s="28" t="n">
        <v>0.533006</v>
      </c>
      <c r="P165" s="28" t="n"/>
      <c r="Q165" s="28" t="n">
        <v>-0.037809</v>
      </c>
      <c r="R165" s="26" t="n">
        <v>1</v>
      </c>
      <c r="S165" s="29" t="n">
        <v>1</v>
      </c>
      <c r="T165" s="24" t="inlineStr">
        <is>
          <t>lol-tiered-elo-v6</t>
        </is>
      </c>
      <c r="U165" s="24" t="inlineStr">
        <is>
          <t>settled</t>
        </is>
      </c>
      <c r="V165" s="24" t="inlineStr">
        <is>
          <t>win</t>
        </is>
      </c>
      <c r="W165" s="26" t="n">
        <v>0</v>
      </c>
      <c r="X165" s="26" t="n">
        <v>1</v>
      </c>
      <c r="Y165" s="25" t="n"/>
      <c r="Z165" s="26" t="n">
        <v>-133</v>
      </c>
      <c r="AA165" s="28" t="n">
        <v>0.57</v>
      </c>
      <c r="AB165" s="28" t="n">
        <v>-0.000815</v>
      </c>
      <c r="AC165" s="30" t="n">
        <v>0.7519</v>
      </c>
      <c r="AD165" s="24" t="inlineStr">
        <is>
          <t>2026-09-12T04:33:12.044611Z</t>
        </is>
      </c>
      <c r="AE165" s="31" t="inlineStr">
        <is>
          <t>Neutral Elo baseline; executable ask 0.5700 (market_slug=aec-lol-cpd-mvu-2026-09-11).</t>
        </is>
      </c>
      <c r="AF165" s="31" t="inlineStr">
        <is>
          <t>Config-promoted esports baseline; gates enforced at log time.</t>
        </is>
      </c>
      <c r="AG165" s="24" t="inlineStr">
        <is>
          <t>not_applicable</t>
        </is>
      </c>
      <c r="AH165" s="24" t="n"/>
      <c r="AI165" s="31" t="n"/>
      <c r="AJ165" s="31" t="n"/>
      <c r="AK165" s="24" t="inlineStr">
        <is>
          <t>paper_call</t>
        </is>
      </c>
      <c r="AL165" s="26" t="n">
        <v>4</v>
      </c>
      <c r="AM165" s="24" t="inlineStr">
        <is>
          <t>RESEARCH_OBSERVATION</t>
        </is>
      </c>
      <c r="AN165" s="24" t="inlineStr">
        <is>
          <t>CALL</t>
        </is>
      </c>
      <c r="AO165" s="24" t="inlineStr">
        <is>
          <t>PAPER_CALL_LOW_EDGE</t>
        </is>
      </c>
      <c r="AP165" s="24" t="inlineStr">
        <is>
          <t>Maryville University</t>
        </is>
      </c>
      <c r="AQ165" s="24" t="inlineStr">
        <is>
          <t>Maryville University</t>
        </is>
      </c>
      <c r="AR165" s="24" t="inlineStr">
        <is>
          <t>Maryville University</t>
        </is>
      </c>
      <c r="AS165" s="24" t="inlineStr">
        <is>
          <t>Cupid Esports</t>
        </is>
      </c>
      <c r="AT165" s="24" t="inlineStr">
        <is>
          <t>Cupid Esports</t>
        </is>
      </c>
      <c r="AU165" s="24" t="inlineStr">
        <is>
          <t>Cupid Esports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shadow_qualified</t>
        </is>
      </c>
      <c r="BA165" s="24" t="inlineStr">
        <is>
          <t>5a146d14970e64f64e3732aae1db782a42e86dd12564b7aaaf8612db79cabe9c</t>
        </is>
      </c>
      <c r="BB165" s="24" t="inlineStr">
        <is>
          <t>neutral_elo</t>
        </is>
      </c>
      <c r="BC165" s="24" t="inlineStr">
        <is>
          <t>lol-tiered-elo-v6</t>
        </is>
      </c>
      <c r="BD165" s="24" t="inlineStr">
        <is>
          <t>5a146d14970e64f64e3732aae1db782a42e86dd12564b7aaaf8612db79cabe9c</t>
        </is>
      </c>
      <c r="BE165" s="24" t="inlineStr">
        <is>
          <t>1</t>
        </is>
      </c>
      <c r="BF165" s="24" t="inlineStr">
        <is>
          <t>1</t>
        </is>
      </c>
      <c r="BG165" s="24" t="inlineStr">
        <is>
          <t>lol-tiered-elo-v6</t>
        </is>
      </c>
      <c r="BH165" s="24" t="inlineStr">
        <is>
          <t>2026-09-11T16:05:29.421892Z</t>
        </is>
      </c>
      <c r="BI165" s="24" t="inlineStr">
        <is>
          <t>["same_event","same_team_same_day","same_league_same_day"]</t>
        </is>
      </c>
      <c r="BJ165" s="25" t="n"/>
      <c r="BK165" s="26" t="n">
        <v>-133</v>
      </c>
      <c r="BL165" s="27" t="n">
        <v>1.75188</v>
      </c>
      <c r="BM165" s="28" t="n">
        <v>0.570815</v>
      </c>
      <c r="BN165" s="28" t="n"/>
      <c r="BO165" s="28" t="n"/>
      <c r="BP165" s="25" t="n"/>
      <c r="BQ165" s="27" t="n">
        <v>1.75188</v>
      </c>
      <c r="BR165" s="28" t="n">
        <v>0.57</v>
      </c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False</t>
        </is>
      </c>
      <c r="CT165" s="24" t="n"/>
      <c r="CU165" s="24" t="n"/>
      <c r="CV165" s="24" t="n"/>
      <c r="CW165" s="24" t="n"/>
      <c r="CX165" s="24" t="n"/>
      <c r="CY165" s="24" t="n"/>
      <c r="CZ165" s="24" t="n"/>
      <c r="DA165" s="24" t="n"/>
      <c r="DB165" s="24" t="n"/>
      <c r="DC165" s="24" t="n"/>
      <c r="DD165" s="24" t="n"/>
      <c r="DE165" s="24" t="n"/>
      <c r="DF165" s="24" t="n"/>
      <c r="DG165" s="24" t="n"/>
      <c r="DH165" s="24" t="n"/>
      <c r="DI165" s="24" t="n"/>
      <c r="DJ165" s="24" t="inlineStr">
        <is>
          <t>0.570815</t>
        </is>
      </c>
      <c r="DK165" s="24" t="n"/>
      <c r="DL165" s="24" t="n"/>
      <c r="DM165" s="24" t="n"/>
      <c r="DN165" s="24" t="n"/>
      <c r="DO165" s="24" t="n"/>
      <c r="DP165" s="24" t="n"/>
      <c r="DQ165" s="24" t="inlineStr">
        <is>
          <t>{"artifact_hash": "5a146d14970e64f64e3732aae1db782a42e86dd12564b7aaaf8612db79cabe9c", "away_team": "Maryville University", "event_id": "109359", "event_start_utc": "2026-09-11T21:00:00Z", "features": {"away_elo": 1615.866086, "away_history_count": 36, "home_elo": 1643.363125, "home_history_count": 8}, "historical_source_observation_times_verified": false, "home_team": "Cupid Esports", "inference_inputs": {"book_state": {"games_played": {"bo3:3:17077": 36, "bo3:3:20536": 8}, "inactivity_half_life_days": null, "inactivity_max_pull": null, "k": 40.0, "last_match_utc": {"bo3:3:17077": "2026-09-10T21:00:00Z", "bo3:3:20536": "2026-09-04T21:00:00Z"}, "minimum_reliable_games": null, "platt_intercept": 0.08293258242815535, "platt_slope": 0.7939860598151524, "ratings": {"bo3:3:17077": 1615.866086, "bo3:3:20536": 1643.363125},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"2026-09-11T16:05:29.330996+00:00", "team_ids": ["bo3:3:20536", "bo3:3:17077"]}, "market_type": "moneyline", "model_version": "lol-tiered-elo-v6", "observed_at_utc": "2026-09-11T16:05:29.330996+00:00", "probabilities": {"away": 0.466994, "home": 0.533006}, "replay_scope": "Exact serving book state, calibration, temperature, inactivity reference and thin-history adjustments; training provenance not certified.", "schema": "esports-elo-replay-v1", "snapshot_hash": "d189c962c1490b811db6cef31363a4858686d5e496b104845c3772d84bd73e3b", "sport": "LOL"}</t>
        </is>
      </c>
    </row>
    <row r="166" ht="36" customHeight="1">
      <c r="A166" s="24" t="inlineStr">
        <is>
          <t>c00f10a14ca24bff</t>
        </is>
      </c>
      <c r="B166" s="24" t="inlineStr">
        <is>
          <t>2026-09-12T04:38:19.161265Z</t>
        </is>
      </c>
      <c r="C166" s="24" t="inlineStr">
        <is>
          <t>2026-09-12T05:00:00Z</t>
        </is>
      </c>
      <c r="D166" s="24" t="inlineStr">
        <is>
          <t>107636</t>
        </is>
      </c>
      <c r="E166" s="24" t="inlineStr">
        <is>
          <t>LOL</t>
        </is>
      </c>
      <c r="F166" s="24" t="inlineStr">
        <is>
          <t>T1</t>
        </is>
      </c>
      <c r="G166" s="24" t="inlineStr">
        <is>
          <t>Hanwha Life Esports</t>
        </is>
      </c>
      <c r="H166" s="24" t="inlineStr">
        <is>
          <t>moneyline</t>
        </is>
      </c>
      <c r="I166" s="24" t="inlineStr">
        <is>
          <t>home</t>
        </is>
      </c>
      <c r="J166" s="25" t="n"/>
      <c r="K166" s="24" t="inlineStr">
        <is>
          <t>polymarket_us</t>
        </is>
      </c>
      <c r="L166" s="26" t="n">
        <v>-156</v>
      </c>
      <c r="M166" s="27" t="n">
        <v>1.641026</v>
      </c>
      <c r="N166" s="28" t="n">
        <v>0.609375</v>
      </c>
      <c r="O166" s="28" t="n">
        <v>0.5847869999999999</v>
      </c>
      <c r="P166" s="28" t="n"/>
      <c r="Q166" s="28" t="n">
        <v>-0.024588</v>
      </c>
      <c r="R166" s="26" t="n">
        <v>8</v>
      </c>
      <c r="S166" s="29" t="n">
        <v>1</v>
      </c>
      <c r="T166" s="24" t="inlineStr">
        <is>
          <t>lol-tiered-elo-v6</t>
        </is>
      </c>
      <c r="U166" s="24" t="inlineStr">
        <is>
          <t>settled</t>
        </is>
      </c>
      <c r="V166" s="24" t="inlineStr">
        <is>
          <t>win</t>
        </is>
      </c>
      <c r="W166" s="26" t="n">
        <v>0</v>
      </c>
      <c r="X166" s="26" t="n">
        <v>1</v>
      </c>
      <c r="Y166" s="25" t="n"/>
      <c r="Z166" s="26" t="n">
        <v>-156</v>
      </c>
      <c r="AA166" s="28" t="n">
        <v>0.61</v>
      </c>
      <c r="AB166" s="28" t="n">
        <v>0.000625</v>
      </c>
      <c r="AC166" s="30" t="n">
        <v>0.641</v>
      </c>
      <c r="AD166" s="24" t="inlineStr">
        <is>
          <t>2026-09-12T10:02:45.963754Z</t>
        </is>
      </c>
      <c r="AE166" s="31" t="inlineStr">
        <is>
          <t>Neutral Elo baseline; executable ask 0.6100 (market_slug=aec-lol-hle-t1-2026-09-12).</t>
        </is>
      </c>
      <c r="AF166" s="31" t="inlineStr">
        <is>
          <t>Config-promoted esports baseline; gates enforced at log time.</t>
        </is>
      </c>
      <c r="AG166" s="24" t="inlineStr">
        <is>
          <t>not_applicable</t>
        </is>
      </c>
      <c r="AH166" s="24" t="n"/>
      <c r="AI166" s="31" t="n"/>
      <c r="AJ166" s="31" t="n"/>
      <c r="AK166" s="24" t="inlineStr">
        <is>
          <t>paper_call</t>
        </is>
      </c>
      <c r="AL166" s="26" t="n">
        <v>4</v>
      </c>
      <c r="AM166" s="24" t="inlineStr">
        <is>
          <t>RESEARCH_OBSERVATION</t>
        </is>
      </c>
      <c r="AN166" s="24" t="inlineStr">
        <is>
          <t>CALL</t>
        </is>
      </c>
      <c r="AO166" s="24" t="inlineStr">
        <is>
          <t>PAPER_CALL_LOW_EDGE</t>
        </is>
      </c>
      <c r="AP166" s="24" t="inlineStr">
        <is>
          <t>T1</t>
        </is>
      </c>
      <c r="AQ166" s="24" t="inlineStr">
        <is>
          <t>T1</t>
        </is>
      </c>
      <c r="AR166" s="24" t="inlineStr">
        <is>
          <t>T1</t>
        </is>
      </c>
      <c r="AS166" s="24" t="inlineStr">
        <is>
          <t>Hanwha Life Esports</t>
        </is>
      </c>
      <c r="AT166" s="24" t="inlineStr">
        <is>
          <t>Hanwha Life Esports</t>
        </is>
      </c>
      <c r="AU166" s="24" t="inlineStr">
        <is>
          <t>Hanwha Life Esports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shadow_qualified</t>
        </is>
      </c>
      <c r="BA166" s="24" t="inlineStr">
        <is>
          <t>59b90a79504cf4449e19f523b0f710fab325a05f922f88cfdec7eeb17385c0f2</t>
        </is>
      </c>
      <c r="BB166" s="24" t="inlineStr">
        <is>
          <t>neutral_elo</t>
        </is>
      </c>
      <c r="BC166" s="24" t="inlineStr">
        <is>
          <t>lol-tiered-elo-v6</t>
        </is>
      </c>
      <c r="BD166" s="24" t="inlineStr">
        <is>
          <t>59b90a79504cf4449e19f523b0f710fab325a05f922f88cfdec7eeb17385c0f2</t>
        </is>
      </c>
      <c r="BE166" s="24" t="inlineStr">
        <is>
          <t>1</t>
        </is>
      </c>
      <c r="BF166" s="24" t="inlineStr">
        <is>
          <t>1</t>
        </is>
      </c>
      <c r="BG166" s="24" t="inlineStr">
        <is>
          <t>lol-tiered-elo-v6</t>
        </is>
      </c>
      <c r="BH166" s="24" t="inlineStr">
        <is>
          <t>2026-09-12T04:38:16.919167Z</t>
        </is>
      </c>
      <c r="BI166" s="24" t="inlineStr">
        <is>
          <t>["same_event","same_team_same_day","same_league_same_day"]</t>
        </is>
      </c>
      <c r="BJ166" s="25" t="n"/>
      <c r="BK166" s="26" t="n">
        <v>-156</v>
      </c>
      <c r="BL166" s="27" t="n">
        <v>1.641026</v>
      </c>
      <c r="BM166" s="28" t="n">
        <v>0.609375</v>
      </c>
      <c r="BN166" s="28" t="n"/>
      <c r="BO166" s="28" t="n"/>
      <c r="BP166" s="25" t="n"/>
      <c r="BQ166" s="27" t="n">
        <v>1.641026</v>
      </c>
      <c r="BR166" s="28" t="n">
        <v>0.61</v>
      </c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False</t>
        </is>
      </c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/>
      <c r="DH166" s="24" t="n"/>
      <c r="DI166" s="24" t="n"/>
      <c r="DJ166" s="24" t="inlineStr">
        <is>
          <t>0.609375</t>
        </is>
      </c>
      <c r="DK166" s="24" t="n"/>
      <c r="DL166" s="24" t="n"/>
      <c r="DM166" s="24" t="n"/>
      <c r="DN166" s="24" t="n"/>
      <c r="DO166" s="24" t="n"/>
      <c r="DP166" s="24" t="n"/>
      <c r="DQ166" s="24" t="inlineStr">
        <is>
          <t>{"artifact_hash": "59b90a79504cf4449e19f523b0f710fab325a05f922f88cfdec7eeb17385c0f2", "away_team": "T1", "event_id": "107636", "event_start_utc": "2026-09-12T05:00:00Z", "features": {"away_elo": 1771.52577, "away_history_count": 204, "home_elo": 1849.580365, "home_history_count": 181}, "historical_source_observation_times_verified": false, "home_team": "Hanwha Life Esports", "inference_inputs": {"book_state": {"games_played": {"bo3:3:17529": 204, "bo3:3:17751": 181}, "inactivity_half_life_days": null, "inactivity_max_pull": null, "k": 40.0, "last_match_utc": {"bo3:3:17529": "2026-09-06T08:00:00Z", "bo3:3:17751": "2026-09-05T08:00:00Z"}, "minimum_reliable_games": null, "platt_intercept": 0.07932573758631777, "platt_slope": 0.7936977536650253, "ratings": {"bo3:3:17529": 1771.52577, "bo3:3:17751": 1849.580365},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"2026-09-12T04:38:16.555764+00:00", "team_ids": ["bo3:3:17751", "bo3:3:17529"]}, "market_type": "moneyline", "model_version": "lol-tiered-elo-v6", "observed_at_utc": "2026-09-12T04:38:16.555764+00:00", "probabilities": {"away": 0.415213, "home": 0.584787}, "replay_scope": "Exact serving book state, calibration, temperature, inactivity reference and thin-history adjustments; training provenance not certified.", "schema": "esports-elo-replay-v1", "snapshot_hash": "f590af277b4586e78e6c1d7a1104f90123f61bab1e021f6bf7983fbebf5929a7", "sport": "LOL"}</t>
        </is>
      </c>
    </row>
    <row r="167" ht="36" customHeight="1">
      <c r="A167" s="24" t="inlineStr">
        <is>
          <t>9801598a8ebb40f0</t>
        </is>
      </c>
      <c r="B167" s="24" t="inlineStr">
        <is>
          <t>2026-09-12T04:38:19.161265Z</t>
        </is>
      </c>
      <c r="C167" s="24" t="inlineStr">
        <is>
          <t>2026-09-12T09:00:00Z</t>
        </is>
      </c>
      <c r="D167" s="24" t="inlineStr">
        <is>
          <t>107736</t>
        </is>
      </c>
      <c r="E167" s="24" t="inlineStr">
        <is>
          <t>LOL</t>
        </is>
      </c>
      <c r="F167" s="24" t="inlineStr">
        <is>
          <t>9Gaming</t>
        </is>
      </c>
      <c r="G167" s="24" t="inlineStr">
        <is>
          <t>MVK Academy</t>
        </is>
      </c>
      <c r="H167" s="24" t="inlineStr">
        <is>
          <t>moneyline</t>
        </is>
      </c>
      <c r="I167" s="24" t="inlineStr">
        <is>
          <t>home</t>
        </is>
      </c>
      <c r="J167" s="25" t="n"/>
      <c r="K167" s="24" t="inlineStr">
        <is>
          <t>polymarket_us</t>
        </is>
      </c>
      <c r="L167" s="26" t="n">
        <v>127</v>
      </c>
      <c r="M167" s="27" t="n">
        <v>2.27</v>
      </c>
      <c r="N167" s="28" t="n">
        <v>0.440529</v>
      </c>
      <c r="O167" s="28" t="n">
        <v>0.584692</v>
      </c>
      <c r="P167" s="28" t="n"/>
      <c r="Q167" s="28" t="n">
        <v>0.144163</v>
      </c>
      <c r="R167" s="26" t="n">
        <v>92</v>
      </c>
      <c r="S167" s="29" t="n">
        <v>1.75</v>
      </c>
      <c r="T167" s="24" t="inlineStr">
        <is>
          <t>lol-tiered-elo-v6</t>
        </is>
      </c>
      <c r="U167" s="24" t="inlineStr">
        <is>
          <t>settled</t>
        </is>
      </c>
      <c r="V167" s="24" t="inlineStr">
        <is>
          <t>win</t>
        </is>
      </c>
      <c r="W167" s="26" t="n">
        <v>0</v>
      </c>
      <c r="X167" s="26" t="n">
        <v>1</v>
      </c>
      <c r="Y167" s="25" t="n"/>
      <c r="Z167" s="26" t="n">
        <v>127</v>
      </c>
      <c r="AA167" s="28" t="n">
        <v>0.44</v>
      </c>
      <c r="AB167" s="28" t="n">
        <v>-0.000529</v>
      </c>
      <c r="AC167" s="30" t="n">
        <v>2.2225</v>
      </c>
      <c r="AD167" s="24" t="inlineStr">
        <is>
          <t>2026-09-12T16:02:47.904295Z</t>
        </is>
      </c>
      <c r="AE167" s="31" t="inlineStr">
        <is>
          <t>Neutral Elo baseline; executable ask 0.4400 (market_slug=aec-lol-mvka-9g-2026-09-12).</t>
        </is>
      </c>
      <c r="AF167" s="31" t="inlineStr">
        <is>
          <t>Config-promoted esports baseline; gates enforced at log time.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model_qualified</t>
        </is>
      </c>
      <c r="AL167" s="26" t="n">
        <v>4</v>
      </c>
      <c r="AM167" s="24" t="inlineStr">
        <is>
          <t>QUALIFIED_SHADOW_CALL</t>
        </is>
      </c>
      <c r="AN167" s="24" t="inlineStr">
        <is>
          <t>CALL</t>
        </is>
      </c>
      <c r="AO167" s="24" t="inlineStr">
        <is>
          <t>QUALIFIED</t>
        </is>
      </c>
      <c r="AP167" s="24" t="inlineStr">
        <is>
          <t>9Gaming</t>
        </is>
      </c>
      <c r="AQ167" s="24" t="inlineStr">
        <is>
          <t>9Gaming</t>
        </is>
      </c>
      <c r="AR167" s="24" t="inlineStr">
        <is>
          <t>9Gaming</t>
        </is>
      </c>
      <c r="AS167" s="24" t="inlineStr">
        <is>
          <t>MVK Academy</t>
        </is>
      </c>
      <c r="AT167" s="24" t="inlineStr">
        <is>
          <t>MVK Academy</t>
        </is>
      </c>
      <c r="AU167" s="24" t="inlineStr">
        <is>
          <t>MVK Academy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shadow_qualified</t>
        </is>
      </c>
      <c r="BA167" s="24" t="inlineStr">
        <is>
          <t>59b90a79504cf4449e19f523b0f710fab325a05f922f88cfdec7eeb17385c0f2</t>
        </is>
      </c>
      <c r="BB167" s="24" t="inlineStr">
        <is>
          <t>neutral_elo</t>
        </is>
      </c>
      <c r="BC167" s="24" t="inlineStr">
        <is>
          <t>lol-tiered-elo-v6</t>
        </is>
      </c>
      <c r="BD167" s="24" t="inlineStr">
        <is>
          <t>59b90a79504cf4449e19f523b0f710fab325a05f922f88cfdec7eeb17385c0f2</t>
        </is>
      </c>
      <c r="BE167" s="24" t="inlineStr">
        <is>
          <t>1</t>
        </is>
      </c>
      <c r="BF167" s="24" t="inlineStr">
        <is>
          <t>1</t>
        </is>
      </c>
      <c r="BG167" s="24" t="inlineStr">
        <is>
          <t>lol-tiered-elo-v6</t>
        </is>
      </c>
      <c r="BH167" s="24" t="inlineStr">
        <is>
          <t>2026-09-12T04:38:16.994403Z</t>
        </is>
      </c>
      <c r="BI167" s="24" t="inlineStr">
        <is>
          <t>["same_event","same_team_same_day","same_league_same_day"]</t>
        </is>
      </c>
      <c r="BJ167" s="25" t="n"/>
      <c r="BK167" s="26" t="n">
        <v>127</v>
      </c>
      <c r="BL167" s="27" t="n">
        <v>2.27</v>
      </c>
      <c r="BM167" s="28" t="n">
        <v>0.440529</v>
      </c>
      <c r="BN167" s="28" t="n"/>
      <c r="BO167" s="28" t="n"/>
      <c r="BP167" s="25" t="n"/>
      <c r="BQ167" s="27" t="n">
        <v>2.27</v>
      </c>
      <c r="BR167" s="28" t="n">
        <v>0.44</v>
      </c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True</t>
        </is>
      </c>
      <c r="CT167" s="24" t="n"/>
      <c r="CU167" s="24" t="n"/>
      <c r="CV167" s="24" t="n"/>
      <c r="CW167" s="24" t="n"/>
      <c r="CX167" s="24" t="n"/>
      <c r="CY167" s="24" t="n"/>
      <c r="CZ167" s="24" t="n"/>
      <c r="DA167" s="24" t="n"/>
      <c r="DB167" s="24" t="n"/>
      <c r="DC167" s="24" t="n"/>
      <c r="DD167" s="24" t="n"/>
      <c r="DE167" s="24" t="n"/>
      <c r="DF167" s="24" t="n"/>
      <c r="DG167" s="24" t="n"/>
      <c r="DH167" s="24" t="n"/>
      <c r="DI167" s="24" t="n"/>
      <c r="DJ167" s="24" t="inlineStr">
        <is>
          <t>0.440529</t>
        </is>
      </c>
      <c r="DK167" s="24" t="n"/>
      <c r="DL167" s="24" t="n"/>
      <c r="DM167" s="24" t="n"/>
      <c r="DN167" s="24" t="n"/>
      <c r="DO167" s="24" t="n"/>
      <c r="DP167" s="24" t="n"/>
      <c r="DQ167" s="24" t="inlineStr">
        <is>
          <t>{"artifact_hash": "59b90a79504cf4449e19f523b0f710fab325a05f922f88cfdec7eeb17385c0f2", "away_team": "9Gaming", "event_id": "107736", "event_start_utc": "2026-09-12T09:00:00Z", "features": {"away_elo": 1450.751515, "away_history_count": 13, "home_elo": 1542.756543, "home_history_count": 13}, "historical_source_observation_times_verified": false, "home_team": "MVK Academy", "inference_inputs": {"book_state": {"games_played": {"bo3:3:22225": 13, "bo3:3:22896": 13}, "inactivity_half_life_days": null, "inactivity_max_pull": null, "k": 40.0, "last_match_utc": {"bo3:3:22225": "2026-09-11T11:35:00Z", "bo3:3:22896": "2026-05-28T10:00:00Z"}, "minimum_reliable_games": null, "platt_intercept": 0.07932573758631777, "platt_slope": 0.7936977536650253, "ratings": {"bo3:3:22225": 1450.751515, "bo3:3:22896": 1542.756543},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"2026-09-12T04:38:16.555764+00:00", "team_ids": ["bo3:3:22896", "bo3:3:22225"]}, "market_type": "moneyline", "model_version": "lol-tiered-elo-v6", "observed_at_utc": "2026-09-12T04:38:16.555764+00:00", "probabilities": {"away": 0.415308, "home": 0.584692}, "replay_scope": "Exact serving book state, calibration, temperature, inactivity reference and thin-history adjustments; training provenance not certified.", "schema": "esports-elo-replay-v1", "snapshot_hash": "cd80a53ebfa311b16cf0d83391b5e948e7910b3fff6df42334ce920ba8a41660", "sport": "LOL"}</t>
        </is>
      </c>
    </row>
    <row r="168" ht="36" customHeight="1">
      <c r="A168" s="24" t="inlineStr">
        <is>
          <t>57565b6b9b2f470a</t>
        </is>
      </c>
      <c r="B168" s="24" t="inlineStr">
        <is>
          <t>2026-09-12T04:38:19.161265Z</t>
        </is>
      </c>
      <c r="C168" s="24" t="inlineStr">
        <is>
          <t>2026-09-12T09:00:00Z</t>
        </is>
      </c>
      <c r="D168" s="24" t="inlineStr">
        <is>
          <t>107731</t>
        </is>
      </c>
      <c r="E168" s="24" t="inlineStr">
        <is>
          <t>LOL</t>
        </is>
      </c>
      <c r="F168" s="24" t="inlineStr">
        <is>
          <t>Invictus Gaming</t>
        </is>
      </c>
      <c r="G168" s="24" t="inlineStr">
        <is>
          <t>Anyone's Legend</t>
        </is>
      </c>
      <c r="H168" s="24" t="inlineStr">
        <is>
          <t>moneyline</t>
        </is>
      </c>
      <c r="I168" s="24" t="inlineStr">
        <is>
          <t>home</t>
        </is>
      </c>
      <c r="J168" s="25" t="n"/>
      <c r="K168" s="24" t="inlineStr">
        <is>
          <t>polymarket_us</t>
        </is>
      </c>
      <c r="L168" s="26" t="n">
        <v>104</v>
      </c>
      <c r="M168" s="27" t="n">
        <v>2.04</v>
      </c>
      <c r="N168" s="28" t="n">
        <v>0.490196</v>
      </c>
      <c r="O168" s="28" t="n">
        <v>0.549323</v>
      </c>
      <c r="P168" s="28" t="n"/>
      <c r="Q168" s="28" t="n">
        <v>0.059127</v>
      </c>
      <c r="R168" s="26" t="n">
        <v>50</v>
      </c>
      <c r="S168" s="29" t="n">
        <v>1</v>
      </c>
      <c r="T168" s="24" t="inlineStr">
        <is>
          <t>lol-tiered-elo-v6</t>
        </is>
      </c>
      <c r="U168" s="24" t="inlineStr">
        <is>
          <t>settled</t>
        </is>
      </c>
      <c r="V168" s="24" t="inlineStr">
        <is>
          <t>win</t>
        </is>
      </c>
      <c r="W168" s="26" t="n">
        <v>0</v>
      </c>
      <c r="X168" s="26" t="n">
        <v>1</v>
      </c>
      <c r="Y168" s="25" t="n"/>
      <c r="Z168" s="26" t="n">
        <v>104</v>
      </c>
      <c r="AA168" s="28" t="n">
        <v>0.49</v>
      </c>
      <c r="AB168" s="28" t="n">
        <v>-0.000196</v>
      </c>
      <c r="AC168" s="30" t="n">
        <v>1.04</v>
      </c>
      <c r="AD168" s="24" t="inlineStr">
        <is>
          <t>2026-09-12T16:02:48.249284Z</t>
        </is>
      </c>
      <c r="AE168" s="31" t="inlineStr">
        <is>
          <t>Neutral Elo baseline; executable ask 0.4900 (market_slug=aec-lol-al-ig-2026-09-12).</t>
        </is>
      </c>
      <c r="AF168" s="31" t="inlineStr">
        <is>
          <t>Config-promoted esports baseline; gates enforced at log time.</t>
        </is>
      </c>
      <c r="AG168" s="24" t="inlineStr">
        <is>
          <t>not_applicable</t>
        </is>
      </c>
      <c r="AH168" s="24" t="n"/>
      <c r="AI168" s="31" t="n"/>
      <c r="AJ168" s="31" t="n"/>
      <c r="AK168" s="24" t="inlineStr">
        <is>
          <t>model_qualified</t>
        </is>
      </c>
      <c r="AL168" s="26" t="n">
        <v>4</v>
      </c>
      <c r="AM168" s="24" t="inlineStr">
        <is>
          <t>QUALIFIED_SHADOW_CALL</t>
        </is>
      </c>
      <c r="AN168" s="24" t="inlineStr">
        <is>
          <t>CALL</t>
        </is>
      </c>
      <c r="AO168" s="24" t="inlineStr">
        <is>
          <t>QUALIFIED</t>
        </is>
      </c>
      <c r="AP168" s="24" t="inlineStr">
        <is>
          <t>Invictus Gaming</t>
        </is>
      </c>
      <c r="AQ168" s="24" t="inlineStr">
        <is>
          <t>Invictus Gaming</t>
        </is>
      </c>
      <c r="AR168" s="24" t="inlineStr">
        <is>
          <t>Invictus Gaming</t>
        </is>
      </c>
      <c r="AS168" s="24" t="inlineStr">
        <is>
          <t>Anyone's Legend</t>
        </is>
      </c>
      <c r="AT168" s="24" t="inlineStr">
        <is>
          <t>Anyone's Legend</t>
        </is>
      </c>
      <c r="AU168" s="24" t="inlineStr">
        <is>
          <t>Anyone's Legend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shadow_qualified</t>
        </is>
      </c>
      <c r="BA168" s="24" t="inlineStr">
        <is>
          <t>59b90a79504cf4449e19f523b0f710fab325a05f922f88cfdec7eeb17385c0f2</t>
        </is>
      </c>
      <c r="BB168" s="24" t="inlineStr">
        <is>
          <t>neutral_elo</t>
        </is>
      </c>
      <c r="BC168" s="24" t="inlineStr">
        <is>
          <t>lol-tiered-elo-v6</t>
        </is>
      </c>
      <c r="BD168" s="24" t="inlineStr">
        <is>
          <t>59b90a79504cf4449e19f523b0f710fab325a05f922f88cfdec7eeb17385c0f2</t>
        </is>
      </c>
      <c r="BE168" s="24" t="inlineStr">
        <is>
          <t>1</t>
        </is>
      </c>
      <c r="BF168" s="24" t="inlineStr">
        <is>
          <t>1</t>
        </is>
      </c>
      <c r="BG168" s="24" t="inlineStr">
        <is>
          <t>lol-tiered-elo-v6</t>
        </is>
      </c>
      <c r="BH168" s="24" t="inlineStr">
        <is>
          <t>2026-09-12T04:38:17.237954Z</t>
        </is>
      </c>
      <c r="BI168" s="24" t="inlineStr">
        <is>
          <t>["same_event","same_team_same_day","same_league_same_day"]</t>
        </is>
      </c>
      <c r="BJ168" s="25" t="n"/>
      <c r="BK168" s="26" t="n">
        <v>104</v>
      </c>
      <c r="BL168" s="27" t="n">
        <v>2.04</v>
      </c>
      <c r="BM168" s="28" t="n">
        <v>0.490196</v>
      </c>
      <c r="BN168" s="28" t="n"/>
      <c r="BO168" s="28" t="n"/>
      <c r="BP168" s="25" t="n"/>
      <c r="BQ168" s="27" t="n">
        <v>2.04</v>
      </c>
      <c r="BR168" s="28" t="n">
        <v>0.49</v>
      </c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inlineStr">
        <is>
          <t>True</t>
        </is>
      </c>
      <c r="CT168" s="24" t="n"/>
      <c r="CU168" s="24" t="n"/>
      <c r="CV168" s="24" t="n"/>
      <c r="CW168" s="24" t="n"/>
      <c r="CX168" s="24" t="n"/>
      <c r="CY168" s="24" t="n"/>
      <c r="CZ168" s="24" t="n"/>
      <c r="DA168" s="24" t="n"/>
      <c r="DB168" s="24" t="n"/>
      <c r="DC168" s="24" t="n"/>
      <c r="DD168" s="24" t="n"/>
      <c r="DE168" s="24" t="n"/>
      <c r="DF168" s="24" t="n"/>
      <c r="DG168" s="24" t="n"/>
      <c r="DH168" s="24" t="n"/>
      <c r="DI168" s="24" t="n"/>
      <c r="DJ168" s="24" t="inlineStr">
        <is>
          <t>0.490196</t>
        </is>
      </c>
      <c r="DK168" s="24" t="n"/>
      <c r="DL168" s="24" t="n"/>
      <c r="DM168" s="24" t="n"/>
      <c r="DN168" s="24" t="n"/>
      <c r="DO168" s="24" t="n"/>
      <c r="DP168" s="24" t="n"/>
      <c r="DQ168" s="24" t="inlineStr">
        <is>
          <t>{"artifact_hash": "59b90a79504cf4449e19f523b0f710fab325a05f922f88cfdec7eeb17385c0f2", "away_team": "Invictus Gaming", "event_id": "107731", "event_start_utc": "2026-09-12T09:00:00Z", "features": {"away_elo": 1695.10214, "away_history_count": 141, "home_elo": 1732.137222, "home_history_count": 164}, "historical_source_observation_times_verified": false, "home_team": "Anyone's Legend", "inference_inputs": {"book_state": {"games_played": {"bo3:3:17162": 164, "bo3:3:17955": 141}, "inactivity_half_life_days": null, "inactivity_max_pull": null, "k": 40.0, "last_match_utc": {"bo3:3:17162": "2026-09-07T09:00:00Z", "bo3:3:17955": "2026-09-08T09:00:00Z"}, "minimum_reliable_games": null, "platt_intercept": 0.07932573758631777, "platt_slope": 0.7936977536650253, "ratings": {"bo3:3:17162": 1732.137222, "bo3:3:17955": 1695.10214},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"2026-09-12T04:38:16.555764+00:00", "team_ids": ["bo3:3:17162", "bo3:3:17955"]}, "market_type": "moneyline", "model_version": "lol-tiered-elo-v6", "observed_at_utc": "2026-09-12T04:38:16.555764+00:00", "probabilities": {"away": 0.450677, "home": 0.549323}, "replay_scope": "Exact serving book state, calibration, temperature, inactivity reference and thin-history adjustments; training provenance not certified.", "schema": "esports-elo-replay-v1", "snapshot_hash": "d51bdb174cdfdcb6714cb3bc42049d1e2dd9148105a729fd5fa275d9f471b19d", "sport": "LOL"}</t>
        </is>
      </c>
    </row>
    <row r="169" ht="36" customHeight="1">
      <c r="A169" s="24" t="inlineStr">
        <is>
          <t>3da8bdcbf6574618</t>
        </is>
      </c>
      <c r="B169" s="24" t="inlineStr">
        <is>
          <t>2026-09-12T10:07:54.112744Z</t>
        </is>
      </c>
      <c r="C169" s="24" t="inlineStr">
        <is>
          <t>2026-09-12T15:00:00Z</t>
        </is>
      </c>
      <c r="D169" s="24" t="inlineStr">
        <is>
          <t>107866</t>
        </is>
      </c>
      <c r="E169" s="24" t="inlineStr">
        <is>
          <t>LOL</t>
        </is>
      </c>
      <c r="F169" s="24" t="inlineStr">
        <is>
          <t>Movistar KOI</t>
        </is>
      </c>
      <c r="G169" s="24" t="inlineStr">
        <is>
          <t>Team Vitality</t>
        </is>
      </c>
      <c r="H169" s="24" t="inlineStr">
        <is>
          <t>moneyline</t>
        </is>
      </c>
      <c r="I169" s="24" t="inlineStr">
        <is>
          <t>home</t>
        </is>
      </c>
      <c r="J169" s="25" t="n"/>
      <c r="K169" s="24" t="inlineStr">
        <is>
          <t>polymarket_us</t>
        </is>
      </c>
      <c r="L169" s="26" t="n">
        <v>113</v>
      </c>
      <c r="M169" s="27" t="n">
        <v>2.13</v>
      </c>
      <c r="N169" s="28" t="n">
        <v>0.469484</v>
      </c>
      <c r="O169" s="28" t="n">
        <v>0.62087</v>
      </c>
      <c r="P169" s="28" t="n"/>
      <c r="Q169" s="28" t="n">
        <v>0.151386</v>
      </c>
      <c r="R169" s="26" t="n">
        <v>96</v>
      </c>
      <c r="S169" s="29" t="n">
        <v>1.75</v>
      </c>
      <c r="T169" s="24" t="inlineStr">
        <is>
          <t>lol-tiered-elo-v6</t>
        </is>
      </c>
      <c r="U169" s="24" t="inlineStr">
        <is>
          <t>settled</t>
        </is>
      </c>
      <c r="V169" s="24" t="inlineStr">
        <is>
          <t>loss</t>
        </is>
      </c>
      <c r="W169" s="26" t="n">
        <v>1</v>
      </c>
      <c r="X169" s="26" t="n">
        <v>0</v>
      </c>
      <c r="Y169" s="25" t="n"/>
      <c r="Z169" s="26" t="n">
        <v>113</v>
      </c>
      <c r="AA169" s="28" t="n">
        <v>0.47</v>
      </c>
      <c r="AB169" s="28" t="n">
        <v>0.000516</v>
      </c>
      <c r="AC169" s="30" t="n">
        <v>-1.75</v>
      </c>
      <c r="AD169" s="24" t="inlineStr">
        <is>
          <t>2026-09-12T22:04:07.180261Z</t>
        </is>
      </c>
      <c r="AE169" s="31" t="inlineStr">
        <is>
          <t>Neutral Elo baseline; executable ask 0.4700 (market_slug=aec-lol-vit-mkoi-2026-09-12).</t>
        </is>
      </c>
      <c r="AF169" s="31" t="inlineStr">
        <is>
          <t>Config-promoted esports baseline; gates enforced at log time.</t>
        </is>
      </c>
      <c r="AG169" s="24" t="inlineStr">
        <is>
          <t>review_required</t>
        </is>
      </c>
      <c r="AH169" s="24" t="n"/>
      <c r="AI169" s="31" t="n"/>
      <c r="AJ169" s="31" t="n"/>
      <c r="AK169" s="24" t="inlineStr">
        <is>
          <t>model_qualified</t>
        </is>
      </c>
      <c r="AL169" s="26" t="n">
        <v>4</v>
      </c>
      <c r="AM169" s="24" t="inlineStr">
        <is>
          <t>QUALIFIED_SHADOW_CALL</t>
        </is>
      </c>
      <c r="AN169" s="24" t="inlineStr">
        <is>
          <t>CALL</t>
        </is>
      </c>
      <c r="AO169" s="24" t="inlineStr">
        <is>
          <t>QUALIFIED</t>
        </is>
      </c>
      <c r="AP169" s="24" t="inlineStr">
        <is>
          <t>Movistar KOI</t>
        </is>
      </c>
      <c r="AQ169" s="24" t="inlineStr">
        <is>
          <t>Movistar KOI</t>
        </is>
      </c>
      <c r="AR169" s="24" t="inlineStr">
        <is>
          <t>Movistar KOI</t>
        </is>
      </c>
      <c r="AS169" s="24" t="inlineStr">
        <is>
          <t>Team Vitality</t>
        </is>
      </c>
      <c r="AT169" s="24" t="inlineStr">
        <is>
          <t>Team Vitality</t>
        </is>
      </c>
      <c r="AU169" s="24" t="inlineStr">
        <is>
          <t>Team Vitality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shadow_qualified</t>
        </is>
      </c>
      <c r="BA169" s="24" t="inlineStr">
        <is>
          <t>bc41c53e5df7beb4b802105a21bcc80226b4509dc6395a2603dc68099c942658</t>
        </is>
      </c>
      <c r="BB169" s="24" t="inlineStr">
        <is>
          <t>neutral_elo</t>
        </is>
      </c>
      <c r="BC169" s="24" t="inlineStr">
        <is>
          <t>lol-tiered-elo-v6</t>
        </is>
      </c>
      <c r="BD169" s="24" t="inlineStr">
        <is>
          <t>bc41c53e5df7beb4b802105a21bcc80226b4509dc6395a2603dc68099c942658</t>
        </is>
      </c>
      <c r="BE169" s="24" t="inlineStr">
        <is>
          <t>1</t>
        </is>
      </c>
      <c r="BF169" s="24" t="inlineStr">
        <is>
          <t>1</t>
        </is>
      </c>
      <c r="BG169" s="24" t="inlineStr">
        <is>
          <t>lol-tiered-elo-v6</t>
        </is>
      </c>
      <c r="BH169" s="24" t="inlineStr">
        <is>
          <t>2026-09-12T10:07:52.402050Z</t>
        </is>
      </c>
      <c r="BI169" s="24" t="inlineStr">
        <is>
          <t>["same_event","same_team_same_day","same_league_same_day"]</t>
        </is>
      </c>
      <c r="BJ169" s="25" t="n"/>
      <c r="BK169" s="26" t="n">
        <v>113</v>
      </c>
      <c r="BL169" s="27" t="n">
        <v>2.13</v>
      </c>
      <c r="BM169" s="28" t="n">
        <v>0.469484</v>
      </c>
      <c r="BN169" s="28" t="n"/>
      <c r="BO169" s="28" t="n"/>
      <c r="BP169" s="25" t="n"/>
      <c r="BQ169" s="27" t="n">
        <v>2.13</v>
      </c>
      <c r="BR169" s="28" t="n">
        <v>0.47</v>
      </c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True</t>
        </is>
      </c>
      <c r="CT169" s="24" t="n"/>
      <c r="CU169" s="24" t="n"/>
      <c r="CV169" s="24" t="n"/>
      <c r="CW169" s="24" t="n"/>
      <c r="CX169" s="24" t="n"/>
      <c r="CY169" s="24" t="n"/>
      <c r="CZ169" s="24" t="n"/>
      <c r="DA169" s="24" t="n"/>
      <c r="DB169" s="24" t="n"/>
      <c r="DC169" s="24" t="n"/>
      <c r="DD169" s="24" t="n"/>
      <c r="DE169" s="24" t="n"/>
      <c r="DF169" s="24" t="n"/>
      <c r="DG169" s="24" t="n"/>
      <c r="DH169" s="24" t="n"/>
      <c r="DI169" s="24" t="n"/>
      <c r="DJ169" s="24" t="inlineStr">
        <is>
          <t>0.469484</t>
        </is>
      </c>
      <c r="DK169" s="24" t="n"/>
      <c r="DL169" s="24" t="n"/>
      <c r="DM169" s="24" t="n"/>
      <c r="DN169" s="24" t="n"/>
      <c r="DO169" s="24" t="n"/>
      <c r="DP169" s="24" t="n"/>
      <c r="DQ169" s="24" t="inlineStr">
        <is>
          <t>{"artifact_hash": "bc41c53e5df7beb4b802105a21bcc80226b4509dc6395a2603dc68099c942658", "away_team": "Movistar KOI", "event_id": "107866", "event_start_utc": "2026-09-12T15:00:00Z", "features": {"away_elo": 1608.993655, "away_history_count": 145, "home_elo": 1720.818791, "home_history_count": 105}, "historical_source_observation_times_verified": false, "home_team": "Team Vitality", "inference_inputs": {"book_state": {"games_played": {"bo3:3:17163": 145, "bo3:3:18129": 105}, "inactivity_half_life_days": null, "inactivity_max_pull": null, "k": 40.0, "last_match_utc": {"bo3:3:17163": "2026-08-30T13:45:00Z", "bo3:3:18129": "2026-09-05T10:10:00Z"}, "minimum_reliable_games": null, "platt_intercept": 0.07944321160917801, "platt_slope": 0.7935008652031617, "ratings": {"bo3:3:17163": 1608.993655, "bo3:3:18129": 1720.818791},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"2026-09-12T10:07:51.838414+00:00", "team_ids": ["bo3:3:18129", "bo3:3:17163"]}, "market_type": "moneyline", "model_version": "lol-tiered-elo-v6", "observed_at_utc": "2026-09-12T10:07:51.838414+00:00", "probabilities": {"away": 0.37913, "home": 0.62087}, "replay_scope": "Exact serving book state, calibration, temperature, inactivity reference and thin-history adjustments; training provenance not certified.", "schema": "esports-elo-replay-v1", "snapshot_hash": "35b80bd8c2cec32a4b531e749bc287c5819963d2a68845aed4dffe6d48256ebe", "sport": "LOL"}</t>
        </is>
      </c>
    </row>
    <row r="170" ht="36" customHeight="1">
      <c r="A170" s="24" t="inlineStr">
        <is>
          <t>fb961ef1e97449f8</t>
        </is>
      </c>
      <c r="B170" s="24" t="inlineStr">
        <is>
          <t>2026-09-15T04:40:52.352691Z</t>
        </is>
      </c>
      <c r="C170" s="24" t="inlineStr">
        <is>
          <t>2026-09-15T08:00:00Z</t>
        </is>
      </c>
      <c r="D170" s="24" t="inlineStr">
        <is>
          <t>112482</t>
        </is>
      </c>
      <c r="E170" s="24" t="inlineStr">
        <is>
          <t>LOL</t>
        </is>
      </c>
      <c r="F170" s="24" t="inlineStr">
        <is>
          <t>KT Rolster Challengers</t>
        </is>
      </c>
      <c r="G170" s="24" t="inlineStr">
        <is>
          <t>T1 Academy</t>
        </is>
      </c>
      <c r="H170" s="24" t="inlineStr">
        <is>
          <t>moneyline</t>
        </is>
      </c>
      <c r="I170" s="24" t="inlineStr">
        <is>
          <t>home</t>
        </is>
      </c>
      <c r="J170" s="25" t="n"/>
      <c r="K170" s="24" t="inlineStr">
        <is>
          <t>polymarket_us</t>
        </is>
      </c>
      <c r="L170" s="26" t="n">
        <v>-223</v>
      </c>
      <c r="M170" s="27" t="n">
        <v>1.44843</v>
      </c>
      <c r="N170" s="28" t="n">
        <v>0.690402</v>
      </c>
      <c r="O170" s="28" t="n">
        <v>0.566649</v>
      </c>
      <c r="P170" s="28" t="n"/>
      <c r="Q170" s="28" t="n">
        <v>-0.123753</v>
      </c>
      <c r="R170" s="26" t="n">
        <v>0</v>
      </c>
      <c r="S170" s="29" t="n">
        <v>1</v>
      </c>
      <c r="T170" s="24" t="inlineStr">
        <is>
          <t>lol-tiered-elo-v6</t>
        </is>
      </c>
      <c r="U170" s="24" t="inlineStr">
        <is>
          <t>settled</t>
        </is>
      </c>
      <c r="V170" s="24" t="inlineStr">
        <is>
          <t>win</t>
        </is>
      </c>
      <c r="W170" s="26" t="n">
        <v>0</v>
      </c>
      <c r="X170" s="26" t="n">
        <v>1</v>
      </c>
      <c r="Y170" s="25" t="n"/>
      <c r="Z170" s="26" t="n"/>
      <c r="AA170" s="28" t="n"/>
      <c r="AB170" s="28" t="n"/>
      <c r="AC170" s="30" t="n">
        <v>0.4484</v>
      </c>
      <c r="AD170" s="24" t="inlineStr">
        <is>
          <t>2026-09-15T16:06:21.809350Z</t>
        </is>
      </c>
      <c r="AE170" s="31" t="inlineStr">
        <is>
          <t>Neutral Elo baseline; executable ask 0.6900 (market_slug=aec-lol-t1a-ktc-2026-09-15).</t>
        </is>
      </c>
      <c r="AF170" s="31" t="inlineStr">
        <is>
          <t>Config-promoted esports baseline; gates enforced at log time.</t>
        </is>
      </c>
      <c r="AG170" s="24" t="inlineStr">
        <is>
          <t>not_applicable</t>
        </is>
      </c>
      <c r="AH170" s="24" t="n"/>
      <c r="AI170" s="31" t="n"/>
      <c r="AJ170" s="31" t="n"/>
      <c r="AK170" s="24" t="inlineStr">
        <is>
          <t>paper_call</t>
        </is>
      </c>
      <c r="AL170" s="26" t="n">
        <v>4</v>
      </c>
      <c r="AM170" s="24" t="inlineStr">
        <is>
          <t>RESEARCH_OBSERVATION</t>
        </is>
      </c>
      <c r="AN170" s="24" t="inlineStr">
        <is>
          <t>CALL</t>
        </is>
      </c>
      <c r="AO170" s="24" t="inlineStr">
        <is>
          <t>PAPER_CALL_LOW_EDGE</t>
        </is>
      </c>
      <c r="AP170" s="24" t="inlineStr">
        <is>
          <t>KT Rolster Challengers</t>
        </is>
      </c>
      <c r="AQ170" s="24" t="inlineStr">
        <is>
          <t>KT Rolster Challengers</t>
        </is>
      </c>
      <c r="AR170" s="24" t="inlineStr">
        <is>
          <t>KT Rolster Challengers</t>
        </is>
      </c>
      <c r="AS170" s="24" t="inlineStr">
        <is>
          <t>T1 Academy</t>
        </is>
      </c>
      <c r="AT170" s="24" t="inlineStr">
        <is>
          <t>T1 Academy</t>
        </is>
      </c>
      <c r="AU170" s="24" t="inlineStr">
        <is>
          <t>T1 Academy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shadow_qualified</t>
        </is>
      </c>
      <c r="BA170" s="24" t="inlineStr">
        <is>
          <t>614959740b0dc3633da1891fdae28d4468783ac2e0eb843dcf20b23e7e6d87aa</t>
        </is>
      </c>
      <c r="BB170" s="24" t="inlineStr">
        <is>
          <t>neutral_elo</t>
        </is>
      </c>
      <c r="BC170" s="24" t="inlineStr">
        <is>
          <t>lol-tiered-elo-v6</t>
        </is>
      </c>
      <c r="BD170" s="24" t="inlineStr">
        <is>
          <t>614959740b0dc3633da1891fdae28d4468783ac2e0eb843dcf20b23e7e6d87aa</t>
        </is>
      </c>
      <c r="BE170" s="24" t="inlineStr">
        <is>
          <t>1</t>
        </is>
      </c>
      <c r="BF170" s="24" t="inlineStr">
        <is>
          <t>1</t>
        </is>
      </c>
      <c r="BG170" s="24" t="inlineStr">
        <is>
          <t>lol-tiered-elo-v6</t>
        </is>
      </c>
      <c r="BH170" s="24" t="inlineStr">
        <is>
          <t>2026-09-15T04:40:19.357595Z</t>
        </is>
      </c>
      <c r="BI170" s="24" t="inlineStr">
        <is>
          <t>["same_event","same_team_same_day","same_league_same_day"]</t>
        </is>
      </c>
      <c r="BJ170" s="25" t="n"/>
      <c r="BK170" s="26" t="n">
        <v>-223</v>
      </c>
      <c r="BL170" s="27" t="n">
        <v>1.44843</v>
      </c>
      <c r="BM170" s="28" t="n">
        <v>0.690402</v>
      </c>
      <c r="BN170" s="28" t="n"/>
      <c r="BO170" s="28" t="n"/>
      <c r="BP170" s="25" t="n"/>
      <c r="BQ170" s="27" t="n"/>
      <c r="BR170" s="28" t="n"/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inlineStr">
        <is>
          <t>False</t>
        </is>
      </c>
      <c r="CT170" s="24" t="n"/>
      <c r="CU170" s="24" t="n"/>
      <c r="CV170" s="24" t="n"/>
      <c r="CW170" s="24" t="n"/>
      <c r="CX170" s="24" t="n"/>
      <c r="CY170" s="24" t="n"/>
      <c r="CZ170" s="24" t="n"/>
      <c r="DA170" s="24" t="n"/>
      <c r="DB170" s="24" t="n"/>
      <c r="DC170" s="24" t="n"/>
      <c r="DD170" s="24" t="n"/>
      <c r="DE170" s="24" t="n"/>
      <c r="DF170" s="24" t="n"/>
      <c r="DG170" s="24" t="n"/>
      <c r="DH170" s="24" t="n"/>
      <c r="DI170" s="24" t="n"/>
      <c r="DJ170" s="24" t="inlineStr">
        <is>
          <t>0.690402</t>
        </is>
      </c>
      <c r="DK170" s="24" t="n"/>
      <c r="DL170" s="24" t="n"/>
      <c r="DM170" s="24" t="n"/>
      <c r="DN170" s="24" t="n"/>
      <c r="DO170" s="24" t="n"/>
      <c r="DP170" s="24" t="n"/>
      <c r="DQ170" s="24" t="inlineStr">
        <is>
          <t>{"artifact_hash": "614959740b0dc3633da1891fdae28d4468783ac2e0eb843dcf20b23e7e6d87aa", "away_team": "KT Rolster Challengers", "event_id": "112482", "event_start_utc": "2026-09-15T08:00:00Z", "features": {"away_elo": 1828.202111, "away_history_count": 149, "home_elo": 1894.107897, "home_history_count": 149}, "historical_source_observation_times_verified": false, "home_team": "T1 Academy", "inference_inputs": {"book_state": {"games_played": {"bo3:3:17053": 149, "bo3:3:17264": 149}, "inactivity_half_life_days": null, "inactivity_max_pull": null, "k": 40.0, "last_match_utc": {"bo3:3:17053": "2026-09-10T08:00:00Z", "bo3:3:17264": "2026-09-14T08:00:00Z"}, "minimum_reliable_games": null, "platt_intercept": 0.07919633315465265, "platt_slope": 0.8012707012326591, "ratings": {"bo3:3:17053": 1894.107897, "bo3:3:17264": 1828.202111},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"2026-09-15T04:40:15.233115+00:00", "team_ids": ["bo3:3:17053", "bo3:3:17264"]}, "market_type": "moneyline", "model_version": "lol-tiered-elo-v6", "observed_at_utc": "2026-09-15T04:40:15.233115+00:00", "probabilities": {"away": 0.433351, "home": 0.566649}, "replay_scope": "Exact serving book state, calibration, temperature, inactivity reference and thin-history adjustments; training provenance not certified.", "schema": "esports-elo-replay-v1", "snapshot_hash": "73826af6fe7abaca5544008d9adf7bef62425fade677ed8b2841ddb4fe6f71d0", "sport": "LOL"}</t>
        </is>
      </c>
    </row>
    <row r="171" ht="36" customHeight="1">
      <c r="A171" s="24" t="inlineStr">
        <is>
          <t>58fccc6265e442c9</t>
        </is>
      </c>
      <c r="B171" s="24" t="inlineStr">
        <is>
          <t>2026-09-17T04:47:02.630343Z</t>
        </is>
      </c>
      <c r="C171" s="24" t="inlineStr">
        <is>
          <t>2026-09-17T09:00:00Z</t>
        </is>
      </c>
      <c r="D171" s="24" t="inlineStr">
        <is>
          <t>112380</t>
        </is>
      </c>
      <c r="E171" s="24" t="inlineStr">
        <is>
          <t>LOL</t>
        </is>
      </c>
      <c r="F171" s="24" t="inlineStr">
        <is>
          <t>Invictus Gaming</t>
        </is>
      </c>
      <c r="G171" s="24" t="inlineStr">
        <is>
          <t>Top Esports</t>
        </is>
      </c>
      <c r="H171" s="24" t="inlineStr">
        <is>
          <t>moneyline</t>
        </is>
      </c>
      <c r="I171" s="24" t="inlineStr">
        <is>
          <t>away</t>
        </is>
      </c>
      <c r="J171" s="25" t="n"/>
      <c r="K171" s="24" t="inlineStr">
        <is>
          <t>polymarket_us</t>
        </is>
      </c>
      <c r="L171" s="26" t="n">
        <v>-133</v>
      </c>
      <c r="M171" s="27" t="n">
        <v>1.75188</v>
      </c>
      <c r="N171" s="28" t="n">
        <v>0.570815</v>
      </c>
      <c r="O171" s="28" t="n">
        <v>0.530729</v>
      </c>
      <c r="P171" s="28" t="n"/>
      <c r="Q171" s="28" t="n">
        <v>-0.040086</v>
      </c>
      <c r="R171" s="26" t="n">
        <v>0</v>
      </c>
      <c r="S171" s="29" t="n">
        <v>1</v>
      </c>
      <c r="T171" s="24" t="inlineStr">
        <is>
          <t>lol-tiered-elo-v6</t>
        </is>
      </c>
      <c r="U171" s="24" t="inlineStr">
        <is>
          <t>settled</t>
        </is>
      </c>
      <c r="V171" s="24" t="inlineStr">
        <is>
          <t>loss</t>
        </is>
      </c>
      <c r="W171" s="26" t="n">
        <v>0</v>
      </c>
      <c r="X171" s="26" t="n">
        <v>1</v>
      </c>
      <c r="Y171" s="25" t="n"/>
      <c r="Z171" s="26" t="n">
        <v>-133</v>
      </c>
      <c r="AA171" s="28" t="n">
        <v>0.57</v>
      </c>
      <c r="AB171" s="28" t="n">
        <v>-0.000815</v>
      </c>
      <c r="AC171" s="30" t="n">
        <v>-1</v>
      </c>
      <c r="AD171" s="24" t="inlineStr">
        <is>
          <t>2026-09-18T07:16:10.811719Z</t>
        </is>
      </c>
      <c r="AE171" s="31" t="inlineStr">
        <is>
          <t>Neutral Elo baseline; executable ask 0.5700 (market_slug=aec-lol-tes-ig-2026-09-17).</t>
        </is>
      </c>
      <c r="AF171" s="31" t="inlineStr">
        <is>
          <t>Config-promoted esports baseline; gates enforced at log time.</t>
        </is>
      </c>
      <c r="AG171" s="24" t="inlineStr">
        <is>
          <t>review_required</t>
        </is>
      </c>
      <c r="AH171" s="24" t="n"/>
      <c r="AI171" s="31" t="n"/>
      <c r="AJ171" s="31" t="n"/>
      <c r="AK171" s="24" t="inlineStr">
        <is>
          <t>paper_call</t>
        </is>
      </c>
      <c r="AL171" s="26" t="n">
        <v>4</v>
      </c>
      <c r="AM171" s="24" t="inlineStr">
        <is>
          <t>RESEARCH_OBSERVATION</t>
        </is>
      </c>
      <c r="AN171" s="24" t="inlineStr">
        <is>
          <t>CALL</t>
        </is>
      </c>
      <c r="AO171" s="24" t="inlineStr">
        <is>
          <t>PAPER_CALL_LOW_EDGE</t>
        </is>
      </c>
      <c r="AP171" s="24" t="inlineStr">
        <is>
          <t>Invictus Gaming</t>
        </is>
      </c>
      <c r="AQ171" s="24" t="inlineStr">
        <is>
          <t>Invictus Gaming</t>
        </is>
      </c>
      <c r="AR171" s="24" t="inlineStr">
        <is>
          <t>Invictus Gaming</t>
        </is>
      </c>
      <c r="AS171" s="24" t="inlineStr">
        <is>
          <t>Top Esports</t>
        </is>
      </c>
      <c r="AT171" s="24" t="inlineStr">
        <is>
          <t>Top Esports</t>
        </is>
      </c>
      <c r="AU171" s="24" t="inlineStr">
        <is>
          <t>Top Esports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shadow_qualified</t>
        </is>
      </c>
      <c r="BA171" s="24" t="inlineStr">
        <is>
          <t>5f2fd5cbe75da2b4ea997e8aa2760fe42cbfa4e974ba1e3f06239da591be2889</t>
        </is>
      </c>
      <c r="BB171" s="24" t="inlineStr">
        <is>
          <t>neutral_elo</t>
        </is>
      </c>
      <c r="BC171" s="24" t="inlineStr">
        <is>
          <t>lol-tiered-elo-v6</t>
        </is>
      </c>
      <c r="BD171" s="24" t="inlineStr">
        <is>
          <t>5f2fd5cbe75da2b4ea997e8aa2760fe42cbfa4e974ba1e3f06239da591be2889</t>
        </is>
      </c>
      <c r="BE171" s="24" t="inlineStr">
        <is>
          <t>1</t>
        </is>
      </c>
      <c r="BF171" s="24" t="inlineStr">
        <is>
          <t>1</t>
        </is>
      </c>
      <c r="BG171" s="24" t="inlineStr">
        <is>
          <t>lol-tiered-elo-v6</t>
        </is>
      </c>
      <c r="BH171" s="24" t="inlineStr">
        <is>
          <t>2026-09-17T04:46:40.678580Z</t>
        </is>
      </c>
      <c r="BI171" s="24" t="inlineStr">
        <is>
          <t>["same_event","same_team_same_day","same_league_same_day"]</t>
        </is>
      </c>
      <c r="BJ171" s="25" t="n"/>
      <c r="BK171" s="26" t="n">
        <v>-133</v>
      </c>
      <c r="BL171" s="27" t="n">
        <v>1.75188</v>
      </c>
      <c r="BM171" s="28" t="n">
        <v>0.570815</v>
      </c>
      <c r="BN171" s="28" t="n"/>
      <c r="BO171" s="28" t="n"/>
      <c r="BP171" s="25" t="n"/>
      <c r="BQ171" s="27" t="n">
        <v>1.75188</v>
      </c>
      <c r="BR171" s="28" t="n">
        <v>0.57</v>
      </c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inlineStr">
        <is>
          <t>False</t>
        </is>
      </c>
      <c r="CT171" s="24" t="n"/>
      <c r="CU171" s="24" t="n"/>
      <c r="CV171" s="24" t="n"/>
      <c r="CW171" s="24" t="n"/>
      <c r="CX171" s="24" t="n"/>
      <c r="CY171" s="24" t="n"/>
      <c r="CZ171" s="24" t="n"/>
      <c r="DA171" s="24" t="n"/>
      <c r="DB171" s="24" t="n"/>
      <c r="DC171" s="24" t="n"/>
      <c r="DD171" s="24" t="n"/>
      <c r="DE171" s="24" t="n"/>
      <c r="DF171" s="24" t="n"/>
      <c r="DG171" s="24" t="n"/>
      <c r="DH171" s="24" t="n"/>
      <c r="DI171" s="24" t="n"/>
      <c r="DJ171" s="24" t="inlineStr">
        <is>
          <t>0.570815</t>
        </is>
      </c>
      <c r="DK171" s="24" t="n"/>
      <c r="DL171" s="24" t="n"/>
      <c r="DM171" s="24" t="n"/>
      <c r="DN171" s="24" t="n"/>
      <c r="DO171" s="24" t="n"/>
      <c r="DP171" s="24" t="n"/>
      <c r="DQ171" s="24" t="inlineStr">
        <is>
          <t>{"artifact_hash": "5f2fd5cbe75da2b4ea997e8aa2760fe42cbfa4e974ba1e3f06239da591be2889", "away_team": "Invictus Gaming", "event_id": "112380", "event_start_utc": "2026-09-17T09:00:00Z", "features": {"away_elo": 1667.706266, "away_history_count": 142, "home_elo": 1623.745679, "home_history_count": 180}, "historical_source_observation_times_verified": false, "home_team": "Top Esports", "inference_inputs": {"book_state": {"games_played": {"bo3:3:17530": 180, "bo3:3:17955": 142}, "inactivity_half_life_days": null, "inactivity_max_pull": null, "k": 40.0, "last_match_utc": {"bo3:3:17530": "2026-09-05T06:00:00Z", "bo3:3:17955": "2026-09-12T09:00:00Z"}, "minimum_reliable_games": null, "platt_intercept": 0.08150696865506389, "platt_slope": 0.7999585625989682, "ratings": {"bo3:3:17530": 1623.745679, "bo3:3:17955": 1667.706266},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"2026-09-17T04:46:40.376463+00:00", "team_ids": ["bo3:3:17530", "bo3:3:17955"]}, "market_type": "moneyline", "model_version": "lol-tiered-elo-v6", "observed_at_utc": "2026-09-17T04:46:40.376463+00:00", "probabilities": {"away": 0.530729, "home": 0.469271}, "replay_scope": "Exact serving book state, calibration, temperature, inactivity reference and thin-history adjustments; training provenance not certified.", "schema": "esports-elo-replay-v1", "snapshot_hash": "1cee761272a255bb9ae4b03f342b2a9dcc496204a1c9dbb86c7a1822850e5575", "sport": "LOL"}</t>
        </is>
      </c>
    </row>
    <row r="172" ht="36" customHeight="1">
      <c r="A172" s="24" t="inlineStr">
        <is>
          <t>887cfd1fd8244faf</t>
        </is>
      </c>
      <c r="B172" s="24" t="inlineStr">
        <is>
          <t>2026-09-18T08:16:25.237689Z</t>
        </is>
      </c>
      <c r="C172" s="24" t="inlineStr">
        <is>
          <t>2026-09-18T09:00:00Z</t>
        </is>
      </c>
      <c r="D172" s="24" t="inlineStr">
        <is>
          <t>113368</t>
        </is>
      </c>
      <c r="E172" s="24" t="inlineStr">
        <is>
          <t>LOL</t>
        </is>
      </c>
      <c r="F172" s="24" t="inlineStr">
        <is>
          <t>JD Gaming</t>
        </is>
      </c>
      <c r="G172" s="24" t="inlineStr">
        <is>
          <t>Team WE</t>
        </is>
      </c>
      <c r="H172" s="24" t="inlineStr">
        <is>
          <t>moneyline</t>
        </is>
      </c>
      <c r="I172" s="24" t="inlineStr">
        <is>
          <t>away</t>
        </is>
      </c>
      <c r="J172" s="25" t="n"/>
      <c r="K172" s="24" t="inlineStr">
        <is>
          <t>polymarket_us</t>
        </is>
      </c>
      <c r="L172" s="26" t="n">
        <v>-144</v>
      </c>
      <c r="M172" s="27" t="n">
        <v>1.694444</v>
      </c>
      <c r="N172" s="28" t="n">
        <v>0.590164</v>
      </c>
      <c r="O172" s="28" t="n">
        <v>0.561847</v>
      </c>
      <c r="P172" s="28" t="n"/>
      <c r="Q172" s="28" t="n">
        <v>-0.028317</v>
      </c>
      <c r="R172" s="26" t="n">
        <v>6</v>
      </c>
      <c r="S172" s="29" t="n">
        <v>1</v>
      </c>
      <c r="T172" s="24" t="inlineStr">
        <is>
          <t>lol-tiered-elo-v6</t>
        </is>
      </c>
      <c r="U172" s="24" t="inlineStr">
        <is>
          <t>settled</t>
        </is>
      </c>
      <c r="V172" s="24" t="inlineStr">
        <is>
          <t>win</t>
        </is>
      </c>
      <c r="W172" s="26" t="n">
        <v>1</v>
      </c>
      <c r="X172" s="26" t="n">
        <v>0</v>
      </c>
      <c r="Y172" s="25" t="n"/>
      <c r="Z172" s="26" t="n">
        <v>-156</v>
      </c>
      <c r="AA172" s="28" t="n">
        <v>0.61</v>
      </c>
      <c r="AB172" s="28" t="n">
        <v>0.019836</v>
      </c>
      <c r="AC172" s="30" t="n">
        <v>0.6944</v>
      </c>
      <c r="AD172" s="24" t="inlineStr">
        <is>
          <t>2026-09-18T16:30:01.539115Z</t>
        </is>
      </c>
      <c r="AE172" s="31" t="inlineStr">
        <is>
          <t>Neutral Elo baseline; executable ask 0.5900 (market_slug=aec-lol-we-jdg-2026-09-18).</t>
        </is>
      </c>
      <c r="AF172" s="31" t="inlineStr">
        <is>
          <t>Config-promoted esports baseline; gates enforced at log time.</t>
        </is>
      </c>
      <c r="AG172" s="24" t="inlineStr">
        <is>
          <t>not_applicable</t>
        </is>
      </c>
      <c r="AH172" s="24" t="n"/>
      <c r="AI172" s="31" t="n"/>
      <c r="AJ172" s="31" t="n"/>
      <c r="AK172" s="24" t="inlineStr">
        <is>
          <t>paper_call</t>
        </is>
      </c>
      <c r="AL172" s="26" t="n">
        <v>4</v>
      </c>
      <c r="AM172" s="24" t="inlineStr">
        <is>
          <t>RESEARCH_OBSERVATION</t>
        </is>
      </c>
      <c r="AN172" s="24" t="inlineStr">
        <is>
          <t>CALL</t>
        </is>
      </c>
      <c r="AO172" s="24" t="inlineStr">
        <is>
          <t>PAPER_CALL_LOW_EDGE</t>
        </is>
      </c>
      <c r="AP172" s="24" t="inlineStr">
        <is>
          <t>JD Gaming</t>
        </is>
      </c>
      <c r="AQ172" s="24" t="inlineStr">
        <is>
          <t>JD Gaming</t>
        </is>
      </c>
      <c r="AR172" s="24" t="inlineStr">
        <is>
          <t>JD Gaming</t>
        </is>
      </c>
      <c r="AS172" s="24" t="inlineStr">
        <is>
          <t>Team WE</t>
        </is>
      </c>
      <c r="AT172" s="24" t="inlineStr">
        <is>
          <t>Team WE</t>
        </is>
      </c>
      <c r="AU172" s="24" t="inlineStr">
        <is>
          <t>Team WE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shadow_qualified</t>
        </is>
      </c>
      <c r="BA172" s="24" t="inlineStr">
        <is>
          <t>2e3a0988546bfdd2db305dbe94acd2be19d326a6dfe11508a5bc178efc5c721e</t>
        </is>
      </c>
      <c r="BB172" s="24" t="inlineStr">
        <is>
          <t>neutral_elo</t>
        </is>
      </c>
      <c r="BC172" s="24" t="inlineStr">
        <is>
          <t>lol-tiered-elo-v6</t>
        </is>
      </c>
      <c r="BD172" s="24" t="inlineStr">
        <is>
          <t>2e3a0988546bfdd2db305dbe94acd2be19d326a6dfe11508a5bc178efc5c721e</t>
        </is>
      </c>
      <c r="BE172" s="24" t="inlineStr">
        <is>
          <t>1</t>
        </is>
      </c>
      <c r="BF172" s="24" t="inlineStr">
        <is>
          <t>1</t>
        </is>
      </c>
      <c r="BG172" s="24" t="inlineStr">
        <is>
          <t>lol-tiered-elo-v6</t>
        </is>
      </c>
      <c r="BH172" s="24" t="inlineStr">
        <is>
          <t>2026-09-18T08:00:05.629451Z</t>
        </is>
      </c>
      <c r="BI172" s="24" t="inlineStr">
        <is>
          <t>["same_event","same_team_same_day","same_league_same_day"]</t>
        </is>
      </c>
      <c r="BJ172" s="25" t="n"/>
      <c r="BK172" s="26" t="n">
        <v>-144</v>
      </c>
      <c r="BL172" s="27" t="n">
        <v>1.694444</v>
      </c>
      <c r="BM172" s="28" t="n">
        <v>0.590164</v>
      </c>
      <c r="BN172" s="28" t="n"/>
      <c r="BO172" s="28" t="n"/>
      <c r="BP172" s="25" t="n"/>
      <c r="BQ172" s="27" t="n">
        <v>1.641026</v>
      </c>
      <c r="BR172" s="28" t="n">
        <v>0.61</v>
      </c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inlineStr">
        <is>
          <t>False</t>
        </is>
      </c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/>
      <c r="DH172" s="24" t="n"/>
      <c r="DI172" s="24" t="n"/>
      <c r="DJ172" s="24" t="inlineStr">
        <is>
          <t>0.590164</t>
        </is>
      </c>
      <c r="DK172" s="24" t="n"/>
      <c r="DL172" s="24" t="n"/>
      <c r="DM172" s="24" t="n"/>
      <c r="DN172" s="24" t="n"/>
      <c r="DO172" s="24" t="n"/>
      <c r="DP172" s="24" t="n"/>
      <c r="DQ172" s="24" t="inlineStr">
        <is>
          <t>{"artifact_hash": "2e3a0988546bfdd2db305dbe94acd2be19d326a6dfe11508a5bc178efc5c721e", "away_team": "JD Gaming", "event_id": "113368", "event_start_utc": "2026-09-18T09:00:00Z", "features": {"away_elo": 1662.99321, "away_history_count": 166, "home_elo": 1570.946886, "home_history_count": 144}, "historical_source_observation_times_verified": false, "home_team": "Team WE", "inference_inputs": {"book_state": {"games_played": {"bo3:3:17801": 144, "bo3:3:18021": 166}, "inactivity_half_life_days": null, "inactivity_max_pull": null, "k": 40.0, "last_match_utc": {"bo3:3:17801": "2026-09-06T06:00:00Z", "bo3:3:18021": "2026-09-05T11:00:00Z"}, "minimum_reliable_games": null, "platt_intercept": 0.08328411075689174, "platt_slope": 0.80115270246994, "ratings": {"bo3:3:17801": 1570.946886, "bo3:3:18021": 1662.99321},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"2026-09-18T08:00:05.415775+00:00", "team_ids": ["bo3:3:17801", "bo3:3:18021"]}, "market_type": "moneyline", "model_version": "lol-tiered-elo-v6", "observed_at_utc": "2026-09-18T08:00:05.415775+00:00", "probabilities": {"away": 0.561847, "home": 0.438153}, "replay_scope": "Exact serving book state, calibration, temperature, inactivity reference and thin-history adjustments; training provenance not certified.", "schema": "esports-elo-replay-v1", "snapshot_hash": "c65f7af421ca67bc3e4d8bebee1a4c6df17fdc77fc1fdfb7c497dce93d2fbed3", "sport": "LOL"}</t>
        </is>
      </c>
    </row>
    <row r="173" ht="36" customHeight="1">
      <c r="A173" s="24" t="inlineStr">
        <is>
          <t>b161941fa3e74186</t>
        </is>
      </c>
      <c r="B173" s="24" t="inlineStr">
        <is>
          <t>2026-09-20T05:04:18.138481Z</t>
        </is>
      </c>
      <c r="C173" s="24" t="inlineStr">
        <is>
          <t>2026-09-20T09:00:00Z</t>
        </is>
      </c>
      <c r="D173" s="24" t="inlineStr">
        <is>
          <t>116686</t>
        </is>
      </c>
      <c r="E173" s="24" t="inlineStr">
        <is>
          <t>LOL</t>
        </is>
      </c>
      <c r="F173" s="24" t="inlineStr">
        <is>
          <t>CTBC Flying Oyster Academy</t>
        </is>
      </c>
      <c r="G173" s="24" t="inlineStr">
        <is>
          <t>⁠Movistar KOI Fénix</t>
        </is>
      </c>
      <c r="H173" s="24" t="inlineStr">
        <is>
          <t>moneyline</t>
        </is>
      </c>
      <c r="I173" s="24" t="inlineStr">
        <is>
          <t>home</t>
        </is>
      </c>
      <c r="J173" s="25" t="n"/>
      <c r="K173" s="24" t="inlineStr">
        <is>
          <t>polymarket_us</t>
        </is>
      </c>
      <c r="L173" s="26" t="n">
        <v>-156</v>
      </c>
      <c r="M173" s="27" t="n">
        <v>1.641026</v>
      </c>
      <c r="N173" s="28" t="n">
        <v>0.609375</v>
      </c>
      <c r="O173" s="28" t="n">
        <v>0.850003</v>
      </c>
      <c r="P173" s="28" t="n"/>
      <c r="Q173" s="28" t="n">
        <v>0.240628</v>
      </c>
      <c r="R173" s="26" t="n">
        <v>100</v>
      </c>
      <c r="S173" s="29" t="n">
        <v>2</v>
      </c>
      <c r="T173" s="24" t="inlineStr">
        <is>
          <t>lol-tiered-elo-v6</t>
        </is>
      </c>
      <c r="U173" s="24" t="inlineStr">
        <is>
          <t>settled</t>
        </is>
      </c>
      <c r="V173" s="24" t="inlineStr">
        <is>
          <t>win</t>
        </is>
      </c>
      <c r="W173" s="26" t="n">
        <v>0</v>
      </c>
      <c r="X173" s="26" t="n">
        <v>1</v>
      </c>
      <c r="Y173" s="25" t="n"/>
      <c r="Z173" s="26" t="n">
        <v>-156</v>
      </c>
      <c r="AA173" s="28" t="n">
        <v>0.61</v>
      </c>
      <c r="AB173" s="28" t="n">
        <v>0.000625</v>
      </c>
      <c r="AC173" s="30" t="n">
        <v>1.2821</v>
      </c>
      <c r="AD173" s="24" t="inlineStr">
        <is>
          <t>2026-09-20T10:02:42.897266Z</t>
        </is>
      </c>
      <c r="AE173" s="31" t="inlineStr">
        <is>
          <t>Neutral Elo baseline; executable ask 0.6100 (market_slug=aec-lol-mkf-ctbca-2026-09-20).</t>
        </is>
      </c>
      <c r="AF173" s="31" t="inlineStr">
        <is>
          <t>Config-promoted esports baseline; gates enforced at log time.</t>
        </is>
      </c>
      <c r="AG173" s="24" t="inlineStr">
        <is>
          <t>not_applicable</t>
        </is>
      </c>
      <c r="AH173" s="24" t="n"/>
      <c r="AI173" s="31" t="n"/>
      <c r="AJ173" s="31" t="n"/>
      <c r="AK173" s="24" t="inlineStr">
        <is>
          <t>model_qualified</t>
        </is>
      </c>
      <c r="AL173" s="26" t="n">
        <v>4</v>
      </c>
      <c r="AM173" s="24" t="inlineStr">
        <is>
          <t>QUALIFIED_SHADOW_CALL</t>
        </is>
      </c>
      <c r="AN173" s="24" t="inlineStr">
        <is>
          <t>CALL</t>
        </is>
      </c>
      <c r="AO173" s="24" t="inlineStr">
        <is>
          <t>QUALIFIED</t>
        </is>
      </c>
      <c r="AP173" s="24" t="inlineStr">
        <is>
          <t>CTBC Flying Oyster Academy</t>
        </is>
      </c>
      <c r="AQ173" s="24" t="inlineStr">
        <is>
          <t>CTBC Flying Oyster Academy</t>
        </is>
      </c>
      <c r="AR173" s="24" t="inlineStr">
        <is>
          <t>CTBC Flying Oyster Academy</t>
        </is>
      </c>
      <c r="AS173" s="24" t="inlineStr">
        <is>
          <t>⁠Movistar KOI Fénix</t>
        </is>
      </c>
      <c r="AT173" s="24" t="inlineStr">
        <is>
          <t>⁠Movistar KOI Fénix</t>
        </is>
      </c>
      <c r="AU173" s="24" t="inlineStr">
        <is>
          <t>⁠Movistar KOI Fénix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shadow_qualified</t>
        </is>
      </c>
      <c r="BA173" s="24" t="inlineStr">
        <is>
          <t>1b845a91da824ede090db79712887857178de6262e3a299201c094cb7a8b4b17</t>
        </is>
      </c>
      <c r="BB173" s="24" t="inlineStr">
        <is>
          <t>neutral_elo</t>
        </is>
      </c>
      <c r="BC173" s="24" t="inlineStr">
        <is>
          <t>lol-tiered-elo-v6</t>
        </is>
      </c>
      <c r="BD173" s="24" t="inlineStr">
        <is>
          <t>1b845a91da824ede090db79712887857178de6262e3a299201c094cb7a8b4b17</t>
        </is>
      </c>
      <c r="BE173" s="24" t="inlineStr">
        <is>
          <t>1</t>
        </is>
      </c>
      <c r="BF173" s="24" t="inlineStr">
        <is>
          <t>1</t>
        </is>
      </c>
      <c r="BG173" s="24" t="inlineStr">
        <is>
          <t>lol-tiered-elo-v6</t>
        </is>
      </c>
      <c r="BH173" s="24" t="inlineStr">
        <is>
          <t>2026-09-20T05:03:27.308787Z</t>
        </is>
      </c>
      <c r="BI173" s="24" t="inlineStr">
        <is>
          <t>["same_event","same_team_same_day","same_league_same_day"]</t>
        </is>
      </c>
      <c r="BJ173" s="25" t="n"/>
      <c r="BK173" s="26" t="n">
        <v>-156</v>
      </c>
      <c r="BL173" s="27" t="n">
        <v>1.641026</v>
      </c>
      <c r="BM173" s="28" t="n">
        <v>0.609375</v>
      </c>
      <c r="BN173" s="28" t="n"/>
      <c r="BO173" s="28" t="n"/>
      <c r="BP173" s="25" t="n"/>
      <c r="BQ173" s="27" t="n">
        <v>1.641026</v>
      </c>
      <c r="BR173" s="28" t="n">
        <v>0.61</v>
      </c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inlineStr">
        <is>
          <t>True</t>
        </is>
      </c>
      <c r="CT173" s="24" t="n"/>
      <c r="CU173" s="24" t="n"/>
      <c r="CV173" s="24" t="n"/>
      <c r="CW173" s="24" t="n"/>
      <c r="CX173" s="24" t="n"/>
      <c r="CY173" s="24" t="n"/>
      <c r="CZ173" s="24" t="n"/>
      <c r="DA173" s="24" t="n"/>
      <c r="DB173" s="24" t="n"/>
      <c r="DC173" s="24" t="n"/>
      <c r="DD173" s="24" t="n"/>
      <c r="DE173" s="24" t="n"/>
      <c r="DF173" s="24" t="n"/>
      <c r="DG173" s="24" t="n"/>
      <c r="DH173" s="24" t="n"/>
      <c r="DI173" s="24" t="n"/>
      <c r="DJ173" s="24" t="inlineStr">
        <is>
          <t>0.609375</t>
        </is>
      </c>
      <c r="DK173" s="24" t="n"/>
      <c r="DL173" s="24" t="n"/>
      <c r="DM173" s="24" t="n"/>
      <c r="DN173" s="24" t="n"/>
      <c r="DO173" s="24" t="n"/>
      <c r="DP173" s="24" t="n"/>
      <c r="DQ173" s="24" t="inlineStr">
        <is>
          <t>{"artifact_hash": "1b845a91da824ede090db79712887857178de6262e3a299201c094cb7a8b4b17", "away_team": "CTBC Flying Oyster Academy", "event_id": "116686", "event_start_utc": "2026-09-20T09:00:00Z", "features": {"away_elo": 1474.655923, "away_history_count": 34, "home_elo": 1932.015235, "home_history_count": 56}, "historical_source_observation_times_verified": false, "home_team": "\u2060Movistar KOI F\u00e9nix", "inference_inputs": {"book_state": {"games_played": {"bo3:3:18204": 34, "bo3:3:20584": 56}, "inactivity_half_life_days": null, "inactivity_max_pull": null, "k": 40.0, "last_match_utc": {"bo3:3:18204": "2026-06-11T10:00:00Z", "bo3:3:20584": "2026-09-14T16:00:00Z"}, "minimum_reliable_games": null, "platt_intercept": 0.08391894432177585, "platt_slope": 0.8039431851540901, "ratings": {"bo3:3:18204": 1474.655923, "bo3:3:20584": 1932.015235},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"2026-09-20T05:03:14.547852+00:00", "team_ids": ["bo3:3:20584", "bo3:3:18204"]}, "market_type": "moneyline", "model_version": "lol-tiered-elo-v6", "observed_at_utc": "2026-09-20T05:03:14.547852+00:00", "probabilities": {"away": 0.149997, "home": 0.850003}, "replay_scope": "Exact serving book state, calibration, temperature, inactivity reference and thin-history adjustments; training provenance not certified.", "schema": "esports-elo-replay-v1", "snapshot_hash": "59b4c366efc4858a311cb0a85400c13814d4eec82eec62dc4c3d6116cdcff7cb", "sport": "LOL"}</t>
        </is>
      </c>
    </row>
    <row r="174" ht="36" customHeight="1">
      <c r="A174" s="24" t="inlineStr">
        <is>
          <t>a5380fb05bbe41db</t>
        </is>
      </c>
      <c r="B174" s="24" t="inlineStr">
        <is>
          <t>2026-09-20T10:31:31.574053Z</t>
        </is>
      </c>
      <c r="C174" s="24" t="inlineStr">
        <is>
          <t>2026-09-20T15:00:00Z</t>
        </is>
      </c>
      <c r="D174" s="24" t="inlineStr">
        <is>
          <t>118250</t>
        </is>
      </c>
      <c r="E174" s="24" t="inlineStr">
        <is>
          <t>LOL</t>
        </is>
      </c>
      <c r="F174" s="24" t="inlineStr">
        <is>
          <t>Movistar KOI</t>
        </is>
      </c>
      <c r="G174" s="24" t="inlineStr">
        <is>
          <t>G2 Esports</t>
        </is>
      </c>
      <c r="H174" s="24" t="inlineStr">
        <is>
          <t>moneyline</t>
        </is>
      </c>
      <c r="I174" s="24" t="inlineStr">
        <is>
          <t>home</t>
        </is>
      </c>
      <c r="J174" s="25" t="n"/>
      <c r="K174" s="24" t="inlineStr">
        <is>
          <t>polymarket_us</t>
        </is>
      </c>
      <c r="L174" s="26" t="n">
        <v>-223</v>
      </c>
      <c r="M174" s="27" t="n">
        <v>1.44843</v>
      </c>
      <c r="N174" s="28" t="n">
        <v>0.690402</v>
      </c>
      <c r="O174" s="28" t="n">
        <v>0.583274</v>
      </c>
      <c r="P174" s="28" t="n"/>
      <c r="Q174" s="28" t="n">
        <v>-0.107128</v>
      </c>
      <c r="R174" s="26" t="n">
        <v>0</v>
      </c>
      <c r="S174" s="29" t="n">
        <v>1</v>
      </c>
      <c r="T174" s="24" t="inlineStr">
        <is>
          <t>lol-tiered-elo-v6</t>
        </is>
      </c>
      <c r="U174" s="24" t="inlineStr">
        <is>
          <t>settled</t>
        </is>
      </c>
      <c r="V174" s="24" t="inlineStr">
        <is>
          <t>win</t>
        </is>
      </c>
      <c r="W174" s="26" t="n">
        <v>0</v>
      </c>
      <c r="X174" s="26" t="n">
        <v>1</v>
      </c>
      <c r="Y174" s="25" t="n"/>
      <c r="Z174" s="26" t="n"/>
      <c r="AA174" s="28" t="n"/>
      <c r="AB174" s="28" t="n"/>
      <c r="AC174" s="30" t="n">
        <v>0.4484</v>
      </c>
      <c r="AD174" s="24" t="inlineStr">
        <is>
          <t>2026-09-20T22:19:12.213348Z</t>
        </is>
      </c>
      <c r="AE174" s="31" t="inlineStr">
        <is>
          <t>Neutral Elo baseline; executable ask 0.6900 (market_slug=aec-lol-g2-mkoi-2026-09-20).</t>
        </is>
      </c>
      <c r="AF174" s="31" t="inlineStr">
        <is>
          <t>Config-promoted esports baseline; gates enforced at log time.</t>
        </is>
      </c>
      <c r="AG174" s="24" t="inlineStr">
        <is>
          <t>not_applicable</t>
        </is>
      </c>
      <c r="AH174" s="24" t="n"/>
      <c r="AI174" s="31" t="n"/>
      <c r="AJ174" s="31" t="n"/>
      <c r="AK174" s="24" t="inlineStr">
        <is>
          <t>paper_call</t>
        </is>
      </c>
      <c r="AL174" s="26" t="n">
        <v>4</v>
      </c>
      <c r="AM174" s="24" t="inlineStr">
        <is>
          <t>RESEARCH_OBSERVATION</t>
        </is>
      </c>
      <c r="AN174" s="24" t="inlineStr">
        <is>
          <t>CALL</t>
        </is>
      </c>
      <c r="AO174" s="24" t="inlineStr">
        <is>
          <t>PAPER_CALL_LOW_EDGE</t>
        </is>
      </c>
      <c r="AP174" s="24" t="inlineStr">
        <is>
          <t>Movistar KOI</t>
        </is>
      </c>
      <c r="AQ174" s="24" t="inlineStr">
        <is>
          <t>Movistar KOI</t>
        </is>
      </c>
      <c r="AR174" s="24" t="inlineStr">
        <is>
          <t>Movistar KOI</t>
        </is>
      </c>
      <c r="AS174" s="24" t="inlineStr">
        <is>
          <t>G2 Esports</t>
        </is>
      </c>
      <c r="AT174" s="24" t="inlineStr">
        <is>
          <t>G2 Esports</t>
        </is>
      </c>
      <c r="AU174" s="24" t="inlineStr">
        <is>
          <t>G2 Esports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shadow_qualified</t>
        </is>
      </c>
      <c r="BA174" s="24" t="inlineStr">
        <is>
          <t>f46d3e6762f9f90d8eb0b80940c565a9e61dcc124ee01174399460a0e52a71e0</t>
        </is>
      </c>
      <c r="BB174" s="24" t="inlineStr">
        <is>
          <t>neutral_elo</t>
        </is>
      </c>
      <c r="BC174" s="24" t="inlineStr">
        <is>
          <t>lol-tiered-elo-v6</t>
        </is>
      </c>
      <c r="BD174" s="24" t="inlineStr">
        <is>
          <t>f46d3e6762f9f90d8eb0b80940c565a9e61dcc124ee01174399460a0e52a71e0</t>
        </is>
      </c>
      <c r="BE174" s="24" t="inlineStr">
        <is>
          <t>1</t>
        </is>
      </c>
      <c r="BF174" s="24" t="inlineStr">
        <is>
          <t>1</t>
        </is>
      </c>
      <c r="BG174" s="24" t="inlineStr">
        <is>
          <t>lol-tiered-elo-v6</t>
        </is>
      </c>
      <c r="BH174" s="24" t="inlineStr">
        <is>
          <t>2026-09-20T10:31:00.247269Z</t>
        </is>
      </c>
      <c r="BI174" s="24" t="inlineStr">
        <is>
          <t>["same_event","same_team_same_day","same_league_same_day"]</t>
        </is>
      </c>
      <c r="BJ174" s="25" t="n"/>
      <c r="BK174" s="26" t="n">
        <v>-223</v>
      </c>
      <c r="BL174" s="27" t="n">
        <v>1.44843</v>
      </c>
      <c r="BM174" s="28" t="n">
        <v>0.690402</v>
      </c>
      <c r="BN174" s="28" t="n"/>
      <c r="BO174" s="28" t="n"/>
      <c r="BP174" s="25" t="n"/>
      <c r="BQ174" s="27" t="n"/>
      <c r="BR174" s="28" t="n"/>
      <c r="BS174" s="28" t="n"/>
      <c r="BT174" s="28" t="n"/>
      <c r="BU174" s="25" t="n"/>
      <c r="BV174" s="29" t="n"/>
      <c r="BW174" s="24" t="n"/>
      <c r="BX174" s="30" t="n"/>
      <c r="BY174" s="27" t="n"/>
      <c r="BZ174" s="24" t="n"/>
      <c r="CA174" s="31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inlineStr">
        <is>
          <t>False</t>
        </is>
      </c>
      <c r="CT174" s="24" t="n"/>
      <c r="CU174" s="24" t="n"/>
      <c r="CV174" s="24" t="n"/>
      <c r="CW174" s="24" t="n"/>
      <c r="CX174" s="24" t="n"/>
      <c r="CY174" s="24" t="n"/>
      <c r="CZ174" s="24" t="n"/>
      <c r="DA174" s="24" t="n"/>
      <c r="DB174" s="24" t="n"/>
      <c r="DC174" s="24" t="n"/>
      <c r="DD174" s="24" t="n"/>
      <c r="DE174" s="24" t="n"/>
      <c r="DF174" s="24" t="n"/>
      <c r="DG174" s="24" t="n"/>
      <c r="DH174" s="24" t="n"/>
      <c r="DI174" s="24" t="n"/>
      <c r="DJ174" s="24" t="inlineStr">
        <is>
          <t>0.690402</t>
        </is>
      </c>
      <c r="DK174" s="24" t="n"/>
      <c r="DL174" s="24" t="n"/>
      <c r="DM174" s="24" t="n"/>
      <c r="DN174" s="24" t="n"/>
      <c r="DO174" s="24" t="n"/>
      <c r="DP174" s="24" t="n"/>
      <c r="DQ174" s="24" t="inlineStr">
        <is>
          <t>{"artifact_hash": "f46d3e6762f9f90d8eb0b80940c565a9e61dcc124ee01174399460a0e52a71e0", "away_team": "Movistar KOI", "event_id": "118250", "event_start_utc": "2026-09-20T15:00:00Z", "features": {"away_elo": 1726.705384, "away_history_count": 148, "home_elo": 1830.127225, "home_history_count": 161}, "historical_source_observation_times_verified": false, "home_team": "G2 Esports", "inference_inputs": {"book_state": {"games_played": {"bo3:3:17163": 148, "bo3:3:18141": 161}, "inactivity_half_life_days": null, "inactivity_max_pull": null, "k": 40.0, "last_match_utc": {"bo3:3:17163": "2026-09-19T15:00:00Z", "bo3:3:18141": "2026-09-06T15:00:00Z"}, "minimum_reliable_games": null, "platt_intercept": 0.0863166240995409, "platt_slope": 0.8030664316369708, "ratings": {"bo3:3:17163": 1726.705384, "bo3:3:18141": 1830.127225},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"2026-09-20T10:30:37.988660+00:00", "team_ids": ["bo3:3:18141", "bo3:3:17163"]}, "market_type": "moneyline", "model_version": "lol-tiered-elo-v6", "observed_at_utc": "2026-09-20T10:30:37.988660+00:00", "probabilities": {"away": 0.416726, "home": 0.583274}, "replay_scope": "Exact serving book state, calibration, temperature, inactivity reference and thin-history adjustments; training provenance not certified.", "schema": "esports-elo-replay-v1", "snapshot_hash": "64f490c70eac078ee01180c8b7dc7af724bd2495742df31cf45929f23ea943d7", "sport": "LOL"}</t>
        </is>
      </c>
    </row>
    <row r="175" ht="36" customHeight="1">
      <c r="A175" s="24" t="inlineStr">
        <is>
          <t>d8c6701cfd60437f</t>
        </is>
      </c>
      <c r="B175" s="24" t="inlineStr">
        <is>
          <t>2026-09-20T10:31:31.574053Z</t>
        </is>
      </c>
      <c r="C175" s="24" t="inlineStr">
        <is>
          <t>2026-09-20T16:00:00Z</t>
        </is>
      </c>
      <c r="D175" s="24" t="inlineStr">
        <is>
          <t>118357</t>
        </is>
      </c>
      <c r="E175" s="24" t="inlineStr">
        <is>
          <t>LOL</t>
        </is>
      </c>
      <c r="F175" s="24" t="inlineStr">
        <is>
          <t>paiN Gaming</t>
        </is>
      </c>
      <c r="G175" s="24" t="inlineStr">
        <is>
          <t>RED Canids</t>
        </is>
      </c>
      <c r="H175" s="24" t="inlineStr">
        <is>
          <t>moneyline</t>
        </is>
      </c>
      <c r="I175" s="24" t="inlineStr">
        <is>
          <t>home</t>
        </is>
      </c>
      <c r="J175" s="25" t="n"/>
      <c r="K175" s="24" t="inlineStr">
        <is>
          <t>polymarket_us</t>
        </is>
      </c>
      <c r="L175" s="26" t="n">
        <v>-117</v>
      </c>
      <c r="M175" s="27" t="n">
        <v>1.854701</v>
      </c>
      <c r="N175" s="28" t="n">
        <v>0.539171</v>
      </c>
      <c r="O175" s="28" t="n">
        <v>0.620486</v>
      </c>
      <c r="P175" s="28" t="n"/>
      <c r="Q175" s="28" t="n">
        <v>0.081315</v>
      </c>
      <c r="R175" s="26" t="n">
        <v>61</v>
      </c>
      <c r="S175" s="29" t="n">
        <v>1.25</v>
      </c>
      <c r="T175" s="24" t="inlineStr">
        <is>
          <t>lol-tiered-elo-v6</t>
        </is>
      </c>
      <c r="U175" s="24" t="inlineStr">
        <is>
          <t>settled</t>
        </is>
      </c>
      <c r="V175" s="24" t="inlineStr">
        <is>
          <t>win</t>
        </is>
      </c>
      <c r="W175" s="26" t="n">
        <v>0</v>
      </c>
      <c r="X175" s="26" t="n">
        <v>1</v>
      </c>
      <c r="Y175" s="25" t="n"/>
      <c r="Z175" s="26" t="n"/>
      <c r="AA175" s="28" t="n"/>
      <c r="AB175" s="28" t="n"/>
      <c r="AC175" s="30" t="n">
        <v>1.0684</v>
      </c>
      <c r="AD175" s="24" t="inlineStr">
        <is>
          <t>2026-09-20T22:19:12.684464Z</t>
        </is>
      </c>
      <c r="AE175" s="31" t="inlineStr">
        <is>
          <t>Neutral Elo baseline; executable ask 0.5400 (market_slug=aec-lol-red-png-2026-09-20).</t>
        </is>
      </c>
      <c r="AF175" s="31" t="inlineStr">
        <is>
          <t>Config-promoted esports baseline; gates enforced at log time.</t>
        </is>
      </c>
      <c r="AG175" s="24" t="inlineStr">
        <is>
          <t>not_applicable</t>
        </is>
      </c>
      <c r="AH175" s="24" t="n"/>
      <c r="AI175" s="31" t="n"/>
      <c r="AJ175" s="31" t="n"/>
      <c r="AK175" s="24" t="inlineStr">
        <is>
          <t>model_qualified</t>
        </is>
      </c>
      <c r="AL175" s="26" t="n">
        <v>4</v>
      </c>
      <c r="AM175" s="24" t="inlineStr">
        <is>
          <t>QUALIFIED_SHADOW_CALL</t>
        </is>
      </c>
      <c r="AN175" s="24" t="inlineStr">
        <is>
          <t>CALL</t>
        </is>
      </c>
      <c r="AO175" s="24" t="inlineStr">
        <is>
          <t>QUALIFIED</t>
        </is>
      </c>
      <c r="AP175" s="24" t="inlineStr">
        <is>
          <t>paiN Gaming</t>
        </is>
      </c>
      <c r="AQ175" s="24" t="inlineStr">
        <is>
          <t>paiN Gaming</t>
        </is>
      </c>
      <c r="AR175" s="24" t="inlineStr">
        <is>
          <t>paiN Gaming</t>
        </is>
      </c>
      <c r="AS175" s="24" t="inlineStr">
        <is>
          <t>RED Canids</t>
        </is>
      </c>
      <c r="AT175" s="24" t="inlineStr">
        <is>
          <t>RED Canids</t>
        </is>
      </c>
      <c r="AU175" s="24" t="inlineStr">
        <is>
          <t>RED Canids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shadow_qualified</t>
        </is>
      </c>
      <c r="BA175" s="24" t="inlineStr">
        <is>
          <t>f46d3e6762f9f90d8eb0b80940c565a9e61dcc124ee01174399460a0e52a71e0</t>
        </is>
      </c>
      <c r="BB175" s="24" t="inlineStr">
        <is>
          <t>neutral_elo</t>
        </is>
      </c>
      <c r="BC175" s="24" t="inlineStr">
        <is>
          <t>lol-tiered-elo-v6</t>
        </is>
      </c>
      <c r="BD175" s="24" t="inlineStr">
        <is>
          <t>f46d3e6762f9f90d8eb0b80940c565a9e61dcc124ee01174399460a0e52a71e0</t>
        </is>
      </c>
      <c r="BE175" s="24" t="inlineStr">
        <is>
          <t>1</t>
        </is>
      </c>
      <c r="BF175" s="24" t="inlineStr">
        <is>
          <t>1</t>
        </is>
      </c>
      <c r="BG175" s="24" t="inlineStr">
        <is>
          <t>lol-tiered-elo-v6</t>
        </is>
      </c>
      <c r="BH175" s="24" t="inlineStr">
        <is>
          <t>2026-09-20T10:31:00.329862Z</t>
        </is>
      </c>
      <c r="BI175" s="24" t="inlineStr">
        <is>
          <t>["same_event","same_team_same_day","same_league_same_day"]</t>
        </is>
      </c>
      <c r="BJ175" s="25" t="n"/>
      <c r="BK175" s="26" t="n">
        <v>-117</v>
      </c>
      <c r="BL175" s="27" t="n">
        <v>1.854701</v>
      </c>
      <c r="BM175" s="28" t="n">
        <v>0.539171</v>
      </c>
      <c r="BN175" s="28" t="n"/>
      <c r="BO175" s="28" t="n"/>
      <c r="BP175" s="25" t="n"/>
      <c r="BQ175" s="27" t="n"/>
      <c r="BR175" s="28" t="n"/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  <c r="CS175" s="24" t="inlineStr">
        <is>
          <t>True</t>
        </is>
      </c>
      <c r="CT175" s="24" t="n"/>
      <c r="CU175" s="24" t="n"/>
      <c r="CV175" s="24" t="n"/>
      <c r="CW175" s="24" t="n"/>
      <c r="CX175" s="24" t="n"/>
      <c r="CY175" s="24" t="n"/>
      <c r="CZ175" s="24" t="n"/>
      <c r="DA175" s="24" t="n"/>
      <c r="DB175" s="24" t="n"/>
      <c r="DC175" s="24" t="n"/>
      <c r="DD175" s="24" t="n"/>
      <c r="DE175" s="24" t="n"/>
      <c r="DF175" s="24" t="n"/>
      <c r="DG175" s="24" t="n"/>
      <c r="DH175" s="24" t="n"/>
      <c r="DI175" s="24" t="n"/>
      <c r="DJ175" s="24" t="inlineStr">
        <is>
          <t>0.539171</t>
        </is>
      </c>
      <c r="DK175" s="24" t="n"/>
      <c r="DL175" s="24" t="n"/>
      <c r="DM175" s="24" t="n"/>
      <c r="DN175" s="24" t="n"/>
      <c r="DO175" s="24" t="n"/>
      <c r="DP175" s="24" t="n"/>
      <c r="DQ175" s="24" t="inlineStr">
        <is>
          <t>{"artifact_hash": "f46d3e6762f9f90d8eb0b80940c565a9e61dcc124ee01174399460a0e52a71e0", "away_team": "paiN Gaming", "event_id": "118357", "event_start_utc": "2026-09-20T16:00:00Z", "features": {"away_elo": 1415.714576, "away_history_count": 104, "home_elo": 1527.734903, "home_history_count": 105}, "historical_source_observation_times_verified": false, "home_team": "RED Canids", "inference_inputs": {"book_state": {"games_played": {"bo3:3:18103": 105, "bo3:3:18137": 104}, "inactivity_half_life_days": null, "inactivity_max_pull": null, "k": 40.0, "last_match_utc": {"bo3:3:18103": "2026-09-19T16:00:00Z", "bo3:3:18137": "2026-09-13T16:00:00Z"}, "minimum_reliable_games": null, "platt_intercept": 0.0863166240995409, "platt_slope": 0.8030664316369708, "ratings": {"bo3:3:18103": 1527.734903, "bo3:3:18137": 1415.714576},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"2026-09-20T10:30:37.988660+00:00", "team_ids": ["bo3:3:18103", "bo3:3:18137"]}, "market_type": "moneyline", "model_version": "lol-tiered-elo-v6", "observed_at_utc": "2026-09-20T10:30:37.988660+00:00", "probabilities": {"away": 0.379514, "home": 0.620486}, "replay_scope": "Exact serving book state, calibration, temperature, inactivity reference and thin-history adjustments; training provenance not certified.", "schema": "esports-elo-replay-v1", "snapshot_hash": "f6360673fca9f977b91c17410860256ab5626837b399e06557547f4f18e1d5dc", "sport": "LOL"}</t>
        </is>
      </c>
    </row>
    <row r="176" ht="36" customHeight="1">
      <c r="A176" s="24" t="inlineStr">
        <is>
          <t>81b895da0b6c41c6</t>
        </is>
      </c>
      <c r="B176" s="24" t="inlineStr">
        <is>
          <t>2026-09-21T04:40:46.289130Z</t>
        </is>
      </c>
      <c r="C176" s="24" t="inlineStr">
        <is>
          <t>2026-09-21T07:00:00Z</t>
        </is>
      </c>
      <c r="D176" s="24" t="inlineStr">
        <is>
          <t>116692</t>
        </is>
      </c>
      <c r="E176" s="24" t="inlineStr">
        <is>
          <t>LOL</t>
        </is>
      </c>
      <c r="F176" s="24" t="inlineStr">
        <is>
          <t>Cupid Esports</t>
        </is>
      </c>
      <c r="G176" s="24" t="inlineStr">
        <is>
          <t>FENNEL</t>
        </is>
      </c>
      <c r="H176" s="24" t="inlineStr">
        <is>
          <t>moneyline</t>
        </is>
      </c>
      <c r="I176" s="24" t="inlineStr">
        <is>
          <t>home</t>
        </is>
      </c>
      <c r="J176" s="25" t="n"/>
      <c r="K176" s="24" t="inlineStr">
        <is>
          <t>polymarket_us</t>
        </is>
      </c>
      <c r="L176" s="26" t="n">
        <v>203</v>
      </c>
      <c r="M176" s="27" t="n">
        <v>3.03</v>
      </c>
      <c r="N176" s="28" t="n">
        <v>0.330033</v>
      </c>
      <c r="O176" s="28" t="n">
        <v>0.557226</v>
      </c>
      <c r="P176" s="28" t="n"/>
      <c r="Q176" s="28" t="n">
        <v>0.227193</v>
      </c>
      <c r="R176" s="26" t="n">
        <v>100</v>
      </c>
      <c r="S176" s="29" t="n">
        <v>2</v>
      </c>
      <c r="T176" s="24" t="inlineStr">
        <is>
          <t>lol-tiered-elo-v6</t>
        </is>
      </c>
      <c r="U176" s="24" t="inlineStr">
        <is>
          <t>settled</t>
        </is>
      </c>
      <c r="V176" s="24" t="inlineStr">
        <is>
          <t>loss</t>
        </is>
      </c>
      <c r="W176" s="26" t="n">
        <v>1</v>
      </c>
      <c r="X176" s="26" t="n">
        <v>0</v>
      </c>
      <c r="Y176" s="25" t="n"/>
      <c r="Z176" s="26" t="n"/>
      <c r="AA176" s="28" t="n"/>
      <c r="AB176" s="28" t="n"/>
      <c r="AC176" s="30" t="n">
        <v>-2</v>
      </c>
      <c r="AD176" s="24" t="inlineStr">
        <is>
          <t>2026-09-21T10:02:19.689128Z</t>
        </is>
      </c>
      <c r="AE176" s="31" t="inlineStr">
        <is>
          <t>Neutral Elo baseline; executable ask 0.3300 (market_slug=aec-lol-fnl-cpd-2026-09-21).</t>
        </is>
      </c>
      <c r="AF176" s="31" t="inlineStr">
        <is>
          <t>Config-promoted esports baseline; gates enforced at log time.</t>
        </is>
      </c>
      <c r="AG176" s="24" t="inlineStr">
        <is>
          <t>review_required</t>
        </is>
      </c>
      <c r="AH176" s="24" t="n"/>
      <c r="AI176" s="31" t="n"/>
      <c r="AJ176" s="31" t="n"/>
      <c r="AK176" s="24" t="inlineStr">
        <is>
          <t>model_qualified</t>
        </is>
      </c>
      <c r="AL176" s="26" t="n">
        <v>4</v>
      </c>
      <c r="AM176" s="24" t="inlineStr">
        <is>
          <t>QUALIFIED_SHADOW_CALL</t>
        </is>
      </c>
      <c r="AN176" s="24" t="inlineStr">
        <is>
          <t>CALL</t>
        </is>
      </c>
      <c r="AO176" s="24" t="inlineStr">
        <is>
          <t>QUALIFIED</t>
        </is>
      </c>
      <c r="AP176" s="24" t="inlineStr">
        <is>
          <t>Cupid Esports</t>
        </is>
      </c>
      <c r="AQ176" s="24" t="inlineStr">
        <is>
          <t>Cupid Esports</t>
        </is>
      </c>
      <c r="AR176" s="24" t="inlineStr">
        <is>
          <t>Cupid Esports</t>
        </is>
      </c>
      <c r="AS176" s="24" t="inlineStr">
        <is>
          <t>FENNEL</t>
        </is>
      </c>
      <c r="AT176" s="24" t="inlineStr">
        <is>
          <t>FENNEL</t>
        </is>
      </c>
      <c r="AU176" s="24" t="inlineStr">
        <is>
          <t>FENNEL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shadow_qualified</t>
        </is>
      </c>
      <c r="BA176" s="24" t="inlineStr">
        <is>
          <t>33117600cf680413857d7c7377d7fcdbb9401327ac002c5be450878709155be2</t>
        </is>
      </c>
      <c r="BB176" s="24" t="inlineStr">
        <is>
          <t>neutral_elo</t>
        </is>
      </c>
      <c r="BC176" s="24" t="inlineStr">
        <is>
          <t>lol-tiered-elo-v6</t>
        </is>
      </c>
      <c r="BD176" s="24" t="inlineStr">
        <is>
          <t>33117600cf680413857d7c7377d7fcdbb9401327ac002c5be450878709155be2</t>
        </is>
      </c>
      <c r="BE176" s="24" t="inlineStr">
        <is>
          <t>1</t>
        </is>
      </c>
      <c r="BF176" s="24" t="inlineStr">
        <is>
          <t>1</t>
        </is>
      </c>
      <c r="BG176" s="24" t="inlineStr">
        <is>
          <t>lol-tiered-elo-v6</t>
        </is>
      </c>
      <c r="BH176" s="24" t="inlineStr">
        <is>
          <t>2026-09-21T04:39:29.233516Z</t>
        </is>
      </c>
      <c r="BI176" s="24" t="inlineStr">
        <is>
          <t>["same_event","same_team_same_day","same_league_same_day"]</t>
        </is>
      </c>
      <c r="BJ176" s="25" t="n"/>
      <c r="BK176" s="26" t="n">
        <v>203</v>
      </c>
      <c r="BL176" s="27" t="n">
        <v>3.03</v>
      </c>
      <c r="BM176" s="28" t="n">
        <v>0.330033</v>
      </c>
      <c r="BN176" s="28" t="n"/>
      <c r="BO176" s="28" t="n"/>
      <c r="BP176" s="25" t="n"/>
      <c r="BQ176" s="27" t="n"/>
      <c r="BR176" s="28" t="n"/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  <c r="CS176" s="24" t="inlineStr">
        <is>
          <t>True</t>
        </is>
      </c>
      <c r="CT176" s="24" t="n"/>
      <c r="CU176" s="24" t="n"/>
      <c r="CV176" s="24" t="n"/>
      <c r="CW176" s="24" t="n"/>
      <c r="CX176" s="24" t="n"/>
      <c r="CY176" s="24" t="n"/>
      <c r="CZ176" s="24" t="n"/>
      <c r="DA176" s="24" t="n"/>
      <c r="DB176" s="24" t="n"/>
      <c r="DC176" s="24" t="n"/>
      <c r="DD176" s="24" t="n"/>
      <c r="DE176" s="24" t="n"/>
      <c r="DF176" s="24" t="n"/>
      <c r="DG176" s="24" t="n"/>
      <c r="DH176" s="24" t="n"/>
      <c r="DI176" s="24" t="n"/>
      <c r="DJ176" s="24" t="inlineStr">
        <is>
          <t>0.330033</t>
        </is>
      </c>
      <c r="DK176" s="24" t="n"/>
      <c r="DL176" s="24" t="n"/>
      <c r="DM176" s="24" t="n"/>
      <c r="DN176" s="24" t="n"/>
      <c r="DO176" s="24" t="n"/>
      <c r="DP176" s="24" t="n"/>
      <c r="DQ176" s="24" t="inlineStr">
        <is>
          <t>{"artifact_hash": "33117600cf680413857d7c7377d7fcdbb9401327ac002c5be450878709155be2", "away_team": "Cupid Esports", "event_id": "116692", "event_start_utc": "2026-09-21T07:00:00Z", "features": {"away_elo": 1666.604579, "away_history_count": 9, "home_elo": 1724.254074, "home_history_count": 24}, "historical_source_observation_times_verified": false, "home_team": "FENNEL", "inference_inputs": {"book_state": {"games_played": {"bo3:3:16841": 24, "bo3:3:20536": 9}, "inactivity_half_life_days": null, "inactivity_max_pull": null, "k": 40.0, "last_match_utc": {"bo3:3:16841": "2026-09-06T05:35:00Z", "bo3:3:20536": "2026-09-11T21:00:00Z"}, "minimum_reliable_games": null, "platt_intercept": 0.08546595320316829, "platt_slope": 0.8029782266604641, "ratings": {"bo3:3:16841": 1724.254074, "bo3:3:20536": 1666.604579},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"2026-09-21T04:39:29.092507+00:00", "team_ids": ["bo3:3:16841", "bo3:3:20536"]}, "market_type": "moneyline", "model_version": "lol-tiered-elo-v6", "observed_at_utc": "2026-09-21T04:39:29.092507+00:00", "probabilities": {"away": 0.442774, "home": 0.557226}, "replay_scope": "Exact serving book state, calibration, temperature, inactivity reference and thin-history adjustments; training provenance not certified.", "schema": "esports-elo-replay-v1", "snapshot_hash": "a65fe4251a496a1195559d68297d969df62cdf4d73557631a89f8b003ca13ba9", "sport": "LOL"}</t>
        </is>
      </c>
    </row>
    <row r="177" ht="36" customHeight="1">
      <c r="A177" s="24" t="inlineStr">
        <is>
          <t>ccaf4ef9ce4348eb</t>
        </is>
      </c>
      <c r="B177" s="24" t="inlineStr">
        <is>
          <t>2026-09-21T10:09:30.808492Z</t>
        </is>
      </c>
      <c r="C177" s="24" t="inlineStr">
        <is>
          <t>2026-09-21T11:00:00Z</t>
        </is>
      </c>
      <c r="D177" s="24" t="inlineStr">
        <is>
          <t>116730</t>
        </is>
      </c>
      <c r="E177" s="24" t="inlineStr">
        <is>
          <t>LOL</t>
        </is>
      </c>
      <c r="F177" s="24" t="inlineStr">
        <is>
          <t>Vivo Keyd Stars Academy</t>
        </is>
      </c>
      <c r="G177" s="24" t="inlineStr">
        <is>
          <t>FENNEL</t>
        </is>
      </c>
      <c r="H177" s="24" t="inlineStr">
        <is>
          <t>moneyline</t>
        </is>
      </c>
      <c r="I177" s="24" t="inlineStr">
        <is>
          <t>home</t>
        </is>
      </c>
      <c r="J177" s="25" t="n"/>
      <c r="K177" s="24" t="inlineStr">
        <is>
          <t>polymarket_us</t>
        </is>
      </c>
      <c r="L177" s="26" t="n">
        <v>108</v>
      </c>
      <c r="M177" s="27" t="n">
        <v>2.08</v>
      </c>
      <c r="N177" s="28" t="n">
        <v>0.480769</v>
      </c>
      <c r="O177" s="28" t="n">
        <v>0.6054040000000001</v>
      </c>
      <c r="P177" s="28" t="n"/>
      <c r="Q177" s="28" t="n">
        <v>0.124635</v>
      </c>
      <c r="R177" s="26" t="n">
        <v>82</v>
      </c>
      <c r="S177" s="29" t="n">
        <v>1.5</v>
      </c>
      <c r="T177" s="24" t="inlineStr">
        <is>
          <t>lol-tiered-elo-v6</t>
        </is>
      </c>
      <c r="U177" s="24" t="inlineStr">
        <is>
          <t>settled</t>
        </is>
      </c>
      <c r="V177" s="24" t="inlineStr">
        <is>
          <t>loss</t>
        </is>
      </c>
      <c r="W177" s="26" t="n">
        <v>1</v>
      </c>
      <c r="X177" s="26" t="n">
        <v>0</v>
      </c>
      <c r="Y177" s="25" t="n"/>
      <c r="Z177" s="26" t="n">
        <v>108</v>
      </c>
      <c r="AA177" s="28" t="n">
        <v>0.48</v>
      </c>
      <c r="AB177" s="28" t="n">
        <v>-0.000769</v>
      </c>
      <c r="AC177" s="30" t="n">
        <v>-1.5</v>
      </c>
      <c r="AD177" s="24" t="inlineStr">
        <is>
          <t>2026-09-21T16:11:17.288624Z</t>
        </is>
      </c>
      <c r="AE177" s="31" t="inlineStr">
        <is>
          <t>Neutral Elo baseline; executable ask 0.4800 (market_slug=aec-lol-fnl-vksa-2026-09-21).</t>
        </is>
      </c>
      <c r="AF177" s="31" t="inlineStr">
        <is>
          <t>Config-promoted esports baseline; gates enforced at log time.</t>
        </is>
      </c>
      <c r="AG177" s="24" t="inlineStr">
        <is>
          <t>review_required</t>
        </is>
      </c>
      <c r="AH177" s="24" t="n"/>
      <c r="AI177" s="31" t="n"/>
      <c r="AJ177" s="31" t="n"/>
      <c r="AK177" s="24" t="inlineStr">
        <is>
          <t>model_qualified</t>
        </is>
      </c>
      <c r="AL177" s="26" t="n">
        <v>4</v>
      </c>
      <c r="AM177" s="24" t="inlineStr">
        <is>
          <t>QUALIFIED_SHADOW_CALL</t>
        </is>
      </c>
      <c r="AN177" s="24" t="inlineStr">
        <is>
          <t>CALL</t>
        </is>
      </c>
      <c r="AO177" s="24" t="inlineStr">
        <is>
          <t>QUALIFIED</t>
        </is>
      </c>
      <c r="AP177" s="24" t="inlineStr">
        <is>
          <t>Vivo Keyd Stars Academy</t>
        </is>
      </c>
      <c r="AQ177" s="24" t="inlineStr">
        <is>
          <t>Vivo Keyd Stars Academy</t>
        </is>
      </c>
      <c r="AR177" s="24" t="inlineStr">
        <is>
          <t>Vivo Keyd Stars Academy</t>
        </is>
      </c>
      <c r="AS177" s="24" t="inlineStr">
        <is>
          <t>FENNEL</t>
        </is>
      </c>
      <c r="AT177" s="24" t="inlineStr">
        <is>
          <t>FENNEL</t>
        </is>
      </c>
      <c r="AU177" s="24" t="inlineStr">
        <is>
          <t>FENNEL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shadow_qualified</t>
        </is>
      </c>
      <c r="BA177" s="24" t="inlineStr">
        <is>
          <t>8961da3257daaa1a0120e81b3290c3c573d875f56753dc5141867e2ff833a82f</t>
        </is>
      </c>
      <c r="BB177" s="24" t="inlineStr">
        <is>
          <t>neutral_elo</t>
        </is>
      </c>
      <c r="BC177" s="24" t="inlineStr">
        <is>
          <t>lol-tiered-elo-v6</t>
        </is>
      </c>
      <c r="BD177" s="24" t="inlineStr">
        <is>
          <t>8961da3257daaa1a0120e81b3290c3c573d875f56753dc5141867e2ff833a82f</t>
        </is>
      </c>
      <c r="BE177" s="24" t="inlineStr">
        <is>
          <t>1</t>
        </is>
      </c>
      <c r="BF177" s="24" t="inlineStr">
        <is>
          <t>1</t>
        </is>
      </c>
      <c r="BG177" s="24" t="inlineStr">
        <is>
          <t>lol-tiered-elo-v6</t>
        </is>
      </c>
      <c r="BH177" s="24" t="inlineStr">
        <is>
          <t>2026-09-21T10:08:30.121145Z</t>
        </is>
      </c>
      <c r="BI177" s="24" t="inlineStr">
        <is>
          <t>["same_event","same_team_same_day","same_league_same_day"]</t>
        </is>
      </c>
      <c r="BJ177" s="25" t="n"/>
      <c r="BK177" s="26" t="n">
        <v>108</v>
      </c>
      <c r="BL177" s="27" t="n">
        <v>2.08</v>
      </c>
      <c r="BM177" s="28" t="n">
        <v>0.480769</v>
      </c>
      <c r="BN177" s="28" t="n"/>
      <c r="BO177" s="28" t="n"/>
      <c r="BP177" s="25" t="n"/>
      <c r="BQ177" s="27" t="n">
        <v>2.08</v>
      </c>
      <c r="BR177" s="28" t="n">
        <v>0.48</v>
      </c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inlineStr">
        <is>
          <t>True</t>
        </is>
      </c>
      <c r="CT177" s="24" t="n"/>
      <c r="CU177" s="24" t="n"/>
      <c r="CV177" s="24" t="n"/>
      <c r="CW177" s="24" t="n"/>
      <c r="CX177" s="24" t="n"/>
      <c r="CY177" s="24" t="n"/>
      <c r="CZ177" s="24" t="n"/>
      <c r="DA177" s="24" t="n"/>
      <c r="DB177" s="24" t="n"/>
      <c r="DC177" s="24" t="n"/>
      <c r="DD177" s="24" t="n"/>
      <c r="DE177" s="24" t="n"/>
      <c r="DF177" s="24" t="n"/>
      <c r="DG177" s="24" t="n"/>
      <c r="DH177" s="24" t="n"/>
      <c r="DI177" s="24" t="n"/>
      <c r="DJ177" s="24" t="inlineStr">
        <is>
          <t>0.480769</t>
        </is>
      </c>
      <c r="DK177" s="24" t="n"/>
      <c r="DL177" s="24" t="n"/>
      <c r="DM177" s="24" t="n"/>
      <c r="DN177" s="24" t="n"/>
      <c r="DO177" s="24" t="n"/>
      <c r="DP177" s="24" t="n"/>
      <c r="DQ177" s="24" t="inlineStr">
        <is>
          <t>{"artifact_hash": "8961da3257daaa1a0120e81b3290c3c573d875f56753dc5141867e2ff833a82f", "away_team": "Vivo Keyd Stars Academy", "event_id": "116730", "event_start_utc": "2026-09-21T11:00:00Z", "features": {"away_elo": 1601.340918, "away_history_count": 96, "home_elo": 1692.37596, "home_history_count": 25}, "historical_source_observation_times_verified": false, "home_team": "FENNEL", "inference_inputs": {"book_state": {"games_played": {"bo3:3:16841": 25, "bo3:3:19772": 96}, "inactivity_half_life_days": null, "inactivity_max_pull": null, "k": 40.0, "last_match_utc": {"bo3:3:16841": "2026-09-21T07:00:00Z", "bo3:3:19772": "2026-09-21T06:00:00Z"}, "minimum_reliable_games": null, "platt_intercept": 0.08406575341158205, "platt_slope": 0.8040249788700257, "ratings": {"bo3:3:16841": 1692.37596, "bo3:3:19772": 1601.340918},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"2026-09-21T10:08:30.022655+00:00", "team_ids": ["bo3:3:16841", "bo3:3:19772"]}, "market_type": "moneyline", "model_version": "lol-tiered-elo-v6", "observed_at_utc": "2026-09-21T10:08:30.022655+00:00", "probabilities": {"away": 0.394596, "home": 0.605404}, "replay_scope": "Exact serving book state, calibration, temperature, inactivity reference and thin-history adjustments; training provenance not certified.", "schema": "esports-elo-replay-v1", "snapshot_hash": "a1aa538a2823f4cf6cb84316815b1651eaafddea2a4a21829a2a094ea059f4d3", "sport": "LOL"}</t>
        </is>
      </c>
    </row>
    <row r="178" ht="36" customHeight="1">
      <c r="A178" s="24" t="inlineStr">
        <is>
          <t>54e78dccc8694db0</t>
        </is>
      </c>
      <c r="B178" s="24" t="inlineStr">
        <is>
          <t>2026-09-21T10:09:30.808492Z</t>
        </is>
      </c>
      <c r="C178" s="24" t="inlineStr">
        <is>
          <t>2026-09-21T12:00:00Z</t>
        </is>
      </c>
      <c r="D178" s="24" t="inlineStr">
        <is>
          <t>116699</t>
        </is>
      </c>
      <c r="E178" s="24" t="inlineStr">
        <is>
          <t>LOL</t>
        </is>
      </c>
      <c r="F178" s="24" t="inlineStr">
        <is>
          <t>Saigon Warriors</t>
        </is>
      </c>
      <c r="G178" s="24" t="inlineStr">
        <is>
          <t>ZSK</t>
        </is>
      </c>
      <c r="H178" s="24" t="inlineStr">
        <is>
          <t>moneyline</t>
        </is>
      </c>
      <c r="I178" s="24" t="inlineStr">
        <is>
          <t>away</t>
        </is>
      </c>
      <c r="J178" s="25" t="n"/>
      <c r="K178" s="24" t="inlineStr">
        <is>
          <t>polymarket_us</t>
        </is>
      </c>
      <c r="L178" s="26" t="n">
        <v>138</v>
      </c>
      <c r="M178" s="27" t="n">
        <v>2.38</v>
      </c>
      <c r="N178" s="28" t="n">
        <v>0.420168</v>
      </c>
      <c r="O178" s="28" t="n">
        <v>0.565057</v>
      </c>
      <c r="P178" s="28" t="n"/>
      <c r="Q178" s="28" t="n">
        <v>0.144889</v>
      </c>
      <c r="R178" s="26" t="n">
        <v>92</v>
      </c>
      <c r="S178" s="29" t="n">
        <v>1.75</v>
      </c>
      <c r="T178" s="24" t="inlineStr">
        <is>
          <t>lol-tiered-elo-v6</t>
        </is>
      </c>
      <c r="U178" s="24" t="inlineStr">
        <is>
          <t>settled</t>
        </is>
      </c>
      <c r="V178" s="24" t="inlineStr">
        <is>
          <t>win</t>
        </is>
      </c>
      <c r="W178" s="26" t="n">
        <v>1</v>
      </c>
      <c r="X178" s="26" t="n">
        <v>0</v>
      </c>
      <c r="Y178" s="25" t="n"/>
      <c r="Z178" s="26" t="n">
        <v>138</v>
      </c>
      <c r="AA178" s="28" t="n">
        <v>0.42</v>
      </c>
      <c r="AB178" s="28" t="n">
        <v>-0.000168</v>
      </c>
      <c r="AC178" s="30" t="n">
        <v>2.415</v>
      </c>
      <c r="AD178" s="24" t="inlineStr">
        <is>
          <t>2026-09-21T16:11:18.267756Z</t>
        </is>
      </c>
      <c r="AE178" s="31" t="inlineStr">
        <is>
          <t>Neutral Elo baseline; executable ask 0.4200 (market_slug=aec-lol-zsk-sgw-2026-09-21).</t>
        </is>
      </c>
      <c r="AF178" s="31" t="inlineStr">
        <is>
          <t>Config-promoted esports baseline; gates enforced at log time.</t>
        </is>
      </c>
      <c r="AG178" s="24" t="inlineStr">
        <is>
          <t>not_applicable</t>
        </is>
      </c>
      <c r="AH178" s="24" t="n"/>
      <c r="AI178" s="31" t="n"/>
      <c r="AJ178" s="31" t="n"/>
      <c r="AK178" s="24" t="inlineStr">
        <is>
          <t>model_qualified</t>
        </is>
      </c>
      <c r="AL178" s="26" t="n">
        <v>4</v>
      </c>
      <c r="AM178" s="24" t="inlineStr">
        <is>
          <t>QUALIFIED_SHADOW_CALL</t>
        </is>
      </c>
      <c r="AN178" s="24" t="inlineStr">
        <is>
          <t>CALL</t>
        </is>
      </c>
      <c r="AO178" s="24" t="inlineStr">
        <is>
          <t>QUALIFIED</t>
        </is>
      </c>
      <c r="AP178" s="24" t="inlineStr">
        <is>
          <t>Saigon Warriors</t>
        </is>
      </c>
      <c r="AQ178" s="24" t="inlineStr">
        <is>
          <t>Saigon Warriors</t>
        </is>
      </c>
      <c r="AR178" s="24" t="inlineStr">
        <is>
          <t>Saigon Warriors</t>
        </is>
      </c>
      <c r="AS178" s="24" t="inlineStr">
        <is>
          <t>ZSK</t>
        </is>
      </c>
      <c r="AT178" s="24" t="inlineStr">
        <is>
          <t>ZSK</t>
        </is>
      </c>
      <c r="AU178" s="24" t="inlineStr">
        <is>
          <t>ZSK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shadow_qualified</t>
        </is>
      </c>
      <c r="BA178" s="24" t="inlineStr">
        <is>
          <t>8961da3257daaa1a0120e81b3290c3c573d875f56753dc5141867e2ff833a82f</t>
        </is>
      </c>
      <c r="BB178" s="24" t="inlineStr">
        <is>
          <t>neutral_elo</t>
        </is>
      </c>
      <c r="BC178" s="24" t="inlineStr">
        <is>
          <t>lol-tiered-elo-v6</t>
        </is>
      </c>
      <c r="BD178" s="24" t="inlineStr">
        <is>
          <t>8961da3257daaa1a0120e81b3290c3c573d875f56753dc5141867e2ff833a82f</t>
        </is>
      </c>
      <c r="BE178" s="24" t="inlineStr">
        <is>
          <t>1</t>
        </is>
      </c>
      <c r="BF178" s="24" t="inlineStr">
        <is>
          <t>1</t>
        </is>
      </c>
      <c r="BG178" s="24" t="inlineStr">
        <is>
          <t>lol-tiered-elo-v6</t>
        </is>
      </c>
      <c r="BH178" s="24" t="inlineStr">
        <is>
          <t>2026-09-21T10:08:30.191485Z</t>
        </is>
      </c>
      <c r="BI178" s="24" t="inlineStr">
        <is>
          <t>["same_event","same_team_same_day","same_league_same_day"]</t>
        </is>
      </c>
      <c r="BJ178" s="25" t="n"/>
      <c r="BK178" s="26" t="n">
        <v>138</v>
      </c>
      <c r="BL178" s="27" t="n">
        <v>2.38</v>
      </c>
      <c r="BM178" s="28" t="n">
        <v>0.420168</v>
      </c>
      <c r="BN178" s="28" t="n"/>
      <c r="BO178" s="28" t="n"/>
      <c r="BP178" s="25" t="n"/>
      <c r="BQ178" s="27" t="n">
        <v>2.38</v>
      </c>
      <c r="BR178" s="28" t="n">
        <v>0.42</v>
      </c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inlineStr">
        <is>
          <t>True</t>
        </is>
      </c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n"/>
      <c r="DE178" s="24" t="n"/>
      <c r="DF178" s="24" t="n"/>
      <c r="DG178" s="24" t="n"/>
      <c r="DH178" s="24" t="n"/>
      <c r="DI178" s="24" t="n"/>
      <c r="DJ178" s="24" t="inlineStr">
        <is>
          <t>0.420168</t>
        </is>
      </c>
      <c r="DK178" s="24" t="n"/>
      <c r="DL178" s="24" t="n"/>
      <c r="DM178" s="24" t="n"/>
      <c r="DN178" s="24" t="n"/>
      <c r="DO178" s="24" t="n"/>
      <c r="DP178" s="24" t="n"/>
      <c r="DQ178" s="24" t="inlineStr">
        <is>
          <t>{"artifact_hash": "8961da3257daaa1a0120e81b3290c3c573d875f56753dc5141867e2ff833a82f", "away_team": "Saigon Warriors", "event_id": "116699", "event_start_utc": "2026-09-21T12:00:00Z", "features": {"away_elo": 1633.176555, "away_history_count": 26, "home_elo": 1491.943596, "home_history_count": 1}, "historical_source_observation_times_verified": false, "home_team": "ZSK", "inference_inputs": {"book_state": {"games_played": {"bo3:3:22895": 26, "bo3:3:25335": 1}, "inactivity_half_life_days": null, "inactivity_max_pull": null, "k": 40.0, "last_match_utc": {"bo3:3:22895": "2026-09-21T08:00:00Z", "bo3:3:25335": "2026-09-21T09:00:00Z"}, "minimum_reliable_games": null, "platt_intercept": 0.08406575341158205, "platt_slope": 0.8040249788700257, "ratings": {"bo3:3:22895": 1633.176555, "bo3:3:25335": 1491.943596},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"2026-09-21T10:08:30.022655+00:00", "team_ids": ["bo3:3:25335", "bo3:3:22895"]}, "market_type": "moneyline", "model_version": "lol-tiered-elo-v6", "observed_at_utc": "2026-09-21T10:08:30.022655+00:00", "probabilities": {"away": 0.565057, "home": 0.434943}, "replay_scope": "Exact serving book state, calibration, temperature, inactivity reference and thin-history adjustments; training provenance not certified.", "schema": "esports-elo-replay-v1", "snapshot_hash": "989bd27900202328059191c2dea4f67a7cfd8c03b9f27b4f433dcd6be6c6d8b9", "sport": "LOL"}</t>
        </is>
      </c>
    </row>
    <row r="179" ht="36" customHeight="1">
      <c r="A179" s="24" t="inlineStr">
        <is>
          <t>444d94a17adb4880</t>
        </is>
      </c>
      <c r="B179" s="24" t="inlineStr">
        <is>
          <t>2026-09-23T16:17:20.615768Z</t>
        </is>
      </c>
      <c r="C179" s="24" t="inlineStr">
        <is>
          <t>2026-09-23T17:00:00Z</t>
        </is>
      </c>
      <c r="D179" s="24" t="inlineStr">
        <is>
          <t>122366</t>
        </is>
      </c>
      <c r="E179" s="24" t="inlineStr">
        <is>
          <t>LOL</t>
        </is>
      </c>
      <c r="F179" s="24" t="inlineStr">
        <is>
          <t>The Otter Side</t>
        </is>
      </c>
      <c r="G179" s="24" t="inlineStr">
        <is>
          <t>CITA Kaizen</t>
        </is>
      </c>
      <c r="H179" s="24" t="inlineStr">
        <is>
          <t>moneyline</t>
        </is>
      </c>
      <c r="I179" s="24" t="inlineStr">
        <is>
          <t>home</t>
        </is>
      </c>
      <c r="J179" s="25" t="n"/>
      <c r="K179" s="24" t="inlineStr">
        <is>
          <t>polymarket_us</t>
        </is>
      </c>
      <c r="L179" s="26" t="n">
        <v>170</v>
      </c>
      <c r="M179" s="27" t="n">
        <v>2.7</v>
      </c>
      <c r="N179" s="28" t="n">
        <v>0.37037</v>
      </c>
      <c r="O179" s="28" t="n">
        <v>0.562905</v>
      </c>
      <c r="P179" s="28" t="n"/>
      <c r="Q179" s="28" t="n">
        <v>0.192535</v>
      </c>
      <c r="R179" s="26" t="n">
        <v>100</v>
      </c>
      <c r="S179" s="29" t="n">
        <v>2</v>
      </c>
      <c r="T179" s="24" t="inlineStr">
        <is>
          <t>lol-tiered-elo-v6</t>
        </is>
      </c>
      <c r="U179" s="24" t="inlineStr">
        <is>
          <t>settled</t>
        </is>
      </c>
      <c r="V179" s="24" t="inlineStr">
        <is>
          <t>loss</t>
        </is>
      </c>
      <c r="W179" s="26" t="n">
        <v>1</v>
      </c>
      <c r="X179" s="26" t="n">
        <v>0</v>
      </c>
      <c r="Y179" s="25" t="n"/>
      <c r="Z179" s="26" t="n">
        <v>-163</v>
      </c>
      <c r="AA179" s="28" t="n">
        <v>0.62</v>
      </c>
      <c r="AB179" s="28" t="n">
        <v>0.24963</v>
      </c>
      <c r="AC179" s="30" t="n">
        <v>-2</v>
      </c>
      <c r="AD179" s="24" t="inlineStr">
        <is>
          <t>2026-09-23T22:28:22.607656Z</t>
        </is>
      </c>
      <c r="AE179" s="31" t="inlineStr">
        <is>
          <t>Neutral Elo baseline; executable ask 0.3700 (market_slug=aec-lol-ckz-tos-2026-09-23).</t>
        </is>
      </c>
      <c r="AF179" s="31" t="inlineStr">
        <is>
          <t>Config-promoted esports baseline; gates enforced at log time.</t>
        </is>
      </c>
      <c r="AG179" s="24" t="inlineStr">
        <is>
          <t>review_required</t>
        </is>
      </c>
      <c r="AH179" s="24" t="n"/>
      <c r="AI179" s="31" t="n"/>
      <c r="AJ179" s="31" t="n"/>
      <c r="AK179" s="24" t="inlineStr">
        <is>
          <t>model_qualified</t>
        </is>
      </c>
      <c r="AL179" s="26" t="n">
        <v>4</v>
      </c>
      <c r="AM179" s="24" t="inlineStr">
        <is>
          <t>QUALIFIED_SHADOW_CALL</t>
        </is>
      </c>
      <c r="AN179" s="24" t="inlineStr">
        <is>
          <t>CALL</t>
        </is>
      </c>
      <c r="AO179" s="24" t="inlineStr">
        <is>
          <t>QUALIFIED</t>
        </is>
      </c>
      <c r="AP179" s="24" t="inlineStr">
        <is>
          <t>The Otter Side</t>
        </is>
      </c>
      <c r="AQ179" s="24" t="inlineStr">
        <is>
          <t>The Otter Side</t>
        </is>
      </c>
      <c r="AR179" s="24" t="inlineStr">
        <is>
          <t>The Otter Side</t>
        </is>
      </c>
      <c r="AS179" s="24" t="inlineStr">
        <is>
          <t>CITA Kaizen</t>
        </is>
      </c>
      <c r="AT179" s="24" t="inlineStr">
        <is>
          <t>CITA Kaizen</t>
        </is>
      </c>
      <c r="AU179" s="24" t="inlineStr">
        <is>
          <t>CITA Kaizen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shadow_qualified</t>
        </is>
      </c>
      <c r="BA179" s="24" t="inlineStr">
        <is>
          <t>465ce4ed869974960e64484eed8f34f6f37dfa02313d8e487ef5ee7a8f8a4ad0</t>
        </is>
      </c>
      <c r="BB179" s="24" t="inlineStr">
        <is>
          <t>neutral_elo</t>
        </is>
      </c>
      <c r="BC179" s="24" t="inlineStr">
        <is>
          <t>lol-tiered-elo-v6</t>
        </is>
      </c>
      <c r="BD179" s="24" t="inlineStr">
        <is>
          <t>465ce4ed869974960e64484eed8f34f6f37dfa02313d8e487ef5ee7a8f8a4ad0</t>
        </is>
      </c>
      <c r="BE179" s="24" t="inlineStr">
        <is>
          <t>1</t>
        </is>
      </c>
      <c r="BF179" s="24" t="inlineStr">
        <is>
          <t>1</t>
        </is>
      </c>
      <c r="BG179" s="24" t="inlineStr">
        <is>
          <t>lol-tiered-elo-v6</t>
        </is>
      </c>
      <c r="BH179" s="24" t="inlineStr">
        <is>
          <t>2026-09-23T16:16:45.839135Z</t>
        </is>
      </c>
      <c r="BI179" s="24" t="inlineStr">
        <is>
          <t>["same_event","same_team_same_day","same_league_same_day"]</t>
        </is>
      </c>
      <c r="BJ179" s="25" t="n"/>
      <c r="BK179" s="26" t="n">
        <v>170</v>
      </c>
      <c r="BL179" s="27" t="n">
        <v>2.7</v>
      </c>
      <c r="BM179" s="28" t="n">
        <v>0.37037</v>
      </c>
      <c r="BN179" s="28" t="n"/>
      <c r="BO179" s="28" t="n"/>
      <c r="BP179" s="25" t="n"/>
      <c r="BQ179" s="27" t="n">
        <v>1.613497</v>
      </c>
      <c r="BR179" s="28" t="n">
        <v>0.62</v>
      </c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inlineStr">
        <is>
          <t>True</t>
        </is>
      </c>
      <c r="CT179" s="24" t="n"/>
      <c r="CU179" s="24" t="n"/>
      <c r="CV179" s="24" t="n"/>
      <c r="CW179" s="24" t="n"/>
      <c r="CX179" s="24" t="n"/>
      <c r="CY179" s="24" t="n"/>
      <c r="CZ179" s="24" t="n"/>
      <c r="DA179" s="24" t="n"/>
      <c r="DB179" s="24" t="n"/>
      <c r="DC179" s="24" t="n"/>
      <c r="DD179" s="24" t="n"/>
      <c r="DE179" s="24" t="n"/>
      <c r="DF179" s="24" t="n"/>
      <c r="DG179" s="24" t="n"/>
      <c r="DH179" s="24" t="n"/>
      <c r="DI179" s="24" t="n"/>
      <c r="DJ179" s="24" t="inlineStr">
        <is>
          <t>0.37037</t>
        </is>
      </c>
      <c r="DK179" s="24" t="n"/>
      <c r="DL179" s="24" t="n"/>
      <c r="DM179" s="24" t="n"/>
      <c r="DN179" s="24" t="n"/>
      <c r="DO179" s="24" t="n"/>
      <c r="DP179" s="24" t="n"/>
      <c r="DQ179" s="24" t="inlineStr">
        <is>
          <t>{"artifact_hash": "465ce4ed869974960e64484eed8f34f6f37dfa02313d8e487ef5ee7a8f8a4ad0", "away_team": "The Otter Side", "event_id": "122366", "event_start_utc": "2026-09-23T17:00:00Z", "features": {"away_elo": 1642.269093, "away_history_count": 39, "home_elo": 1688.652813, "home_history_count": 39}, "historical_source_observation_times_verified": false, "home_team": "CITA Kaizen", "inference_inputs": {"book_state": {"games_played": {"bo3:3:19209": 39, "bo3:3:21115": 39}, "inactivity_half_life_days": null, "inactivity_max_pull": null, "k": 40.0, "last_match_utc": {"bo3:3:19209": "2026-09-22T15:00:00Z", "bo3:3:21115": "2026-09-22T16:55:00Z"}, "minimum_reliable_games": null, "platt_intercept": 0.0854736317814022, "platt_slope": 0.80739690302065, "ratings": {"bo3:3:19209": 1688.652813, "bo3:3:21115": 1642.269093},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"2026-09-23T16:16:33.533072+00:00", "team_ids": ["bo3:3:19209", "bo3:3:21115"]}, "market_type": "moneyline", "model_version": "lol-tiered-elo-v6", "observed_at_utc": "2026-09-23T16:16:33.533072+00:00", "probabilities": {"away": 0.437095, "home": 0.562905}, "replay_scope": "Exact serving book state, calibration, temperature, inactivity reference and thin-history adjustments; training provenance not certified.", "schema": "esports-elo-replay-v1", "snapshot_hash": "33970331c318048c590ec9712c5eaf53f030fe943f7fe850aabeee078ff8bebd", "sport": "LOL"}</t>
        </is>
      </c>
    </row>
    <row r="180" ht="36" customHeight="1">
      <c r="A180" s="24" t="inlineStr">
        <is>
          <t>b5425fa779a14e02</t>
        </is>
      </c>
      <c r="B180" s="24" t="inlineStr">
        <is>
          <t>2026-09-23T16:17:20.615768Z</t>
        </is>
      </c>
      <c r="C180" s="24" t="inlineStr">
        <is>
          <t>2026-09-23T17:00:00Z</t>
        </is>
      </c>
      <c r="D180" s="24" t="inlineStr">
        <is>
          <t>122365</t>
        </is>
      </c>
      <c r="E180" s="24" t="inlineStr">
        <is>
          <t>LOL</t>
        </is>
      </c>
      <c r="F180" s="24" t="inlineStr">
        <is>
          <t>Verdant</t>
        </is>
      </c>
      <c r="G180" s="24" t="inlineStr">
        <is>
          <t>SU Esports</t>
        </is>
      </c>
      <c r="H180" s="24" t="inlineStr">
        <is>
          <t>moneyline</t>
        </is>
      </c>
      <c r="I180" s="24" t="inlineStr">
        <is>
          <t>away</t>
        </is>
      </c>
      <c r="J180" s="25" t="n"/>
      <c r="K180" s="24" t="inlineStr">
        <is>
          <t>polymarket_us</t>
        </is>
      </c>
      <c r="L180" s="26" t="n">
        <v>156</v>
      </c>
      <c r="M180" s="27" t="n">
        <v>2.56</v>
      </c>
      <c r="N180" s="28" t="n">
        <v>0.390625</v>
      </c>
      <c r="O180" s="28" t="n">
        <v>0.6114889999999999</v>
      </c>
      <c r="P180" s="28" t="n"/>
      <c r="Q180" s="28" t="n">
        <v>0.220864</v>
      </c>
      <c r="R180" s="26" t="n">
        <v>100</v>
      </c>
      <c r="S180" s="29" t="n">
        <v>2</v>
      </c>
      <c r="T180" s="24" t="inlineStr">
        <is>
          <t>lol-tiered-elo-v6</t>
        </is>
      </c>
      <c r="U180" s="24" t="inlineStr">
        <is>
          <t>settled</t>
        </is>
      </c>
      <c r="V180" s="24" t="inlineStr">
        <is>
          <t>loss</t>
        </is>
      </c>
      <c r="W180" s="26" t="n">
        <v>0</v>
      </c>
      <c r="X180" s="26" t="n">
        <v>1</v>
      </c>
      <c r="Y180" s="25" t="n"/>
      <c r="Z180" s="26" t="n"/>
      <c r="AA180" s="28" t="n"/>
      <c r="AB180" s="28" t="n"/>
      <c r="AC180" s="30" t="n">
        <v>-2</v>
      </c>
      <c r="AD180" s="24" t="inlineStr">
        <is>
          <t>2026-09-23T22:28:23.432789Z</t>
        </is>
      </c>
      <c r="AE180" s="31" t="inlineStr">
        <is>
          <t>Neutral Elo baseline; executable ask 0.3900 (market_slug=aec-lol-su-vdn-2026-09-23).</t>
        </is>
      </c>
      <c r="AF180" s="31" t="inlineStr">
        <is>
          <t>Config-promoted esports baseline; gates enforced at log time.</t>
        </is>
      </c>
      <c r="AG180" s="24" t="inlineStr">
        <is>
          <t>review_required</t>
        </is>
      </c>
      <c r="AH180" s="24" t="n"/>
      <c r="AI180" s="31" t="n"/>
      <c r="AJ180" s="31" t="n"/>
      <c r="AK180" s="24" t="inlineStr">
        <is>
          <t>model_qualified</t>
        </is>
      </c>
      <c r="AL180" s="26" t="n">
        <v>4</v>
      </c>
      <c r="AM180" s="24" t="inlineStr">
        <is>
          <t>QUALIFIED_SHADOW_CALL</t>
        </is>
      </c>
      <c r="AN180" s="24" t="inlineStr">
        <is>
          <t>CALL</t>
        </is>
      </c>
      <c r="AO180" s="24" t="inlineStr">
        <is>
          <t>QUALIFIED</t>
        </is>
      </c>
      <c r="AP180" s="24" t="inlineStr">
        <is>
          <t>Verdant</t>
        </is>
      </c>
      <c r="AQ180" s="24" t="inlineStr">
        <is>
          <t>Verdant</t>
        </is>
      </c>
      <c r="AR180" s="24" t="inlineStr">
        <is>
          <t>Verdant</t>
        </is>
      </c>
      <c r="AS180" s="24" t="inlineStr">
        <is>
          <t>SU Esports</t>
        </is>
      </c>
      <c r="AT180" s="24" t="inlineStr">
        <is>
          <t>SU Esports</t>
        </is>
      </c>
      <c r="AU180" s="24" t="inlineStr">
        <is>
          <t>SU Esports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shadow_qualified</t>
        </is>
      </c>
      <c r="BA180" s="24" t="inlineStr">
        <is>
          <t>465ce4ed869974960e64484eed8f34f6f37dfa02313d8e487ef5ee7a8f8a4ad0</t>
        </is>
      </c>
      <c r="BB180" s="24" t="inlineStr">
        <is>
          <t>neutral_elo</t>
        </is>
      </c>
      <c r="BC180" s="24" t="inlineStr">
        <is>
          <t>lol-tiered-elo-v6</t>
        </is>
      </c>
      <c r="BD180" s="24" t="inlineStr">
        <is>
          <t>465ce4ed869974960e64484eed8f34f6f37dfa02313d8e487ef5ee7a8f8a4ad0</t>
        </is>
      </c>
      <c r="BE180" s="24" t="inlineStr">
        <is>
          <t>1</t>
        </is>
      </c>
      <c r="BF180" s="24" t="inlineStr">
        <is>
          <t>1</t>
        </is>
      </c>
      <c r="BG180" s="24" t="inlineStr">
        <is>
          <t>lol-tiered-elo-v6</t>
        </is>
      </c>
      <c r="BH180" s="24" t="inlineStr">
        <is>
          <t>2026-09-23T16:16:46.852937Z</t>
        </is>
      </c>
      <c r="BI180" s="24" t="inlineStr">
        <is>
          <t>["same_event","same_team_same_day","same_league_same_day"]</t>
        </is>
      </c>
      <c r="BJ180" s="25" t="n"/>
      <c r="BK180" s="26" t="n">
        <v>156</v>
      </c>
      <c r="BL180" s="27" t="n">
        <v>2.56</v>
      </c>
      <c r="BM180" s="28" t="n">
        <v>0.390625</v>
      </c>
      <c r="BN180" s="28" t="n"/>
      <c r="BO180" s="28" t="n"/>
      <c r="BP180" s="25" t="n"/>
      <c r="BQ180" s="27" t="n"/>
      <c r="BR180" s="28" t="n"/>
      <c r="BS180" s="28" t="n"/>
      <c r="BT180" s="28" t="n"/>
      <c r="BU180" s="25" t="n"/>
      <c r="BV180" s="29" t="n"/>
      <c r="BW180" s="24" t="n"/>
      <c r="BX180" s="30" t="n"/>
      <c r="BY180" s="27" t="n"/>
      <c r="BZ180" s="24" t="n"/>
      <c r="CA180" s="31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  <c r="CS180" s="24" t="inlineStr">
        <is>
          <t>True</t>
        </is>
      </c>
      <c r="CT180" s="24" t="n"/>
      <c r="CU180" s="24" t="n"/>
      <c r="CV180" s="24" t="n"/>
      <c r="CW180" s="24" t="n"/>
      <c r="CX180" s="24" t="n"/>
      <c r="CY180" s="24" t="n"/>
      <c r="CZ180" s="24" t="n"/>
      <c r="DA180" s="24" t="n"/>
      <c r="DB180" s="24" t="n"/>
      <c r="DC180" s="24" t="n"/>
      <c r="DD180" s="24" t="n"/>
      <c r="DE180" s="24" t="n"/>
      <c r="DF180" s="24" t="n"/>
      <c r="DG180" s="24" t="n"/>
      <c r="DH180" s="24" t="n"/>
      <c r="DI180" s="24" t="n"/>
      <c r="DJ180" s="24" t="inlineStr">
        <is>
          <t>0.390625</t>
        </is>
      </c>
      <c r="DK180" s="24" t="n"/>
      <c r="DL180" s="24" t="n"/>
      <c r="DM180" s="24" t="n"/>
      <c r="DN180" s="24" t="n"/>
      <c r="DO180" s="24" t="n"/>
      <c r="DP180" s="24" t="n"/>
      <c r="DQ180" s="24" t="inlineStr">
        <is>
          <t>{"artifact_hash": "465ce4ed869974960e64484eed8f34f6f37dfa02313d8e487ef5ee7a8f8a4ad0", "away_team": "Verdant", "event_id": "122365", "event_start_utc": "2026-09-23T17:00:00Z", "features": {"away_elo": 1682.392486, "away_history_count": 104, "home_elo": 1547.665743, "home_history_count": 39}, "historical_source_observation_times_verified": false, "home_team": "SU Esports", "inference_inputs": {"book_state": {"games_played": {"bo3:3:17112": 104, "bo3:3:21061": 39}, "inactivity_half_life_days": null, "inactivity_max_pull": null, "k": 40.0, "last_match_utc": {"bo3:3:17112": "2026-09-22T16:45:00Z", "bo3:3:21061": "2026-09-22T15:00:00Z"}, "minimum_reliable_games": null, "platt_intercept": 0.0854736317814022, "platt_slope": 0.80739690302065, "ratings": {"bo3:3:17112": 1682.392486, "bo3:3:21061": 1547.665743},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"2026-09-23T16:16:33.533072+00:00", "team_ids": ["bo3:3:21061", "bo3:3:17112"]}, "market_type": "moneyline", "model_version": "lol-tiered-elo-v6", "observed_at_utc": "2026-09-23T16:16:33.533072+00:00", "probabilities": {"away": 0.611489, "home": 0.388511}, "replay_scope": "Exact serving book state, calibration, temperature, inactivity reference and thin-history adjustments; training provenance not certified.", "schema": "esports-elo-replay-v1", "snapshot_hash": "b49cfc446c60ee517e5bc84412d1ea7f1a40eefa2a3dbd0633eff52c71bed6cf", "sport": "LOL"}</t>
        </is>
      </c>
    </row>
    <row r="181" ht="36" customHeight="1">
      <c r="A181" s="24" t="inlineStr">
        <is>
          <t>7e471e406b614120</t>
        </is>
      </c>
      <c r="B181" s="24" t="inlineStr">
        <is>
          <t>2026-09-24T04:44:48.813401Z</t>
        </is>
      </c>
      <c r="C181" s="24" t="inlineStr">
        <is>
          <t>2026-09-24T09:00:00Z</t>
        </is>
      </c>
      <c r="D181" s="24" t="inlineStr">
        <is>
          <t>120070</t>
        </is>
      </c>
      <c r="E181" s="24" t="inlineStr">
        <is>
          <t>LOL</t>
        </is>
      </c>
      <c r="F181" s="24" t="inlineStr">
        <is>
          <t>KT Rolster Challengers</t>
        </is>
      </c>
      <c r="G181" s="24" t="inlineStr">
        <is>
          <t>⁠Movistar KOI Fénix</t>
        </is>
      </c>
      <c r="H181" s="24" t="inlineStr">
        <is>
          <t>moneyline</t>
        </is>
      </c>
      <c r="I181" s="24" t="inlineStr">
        <is>
          <t>home</t>
        </is>
      </c>
      <c r="J181" s="25" t="n"/>
      <c r="K181" s="24" t="inlineStr">
        <is>
          <t>polymarket_us</t>
        </is>
      </c>
      <c r="L181" s="26" t="n">
        <v>138</v>
      </c>
      <c r="M181" s="27" t="n">
        <v>2.38</v>
      </c>
      <c r="N181" s="28" t="n">
        <v>0.420168</v>
      </c>
      <c r="O181" s="28" t="n">
        <v>0.658269</v>
      </c>
      <c r="P181" s="28" t="n"/>
      <c r="Q181" s="28" t="n">
        <v>0.238101</v>
      </c>
      <c r="R181" s="26" t="n">
        <v>100</v>
      </c>
      <c r="S181" s="29" t="n">
        <v>2</v>
      </c>
      <c r="T181" s="24" t="inlineStr">
        <is>
          <t>lol-tiered-elo-v6</t>
        </is>
      </c>
      <c r="U181" s="24" t="inlineStr">
        <is>
          <t>settled</t>
        </is>
      </c>
      <c r="V181" s="24" t="inlineStr">
        <is>
          <t>loss</t>
        </is>
      </c>
      <c r="W181" s="26" t="n">
        <v>1</v>
      </c>
      <c r="X181" s="26" t="n">
        <v>0</v>
      </c>
      <c r="Y181" s="25" t="n"/>
      <c r="Z181" s="26" t="n"/>
      <c r="AA181" s="28" t="n"/>
      <c r="AB181" s="28" t="n"/>
      <c r="AC181" s="30" t="n">
        <v>-2</v>
      </c>
      <c r="AD181" s="24" t="inlineStr">
        <is>
          <t>2026-09-24T10:02:55.508038Z</t>
        </is>
      </c>
      <c r="AE181" s="31" t="inlineStr">
        <is>
          <t>Neutral Elo baseline; executable ask 0.4200 (market_slug=aec-lol-mkf-ktc-2026-09-24).</t>
        </is>
      </c>
      <c r="AF181" s="31" t="inlineStr">
        <is>
          <t>Config-promoted esports baseline; gates enforced at log time.</t>
        </is>
      </c>
      <c r="AG181" s="24" t="inlineStr">
        <is>
          <t>review_required</t>
        </is>
      </c>
      <c r="AH181" s="24" t="n"/>
      <c r="AI181" s="31" t="n"/>
      <c r="AJ181" s="31" t="n"/>
      <c r="AK181" s="24" t="inlineStr">
        <is>
          <t>model_qualified</t>
        </is>
      </c>
      <c r="AL181" s="26" t="n">
        <v>4</v>
      </c>
      <c r="AM181" s="24" t="inlineStr">
        <is>
          <t>QUALIFIED_SHADOW_CALL</t>
        </is>
      </c>
      <c r="AN181" s="24" t="inlineStr">
        <is>
          <t>CALL</t>
        </is>
      </c>
      <c r="AO181" s="24" t="inlineStr">
        <is>
          <t>QUALIFIED</t>
        </is>
      </c>
      <c r="AP181" s="24" t="inlineStr">
        <is>
          <t>KT Rolster Challengers</t>
        </is>
      </c>
      <c r="AQ181" s="24" t="inlineStr">
        <is>
          <t>KT Rolster Challengers</t>
        </is>
      </c>
      <c r="AR181" s="24" t="inlineStr">
        <is>
          <t>KT Rolster Challengers</t>
        </is>
      </c>
      <c r="AS181" s="24" t="inlineStr">
        <is>
          <t>⁠Movistar KOI Fénix</t>
        </is>
      </c>
      <c r="AT181" s="24" t="inlineStr">
        <is>
          <t>⁠Movistar KOI Fénix</t>
        </is>
      </c>
      <c r="AU181" s="24" t="inlineStr">
        <is>
          <t>⁠Movistar KOI Fénix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shadow_qualified</t>
        </is>
      </c>
      <c r="BA181" s="24" t="inlineStr">
        <is>
          <t>7c68077f8e5016ac4041c7fc9bcd4f7851f38e082dcea183b050d1886f626a6a</t>
        </is>
      </c>
      <c r="BB181" s="24" t="inlineStr">
        <is>
          <t>neutral_elo</t>
        </is>
      </c>
      <c r="BC181" s="24" t="inlineStr">
        <is>
          <t>lol-tiered-elo-v6</t>
        </is>
      </c>
      <c r="BD181" s="24" t="inlineStr">
        <is>
          <t>7c68077f8e5016ac4041c7fc9bcd4f7851f38e082dcea183b050d1886f626a6a</t>
        </is>
      </c>
      <c r="BE181" s="24" t="inlineStr">
        <is>
          <t>1</t>
        </is>
      </c>
      <c r="BF181" s="24" t="inlineStr">
        <is>
          <t>1</t>
        </is>
      </c>
      <c r="BG181" s="24" t="inlineStr">
        <is>
          <t>lol-tiered-elo-v6</t>
        </is>
      </c>
      <c r="BH181" s="24" t="inlineStr">
        <is>
          <t>2026-09-24T04:44:02.444704Z</t>
        </is>
      </c>
      <c r="BI181" s="24" t="inlineStr">
        <is>
          <t>["same_event","same_team_same_day","same_league_same_day"]</t>
        </is>
      </c>
      <c r="BJ181" s="25" t="n"/>
      <c r="BK181" s="26" t="n">
        <v>138</v>
      </c>
      <c r="BL181" s="27" t="n">
        <v>2.38</v>
      </c>
      <c r="BM181" s="28" t="n">
        <v>0.420168</v>
      </c>
      <c r="BN181" s="28" t="n"/>
      <c r="BO181" s="28" t="n"/>
      <c r="BP181" s="25" t="n"/>
      <c r="BQ181" s="27" t="n"/>
      <c r="BR181" s="28" t="n"/>
      <c r="BS181" s="28" t="n"/>
      <c r="BT181" s="28" t="n"/>
      <c r="BU181" s="25" t="n"/>
      <c r="BV181" s="29" t="n"/>
      <c r="BW181" s="24" t="n"/>
      <c r="BX181" s="30" t="n"/>
      <c r="BY181" s="27" t="n"/>
      <c r="BZ181" s="24" t="n"/>
      <c r="CA181" s="31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  <c r="CS181" s="24" t="inlineStr">
        <is>
          <t>True</t>
        </is>
      </c>
      <c r="CT181" s="24" t="n"/>
      <c r="CU181" s="24" t="n"/>
      <c r="CV181" s="24" t="n"/>
      <c r="CW181" s="24" t="n"/>
      <c r="CX181" s="24" t="n"/>
      <c r="CY181" s="24" t="n"/>
      <c r="CZ181" s="24" t="n"/>
      <c r="DA181" s="24" t="n"/>
      <c r="DB181" s="24" t="n"/>
      <c r="DC181" s="24" t="n"/>
      <c r="DD181" s="24" t="n"/>
      <c r="DE181" s="24" t="n"/>
      <c r="DF181" s="24" t="n"/>
      <c r="DG181" s="24" t="n"/>
      <c r="DH181" s="24" t="n"/>
      <c r="DI181" s="24" t="n"/>
      <c r="DJ181" s="24" t="inlineStr">
        <is>
          <t>0.420168</t>
        </is>
      </c>
      <c r="DK181" s="24" t="n"/>
      <c r="DL181" s="24" t="n"/>
      <c r="DM181" s="24" t="n"/>
      <c r="DN181" s="24" t="n"/>
      <c r="DO181" s="24" t="n"/>
      <c r="DP181" s="24" t="n"/>
      <c r="DQ181" s="24" t="inlineStr">
        <is>
          <t>{"artifact_hash": "7c68077f8e5016ac4041c7fc9bcd4f7851f38e082dcea183b050d1886f626a6a", "away_team": "KT Rolster Challengers", "event_id": "120070", "event_start_utc": "2026-09-24T09:00:00Z", "features": {"away_elo": 1810.299309, "away_history_count": 154, "home_elo": 1959.36824, "home_history_count": 60}, "historical_source_observation_times_verified": false, "home_team": "\u2060Movistar KOI F\u00e9nix", "inference_inputs": {"book_state": {"games_played": {"bo3:3:17264": 154, "bo3:3:20584": 60}, "inactivity_half_life_days": null, "inactivity_max_pull": null, "k": 40.0, "last_match_utc": {"bo3:3:17264": "2026-09-22T09:45:00Z", "bo3:3:20584": "2026-09-22T10:45:00Z"}, "minimum_reliable_games": null, "platt_intercept": 0.09047549122372084, "platt_slope": 0.8083410358536511, "ratings": {"bo3:3:17264": 1810.299309, "bo3:3:20584": 1959.36824},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"2026-09-24T04:43:46.468117+00:00", "team_ids": ["bo3:3:20584", "bo3:3:17264"]}, "market_type": "moneyline", "model_version": "lol-tiered-elo-v6", "observed_at_utc": "2026-09-24T04:43:46.468117+00:00", "probabilities": {"away": 0.341731, "home": 0.658269}, "replay_scope": "Exact serving book state, calibration, temperature, inactivity reference and thin-history adjustments; training provenance not certified.", "schema": "esports-elo-replay-v1", "snapshot_hash": "8bcc4c3aedd6b97297c1d67423aad55cf3bb5faa0012150ec2520ad7346c326b", "sport": "LOL"}</t>
        </is>
      </c>
    </row>
    <row r="182" ht="36" customHeight="1">
      <c r="A182" s="24" t="inlineStr">
        <is>
          <t>639774b2a2944c9d</t>
        </is>
      </c>
      <c r="B182" s="24" t="inlineStr">
        <is>
          <t>2026-09-24T10:13:06.296851Z</t>
        </is>
      </c>
      <c r="C182" s="24" t="inlineStr">
        <is>
          <t>2026-09-24T15:00:00Z</t>
        </is>
      </c>
      <c r="D182" s="24" t="inlineStr">
        <is>
          <t>124158</t>
        </is>
      </c>
      <c r="E182" s="24" t="inlineStr">
        <is>
          <t>LOL</t>
        </is>
      </c>
      <c r="F182" s="24" t="inlineStr">
        <is>
          <t>Kawaii Kiwis</t>
        </is>
      </c>
      <c r="G182" s="24" t="inlineStr">
        <is>
          <t>Guinea Pink</t>
        </is>
      </c>
      <c r="H182" s="24" t="inlineStr">
        <is>
          <t>moneyline</t>
        </is>
      </c>
      <c r="I182" s="24" t="inlineStr">
        <is>
          <t>home</t>
        </is>
      </c>
      <c r="J182" s="25" t="n"/>
      <c r="K182" s="24" t="inlineStr">
        <is>
          <t>polymarket_us</t>
        </is>
      </c>
      <c r="L182" s="26" t="n">
        <v>156</v>
      </c>
      <c r="M182" s="27" t="n">
        <v>2.56</v>
      </c>
      <c r="N182" s="28" t="n">
        <v>0.390625</v>
      </c>
      <c r="O182" s="28" t="n">
        <v>0.510101</v>
      </c>
      <c r="P182" s="28" t="n"/>
      <c r="Q182" s="28" t="n">
        <v>0.119476</v>
      </c>
      <c r="R182" s="26" t="n">
        <v>80</v>
      </c>
      <c r="S182" s="29" t="n">
        <v>1.5</v>
      </c>
      <c r="T182" s="24" t="inlineStr">
        <is>
          <t>lol-tiered-elo-v6</t>
        </is>
      </c>
      <c r="U182" s="24" t="inlineStr">
        <is>
          <t>settled</t>
        </is>
      </c>
      <c r="V182" s="24" t="inlineStr">
        <is>
          <t>loss</t>
        </is>
      </c>
      <c r="W182" s="26" t="n">
        <v>1</v>
      </c>
      <c r="X182" s="26" t="n">
        <v>0</v>
      </c>
      <c r="Y182" s="25" t="n"/>
      <c r="Z182" s="26" t="n"/>
      <c r="AA182" s="28" t="n"/>
      <c r="AB182" s="28" t="n"/>
      <c r="AC182" s="30" t="n">
        <v>-1.5</v>
      </c>
      <c r="AD182" s="24" t="inlineStr">
        <is>
          <t>2026-09-24T22:03:56.222733Z</t>
        </is>
      </c>
      <c r="AE182" s="31" t="inlineStr">
        <is>
          <t>Neutral Elo baseline; executable ask 0.3900 (market_slug=aec-lol-gp-kwk-2026-09-24).</t>
        </is>
      </c>
      <c r="AF182" s="31" t="inlineStr">
        <is>
          <t>Config-promoted esports baseline; gates enforced at log time.</t>
        </is>
      </c>
      <c r="AG182" s="24" t="inlineStr">
        <is>
          <t>review_required</t>
        </is>
      </c>
      <c r="AH182" s="24" t="n"/>
      <c r="AI182" s="31" t="n"/>
      <c r="AJ182" s="31" t="n"/>
      <c r="AK182" s="24" t="inlineStr">
        <is>
          <t>paper_call</t>
        </is>
      </c>
      <c r="AL182" s="26" t="n">
        <v>4</v>
      </c>
      <c r="AM182" s="24" t="inlineStr">
        <is>
          <t>RESEARCH_OBSERVATION</t>
        </is>
      </c>
      <c r="AN182" s="24" t="inlineStr">
        <is>
          <t>CALL</t>
        </is>
      </c>
      <c r="AO182" s="24" t="inlineStr">
        <is>
          <t>PAPER_CALL_LOW_EDGE</t>
        </is>
      </c>
      <c r="AP182" s="24" t="inlineStr">
        <is>
          <t>Kawaii Kiwis</t>
        </is>
      </c>
      <c r="AQ182" s="24" t="inlineStr">
        <is>
          <t>Kawaii Kiwis</t>
        </is>
      </c>
      <c r="AR182" s="24" t="inlineStr">
        <is>
          <t>Kawaii Kiwis</t>
        </is>
      </c>
      <c r="AS182" s="24" t="inlineStr">
        <is>
          <t>Guinea Pink</t>
        </is>
      </c>
      <c r="AT182" s="24" t="inlineStr">
        <is>
          <t>Guinea Pink</t>
        </is>
      </c>
      <c r="AU182" s="24" t="inlineStr">
        <is>
          <t>Guinea Pink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shadow_qualified</t>
        </is>
      </c>
      <c r="BA182" s="24" t="inlineStr">
        <is>
          <t>8193ad7bec2317f09ab9c52b7a429a664f4bdfe47cd18ca751bc7d5296d751be</t>
        </is>
      </c>
      <c r="BB182" s="24" t="inlineStr">
        <is>
          <t>neutral_elo</t>
        </is>
      </c>
      <c r="BC182" s="24" t="inlineStr">
        <is>
          <t>lol-tiered-elo-v6</t>
        </is>
      </c>
      <c r="BD182" s="24" t="inlineStr">
        <is>
          <t>8193ad7bec2317f09ab9c52b7a429a664f4bdfe47cd18ca751bc7d5296d751be</t>
        </is>
      </c>
      <c r="BE182" s="24" t="inlineStr">
        <is>
          <t>1</t>
        </is>
      </c>
      <c r="BF182" s="24" t="inlineStr">
        <is>
          <t>1</t>
        </is>
      </c>
      <c r="BG182" s="24" t="inlineStr">
        <is>
          <t>lol-tiered-elo-v6</t>
        </is>
      </c>
      <c r="BH182" s="24" t="inlineStr">
        <is>
          <t>2026-09-24T10:12:44.095115Z</t>
        </is>
      </c>
      <c r="BI182" s="24" t="inlineStr">
        <is>
          <t>["same_event","same_team_same_day","same_league_same_day"]</t>
        </is>
      </c>
      <c r="BJ182" s="25" t="n"/>
      <c r="BK182" s="26" t="n">
        <v>156</v>
      </c>
      <c r="BL182" s="27" t="n">
        <v>2.56</v>
      </c>
      <c r="BM182" s="28" t="n">
        <v>0.390625</v>
      </c>
      <c r="BN182" s="28" t="n"/>
      <c r="BO182" s="28" t="n"/>
      <c r="BP182" s="25" t="n"/>
      <c r="BQ182" s="27" t="n"/>
      <c r="BR182" s="28" t="n"/>
      <c r="BS182" s="28" t="n"/>
      <c r="BT182" s="28" t="n"/>
      <c r="BU182" s="25" t="n"/>
      <c r="BV182" s="29" t="n"/>
      <c r="BW182" s="24" t="n"/>
      <c r="BX182" s="30" t="n"/>
      <c r="BY182" s="27" t="n"/>
      <c r="BZ182" s="24" t="n"/>
      <c r="CA182" s="31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  <c r="CS182" s="24" t="inlineStr">
        <is>
          <t>True</t>
        </is>
      </c>
      <c r="CT182" s="24" t="n"/>
      <c r="CU182" s="24" t="n"/>
      <c r="CV182" s="24" t="n"/>
      <c r="CW182" s="24" t="n"/>
      <c r="CX182" s="24" t="n"/>
      <c r="CY182" s="24" t="n"/>
      <c r="CZ182" s="24" t="n"/>
      <c r="DA182" s="24" t="n"/>
      <c r="DB182" s="24" t="n"/>
      <c r="DC182" s="24" t="n"/>
      <c r="DD182" s="24" t="n"/>
      <c r="DE182" s="24" t="n"/>
      <c r="DF182" s="24" t="n"/>
      <c r="DG182" s="24" t="n"/>
      <c r="DH182" s="24" t="n"/>
      <c r="DI182" s="24" t="n"/>
      <c r="DJ182" s="24" t="inlineStr">
        <is>
          <t>0.390625</t>
        </is>
      </c>
      <c r="DK182" s="24" t="n"/>
      <c r="DL182" s="24" t="n"/>
      <c r="DM182" s="24" t="n"/>
      <c r="DN182" s="24" t="n"/>
      <c r="DO182" s="24" t="n"/>
      <c r="DP182" s="24" t="n"/>
      <c r="DQ182" s="24" t="inlineStr">
        <is>
          <t>{"artifact_hash": "8193ad7bec2317f09ab9c52b7a429a664f4bdfe47cd18ca751bc7d5296d751be", "away_team": "Kawaii Kiwis", "event_id": "124158", "event_start_utc": "2026-09-24T15:00:00Z", "features": {"away_elo": 1502.986883, "away_history_count": 3, "home_elo": 1501.374175, "home_history_count": 2}, "historical_source_observation_times_verified": false, "home_team": "Guinea Pink", "inference_inputs": {"book_state": {"games_played": {"bo3:3:16970": 3, "bo3:3:18563": 2}, "inactivity_half_life_days": null, "inactivity_max_pull": null, "k": 40.0, "last_match_utc": {"bo3:3:16970": "2026-09-23T15:00:00Z", "bo3:3:18563": "2024-10-24T17:45:00Z"}, "minimum_reliable_games": null, "platt_intercept": 0.09067691712818289, "platt_slope": 0.8048135509263525, "ratings": {"bo3:3:16970": 1502.986883, "bo3:3:18563": 1501.374175},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"2026-09-24T10:12:26.739430+00:00", "team_ids": ["bo3:3:18563", "bo3:3:16970"]}, "market_type": "moneyline", "model_version": "lol-tiered-elo-v6", "observed_at_utc": "2026-09-24T10:12:26.739430+00:00", "probabilities": {"away": 0.489899, "home": 0.510101}, "replay_scope": "Exact serving book state, calibration, temperature, inactivity reference and thin-history adjustments; training provenance not certified.", "schema": "esports-elo-replay-v1", "snapshot_hash": "987db7c95b876366002025e4376079a066712b63a559abe55c07b019bbc2d025", "sport": "LOL"}</t>
        </is>
      </c>
    </row>
    <row r="183" ht="36" customHeight="1">
      <c r="A183" s="24" t="inlineStr">
        <is>
          <t>8353d3f13c22418f</t>
        </is>
      </c>
      <c r="B183" s="24" t="inlineStr">
        <is>
          <t>2026-09-25T04:45:05.833268Z</t>
        </is>
      </c>
      <c r="C183" s="24" t="inlineStr">
        <is>
          <t>2026-09-25T09:00:00Z</t>
        </is>
      </c>
      <c r="D183" s="24" t="inlineStr">
        <is>
          <t>121729</t>
        </is>
      </c>
      <c r="E183" s="24" t="inlineStr">
        <is>
          <t>LOL</t>
        </is>
      </c>
      <c r="F183" s="24" t="inlineStr">
        <is>
          <t>Galions</t>
        </is>
      </c>
      <c r="G183" s="24" t="inlineStr">
        <is>
          <t>Solary</t>
        </is>
      </c>
      <c r="H183" s="24" t="inlineStr">
        <is>
          <t>moneyline</t>
        </is>
      </c>
      <c r="I183" s="24" t="inlineStr">
        <is>
          <t>away</t>
        </is>
      </c>
      <c r="J183" s="25" t="n"/>
      <c r="K183" s="24" t="inlineStr">
        <is>
          <t>polymarket_us</t>
        </is>
      </c>
      <c r="L183" s="26" t="n">
        <v>-117</v>
      </c>
      <c r="M183" s="27" t="n">
        <v>1.854701</v>
      </c>
      <c r="N183" s="28" t="n">
        <v>0.539171</v>
      </c>
      <c r="O183" s="28" t="n">
        <v>0.505466</v>
      </c>
      <c r="P183" s="28" t="n"/>
      <c r="Q183" s="28" t="n">
        <v>-0.033705</v>
      </c>
      <c r="R183" s="26" t="n">
        <v>3</v>
      </c>
      <c r="S183" s="29" t="n">
        <v>1</v>
      </c>
      <c r="T183" s="24" t="inlineStr">
        <is>
          <t>lol-tiered-elo-v6</t>
        </is>
      </c>
      <c r="U183" s="24" t="inlineStr">
        <is>
          <t>settled</t>
        </is>
      </c>
      <c r="V183" s="24" t="inlineStr">
        <is>
          <t>loss</t>
        </is>
      </c>
      <c r="W183" s="26" t="n">
        <v>0</v>
      </c>
      <c r="X183" s="26" t="n">
        <v>1</v>
      </c>
      <c r="Y183" s="25" t="n"/>
      <c r="Z183" s="26" t="n">
        <v>-178</v>
      </c>
      <c r="AA183" s="28" t="n">
        <v>0.64</v>
      </c>
      <c r="AB183" s="28" t="n">
        <v>0.100829</v>
      </c>
      <c r="AC183" s="30" t="n">
        <v>-1</v>
      </c>
      <c r="AD183" s="24" t="inlineStr">
        <is>
          <t>2026-09-25T10:02:47.810734Z</t>
        </is>
      </c>
      <c r="AE183" s="31" t="inlineStr">
        <is>
          <t>Neutral Elo baseline; executable ask 0.5400 (market_slug=aec-lol-sly-gal-2026-09-25).</t>
        </is>
      </c>
      <c r="AF183" s="31" t="inlineStr">
        <is>
          <t>Config-promoted esports baseline; gates enforced at log time.</t>
        </is>
      </c>
      <c r="AG183" s="24" t="inlineStr">
        <is>
          <t>review_required</t>
        </is>
      </c>
      <c r="AH183" s="24" t="n"/>
      <c r="AI183" s="31" t="n"/>
      <c r="AJ183" s="31" t="n"/>
      <c r="AK183" s="24" t="inlineStr">
        <is>
          <t>paper_call</t>
        </is>
      </c>
      <c r="AL183" s="26" t="n">
        <v>4</v>
      </c>
      <c r="AM183" s="24" t="inlineStr">
        <is>
          <t>RESEARCH_OBSERVATION</t>
        </is>
      </c>
      <c r="AN183" s="24" t="inlineStr">
        <is>
          <t>CALL</t>
        </is>
      </c>
      <c r="AO183" s="24" t="inlineStr">
        <is>
          <t>PAPER_CALL_LOW_EDGE</t>
        </is>
      </c>
      <c r="AP183" s="24" t="inlineStr">
        <is>
          <t>Galions</t>
        </is>
      </c>
      <c r="AQ183" s="24" t="inlineStr">
        <is>
          <t>Galions</t>
        </is>
      </c>
      <c r="AR183" s="24" t="inlineStr">
        <is>
          <t>Galions</t>
        </is>
      </c>
      <c r="AS183" s="24" t="inlineStr">
        <is>
          <t>Solary</t>
        </is>
      </c>
      <c r="AT183" s="24" t="inlineStr">
        <is>
          <t>Solary</t>
        </is>
      </c>
      <c r="AU183" s="24" t="inlineStr">
        <is>
          <t>Solary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shadow_qualified</t>
        </is>
      </c>
      <c r="BA183" s="24" t="inlineStr">
        <is>
          <t>3061e2d40901ad1435ccb09a54b216b1898a9be1ec38a0f6201e2371b92f1297</t>
        </is>
      </c>
      <c r="BB183" s="24" t="inlineStr">
        <is>
          <t>neutral_elo</t>
        </is>
      </c>
      <c r="BC183" s="24" t="inlineStr">
        <is>
          <t>lol-tiered-elo-v6</t>
        </is>
      </c>
      <c r="BD183" s="24" t="inlineStr">
        <is>
          <t>3061e2d40901ad1435ccb09a54b216b1898a9be1ec38a0f6201e2371b92f1297</t>
        </is>
      </c>
      <c r="BE183" s="24" t="inlineStr">
        <is>
          <t>1</t>
        </is>
      </c>
      <c r="BF183" s="24" t="inlineStr">
        <is>
          <t>1</t>
        </is>
      </c>
      <c r="BG183" s="24" t="inlineStr">
        <is>
          <t>lol-tiered-elo-v6</t>
        </is>
      </c>
      <c r="BH183" s="24" t="inlineStr">
        <is>
          <t>2026-09-25T04:43:45.607884Z</t>
        </is>
      </c>
      <c r="BI183" s="24" t="inlineStr">
        <is>
          <t>["same_event","same_team_same_day","same_league_same_day"]</t>
        </is>
      </c>
      <c r="BJ183" s="25" t="n"/>
      <c r="BK183" s="26" t="n">
        <v>-117</v>
      </c>
      <c r="BL183" s="27" t="n">
        <v>1.854701</v>
      </c>
      <c r="BM183" s="28" t="n">
        <v>0.539171</v>
      </c>
      <c r="BN183" s="28" t="n"/>
      <c r="BO183" s="28" t="n"/>
      <c r="BP183" s="25" t="n"/>
      <c r="BQ183" s="27" t="n">
        <v>1.561798</v>
      </c>
      <c r="BR183" s="28" t="n">
        <v>0.64</v>
      </c>
      <c r="BS183" s="28" t="n"/>
      <c r="BT183" s="28" t="n"/>
      <c r="BU183" s="25" t="n"/>
      <c r="BV183" s="29" t="n"/>
      <c r="BW183" s="24" t="n"/>
      <c r="BX183" s="30" t="n"/>
      <c r="BY183" s="27" t="n"/>
      <c r="BZ183" s="24" t="n"/>
      <c r="CA183" s="31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  <c r="CR183" s="24" t="n"/>
      <c r="CS183" s="24" t="inlineStr">
        <is>
          <t>False</t>
        </is>
      </c>
      <c r="CT183" s="24" t="n"/>
      <c r="CU183" s="24" t="n"/>
      <c r="CV183" s="24" t="n"/>
      <c r="CW183" s="24" t="n"/>
      <c r="CX183" s="24" t="n"/>
      <c r="CY183" s="24" t="n"/>
      <c r="CZ183" s="24" t="n"/>
      <c r="DA183" s="24" t="n"/>
      <c r="DB183" s="24" t="n"/>
      <c r="DC183" s="24" t="n"/>
      <c r="DD183" s="24" t="n"/>
      <c r="DE183" s="24" t="n"/>
      <c r="DF183" s="24" t="n"/>
      <c r="DG183" s="24" t="n"/>
      <c r="DH183" s="24" t="n"/>
      <c r="DI183" s="24" t="n"/>
      <c r="DJ183" s="24" t="inlineStr">
        <is>
          <t>0.539171</t>
        </is>
      </c>
      <c r="DK183" s="24" t="n"/>
      <c r="DL183" s="24" t="n"/>
      <c r="DM183" s="24" t="n"/>
      <c r="DN183" s="24" t="n"/>
      <c r="DO183" s="24" t="n"/>
      <c r="DP183" s="24" t="n"/>
      <c r="DQ183" s="24" t="inlineStr">
        <is>
          <t>{"artifact_hash": "3061e2d40901ad1435ccb09a54b216b1898a9be1ec38a0f6201e2371b92f1297", "away_team": "Galions", "event_id": "121729", "event_start_utc": "2026-09-25T09:00:00Z", "features": {"away_elo": 1890.889177, "away_history_count": 106, "home_elo": 1865.792908, "home_history_count": 127}, "historical_source_observation_times_verified": false, "home_team": "Solary", "inference_inputs": {"book_state": {"games_played": {"bo3:3:17873": 127, "bo3:3:18886": 106}, "inactivity_half_life_days": null, "inactivity_max_pull": null, "k": 40.0, "last_match_utc": {"bo3:3:17873": "2026-09-23T10:45:00Z", "bo3:3:18886": "2026-09-23T09:45:00Z"}, "minimum_reliable_games": null, "platt_intercept": 0.08791418716723377, "platt_slope": 0.8046580862183896, "ratings": {"bo3:3:17873": 1865.792908, "bo3:3:18886": 1890.889177},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"2026-09-25T04:43:30.829001+00:00", "team_ids": ["bo3:3:17873", "bo3:3:18886"]}, "market_type": "moneyline", "model_version": "lol-tiered-elo-v6", "observed_at_utc": "2026-09-25T04:43:30.829001+00:00", "probabilities": {"away": 0.505466, "home": 0.494534}, "replay_scope": "Exact serving book state, calibration, temperature, inactivity reference and thin-history adjustments; training provenance not certified.", "schema": "esports-elo-replay-v1", "snapshot_hash": "14b238f963b711b716c4816d5537b0843ed0350f0e9154fad7ceb65bb915b6a1", "sport": "LOL"}</t>
        </is>
      </c>
    </row>
    <row r="184" ht="36" customHeight="1">
      <c r="A184" s="24" t="inlineStr">
        <is>
          <t>4f91d13ee55448b6</t>
        </is>
      </c>
      <c r="B184" s="24" t="inlineStr">
        <is>
          <t>2026-09-26T16:02:43.018712Z</t>
        </is>
      </c>
      <c r="C184" s="24" t="inlineStr">
        <is>
          <t>2026-09-26T19:00:00Z</t>
        </is>
      </c>
      <c r="D184" s="24" t="inlineStr">
        <is>
          <t>124779</t>
        </is>
      </c>
      <c r="E184" s="24" t="inlineStr">
        <is>
          <t>LOL</t>
        </is>
      </c>
      <c r="F184" s="24" t="inlineStr">
        <is>
          <t xml:space="preserve">PCIFIC </t>
        </is>
      </c>
      <c r="G184" s="24" t="inlineStr">
        <is>
          <t>Unicorns Of Love Sexy Edition</t>
        </is>
      </c>
      <c r="H184" s="24" t="inlineStr">
        <is>
          <t>moneyline</t>
        </is>
      </c>
      <c r="I184" s="24" t="inlineStr">
        <is>
          <t>home</t>
        </is>
      </c>
      <c r="J184" s="25" t="n"/>
      <c r="K184" s="24" t="inlineStr">
        <is>
          <t>polymarket_us</t>
        </is>
      </c>
      <c r="L184" s="26" t="n">
        <v>-213</v>
      </c>
      <c r="M184" s="27" t="n">
        <v>1.469484</v>
      </c>
      <c r="N184" s="28" t="n">
        <v>0.680511</v>
      </c>
      <c r="O184" s="28" t="n">
        <v>0.685547</v>
      </c>
      <c r="P184" s="28" t="n"/>
      <c r="Q184" s="28" t="n">
        <v>0.005036</v>
      </c>
      <c r="R184" s="26" t="n">
        <v>23</v>
      </c>
      <c r="S184" s="29" t="n">
        <v>1</v>
      </c>
      <c r="T184" s="24" t="inlineStr">
        <is>
          <t>lol-tiered-elo-v6</t>
        </is>
      </c>
      <c r="U184" s="24" t="inlineStr">
        <is>
          <t>settled</t>
        </is>
      </c>
      <c r="V184" s="24" t="inlineStr">
        <is>
          <t>win</t>
        </is>
      </c>
      <c r="W184" s="26" t="n">
        <v>0</v>
      </c>
      <c r="X184" s="26" t="n">
        <v>1</v>
      </c>
      <c r="Y184" s="25" t="n"/>
      <c r="Z184" s="26" t="n">
        <v>-317</v>
      </c>
      <c r="AA184" s="28" t="n">
        <v>0.76</v>
      </c>
      <c r="AB184" s="28" t="n">
        <v>0.079489</v>
      </c>
      <c r="AC184" s="30" t="n">
        <v>0.4695</v>
      </c>
      <c r="AD184" s="24" t="inlineStr">
        <is>
          <t>2026-09-26T22:04:34.557774Z</t>
        </is>
      </c>
      <c r="AE184" s="31" t="inlineStr">
        <is>
          <t>Neutral Elo baseline; executable ask 0.6800 (market_slug=aec-lol-use-pcific-2026-09-26).</t>
        </is>
      </c>
      <c r="AF184" s="31" t="inlineStr">
        <is>
          <t>Config-promoted esports baseline; gates enforced at log time.</t>
        </is>
      </c>
      <c r="AG184" s="24" t="inlineStr">
        <is>
          <t>not_applicable</t>
        </is>
      </c>
      <c r="AH184" s="24" t="n"/>
      <c r="AI184" s="31" t="n"/>
      <c r="AJ184" s="31" t="n"/>
      <c r="AK184" s="24" t="inlineStr">
        <is>
          <t>paper_call</t>
        </is>
      </c>
      <c r="AL184" s="26" t="n">
        <v>4</v>
      </c>
      <c r="AM184" s="24" t="inlineStr">
        <is>
          <t>RESEARCH_OBSERVATION</t>
        </is>
      </c>
      <c r="AN184" s="24" t="inlineStr">
        <is>
          <t>CALL</t>
        </is>
      </c>
      <c r="AO184" s="24" t="inlineStr">
        <is>
          <t>PAPER_CALL_LOW_EDGE</t>
        </is>
      </c>
      <c r="AP184" s="24" t="inlineStr">
        <is>
          <t xml:space="preserve">PCIFIC </t>
        </is>
      </c>
      <c r="AQ184" s="24" t="inlineStr">
        <is>
          <t xml:space="preserve">PCIFIC </t>
        </is>
      </c>
      <c r="AR184" s="24" t="inlineStr">
        <is>
          <t xml:space="preserve">PCIFIC </t>
        </is>
      </c>
      <c r="AS184" s="24" t="inlineStr">
        <is>
          <t>Unicorns Of Love Sexy Edition</t>
        </is>
      </c>
      <c r="AT184" s="24" t="inlineStr">
        <is>
          <t>Unicorns Of Love Sexy Edition</t>
        </is>
      </c>
      <c r="AU184" s="24" t="inlineStr">
        <is>
          <t>Unicorns Of Love Sexy Edition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shadow_qualified</t>
        </is>
      </c>
      <c r="BA184" s="24" t="inlineStr">
        <is>
          <t>7a7e39758b1c5d2988b326696403f648ba363c3df0b14222ae6af0cdb0c0cc3e</t>
        </is>
      </c>
      <c r="BB184" s="24" t="inlineStr">
        <is>
          <t>neutral_elo</t>
        </is>
      </c>
      <c r="BC184" s="24" t="inlineStr">
        <is>
          <t>lol-tiered-elo-v6</t>
        </is>
      </c>
      <c r="BD184" s="24" t="inlineStr">
        <is>
          <t>7a7e39758b1c5d2988b326696403f648ba363c3df0b14222ae6af0cdb0c0cc3e</t>
        </is>
      </c>
      <c r="BE184" s="24" t="inlineStr">
        <is>
          <t>1</t>
        </is>
      </c>
      <c r="BF184" s="24" t="inlineStr">
        <is>
          <t>1</t>
        </is>
      </c>
      <c r="BG184" s="24" t="inlineStr">
        <is>
          <t>lol-tiered-elo-v6</t>
        </is>
      </c>
      <c r="BH184" s="24" t="inlineStr">
        <is>
          <t>2026-09-26T16:02:17.517081Z</t>
        </is>
      </c>
      <c r="BI184" s="24" t="inlineStr">
        <is>
          <t>["same_event","same_team_same_day","same_league_same_day"]</t>
        </is>
      </c>
      <c r="BJ184" s="25" t="n"/>
      <c r="BK184" s="26" t="n">
        <v>-213</v>
      </c>
      <c r="BL184" s="27" t="n">
        <v>1.469484</v>
      </c>
      <c r="BM184" s="28" t="n">
        <v>0.680511</v>
      </c>
      <c r="BN184" s="28" t="n"/>
      <c r="BO184" s="28" t="n"/>
      <c r="BP184" s="25" t="n"/>
      <c r="BQ184" s="27" t="n">
        <v>1.315457</v>
      </c>
      <c r="BR184" s="28" t="n">
        <v>0.76</v>
      </c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inlineStr">
        <is>
          <t>True</t>
        </is>
      </c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n"/>
      <c r="DE184" s="24" t="n"/>
      <c r="DF184" s="24" t="n"/>
      <c r="DG184" s="24" t="n"/>
      <c r="DH184" s="24" t="n"/>
      <c r="DI184" s="24" t="n"/>
      <c r="DJ184" s="24" t="inlineStr">
        <is>
          <t>0.680511</t>
        </is>
      </c>
      <c r="DK184" s="24" t="n"/>
      <c r="DL184" s="24" t="n"/>
      <c r="DM184" s="24" t="n"/>
      <c r="DN184" s="24" t="n"/>
      <c r="DO184" s="24" t="n"/>
      <c r="DP184" s="24" t="n"/>
      <c r="DQ184" s="24" t="inlineStr">
        <is>
          <t>{"artifact_hash": "7a7e39758b1c5d2988b326696403f648ba363c3df0b14222ae6af0cdb0c0cc3e", "away_team": "PCIFIC ", "event_id": "124779", "event_start_utc": "2026-09-26T19:00:00Z", "features": {"away_elo": 1573.265351, "away_history_count": 25, "home_elo": 1749.874164, "home_history_count": 140}, "historical_source_observation_times_verified": false, "home_team": "Unicorns Of Love Sexy Edition", "inference_inputs": {"book_state": {"games_played": {"bo3:3:17414": 140, "bo3:3:22396": 25}, "inactivity_half_life_days": null, "inactivity_max_pull": null, "k": 40.0, "last_match_utc": {"bo3:3:17414": "2026-09-22T15:00:00Z", "bo3:3:22396": "2026-09-11T14:40:00Z"}, "minimum_reliable_games": null, "platt_intercept": 0.09057047724004201, "platt_slope": 0.8152531730477908, "ratings": {"bo3:3:17414": 1749.874164, "bo3:3:22396": 1573.265351},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"2026-09-26T15:51:12.355043+00:00", "team_ids": ["bo3:3:17414", "bo3:3:22396"]}, "market_type": "moneyline", "model_version": "lol-tiered-elo-v6", "observed_at_utc": "2026-09-26T15:51:12.355043+00:00", "probabilities": {"away": 0.314453, "home": 0.685547}, "replay_scope": "Exact serving book state, calibration, temperature, inactivity reference and thin-history adjustments; training provenance not certified.", "schema": "esports-elo-replay-v1", "snapshot_hash": "f47e6167dc1d2318d7703fa2c45801e0fd84c0fee362f0ef0fde09206ffa5205", "sport": "LOL"}</t>
        </is>
      </c>
    </row>
    <row r="185" ht="36" customHeight="1">
      <c r="A185" s="24" t="inlineStr">
        <is>
          <t>eed47ef6585146d9</t>
        </is>
      </c>
      <c r="B185" s="24" t="inlineStr">
        <is>
          <t>2026-09-27T16:27:24.440878Z</t>
        </is>
      </c>
      <c r="C185" s="24" t="inlineStr">
        <is>
          <t>2026-09-27T17:00:00Z</t>
        </is>
      </c>
      <c r="D185" s="24" t="inlineStr">
        <is>
          <t>129125</t>
        </is>
      </c>
      <c r="E185" s="24" t="inlineStr">
        <is>
          <t>LOL</t>
        </is>
      </c>
      <c r="F185" s="24" t="inlineStr">
        <is>
          <t>Skillcamp Esport</t>
        </is>
      </c>
      <c r="G185" s="24" t="inlineStr">
        <is>
          <t>Kaufland Hangry Knights</t>
        </is>
      </c>
      <c r="H185" s="24" t="inlineStr">
        <is>
          <t>moneyline</t>
        </is>
      </c>
      <c r="I185" s="24" t="inlineStr">
        <is>
          <t>away</t>
        </is>
      </c>
      <c r="J185" s="25" t="n"/>
      <c r="K185" s="24" t="inlineStr">
        <is>
          <t>polymarket_us</t>
        </is>
      </c>
      <c r="L185" s="26" t="n">
        <v>-138</v>
      </c>
      <c r="M185" s="27" t="n">
        <v>1.724638</v>
      </c>
      <c r="N185" s="28" t="n">
        <v>0.579832</v>
      </c>
      <c r="O185" s="28" t="n">
        <v>0.5714</v>
      </c>
      <c r="P185" s="28" t="n"/>
      <c r="Q185" s="28" t="n">
        <v>-0.008432</v>
      </c>
      <c r="R185" s="26" t="n">
        <v>16</v>
      </c>
      <c r="S185" s="29" t="n">
        <v>1</v>
      </c>
      <c r="T185" s="24" t="inlineStr">
        <is>
          <t>lol-tiered-elo-v6</t>
        </is>
      </c>
      <c r="U185" s="24" t="inlineStr">
        <is>
          <t>settled</t>
        </is>
      </c>
      <c r="V185" s="24" t="inlineStr">
        <is>
          <t>win</t>
        </is>
      </c>
      <c r="W185" s="26" t="n">
        <v>1</v>
      </c>
      <c r="X185" s="26" t="n">
        <v>0</v>
      </c>
      <c r="Y185" s="25" t="n"/>
      <c r="Z185" s="26" t="n"/>
      <c r="AA185" s="28" t="n"/>
      <c r="AB185" s="28" t="n"/>
      <c r="AC185" s="30" t="n">
        <v>0.7246</v>
      </c>
      <c r="AD185" s="24" t="inlineStr">
        <is>
          <t>2026-09-27T22:04:11.753814Z</t>
        </is>
      </c>
      <c r="AE185" s="31" t="inlineStr">
        <is>
          <t>Neutral Elo baseline; executable ask 0.5800 (market_slug=aec-lol-khk-sc-2026-09-27).</t>
        </is>
      </c>
      <c r="AF185" s="31" t="inlineStr">
        <is>
          <t>Config-promoted esports baseline; gates enforced at log time.</t>
        </is>
      </c>
      <c r="AG185" s="24" t="inlineStr">
        <is>
          <t>not_applicable</t>
        </is>
      </c>
      <c r="AH185" s="24" t="n"/>
      <c r="AI185" s="31" t="n"/>
      <c r="AJ185" s="31" t="n"/>
      <c r="AK185" s="24" t="inlineStr">
        <is>
          <t>paper_call</t>
        </is>
      </c>
      <c r="AL185" s="26" t="n">
        <v>4</v>
      </c>
      <c r="AM185" s="24" t="inlineStr">
        <is>
          <t>RESEARCH_OBSERVATION</t>
        </is>
      </c>
      <c r="AN185" s="24" t="inlineStr">
        <is>
          <t>CALL</t>
        </is>
      </c>
      <c r="AO185" s="24" t="inlineStr">
        <is>
          <t>PAPER_CALL_LOW_EDGE</t>
        </is>
      </c>
      <c r="AP185" s="24" t="inlineStr">
        <is>
          <t>Skillcamp Esport</t>
        </is>
      </c>
      <c r="AQ185" s="24" t="inlineStr">
        <is>
          <t>Skillcamp Esport</t>
        </is>
      </c>
      <c r="AR185" s="24" t="inlineStr">
        <is>
          <t>Skillcamp Esport</t>
        </is>
      </c>
      <c r="AS185" s="24" t="inlineStr">
        <is>
          <t>Kaufland Hangry Knights</t>
        </is>
      </c>
      <c r="AT185" s="24" t="inlineStr">
        <is>
          <t>Kaufland Hangry Knights</t>
        </is>
      </c>
      <c r="AU185" s="24" t="inlineStr">
        <is>
          <t>Kaufland Hangry Knights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shadow_qualified</t>
        </is>
      </c>
      <c r="BA185" s="24" t="inlineStr">
        <is>
          <t>eff8232917eb230eb703b198344c889ea5f2d72143d42172b4bc91bc010e3a5c</t>
        </is>
      </c>
      <c r="BB185" s="24" t="inlineStr">
        <is>
          <t>neutral_elo</t>
        </is>
      </c>
      <c r="BC185" s="24" t="inlineStr">
        <is>
          <t>lol-tiered-elo-v6</t>
        </is>
      </c>
      <c r="BD185" s="24" t="inlineStr">
        <is>
          <t>eff8232917eb230eb703b198344c889ea5f2d72143d42172b4bc91bc010e3a5c</t>
        </is>
      </c>
      <c r="BE185" s="24" t="inlineStr">
        <is>
          <t>1</t>
        </is>
      </c>
      <c r="BF185" s="24" t="inlineStr">
        <is>
          <t>1</t>
        </is>
      </c>
      <c r="BG185" s="24" t="inlineStr">
        <is>
          <t>lol-tiered-elo-v6</t>
        </is>
      </c>
      <c r="BH185" s="24" t="inlineStr">
        <is>
          <t>2026-09-27T16:26:39.864256Z</t>
        </is>
      </c>
      <c r="BI185" s="24" t="inlineStr">
        <is>
          <t>["same_event","same_team_same_day","same_league_same_day"]</t>
        </is>
      </c>
      <c r="BJ185" s="25" t="n"/>
      <c r="BK185" s="26" t="n">
        <v>-138</v>
      </c>
      <c r="BL185" s="27" t="n">
        <v>1.724638</v>
      </c>
      <c r="BM185" s="28" t="n">
        <v>0.579832</v>
      </c>
      <c r="BN185" s="28" t="n"/>
      <c r="BO185" s="28" t="n"/>
      <c r="BP185" s="25" t="n"/>
      <c r="BQ185" s="27" t="n"/>
      <c r="BR185" s="28" t="n"/>
      <c r="BS185" s="28" t="n"/>
      <c r="BT185" s="28" t="n"/>
      <c r="BU185" s="25" t="n"/>
      <c r="BV185" s="29" t="n"/>
      <c r="BW185" s="24" t="n"/>
      <c r="BX185" s="30" t="n"/>
      <c r="BY185" s="27" t="n"/>
      <c r="BZ185" s="24" t="n"/>
      <c r="CA185" s="31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  <c r="CS185" s="24" t="inlineStr">
        <is>
          <t>False</t>
        </is>
      </c>
      <c r="CT185" s="24" t="n"/>
      <c r="CU185" s="24" t="n"/>
      <c r="CV185" s="24" t="n"/>
      <c r="CW185" s="24" t="n"/>
      <c r="CX185" s="24" t="n"/>
      <c r="CY185" s="24" t="n"/>
      <c r="CZ185" s="24" t="n"/>
      <c r="DA185" s="24" t="n"/>
      <c r="DB185" s="24" t="n"/>
      <c r="DC185" s="24" t="n"/>
      <c r="DD185" s="24" t="n"/>
      <c r="DE185" s="24" t="n"/>
      <c r="DF185" s="24" t="n"/>
      <c r="DG185" s="24" t="n"/>
      <c r="DH185" s="24" t="n"/>
      <c r="DI185" s="24" t="n"/>
      <c r="DJ185" s="24" t="inlineStr">
        <is>
          <t>0.579832</t>
        </is>
      </c>
      <c r="DK185" s="24" t="n"/>
      <c r="DL185" s="24" t="n"/>
      <c r="DM185" s="24" t="n"/>
      <c r="DN185" s="24" t="n"/>
      <c r="DO185" s="24" t="n"/>
      <c r="DP185" s="24" t="n"/>
      <c r="DQ185" s="24" t="inlineStr">
        <is>
          <t>{"artifact_hash": "eff8232917eb230eb703b198344c889ea5f2d72143d42172b4bc91bc010e3a5c", "away_team": "Skillcamp Esport", "event_id": "129125", "event_start_utc": "2026-09-27T17:00:00Z", "features": {"away_elo": 1687.438763, "away_history_count": 83, "home_elo": 1597.198968, "home_history_count": 70}, "historical_source_observation_times_verified": false, "home_team": "Kaufland Hangry Knights", "inference_inputs": {"book_state": {"games_played": {"bo3:3:16963": 70, "bo3:3:18323": 83}, "inactivity_half_life_days": null, "inactivity_max_pull": null, "k": 40.0, "last_match_utc": {"bo3:3:16963": "2026-09-26T17:00:00Z", "bo3:3:18323": "2026-09-26T16:00:00Z"}, "minimum_reliable_games": null, "platt_intercept": 0.08737232578295187, "platt_slope": 0.8295090541502813, "ratings": {"bo3:3:16963": 1597.198968, "bo3:3:18323": 1687.438763},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"2026-09-27T16:26:32.017580+00:00", "team_ids": ["bo3:3:16963", "bo3:3:18323"]}, "market_type": "moneyline", "model_version": "lol-tiered-elo-v6", "observed_at_utc": "2026-09-27T16:26:32.017580+00:00", "probabilities": {"away": 0.5714, "home": 0.4286}, "replay_scope": "Exact serving book state, calibration, temperature, inactivity reference and thin-history adjustments; training provenance not certified.", "schema": "esports-elo-replay-v1", "snapshot_hash": "20d91960b28b5fe822e055deda3e3d4c23be427ce96cdb9bbd0fd511668dd5e0", "sport": "LOL"}</t>
        </is>
      </c>
    </row>
    <row r="186" ht="36" customHeight="1">
      <c r="A186" s="24" t="inlineStr">
        <is>
          <t>f98bf32a6ad04676</t>
        </is>
      </c>
      <c r="B186" s="24" t="inlineStr">
        <is>
          <t>2026-09-27T16:27:24.440878Z</t>
        </is>
      </c>
      <c r="C186" s="24" t="inlineStr">
        <is>
          <t>2026-09-27T19:00:00Z</t>
        </is>
      </c>
      <c r="D186" s="24" t="inlineStr">
        <is>
          <t>129132</t>
        </is>
      </c>
      <c r="E186" s="24" t="inlineStr">
        <is>
          <t>LOL</t>
        </is>
      </c>
      <c r="F186" s="24" t="inlineStr">
        <is>
          <t>Gamespace Mediterranean College Esports</t>
        </is>
      </c>
      <c r="G186" s="24" t="inlineStr">
        <is>
          <t>MAGAZA</t>
        </is>
      </c>
      <c r="H186" s="24" t="inlineStr">
        <is>
          <t>moneyline</t>
        </is>
      </c>
      <c r="I186" s="24" t="inlineStr">
        <is>
          <t>home</t>
        </is>
      </c>
      <c r="J186" s="25" t="n"/>
      <c r="K186" s="24" t="inlineStr">
        <is>
          <t>polymarket_us</t>
        </is>
      </c>
      <c r="L186" s="26" t="n">
        <v>170</v>
      </c>
      <c r="M186" s="27" t="n">
        <v>2.7</v>
      </c>
      <c r="N186" s="28" t="n">
        <v>0.37037</v>
      </c>
      <c r="O186" s="28" t="n">
        <v>0.577897</v>
      </c>
      <c r="P186" s="28" t="n"/>
      <c r="Q186" s="28" t="n">
        <v>0.207527</v>
      </c>
      <c r="R186" s="26" t="n">
        <v>100</v>
      </c>
      <c r="S186" s="29" t="n">
        <v>2</v>
      </c>
      <c r="T186" s="24" t="inlineStr">
        <is>
          <t>lol-tiered-elo-v6</t>
        </is>
      </c>
      <c r="U186" s="24" t="inlineStr">
        <is>
          <t>settled</t>
        </is>
      </c>
      <c r="V186" s="24" t="inlineStr">
        <is>
          <t>win</t>
        </is>
      </c>
      <c r="W186" s="26" t="n">
        <v>0</v>
      </c>
      <c r="X186" s="26" t="n">
        <v>1</v>
      </c>
      <c r="Y186" s="25" t="n"/>
      <c r="Z186" s="26" t="n">
        <v>170</v>
      </c>
      <c r="AA186" s="28" t="n">
        <v>0.37</v>
      </c>
      <c r="AB186" s="28" t="n">
        <v>-0.00037</v>
      </c>
      <c r="AC186" s="30" t="n">
        <v>3.4</v>
      </c>
      <c r="AD186" s="24" t="inlineStr">
        <is>
          <t>2026-09-27T22:04:12.264978Z</t>
        </is>
      </c>
      <c r="AE186" s="31" t="inlineStr">
        <is>
          <t>Neutral Elo baseline; executable ask 0.3700 (market_slug=aec-lol-mgz-gsmc-2026-09-27).</t>
        </is>
      </c>
      <c r="AF186" s="31" t="inlineStr">
        <is>
          <t>Config-promoted esports baseline; gates enforced at log time.</t>
        </is>
      </c>
      <c r="AG186" s="24" t="inlineStr">
        <is>
          <t>not_applicable</t>
        </is>
      </c>
      <c r="AH186" s="24" t="n"/>
      <c r="AI186" s="31" t="n"/>
      <c r="AJ186" s="31" t="n"/>
      <c r="AK186" s="24" t="inlineStr">
        <is>
          <t>model_qualified</t>
        </is>
      </c>
      <c r="AL186" s="26" t="n">
        <v>4</v>
      </c>
      <c r="AM186" s="24" t="inlineStr">
        <is>
          <t>QUALIFIED_SHADOW_CALL</t>
        </is>
      </c>
      <c r="AN186" s="24" t="inlineStr">
        <is>
          <t>CALL</t>
        </is>
      </c>
      <c r="AO186" s="24" t="inlineStr">
        <is>
          <t>QUALIFIED</t>
        </is>
      </c>
      <c r="AP186" s="24" t="inlineStr">
        <is>
          <t>Gamespace Mediterranean College Esports</t>
        </is>
      </c>
      <c r="AQ186" s="24" t="inlineStr">
        <is>
          <t>Gamespace Mediterranean College Esports</t>
        </is>
      </c>
      <c r="AR186" s="24" t="inlineStr">
        <is>
          <t>Gamespace Mediterranean College Esports</t>
        </is>
      </c>
      <c r="AS186" s="24" t="inlineStr">
        <is>
          <t>MAGAZA</t>
        </is>
      </c>
      <c r="AT186" s="24" t="inlineStr">
        <is>
          <t>MAGAZA</t>
        </is>
      </c>
      <c r="AU186" s="24" t="inlineStr">
        <is>
          <t>MAGAZA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shadow_qualified</t>
        </is>
      </c>
      <c r="BA186" s="24" t="inlineStr">
        <is>
          <t>eff8232917eb230eb703b198344c889ea5f2d72143d42172b4bc91bc010e3a5c</t>
        </is>
      </c>
      <c r="BB186" s="24" t="inlineStr">
        <is>
          <t>neutral_elo</t>
        </is>
      </c>
      <c r="BC186" s="24" t="inlineStr">
        <is>
          <t>lol-tiered-elo-v6</t>
        </is>
      </c>
      <c r="BD186" s="24" t="inlineStr">
        <is>
          <t>eff8232917eb230eb703b198344c889ea5f2d72143d42172b4bc91bc010e3a5c</t>
        </is>
      </c>
      <c r="BE186" s="24" t="inlineStr">
        <is>
          <t>1</t>
        </is>
      </c>
      <c r="BF186" s="24" t="inlineStr">
        <is>
          <t>1</t>
        </is>
      </c>
      <c r="BG186" s="24" t="inlineStr">
        <is>
          <t>lol-tiered-elo-v6</t>
        </is>
      </c>
      <c r="BH186" s="24" t="inlineStr">
        <is>
          <t>2026-09-27T16:27:03.350760Z</t>
        </is>
      </c>
      <c r="BI186" s="24" t="inlineStr">
        <is>
          <t>["same_event","same_team_same_day","same_league_same_day"]</t>
        </is>
      </c>
      <c r="BJ186" s="25" t="n"/>
      <c r="BK186" s="26" t="n">
        <v>170</v>
      </c>
      <c r="BL186" s="27" t="n">
        <v>2.7</v>
      </c>
      <c r="BM186" s="28" t="n">
        <v>0.37037</v>
      </c>
      <c r="BN186" s="28" t="n"/>
      <c r="BO186" s="28" t="n"/>
      <c r="BP186" s="25" t="n"/>
      <c r="BQ186" s="27" t="n">
        <v>2.7</v>
      </c>
      <c r="BR186" s="28" t="n">
        <v>0.37</v>
      </c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  <c r="CR186" s="24" t="n"/>
      <c r="CS186" s="24" t="inlineStr">
        <is>
          <t>True</t>
        </is>
      </c>
      <c r="CT186" s="24" t="n"/>
      <c r="CU186" s="24" t="n"/>
      <c r="CV186" s="24" t="n"/>
      <c r="CW186" s="24" t="n"/>
      <c r="CX186" s="24" t="n"/>
      <c r="CY186" s="24" t="n"/>
      <c r="CZ186" s="24" t="n"/>
      <c r="DA186" s="24" t="n"/>
      <c r="DB186" s="24" t="n"/>
      <c r="DC186" s="24" t="n"/>
      <c r="DD186" s="24" t="n"/>
      <c r="DE186" s="24" t="n"/>
      <c r="DF186" s="24" t="n"/>
      <c r="DG186" s="24" t="n"/>
      <c r="DH186" s="24" t="n"/>
      <c r="DI186" s="24" t="n"/>
      <c r="DJ186" s="24" t="inlineStr">
        <is>
          <t>0.37037</t>
        </is>
      </c>
      <c r="DK186" s="24" t="n"/>
      <c r="DL186" s="24" t="n"/>
      <c r="DM186" s="24" t="n"/>
      <c r="DN186" s="24" t="n"/>
      <c r="DO186" s="24" t="n"/>
      <c r="DP186" s="24" t="n"/>
      <c r="DQ186" s="24" t="inlineStr">
        <is>
          <t>{"artifact_hash": "eff8232917eb230eb703b198344c889ea5f2d72143d42172b4bc91bc010e3a5c", "away_team": "Gamespace Mediterranean College Esports", "event_id": "129132", "event_start_utc": "2026-09-27T19:00:00Z", "features": {"away_elo": 1538.763582, "away_history_count": 112, "home_elo": 1598.669028, "home_history_count": 30}, "historical_source_observation_times_verified": false, "home_team": "MAGAZA", "inference_inputs": {"book_state": {"games_played": {"bo3:3:16845": 30, "bo3:3:17225": 112}, "inactivity_half_life_days": null, "inactivity_max_pull": null, "k": 40.0, "last_match_utc": {"bo3:3:16845": "2026-09-26T17:00:00Z", "bo3:3:17225": "2026-09-26T19:25:00Z"}, "minimum_reliable_games": null, "platt_intercept": 0.08737232578295187, "platt_slope": 0.8295090541502813, "ratings": {"bo3:3:16845": 1598.669028, "bo3:3:17225": 1538.763582},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"2026-09-27T16:26:32.017580+00:00", "team_ids": ["bo3:3:16845", "bo3:3:17225"]}, "market_type": "moneyline", "model_version": "lol-tiered-elo-v6", "observed_at_utc": "2026-09-27T16:26:32.017580+00:00", "probabilities": {"away": 0.422103, "home": 0.577897}, "replay_scope": "Exact serving book state, calibration, temperature, inactivity reference and thin-history adjustments; training provenance not certified.", "schema": "esports-elo-replay-v1", "snapshot_hash": "478da114330fbad991a476c41ab65f2ff0eca4fc219e8e5c7c32341ea153ce8e", "sport": "LOL"}</t>
        </is>
      </c>
    </row>
    <row r="187" ht="36" customHeight="1">
      <c r="A187" s="24" t="inlineStr">
        <is>
          <t>c988cd36a2e043ee</t>
        </is>
      </c>
      <c r="B187" s="24" t="inlineStr">
        <is>
          <t>2026-09-27T16:27:24.440878Z</t>
        </is>
      </c>
      <c r="C187" s="24" t="inlineStr">
        <is>
          <t>2026-09-27T20:00:00Z</t>
        </is>
      </c>
      <c r="D187" s="24" t="inlineStr">
        <is>
          <t>125621</t>
        </is>
      </c>
      <c r="E187" s="24" t="inlineStr">
        <is>
          <t>LOL</t>
        </is>
      </c>
      <c r="F187" s="24" t="inlineStr">
        <is>
          <t>Team Liquid</t>
        </is>
      </c>
      <c r="G187" s="24" t="inlineStr">
        <is>
          <t>Cloud9</t>
        </is>
      </c>
      <c r="H187" s="24" t="inlineStr">
        <is>
          <t>moneyline</t>
        </is>
      </c>
      <c r="I187" s="24" t="inlineStr">
        <is>
          <t>away</t>
        </is>
      </c>
      <c r="J187" s="25" t="n"/>
      <c r="K187" s="24" t="inlineStr">
        <is>
          <t>polymarket_us</t>
        </is>
      </c>
      <c r="L187" s="26" t="n">
        <v>-186</v>
      </c>
      <c r="M187" s="27" t="n">
        <v>1.537634</v>
      </c>
      <c r="N187" s="28" t="n">
        <v>0.65035</v>
      </c>
      <c r="O187" s="28" t="n">
        <v>0.513109</v>
      </c>
      <c r="P187" s="28" t="n"/>
      <c r="Q187" s="28" t="n">
        <v>-0.137241</v>
      </c>
      <c r="R187" s="26" t="n">
        <v>0</v>
      </c>
      <c r="S187" s="29" t="n">
        <v>1</v>
      </c>
      <c r="T187" s="24" t="inlineStr">
        <is>
          <t>lol-tiered-elo-v6</t>
        </is>
      </c>
      <c r="U187" s="24" t="inlineStr">
        <is>
          <t>settled</t>
        </is>
      </c>
      <c r="V187" s="24" t="inlineStr">
        <is>
          <t>win</t>
        </is>
      </c>
      <c r="W187" s="26" t="n">
        <v>1</v>
      </c>
      <c r="X187" s="26" t="n">
        <v>0</v>
      </c>
      <c r="Y187" s="25" t="n"/>
      <c r="Z187" s="26" t="n"/>
      <c r="AA187" s="28" t="n"/>
      <c r="AB187" s="28" t="n"/>
      <c r="AC187" s="30" t="n">
        <v>0.5376</v>
      </c>
      <c r="AD187" s="24" t="inlineStr">
        <is>
          <t>2026-09-28T04:33:06.314555Z</t>
        </is>
      </c>
      <c r="AE187" s="31" t="inlineStr">
        <is>
          <t>Neutral Elo baseline; executable ask 0.6500 (market_slug=aec-lol-c9-tl-2026-09-27).</t>
        </is>
      </c>
      <c r="AF187" s="31" t="inlineStr">
        <is>
          <t>Config-promoted esports baseline; gates enforced at log time.</t>
        </is>
      </c>
      <c r="AG187" s="24" t="inlineStr">
        <is>
          <t>not_applicable</t>
        </is>
      </c>
      <c r="AH187" s="24" t="n"/>
      <c r="AI187" s="31" t="n"/>
      <c r="AJ187" s="31" t="n"/>
      <c r="AK187" s="24" t="inlineStr">
        <is>
          <t>paper_call</t>
        </is>
      </c>
      <c r="AL187" s="26" t="n">
        <v>4</v>
      </c>
      <c r="AM187" s="24" t="inlineStr">
        <is>
          <t>RESEARCH_OBSERVATION</t>
        </is>
      </c>
      <c r="AN187" s="24" t="inlineStr">
        <is>
          <t>CALL</t>
        </is>
      </c>
      <c r="AO187" s="24" t="inlineStr">
        <is>
          <t>PAPER_CALL_LOW_EDGE</t>
        </is>
      </c>
      <c r="AP187" s="24" t="inlineStr">
        <is>
          <t>Team Liquid</t>
        </is>
      </c>
      <c r="AQ187" s="24" t="inlineStr">
        <is>
          <t>Team Liquid</t>
        </is>
      </c>
      <c r="AR187" s="24" t="inlineStr">
        <is>
          <t>Team Liquid</t>
        </is>
      </c>
      <c r="AS187" s="24" t="inlineStr">
        <is>
          <t>Cloud9</t>
        </is>
      </c>
      <c r="AT187" s="24" t="inlineStr">
        <is>
          <t>Cloud9</t>
        </is>
      </c>
      <c r="AU187" s="24" t="inlineStr">
        <is>
          <t>Cloud9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shadow_qualified</t>
        </is>
      </c>
      <c r="BA187" s="24" t="inlineStr">
        <is>
          <t>eff8232917eb230eb703b198344c889ea5f2d72143d42172b4bc91bc010e3a5c</t>
        </is>
      </c>
      <c r="BB187" s="24" t="inlineStr">
        <is>
          <t>neutral_elo</t>
        </is>
      </c>
      <c r="BC187" s="24" t="inlineStr">
        <is>
          <t>lol-tiered-elo-v6</t>
        </is>
      </c>
      <c r="BD187" s="24" t="inlineStr">
        <is>
          <t>eff8232917eb230eb703b198344c889ea5f2d72143d42172b4bc91bc010e3a5c</t>
        </is>
      </c>
      <c r="BE187" s="24" t="inlineStr">
        <is>
          <t>1</t>
        </is>
      </c>
      <c r="BF187" s="24" t="inlineStr">
        <is>
          <t>1</t>
        </is>
      </c>
      <c r="BG187" s="24" t="inlineStr">
        <is>
          <t>lol-tiered-elo-v6</t>
        </is>
      </c>
      <c r="BH187" s="24" t="inlineStr">
        <is>
          <t>2026-09-27T16:27:03.518857Z</t>
        </is>
      </c>
      <c r="BI187" s="24" t="inlineStr">
        <is>
          <t>["same_event","same_team_same_day","same_league_same_day"]</t>
        </is>
      </c>
      <c r="BJ187" s="25" t="n"/>
      <c r="BK187" s="26" t="n">
        <v>-186</v>
      </c>
      <c r="BL187" s="27" t="n">
        <v>1.537634</v>
      </c>
      <c r="BM187" s="28" t="n">
        <v>0.65035</v>
      </c>
      <c r="BN187" s="28" t="n"/>
      <c r="BO187" s="28" t="n"/>
      <c r="BP187" s="25" t="n"/>
      <c r="BQ187" s="27" t="n"/>
      <c r="BR187" s="28" t="n"/>
      <c r="BS187" s="28" t="n"/>
      <c r="BT187" s="28" t="n"/>
      <c r="BU187" s="25" t="n"/>
      <c r="BV187" s="29" t="n"/>
      <c r="BW187" s="24" t="n"/>
      <c r="BX187" s="30" t="n"/>
      <c r="BY187" s="27" t="n"/>
      <c r="BZ187" s="24" t="n"/>
      <c r="CA187" s="31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  <c r="CP187" s="24" t="n"/>
      <c r="CQ187" s="24" t="n"/>
      <c r="CR187" s="24" t="n"/>
      <c r="CS187" s="24" t="inlineStr">
        <is>
          <t>False</t>
        </is>
      </c>
      <c r="CT187" s="24" t="n"/>
      <c r="CU187" s="24" t="n"/>
      <c r="CV187" s="24" t="n"/>
      <c r="CW187" s="24" t="n"/>
      <c r="CX187" s="24" t="n"/>
      <c r="CY187" s="24" t="n"/>
      <c r="CZ187" s="24" t="n"/>
      <c r="DA187" s="24" t="n"/>
      <c r="DB187" s="24" t="n"/>
      <c r="DC187" s="24" t="n"/>
      <c r="DD187" s="24" t="n"/>
      <c r="DE187" s="24" t="n"/>
      <c r="DF187" s="24" t="n"/>
      <c r="DG187" s="24" t="n"/>
      <c r="DH187" s="24" t="n"/>
      <c r="DI187" s="24" t="n"/>
      <c r="DJ187" s="24" t="inlineStr">
        <is>
          <t>0.65035</t>
        </is>
      </c>
      <c r="DK187" s="24" t="n"/>
      <c r="DL187" s="24" t="n"/>
      <c r="DM187" s="24" t="n"/>
      <c r="DN187" s="24" t="n"/>
      <c r="DO187" s="24" t="n"/>
      <c r="DP187" s="24" t="n"/>
      <c r="DQ187" s="24" t="inlineStr">
        <is>
          <t>{"artifact_hash": "eff8232917eb230eb703b198344c889ea5f2d72143d42172b4bc91bc010e3a5c", "away_team": "Team Liquid", "event_id": "125621", "event_start_utc": "2026-09-27T20:00:00Z", "features": {"away_elo": 1755.732661, "away_history_count": 107, "home_elo": 1724.446464, "home_history_count": 95}, "historical_source_observation_times_verified": false, "home_team": "Cloud9", "inference_inputs": {"book_state": {"games_played": {"bo3:3:17900": 95, "bo3:3:17972": 107}, "inactivity_half_life_days": null, "inactivity_max_pull": null, "k": 40.0, "last_match_utc": {"bo3:3:17900": "2026-09-19T20:00:00Z", "bo3:3:17972": "2026-09-20T20:00:00Z"}, "minimum_reliable_games": null, "platt_intercept": 0.08737232578295187, "platt_slope": 0.8295090541502813, "ratings": {"bo3:3:17900": 1724.446464, "bo3:3:17972": 1755.732661},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"2026-09-27T16:26:32.017580+00:00", "team_ids": ["bo3:3:17900", "bo3:3:17972"]}, "market_type": "moneyline", "model_version": "lol-tiered-elo-v6", "observed_at_utc": "2026-09-27T16:26:32.017580+00:00", "probabilities": {"away": 0.513109, "home": 0.486891}, "replay_scope": "Exact serving book state, calibration, temperature, inactivity reference and thin-history adjustments; training provenance not certified.", "schema": "esports-elo-replay-v1", "snapshot_hash": "93186cb6ed304a2ee1c12da6d1bdaf3428262fce56249e5138ba3cf1f33e8204", "sport": "LOL"}</t>
        </is>
      </c>
    </row>
    <row r="188" ht="36" customHeight="1">
      <c r="A188" s="24" t="inlineStr">
        <is>
          <t>4476a71342024615</t>
        </is>
      </c>
      <c r="B188" s="24" t="inlineStr">
        <is>
          <t>2026-09-28T10:10:50.918145Z</t>
        </is>
      </c>
      <c r="C188" s="24" t="inlineStr">
        <is>
          <t>2026-09-28T16:00:00Z</t>
        </is>
      </c>
      <c r="D188" s="24" t="inlineStr">
        <is>
          <t>130707</t>
        </is>
      </c>
      <c r="E188" s="24" t="inlineStr">
        <is>
          <t>LOL</t>
        </is>
      </c>
      <c r="F188" s="24" t="inlineStr">
        <is>
          <t>Skillcamp Esport</t>
        </is>
      </c>
      <c r="G188" s="24" t="inlineStr">
        <is>
          <t>Anubis Gaming</t>
        </is>
      </c>
      <c r="H188" s="24" t="inlineStr">
        <is>
          <t>moneyline</t>
        </is>
      </c>
      <c r="I188" s="24" t="inlineStr">
        <is>
          <t>home</t>
        </is>
      </c>
      <c r="J188" s="25" t="n"/>
      <c r="K188" s="24" t="inlineStr">
        <is>
          <t>polymarket_us</t>
        </is>
      </c>
      <c r="L188" s="26" t="n">
        <v>212</v>
      </c>
      <c r="M188" s="27" t="n">
        <v>3.12</v>
      </c>
      <c r="N188" s="28" t="n">
        <v>0.320513</v>
      </c>
      <c r="O188" s="28" t="n">
        <v>0.595007</v>
      </c>
      <c r="P188" s="28" t="n"/>
      <c r="Q188" s="28" t="n">
        <v>0.274494</v>
      </c>
      <c r="R188" s="26" t="n">
        <v>100</v>
      </c>
      <c r="S188" s="29" t="n">
        <v>2</v>
      </c>
      <c r="T188" s="24" t="inlineStr">
        <is>
          <t>lol-tiered-elo-v6</t>
        </is>
      </c>
      <c r="U188" s="24" t="inlineStr">
        <is>
          <t>settled</t>
        </is>
      </c>
      <c r="V188" s="24" t="inlineStr">
        <is>
          <t>win</t>
        </is>
      </c>
      <c r="W188" s="26" t="n">
        <v>0</v>
      </c>
      <c r="X188" s="26" t="n">
        <v>1</v>
      </c>
      <c r="Y188" s="25" t="n"/>
      <c r="Z188" s="26" t="n">
        <v>212</v>
      </c>
      <c r="AA188" s="28" t="n">
        <v>0.32</v>
      </c>
      <c r="AB188" s="28" t="n">
        <v>-0.000513</v>
      </c>
      <c r="AC188" s="30" t="n">
        <v>4.24</v>
      </c>
      <c r="AD188" s="24" t="inlineStr">
        <is>
          <t>2026-09-28T22:03:14.320935Z</t>
        </is>
      </c>
      <c r="AE188" s="31" t="inlineStr">
        <is>
          <t>Neutral Elo baseline; executable ask 0.3200 (market_slug=aec-lol-anb-sc-2026-09-28).</t>
        </is>
      </c>
      <c r="AF188" s="31" t="inlineStr">
        <is>
          <t>Config-promoted esports baseline; gates enforced at log time.</t>
        </is>
      </c>
      <c r="AG188" s="24" t="inlineStr">
        <is>
          <t>not_applicable</t>
        </is>
      </c>
      <c r="AH188" s="24" t="n"/>
      <c r="AI188" s="31" t="n"/>
      <c r="AJ188" s="31" t="n"/>
      <c r="AK188" s="24" t="inlineStr">
        <is>
          <t>model_qualified</t>
        </is>
      </c>
      <c r="AL188" s="26" t="n">
        <v>4</v>
      </c>
      <c r="AM188" s="24" t="inlineStr">
        <is>
          <t>QUALIFIED_SHADOW_CALL</t>
        </is>
      </c>
      <c r="AN188" s="24" t="inlineStr">
        <is>
          <t>CALL</t>
        </is>
      </c>
      <c r="AO188" s="24" t="inlineStr">
        <is>
          <t>QUALIFIED</t>
        </is>
      </c>
      <c r="AP188" s="24" t="inlineStr">
        <is>
          <t>Skillcamp Esport</t>
        </is>
      </c>
      <c r="AQ188" s="24" t="inlineStr">
        <is>
          <t>Skillcamp Esport</t>
        </is>
      </c>
      <c r="AR188" s="24" t="inlineStr">
        <is>
          <t>Skillcamp Esport</t>
        </is>
      </c>
      <c r="AS188" s="24" t="inlineStr">
        <is>
          <t>Anubis Gaming</t>
        </is>
      </c>
      <c r="AT188" s="24" t="inlineStr">
        <is>
          <t>Anubis Gaming</t>
        </is>
      </c>
      <c r="AU188" s="24" t="inlineStr">
        <is>
          <t>Anubis Gaming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shadow_qualified</t>
        </is>
      </c>
      <c r="BA188" s="24" t="inlineStr">
        <is>
          <t>9367545d6f77aaffc00686fc2dac36c8e60da44437f07b6a0ce13ab266322ad4</t>
        </is>
      </c>
      <c r="BB188" s="24" t="inlineStr">
        <is>
          <t>neutral_elo</t>
        </is>
      </c>
      <c r="BC188" s="24" t="inlineStr">
        <is>
          <t>lol-tiered-elo-v6</t>
        </is>
      </c>
      <c r="BD188" s="24" t="inlineStr">
        <is>
          <t>9367545d6f77aaffc00686fc2dac36c8e60da44437f07b6a0ce13ab266322ad4</t>
        </is>
      </c>
      <c r="BE188" s="24" t="inlineStr">
        <is>
          <t>1</t>
        </is>
      </c>
      <c r="BF188" s="24" t="inlineStr">
        <is>
          <t>1</t>
        </is>
      </c>
      <c r="BG188" s="24" t="inlineStr">
        <is>
          <t>lol-tiered-elo-v6</t>
        </is>
      </c>
      <c r="BH188" s="24" t="inlineStr">
        <is>
          <t>2026-09-28T10:09:44.889355Z</t>
        </is>
      </c>
      <c r="BI188" s="24" t="inlineStr">
        <is>
          <t>["same_event","same_team_same_day","same_league_same_day"]</t>
        </is>
      </c>
      <c r="BJ188" s="25" t="n"/>
      <c r="BK188" s="26" t="n">
        <v>212</v>
      </c>
      <c r="BL188" s="27" t="n">
        <v>3.12</v>
      </c>
      <c r="BM188" s="28" t="n">
        <v>0.320513</v>
      </c>
      <c r="BN188" s="28" t="n"/>
      <c r="BO188" s="28" t="n"/>
      <c r="BP188" s="25" t="n"/>
      <c r="BQ188" s="27" t="n">
        <v>3.12</v>
      </c>
      <c r="BR188" s="28" t="n">
        <v>0.32</v>
      </c>
      <c r="BS188" s="28" t="n"/>
      <c r="BT188" s="28" t="n"/>
      <c r="BU188" s="25" t="n"/>
      <c r="BV188" s="29" t="n"/>
      <c r="BW188" s="24" t="n"/>
      <c r="BX188" s="30" t="n"/>
      <c r="BY188" s="27" t="n"/>
      <c r="BZ188" s="24" t="n"/>
      <c r="CA188" s="31" t="n"/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  <c r="CR188" s="24" t="n"/>
      <c r="CS188" s="24" t="inlineStr">
        <is>
          <t>True</t>
        </is>
      </c>
      <c r="CT188" s="24" t="n"/>
      <c r="CU188" s="24" t="n"/>
      <c r="CV188" s="24" t="n"/>
      <c r="CW188" s="24" t="n"/>
      <c r="CX188" s="24" t="n"/>
      <c r="CY188" s="24" t="n"/>
      <c r="CZ188" s="24" t="n"/>
      <c r="DA188" s="24" t="n"/>
      <c r="DB188" s="24" t="n"/>
      <c r="DC188" s="24" t="n"/>
      <c r="DD188" s="24" t="n"/>
      <c r="DE188" s="24" t="n"/>
      <c r="DF188" s="24" t="n"/>
      <c r="DG188" s="24" t="n"/>
      <c r="DH188" s="24" t="n"/>
      <c r="DI188" s="24" t="n"/>
      <c r="DJ188" s="24" t="inlineStr">
        <is>
          <t>0.320513</t>
        </is>
      </c>
      <c r="DK188" s="24" t="n"/>
      <c r="DL188" s="24" t="n"/>
      <c r="DM188" s="24" t="n"/>
      <c r="DN188" s="24" t="n"/>
      <c r="DO188" s="24" t="n"/>
      <c r="DP188" s="24" t="n"/>
      <c r="DQ188" s="24" t="inlineStr">
        <is>
          <t>{"artifact_hash": "9367545d6f77aaffc00686fc2dac36c8e60da44437f07b6a0ce13ab266322ad4", "away_team": "Skillcamp Esport", "event_id": "130707", "event_start_utc": "2026-09-28T16:00:00Z", "features": {"away_elo": 1707.602501, "away_history_count": 84, "home_elo": 1784.416817, "home_history_count": 97}, "historical_source_observation_times_verified": false, "home_team": "Anubis Gaming", "inference_inputs": {"book_state": {"games_played": {"bo3:3:17042": 97, "bo3:3:18323": 84}, "inactivity_half_life_days": null, "inactivity_max_pull": null, "k": 40.0, "last_match_utc": {"bo3:3:17042": "2026-09-27T19:15:00Z", "bo3:3:18323": "2026-09-27T17:00:00Z"}, "minimum_reliable_games": null, "platt_intercept": 0.08597404444742837, "platt_slope": 0.835019672317326, "ratings": {"bo3:3:17042": 1784.416817, "bo3:3:18323": 1707.602501},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"2026-09-28T10:09:44.781278+00:00", "team_ids": ["bo3:3:17042", "bo3:3:18323"]}, "market_type": "moneyline", "model_version": "lol-tiered-elo-v6", "observed_at_utc": "2026-09-28T10:09:44.781278+00:00", "probabilities": {"away": 0.404993, "home": 0.595007}, "replay_scope": "Exact serving book state, calibration, temperature, inactivity reference and thin-history adjustments; training provenance not certified.", "schema": "esports-elo-replay-v1", "snapshot_hash": "71a4a6167c92100c45a9c6237bfd17a6671624e388d065d6333ff33c18e9c37f", "sport": "LOL"}</t>
        </is>
      </c>
    </row>
    <row r="189" ht="36" customHeight="1">
      <c r="A189" s="24" t="inlineStr">
        <is>
          <t>22e025c3cde94e5c</t>
        </is>
      </c>
      <c r="B189" s="24" t="inlineStr">
        <is>
          <t>2026-09-28T16:13:24.617863Z</t>
        </is>
      </c>
      <c r="C189" s="24" t="inlineStr">
        <is>
          <t>2026-09-28T17:00:00Z</t>
        </is>
      </c>
      <c r="D189" s="24" t="inlineStr">
        <is>
          <t>130710</t>
        </is>
      </c>
      <c r="E189" s="24" t="inlineStr">
        <is>
          <t>LOL</t>
        </is>
      </c>
      <c r="F189" s="24" t="inlineStr">
        <is>
          <t>SU Esports</t>
        </is>
      </c>
      <c r="G189" s="24" t="inlineStr">
        <is>
          <t>BOMBA Team</t>
        </is>
      </c>
      <c r="H189" s="24" t="inlineStr">
        <is>
          <t>moneyline</t>
        </is>
      </c>
      <c r="I189" s="24" t="inlineStr">
        <is>
          <t>home</t>
        </is>
      </c>
      <c r="J189" s="25" t="n"/>
      <c r="K189" s="24" t="inlineStr">
        <is>
          <t>polymarket_us</t>
        </is>
      </c>
      <c r="L189" s="26" t="n">
        <v>113</v>
      </c>
      <c r="M189" s="27" t="n">
        <v>2.13</v>
      </c>
      <c r="N189" s="28" t="n">
        <v>0.469484</v>
      </c>
      <c r="O189" s="28" t="n">
        <v>0.584378</v>
      </c>
      <c r="P189" s="28" t="n"/>
      <c r="Q189" s="28" t="n">
        <v>0.114894</v>
      </c>
      <c r="R189" s="26" t="n">
        <v>77</v>
      </c>
      <c r="S189" s="29" t="n">
        <v>1.5</v>
      </c>
      <c r="T189" s="24" t="inlineStr">
        <is>
          <t>lol-tiered-elo-v6</t>
        </is>
      </c>
      <c r="U189" s="24" t="inlineStr">
        <is>
          <t>settled</t>
        </is>
      </c>
      <c r="V189" s="24" t="inlineStr">
        <is>
          <t>win</t>
        </is>
      </c>
      <c r="W189" s="26" t="n">
        <v>0</v>
      </c>
      <c r="X189" s="26" t="n">
        <v>1</v>
      </c>
      <c r="Y189" s="25" t="n"/>
      <c r="Z189" s="26" t="n">
        <v>113</v>
      </c>
      <c r="AA189" s="28" t="n">
        <v>0.47</v>
      </c>
      <c r="AB189" s="28" t="n">
        <v>0.000516</v>
      </c>
      <c r="AC189" s="30" t="n">
        <v>1.695</v>
      </c>
      <c r="AD189" s="24" t="inlineStr">
        <is>
          <t>2026-09-28T22:03:14.822624Z</t>
        </is>
      </c>
      <c r="AE189" s="31" t="inlineStr">
        <is>
          <t>Neutral Elo baseline; executable ask 0.4700 (market_slug=aec-lol-boom-su-2026-09-28).</t>
        </is>
      </c>
      <c r="AF189" s="31" t="inlineStr">
        <is>
          <t>Config-promoted esports baseline; gates enforced at log time.</t>
        </is>
      </c>
      <c r="AG189" s="24" t="inlineStr">
        <is>
          <t>not_applicable</t>
        </is>
      </c>
      <c r="AH189" s="24" t="n"/>
      <c r="AI189" s="31" t="n"/>
      <c r="AJ189" s="31" t="n"/>
      <c r="AK189" s="24" t="inlineStr">
        <is>
          <t>model_qualified</t>
        </is>
      </c>
      <c r="AL189" s="26" t="n">
        <v>4</v>
      </c>
      <c r="AM189" s="24" t="inlineStr">
        <is>
          <t>QUALIFIED_SHADOW_CALL</t>
        </is>
      </c>
      <c r="AN189" s="24" t="inlineStr">
        <is>
          <t>CALL</t>
        </is>
      </c>
      <c r="AO189" s="24" t="inlineStr">
        <is>
          <t>QUALIFIED</t>
        </is>
      </c>
      <c r="AP189" s="24" t="inlineStr">
        <is>
          <t>SU Esports</t>
        </is>
      </c>
      <c r="AQ189" s="24" t="inlineStr">
        <is>
          <t>SU Esports</t>
        </is>
      </c>
      <c r="AR189" s="24" t="inlineStr">
        <is>
          <t>SU Esports</t>
        </is>
      </c>
      <c r="AS189" s="24" t="inlineStr">
        <is>
          <t>BOMBA Team</t>
        </is>
      </c>
      <c r="AT189" s="24" t="inlineStr">
        <is>
          <t>BOMBA Team</t>
        </is>
      </c>
      <c r="AU189" s="24" t="inlineStr">
        <is>
          <t>BOMBA Team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shadow_qualified</t>
        </is>
      </c>
      <c r="BA189" s="24" t="inlineStr">
        <is>
          <t>8e759300cdf1c8e0ac8ed46c2449accefd2b70e547bc2b19858d0673427b9c5d</t>
        </is>
      </c>
      <c r="BB189" s="24" t="inlineStr">
        <is>
          <t>neutral_elo</t>
        </is>
      </c>
      <c r="BC189" s="24" t="inlineStr">
        <is>
          <t>lol-tiered-elo-v6</t>
        </is>
      </c>
      <c r="BD189" s="24" t="inlineStr">
        <is>
          <t>8e759300cdf1c8e0ac8ed46c2449accefd2b70e547bc2b19858d0673427b9c5d</t>
        </is>
      </c>
      <c r="BE189" s="24" t="inlineStr">
        <is>
          <t>1</t>
        </is>
      </c>
      <c r="BF189" s="24" t="inlineStr">
        <is>
          <t>1</t>
        </is>
      </c>
      <c r="BG189" s="24" t="inlineStr">
        <is>
          <t>lol-tiered-elo-v6</t>
        </is>
      </c>
      <c r="BH189" s="24" t="inlineStr">
        <is>
          <t>2026-09-28T16:12:12.192792Z</t>
        </is>
      </c>
      <c r="BI189" s="24" t="inlineStr">
        <is>
          <t>["same_event","same_team_same_day","same_league_same_day"]</t>
        </is>
      </c>
      <c r="BJ189" s="25" t="n"/>
      <c r="BK189" s="26" t="n">
        <v>113</v>
      </c>
      <c r="BL189" s="27" t="n">
        <v>2.13</v>
      </c>
      <c r="BM189" s="28" t="n">
        <v>0.469484</v>
      </c>
      <c r="BN189" s="28" t="n"/>
      <c r="BO189" s="28" t="n"/>
      <c r="BP189" s="25" t="n"/>
      <c r="BQ189" s="27" t="n">
        <v>2.13</v>
      </c>
      <c r="BR189" s="28" t="n">
        <v>0.47</v>
      </c>
      <c r="BS189" s="28" t="n"/>
      <c r="BT189" s="28" t="n"/>
      <c r="BU189" s="25" t="n"/>
      <c r="BV189" s="29" t="n"/>
      <c r="BW189" s="24" t="n"/>
      <c r="BX189" s="30" t="n"/>
      <c r="BY189" s="27" t="n"/>
      <c r="BZ189" s="24" t="n"/>
      <c r="CA189" s="31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  <c r="CR189" s="24" t="n"/>
      <c r="CS189" s="24" t="inlineStr">
        <is>
          <t>True</t>
        </is>
      </c>
      <c r="CT189" s="24" t="n"/>
      <c r="CU189" s="24" t="n"/>
      <c r="CV189" s="24" t="n"/>
      <c r="CW189" s="24" t="n"/>
      <c r="CX189" s="24" t="n"/>
      <c r="CY189" s="24" t="n"/>
      <c r="CZ189" s="24" t="n"/>
      <c r="DA189" s="24" t="n"/>
      <c r="DB189" s="24" t="n"/>
      <c r="DC189" s="24" t="n"/>
      <c r="DD189" s="24" t="n"/>
      <c r="DE189" s="24" t="n"/>
      <c r="DF189" s="24" t="n"/>
      <c r="DG189" s="24" t="n"/>
      <c r="DH189" s="24" t="n"/>
      <c r="DI189" s="24" t="n"/>
      <c r="DJ189" s="24" t="inlineStr">
        <is>
          <t>0.469484</t>
        </is>
      </c>
      <c r="DK189" s="24" t="n"/>
      <c r="DL189" s="24" t="n"/>
      <c r="DM189" s="24" t="n"/>
      <c r="DN189" s="24" t="n"/>
      <c r="DO189" s="24" t="n"/>
      <c r="DP189" s="24" t="n"/>
      <c r="DQ189" s="24" t="inlineStr">
        <is>
          <t>{"artifact_hash": "8e759300cdf1c8e0ac8ed46c2449accefd2b70e547bc2b19858d0673427b9c5d", "away_team": "SU Esports", "event_id": "130710", "event_start_utc": "2026-09-28T17:00:00Z", "features": {"away_elo": 1585.589792, "away_history_count": 42, "home_elo": 1652.005484, "home_history_count": 120}, "historical_source_observation_times_verified": false, "home_team": "BOMBA Team", "inference_inputs": {"book_state": {"games_played": {"bo3:3:18311": 120, "bo3:3:21061": 42}, "inactivity_half_life_days": null, "inactivity_max_pull": null, "k": 40.0, "last_match_utc": {"bo3:3:18311": "2026-09-27T16:00:00Z", "bo3:3:21061": "2026-09-27T17:00:00Z"}, "minimum_reliable_games": null, "platt_intercept": 0.08597404444742837, "platt_slope": 0.835019672317326, "ratings": {"bo3:3:18311": 1652.005484, "bo3:3:21061": 1585.589792},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"2026-09-28T16:12:12.113014+00:00", "team_ids": ["bo3:3:18311", "bo3:3:21061"]}, "market_type": "moneyline", "model_version": "lol-tiered-elo-v6", "observed_at_utc": "2026-09-28T16:12:12.113014+00:00", "probabilities": {"away": 0.415622, "home": 0.584378}, "replay_scope": "Exact serving book state, calibration, temperature, inactivity reference and thin-history adjustments; training provenance not certified.", "schema": "esports-elo-replay-v1", "snapshot_hash": "01dc19273b86455de902ac33f231676c11bcb2ad09008aaa53c88a82c043ead3", "sport": "LOL"}</t>
        </is>
      </c>
    </row>
    <row r="190" ht="36" customHeight="1">
      <c r="A190" s="24" t="inlineStr">
        <is>
          <t>0604fccf0a314c2e</t>
        </is>
      </c>
      <c r="B190" s="24" t="inlineStr">
        <is>
          <t>2026-09-28T16:13:24.617863Z</t>
        </is>
      </c>
      <c r="C190" s="24" t="inlineStr">
        <is>
          <t>2026-09-28T19:00:00Z</t>
        </is>
      </c>
      <c r="D190" s="24" t="inlineStr">
        <is>
          <t>130720</t>
        </is>
      </c>
      <c r="E190" s="24" t="inlineStr">
        <is>
          <t>LOL</t>
        </is>
      </c>
      <c r="F190" s="24" t="inlineStr">
        <is>
          <t>Barça eSports</t>
        </is>
      </c>
      <c r="G190" s="24" t="inlineStr">
        <is>
          <t>Forsaken</t>
        </is>
      </c>
      <c r="H190" s="24" t="inlineStr">
        <is>
          <t>moneyline</t>
        </is>
      </c>
      <c r="I190" s="24" t="inlineStr">
        <is>
          <t>home</t>
        </is>
      </c>
      <c r="J190" s="25" t="n"/>
      <c r="K190" s="24" t="inlineStr">
        <is>
          <t>polymarket_us</t>
        </is>
      </c>
      <c r="L190" s="26" t="n">
        <v>223</v>
      </c>
      <c r="M190" s="27" t="n">
        <v>3.23</v>
      </c>
      <c r="N190" s="28" t="n">
        <v>0.309598</v>
      </c>
      <c r="O190" s="28" t="n">
        <v>0.53074</v>
      </c>
      <c r="P190" s="28" t="n"/>
      <c r="Q190" s="28" t="n">
        <v>0.221142</v>
      </c>
      <c r="R190" s="26" t="n">
        <v>100</v>
      </c>
      <c r="S190" s="29" t="n">
        <v>2</v>
      </c>
      <c r="T190" s="24" t="inlineStr">
        <is>
          <t>lol-tiered-elo-v6</t>
        </is>
      </c>
      <c r="U190" s="24" t="inlineStr">
        <is>
          <t>settled</t>
        </is>
      </c>
      <c r="V190" s="24" t="inlineStr">
        <is>
          <t>loss</t>
        </is>
      </c>
      <c r="W190" s="26" t="n">
        <v>1</v>
      </c>
      <c r="X190" s="26" t="n">
        <v>0</v>
      </c>
      <c r="Y190" s="25" t="n"/>
      <c r="Z190" s="26" t="n"/>
      <c r="AA190" s="28" t="n"/>
      <c r="AB190" s="28" t="n"/>
      <c r="AC190" s="30" t="n">
        <v>-2</v>
      </c>
      <c r="AD190" s="24" t="inlineStr">
        <is>
          <t>2026-09-28T22:03:15.220119Z</t>
        </is>
      </c>
      <c r="AE190" s="31" t="inlineStr">
        <is>
          <t>Neutral Elo baseline; executable ask 0.3100 (market_slug=aec-lol-fsk-bar-2026-09-28).</t>
        </is>
      </c>
      <c r="AF190" s="31" t="inlineStr">
        <is>
          <t>Config-promoted esports baseline; gates enforced at log time.</t>
        </is>
      </c>
      <c r="AG190" s="24" t="inlineStr">
        <is>
          <t>review_required</t>
        </is>
      </c>
      <c r="AH190" s="24" t="n"/>
      <c r="AI190" s="31" t="n"/>
      <c r="AJ190" s="31" t="n"/>
      <c r="AK190" s="24" t="inlineStr">
        <is>
          <t>model_qualified</t>
        </is>
      </c>
      <c r="AL190" s="26" t="n">
        <v>4</v>
      </c>
      <c r="AM190" s="24" t="inlineStr">
        <is>
          <t>QUALIFIED_SHADOW_CALL</t>
        </is>
      </c>
      <c r="AN190" s="24" t="inlineStr">
        <is>
          <t>CALL</t>
        </is>
      </c>
      <c r="AO190" s="24" t="inlineStr">
        <is>
          <t>QUALIFIED</t>
        </is>
      </c>
      <c r="AP190" s="24" t="inlineStr">
        <is>
          <t>Barça eSports</t>
        </is>
      </c>
      <c r="AQ190" s="24" t="inlineStr">
        <is>
          <t>Barça eSports</t>
        </is>
      </c>
      <c r="AR190" s="24" t="inlineStr">
        <is>
          <t>Barça eSports</t>
        </is>
      </c>
      <c r="AS190" s="24" t="inlineStr">
        <is>
          <t>Forsaken</t>
        </is>
      </c>
      <c r="AT190" s="24" t="inlineStr">
        <is>
          <t>Forsaken</t>
        </is>
      </c>
      <c r="AU190" s="24" t="inlineStr">
        <is>
          <t>Forsaken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shadow_qualified</t>
        </is>
      </c>
      <c r="BA190" s="24" t="inlineStr">
        <is>
          <t>8e759300cdf1c8e0ac8ed46c2449accefd2b70e547bc2b19858d0673427b9c5d</t>
        </is>
      </c>
      <c r="BB190" s="24" t="inlineStr">
        <is>
          <t>neutral_elo</t>
        </is>
      </c>
      <c r="BC190" s="24" t="inlineStr">
        <is>
          <t>lol-tiered-elo-v6</t>
        </is>
      </c>
      <c r="BD190" s="24" t="inlineStr">
        <is>
          <t>8e759300cdf1c8e0ac8ed46c2449accefd2b70e547bc2b19858d0673427b9c5d</t>
        </is>
      </c>
      <c r="BE190" s="24" t="inlineStr">
        <is>
          <t>1</t>
        </is>
      </c>
      <c r="BF190" s="24" t="inlineStr">
        <is>
          <t>1</t>
        </is>
      </c>
      <c r="BG190" s="24" t="inlineStr">
        <is>
          <t>lol-tiered-elo-v6</t>
        </is>
      </c>
      <c r="BH190" s="24" t="inlineStr">
        <is>
          <t>2026-09-28T16:12:46.339402Z</t>
        </is>
      </c>
      <c r="BI190" s="24" t="inlineStr">
        <is>
          <t>["same_event","same_team_same_day","same_league_same_day"]</t>
        </is>
      </c>
      <c r="BJ190" s="25" t="n"/>
      <c r="BK190" s="26" t="n">
        <v>223</v>
      </c>
      <c r="BL190" s="27" t="n">
        <v>3.23</v>
      </c>
      <c r="BM190" s="28" t="n">
        <v>0.309598</v>
      </c>
      <c r="BN190" s="28" t="n"/>
      <c r="BO190" s="28" t="n"/>
      <c r="BP190" s="25" t="n"/>
      <c r="BQ190" s="27" t="n"/>
      <c r="BR190" s="28" t="n"/>
      <c r="BS190" s="28" t="n"/>
      <c r="BT190" s="28" t="n"/>
      <c r="BU190" s="25" t="n"/>
      <c r="BV190" s="29" t="n"/>
      <c r="BW190" s="24" t="n"/>
      <c r="BX190" s="30" t="n"/>
      <c r="BY190" s="27" t="n"/>
      <c r="BZ190" s="24" t="n"/>
      <c r="CA190" s="31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inlineStr">
        <is>
          <t>True</t>
        </is>
      </c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/>
      <c r="DH190" s="24" t="n"/>
      <c r="DI190" s="24" t="n"/>
      <c r="DJ190" s="24" t="inlineStr">
        <is>
          <t>0.309598</t>
        </is>
      </c>
      <c r="DK190" s="24" t="n"/>
      <c r="DL190" s="24" t="n"/>
      <c r="DM190" s="24" t="n"/>
      <c r="DN190" s="24" t="n"/>
      <c r="DO190" s="24" t="n"/>
      <c r="DP190" s="24" t="n"/>
      <c r="DQ190" s="24" t="inlineStr">
        <is>
          <t>{"artifact_hash": "8e759300cdf1c8e0ac8ed46c2449accefd2b70e547bc2b19858d0673427b9c5d", "away_team": "Bar\u00e7a eSports", "event_id": "130720", "event_start_utc": "2026-09-28T19:00:00Z", "features": {"away_elo": 1625.818147, "away_history_count": 141, "home_elo": 1638.213132, "home_history_count": 102}, "historical_source_observation_times_verified": false, "home_team": "Forsaken", "inference_inputs": {"book_state": {"games_played": {"bo3:3:17136": 102, "bo3:3:17144": 141}, "inactivity_half_life_days": null, "inactivity_max_pull": null, "k": 40.0, "last_match_utc": {"bo3:3:17136": "2026-09-27T18:00:00Z", "bo3:3:17144": "2026-09-27T17:00:00Z"}, "minimum_reliable_games": null, "platt_intercept": 0.08597404444742837, "platt_slope": 0.835019672317326, "ratings": {"bo3:3:17136": 1638.213132, "bo3:3:17144": 1625.818147},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"2026-09-28T16:12:12.113014+00:00", "team_ids": ["bo3:3:17136", "bo3:3:17144"]}, "market_type": "moneyline", "model_version": "lol-tiered-elo-v6", "observed_at_utc": "2026-09-28T16:12:12.113014+00:00", "probabilities": {"away": 0.46926, "home": 0.53074}, "replay_scope": "Exact serving book state, calibration, temperature, inactivity reference and thin-history adjustments; training provenance not certified.", "schema": "esports-elo-replay-v1", "snapshot_hash": "a9ba4d62f4a64fcee4bdf29d97890d6bfdff84fb30015179dc98adbf8fe1bbf8", "sport": "LOL"}</t>
        </is>
      </c>
    </row>
    <row r="191" ht="36" customHeight="1">
      <c r="A191" s="24" t="inlineStr">
        <is>
          <t>a30a9a7297b94256</t>
        </is>
      </c>
      <c r="B191" s="24" t="inlineStr">
        <is>
          <t>2026-09-28T22:07:40.987333Z</t>
        </is>
      </c>
      <c r="C191" s="24" t="inlineStr">
        <is>
          <t>2026-09-29T00:00:00Z</t>
        </is>
      </c>
      <c r="D191" s="24" t="inlineStr">
        <is>
          <t>127487</t>
        </is>
      </c>
      <c r="E191" s="24" t="inlineStr">
        <is>
          <t>LOL</t>
        </is>
      </c>
      <c r="F191" s="24" t="inlineStr">
        <is>
          <t>Malaysia</t>
        </is>
      </c>
      <c r="G191" s="24" t="inlineStr">
        <is>
          <t>United Arab Emirates</t>
        </is>
      </c>
      <c r="H191" s="24" t="inlineStr">
        <is>
          <t>moneyline</t>
        </is>
      </c>
      <c r="I191" s="24" t="inlineStr">
        <is>
          <t>home</t>
        </is>
      </c>
      <c r="J191" s="25" t="n"/>
      <c r="K191" s="24" t="inlineStr">
        <is>
          <t>polymarket_us</t>
        </is>
      </c>
      <c r="L191" s="26" t="n">
        <v>-203</v>
      </c>
      <c r="M191" s="27" t="n">
        <v>1.492611</v>
      </c>
      <c r="N191" s="28" t="n">
        <v>0.669967</v>
      </c>
      <c r="O191" s="28" t="n">
        <v>0.508928</v>
      </c>
      <c r="P191" s="28" t="n"/>
      <c r="Q191" s="28" t="n">
        <v>-0.161039</v>
      </c>
      <c r="R191" s="26" t="n">
        <v>0</v>
      </c>
      <c r="S191" s="29" t="n">
        <v>1</v>
      </c>
      <c r="T191" s="24" t="inlineStr">
        <is>
          <t>lol-tiered-elo-v6</t>
        </is>
      </c>
      <c r="U191" s="24" t="inlineStr">
        <is>
          <t>settled</t>
        </is>
      </c>
      <c r="V191" s="24" t="inlineStr">
        <is>
          <t>win</t>
        </is>
      </c>
      <c r="W191" s="26" t="n">
        <v>0</v>
      </c>
      <c r="X191" s="26" t="n">
        <v>1</v>
      </c>
      <c r="Y191" s="25" t="n"/>
      <c r="Z191" s="26" t="n">
        <v>-233</v>
      </c>
      <c r="AA191" s="28" t="n">
        <v>0.7</v>
      </c>
      <c r="AB191" s="28" t="n">
        <v>0.030033</v>
      </c>
      <c r="AC191" s="30" t="n">
        <v>0.4926</v>
      </c>
      <c r="AD191" s="24" t="inlineStr">
        <is>
          <t>2026-09-29T04:32:10.021965Z</t>
        </is>
      </c>
      <c r="AE191" s="31" t="inlineStr">
        <is>
          <t>Neutral Elo baseline; executable ask 0.6700 (market_slug=aec-lol-uae-mal-2026-09-29).</t>
        </is>
      </c>
      <c r="AF191" s="31" t="inlineStr">
        <is>
          <t>Config-promoted esports baseline; gates enforced at log time.</t>
        </is>
      </c>
      <c r="AG191" s="24" t="inlineStr">
        <is>
          <t>not_applicable</t>
        </is>
      </c>
      <c r="AH191" s="24" t="n"/>
      <c r="AI191" s="31" t="n"/>
      <c r="AJ191" s="31" t="n"/>
      <c r="AK191" s="24" t="inlineStr">
        <is>
          <t>paper_call</t>
        </is>
      </c>
      <c r="AL191" s="26" t="n">
        <v>4</v>
      </c>
      <c r="AM191" s="24" t="inlineStr">
        <is>
          <t>RESEARCH_OBSERVATION</t>
        </is>
      </c>
      <c r="AN191" s="24" t="inlineStr">
        <is>
          <t>CALL</t>
        </is>
      </c>
      <c r="AO191" s="24" t="inlineStr">
        <is>
          <t>PAPER_CALL_MODEL_UNVALIDATED</t>
        </is>
      </c>
      <c r="AP191" s="24" t="inlineStr">
        <is>
          <t>Malaysia</t>
        </is>
      </c>
      <c r="AQ191" s="24" t="inlineStr">
        <is>
          <t>Malaysia</t>
        </is>
      </c>
      <c r="AR191" s="24" t="inlineStr">
        <is>
          <t>Malaysia</t>
        </is>
      </c>
      <c r="AS191" s="24" t="inlineStr">
        <is>
          <t>United Arab Emirates</t>
        </is>
      </c>
      <c r="AT191" s="24" t="inlineStr">
        <is>
          <t>United Arab Emirates</t>
        </is>
      </c>
      <c r="AU191" s="24" t="inlineStr">
        <is>
          <t>United Arab Emirates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shadow_qualified</t>
        </is>
      </c>
      <c r="BA191" s="24" t="inlineStr">
        <is>
          <t>7dc4f3ead2dfd3988865848e8161acdd5475158fb05204043c6deac76e9e03a1</t>
        </is>
      </c>
      <c r="BB191" s="24" t="inlineStr">
        <is>
          <t>neutral_elo</t>
        </is>
      </c>
      <c r="BC191" s="24" t="inlineStr">
        <is>
          <t>lol-tiered-elo-v6</t>
        </is>
      </c>
      <c r="BD191" s="24" t="inlineStr">
        <is>
          <t>7dc4f3ead2dfd3988865848e8161acdd5475158fb05204043c6deac76e9e03a1</t>
        </is>
      </c>
      <c r="BE191" s="24" t="inlineStr">
        <is>
          <t>1</t>
        </is>
      </c>
      <c r="BF191" s="24" t="inlineStr">
        <is>
          <t>1</t>
        </is>
      </c>
      <c r="BG191" s="24" t="inlineStr">
        <is>
          <t>lol-tiered-elo-v6</t>
        </is>
      </c>
      <c r="BH191" s="24" t="inlineStr">
        <is>
          <t>2026-09-28T22:06:55.191006Z</t>
        </is>
      </c>
      <c r="BI191" s="24" t="inlineStr">
        <is>
          <t>["same_event","same_team_same_day","same_league_same_day"]</t>
        </is>
      </c>
      <c r="BJ191" s="25" t="n"/>
      <c r="BK191" s="26" t="n">
        <v>-203</v>
      </c>
      <c r="BL191" s="27" t="n">
        <v>1.492611</v>
      </c>
      <c r="BM191" s="28" t="n">
        <v>0.669967</v>
      </c>
      <c r="BN191" s="28" t="n"/>
      <c r="BO191" s="28" t="n"/>
      <c r="BP191" s="25" t="n"/>
      <c r="BQ191" s="27" t="n">
        <v>1.429185</v>
      </c>
      <c r="BR191" s="28" t="n">
        <v>0.7</v>
      </c>
      <c r="BS191" s="28" t="n"/>
      <c r="BT191" s="28" t="n"/>
      <c r="BU191" s="25" t="n"/>
      <c r="BV191" s="29" t="n"/>
      <c r="BW191" s="24" t="n"/>
      <c r="BX191" s="30" t="n"/>
      <c r="BY191" s="27" t="n"/>
      <c r="BZ191" s="24" t="n"/>
      <c r="CA191" s="31" t="n"/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inlineStr">
        <is>
          <t>False</t>
        </is>
      </c>
      <c r="CT191" s="24" t="n"/>
      <c r="CU191" s="24" t="n"/>
      <c r="CV191" s="24" t="n"/>
      <c r="CW191" s="24" t="n"/>
      <c r="CX191" s="24" t="n"/>
      <c r="CY191" s="24" t="n"/>
      <c r="CZ191" s="24" t="n"/>
      <c r="DA191" s="24" t="n"/>
      <c r="DB191" s="24" t="n"/>
      <c r="DC191" s="24" t="n"/>
      <c r="DD191" s="24" t="n"/>
      <c r="DE191" s="24" t="n"/>
      <c r="DF191" s="24" t="n"/>
      <c r="DG191" s="24" t="n"/>
      <c r="DH191" s="24" t="n"/>
      <c r="DI191" s="24" t="n"/>
      <c r="DJ191" s="24" t="inlineStr">
        <is>
          <t>0.669967</t>
        </is>
      </c>
      <c r="DK191" s="24" t="n"/>
      <c r="DL191" s="24" t="n"/>
      <c r="DM191" s="24" t="n"/>
      <c r="DN191" s="24" t="n"/>
      <c r="DO191" s="24" t="n"/>
      <c r="DP191" s="24" t="n"/>
      <c r="DQ191" s="24" t="inlineStr">
        <is>
          <t>{"artifact_hash": "7dc4f3ead2dfd3988865848e8161acdd5475158fb05204043c6deac76e9e03a1", "away_team": "Malaysia", "event_id": "127487", "event_start_utc": "2026-09-29T00:00:00Z", "features": {"away_elo": 1500.0, "away_history_count": 0, "home_elo": 1500.0, "home_history_count": 0}, "historical_source_observation_times_verified": false, "home_team": "United Arab Emirates", "inference_inputs": {"book_state": {"games_played": {}, "inactivity_half_life_days": null, "inactivity_max_pull": null, "k": 40.0, "last_match_utc": {}, "minimum_reliable_games": null, "platt_intercept": 0.0843166909777416, "platt_slope": 0.8367365457220224,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"2026-09-28T22:06:55.079434+00:00", "team_ids": ["unknown:unitedarabemirates", "unknown:malaysia"]}, "market_type": "moneyline", "model_version": "lol-tiered-elo-v6", "observed_at_utc": "2026-09-28T22:06:55.079434+00:00", "probabilities": {"away": 0.491072, "home": 0.508928}, "replay_scope": "Exact serving book state, calibration, temperature, inactivity reference and thin-history adjustments; training provenance not certified.", "schema": "esports-elo-replay-v1", "snapshot_hash": "b049aee148ac6ca61f26c7ab9471d7ac79a848ad96b7ab51d89b96e2077b4179", "sport": "LOL"}</t>
        </is>
      </c>
    </row>
    <row r="192" ht="36" customHeight="1">
      <c r="A192" s="24" t="inlineStr">
        <is>
          <t>76177b07bdbe4a52</t>
        </is>
      </c>
      <c r="B192" s="24" t="inlineStr">
        <is>
          <t>2026-09-28T22:07:40.987333Z</t>
        </is>
      </c>
      <c r="C192" s="24" t="inlineStr">
        <is>
          <t>2026-09-29T02:30:00Z</t>
        </is>
      </c>
      <c r="D192" s="24" t="inlineStr">
        <is>
          <t>127755</t>
        </is>
      </c>
      <c r="E192" s="24" t="inlineStr">
        <is>
          <t>LOL</t>
        </is>
      </c>
      <c r="F192" s="24" t="inlineStr">
        <is>
          <t>United Arab Emirates</t>
        </is>
      </c>
      <c r="G192" s="24" t="inlineStr">
        <is>
          <t>Saudi Arabia</t>
        </is>
      </c>
      <c r="H192" s="24" t="inlineStr">
        <is>
          <t>moneyline</t>
        </is>
      </c>
      <c r="I192" s="24" t="inlineStr">
        <is>
          <t>home</t>
        </is>
      </c>
      <c r="J192" s="25" t="n"/>
      <c r="K192" s="24" t="inlineStr">
        <is>
          <t>polymarket_us</t>
        </is>
      </c>
      <c r="L192" s="26" t="n">
        <v>-223</v>
      </c>
      <c r="M192" s="27" t="n">
        <v>1.44843</v>
      </c>
      <c r="N192" s="28" t="n">
        <v>0.690402</v>
      </c>
      <c r="O192" s="28" t="n">
        <v>0.508928</v>
      </c>
      <c r="P192" s="28" t="n"/>
      <c r="Q192" s="28" t="n">
        <v>-0.181474</v>
      </c>
      <c r="R192" s="26" t="n">
        <v>0</v>
      </c>
      <c r="S192" s="29" t="n">
        <v>1</v>
      </c>
      <c r="T192" s="24" t="inlineStr">
        <is>
          <t>lol-tiered-elo-v6</t>
        </is>
      </c>
      <c r="U192" s="24" t="inlineStr">
        <is>
          <t>settled</t>
        </is>
      </c>
      <c r="V192" s="24" t="inlineStr">
        <is>
          <t>win</t>
        </is>
      </c>
      <c r="W192" s="26" t="n">
        <v>0</v>
      </c>
      <c r="X192" s="26" t="n">
        <v>1</v>
      </c>
      <c r="Y192" s="25" t="n"/>
      <c r="Z192" s="26" t="n"/>
      <c r="AA192" s="28" t="n"/>
      <c r="AB192" s="28" t="n"/>
      <c r="AC192" s="30" t="n">
        <v>0.4484</v>
      </c>
      <c r="AD192" s="24" t="inlineStr">
        <is>
          <t>2026-09-29T04:32:10.491488Z</t>
        </is>
      </c>
      <c r="AE192" s="31" t="inlineStr">
        <is>
          <t>Neutral Elo baseline; executable ask 0.6900 (market_slug=aec-lol-ksa-uae-2026-09-29).</t>
        </is>
      </c>
      <c r="AF192" s="31" t="inlineStr">
        <is>
          <t>Config-promoted esports baseline; gates enforced at log time.</t>
        </is>
      </c>
      <c r="AG192" s="24" t="inlineStr">
        <is>
          <t>not_applicable</t>
        </is>
      </c>
      <c r="AH192" s="24" t="n"/>
      <c r="AI192" s="31" t="n"/>
      <c r="AJ192" s="31" t="n"/>
      <c r="AK192" s="24" t="inlineStr">
        <is>
          <t>paper_call</t>
        </is>
      </c>
      <c r="AL192" s="26" t="n">
        <v>4</v>
      </c>
      <c r="AM192" s="24" t="inlineStr">
        <is>
          <t>RESEARCH_OBSERVATION</t>
        </is>
      </c>
      <c r="AN192" s="24" t="inlineStr">
        <is>
          <t>CALL</t>
        </is>
      </c>
      <c r="AO192" s="24" t="inlineStr">
        <is>
          <t>PAPER_CALL_MODEL_UNVALIDATED</t>
        </is>
      </c>
      <c r="AP192" s="24" t="inlineStr">
        <is>
          <t>United Arab Emirates</t>
        </is>
      </c>
      <c r="AQ192" s="24" t="inlineStr">
        <is>
          <t>United Arab Emirates</t>
        </is>
      </c>
      <c r="AR192" s="24" t="inlineStr">
        <is>
          <t>United Arab Emirates</t>
        </is>
      </c>
      <c r="AS192" s="24" t="inlineStr">
        <is>
          <t>Saudi Arabia</t>
        </is>
      </c>
      <c r="AT192" s="24" t="inlineStr">
        <is>
          <t>Saudi Arabia</t>
        </is>
      </c>
      <c r="AU192" s="24" t="inlineStr">
        <is>
          <t>Saudi Arabia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shadow_qualified</t>
        </is>
      </c>
      <c r="BA192" s="24" t="inlineStr">
        <is>
          <t>7dc4f3ead2dfd3988865848e8161acdd5475158fb05204043c6deac76e9e03a1</t>
        </is>
      </c>
      <c r="BB192" s="24" t="inlineStr">
        <is>
          <t>neutral_elo</t>
        </is>
      </c>
      <c r="BC192" s="24" t="inlineStr">
        <is>
          <t>lol-tiered-elo-v6</t>
        </is>
      </c>
      <c r="BD192" s="24" t="inlineStr">
        <is>
          <t>7dc4f3ead2dfd3988865848e8161acdd5475158fb05204043c6deac76e9e03a1</t>
        </is>
      </c>
      <c r="BE192" s="24" t="inlineStr">
        <is>
          <t>1</t>
        </is>
      </c>
      <c r="BF192" s="24" t="inlineStr">
        <is>
          <t>1</t>
        </is>
      </c>
      <c r="BG192" s="24" t="inlineStr">
        <is>
          <t>lol-tiered-elo-v6</t>
        </is>
      </c>
      <c r="BH192" s="24" t="inlineStr">
        <is>
          <t>2026-09-28T22:07:06.670140Z</t>
        </is>
      </c>
      <c r="BI192" s="24" t="inlineStr">
        <is>
          <t>["same_event","same_team_same_day","same_league_same_day"]</t>
        </is>
      </c>
      <c r="BJ192" s="25" t="n"/>
      <c r="BK192" s="26" t="n">
        <v>-223</v>
      </c>
      <c r="BL192" s="27" t="n">
        <v>1.44843</v>
      </c>
      <c r="BM192" s="28" t="n">
        <v>0.690402</v>
      </c>
      <c r="BN192" s="28" t="n"/>
      <c r="BO192" s="28" t="n"/>
      <c r="BP192" s="25" t="n"/>
      <c r="BQ192" s="27" t="n"/>
      <c r="BR192" s="28" t="n"/>
      <c r="BS192" s="28" t="n"/>
      <c r="BT192" s="28" t="n"/>
      <c r="BU192" s="25" t="n"/>
      <c r="BV192" s="29" t="n"/>
      <c r="BW192" s="24" t="n"/>
      <c r="BX192" s="30" t="n"/>
      <c r="BY192" s="27" t="n"/>
      <c r="BZ192" s="24" t="n"/>
      <c r="CA192" s="31" t="n"/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  <c r="CP192" s="24" t="n"/>
      <c r="CQ192" s="24" t="n"/>
      <c r="CR192" s="24" t="n"/>
      <c r="CS192" s="24" t="inlineStr">
        <is>
          <t>False</t>
        </is>
      </c>
      <c r="CT192" s="24" t="n"/>
      <c r="CU192" s="24" t="n"/>
      <c r="CV192" s="24" t="n"/>
      <c r="CW192" s="24" t="n"/>
      <c r="CX192" s="24" t="n"/>
      <c r="CY192" s="24" t="n"/>
      <c r="CZ192" s="24" t="n"/>
      <c r="DA192" s="24" t="n"/>
      <c r="DB192" s="24" t="n"/>
      <c r="DC192" s="24" t="n"/>
      <c r="DD192" s="24" t="n"/>
      <c r="DE192" s="24" t="n"/>
      <c r="DF192" s="24" t="n"/>
      <c r="DG192" s="24" t="n"/>
      <c r="DH192" s="24" t="n"/>
      <c r="DI192" s="24" t="n"/>
      <c r="DJ192" s="24" t="inlineStr">
        <is>
          <t>0.690402</t>
        </is>
      </c>
      <c r="DK192" s="24" t="n"/>
      <c r="DL192" s="24" t="n"/>
      <c r="DM192" s="24" t="n"/>
      <c r="DN192" s="24" t="n"/>
      <c r="DO192" s="24" t="n"/>
      <c r="DP192" s="24" t="n"/>
      <c r="DQ192" s="24" t="inlineStr">
        <is>
          <t>{"artifact_hash": "7dc4f3ead2dfd3988865848e8161acdd5475158fb05204043c6deac76e9e03a1", "away_team": "United Arab Emirates", "event_id": "127755", "event_start_utc": "2026-09-29T02:30:00Z", "features": {"away_elo": 1500.0, "away_history_count": 0, "home_elo": 1500.0, "home_history_count": 0}, "historical_source_observation_times_verified": false, "home_team": "Saudi Arabia", "inference_inputs": {"book_state": {"games_played": {}, "inactivity_half_life_days": null, "inactivity_max_pull": null, "k": 40.0, "last_match_utc": {}, "minimum_reliable_games": null, "platt_intercept": 0.0843166909777416, "platt_slope": 0.8367365457220224,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"2026-09-28T22:06:55.079434+00:00", "team_ids": ["unknown:saudiarabia", "unknown:unitedarabemirates"]}, "market_type": "moneyline", "model_version": "lol-tiered-elo-v6", "observed_at_utc": "2026-09-28T22:06:55.079434+00:00", "probabilities": {"away": 0.491072, "home": 0.508928}, "replay_scope": "Exact serving book state, calibration, temperature, inactivity reference and thin-history adjustments; training provenance not certified.", "schema": "esports-elo-replay-v1", "snapshot_hash": "1b07b848699320337ffdd65ff8006f2ab780c00154db772ca0ef9baa39fba2b9", "sport": "LOL"}</t>
        </is>
      </c>
    </row>
    <row r="193" ht="36" customHeight="1">
      <c r="A193" s="24" t="inlineStr">
        <is>
          <t>6c95e56776ae41b3</t>
        </is>
      </c>
      <c r="B193" s="24" t="inlineStr">
        <is>
          <t>2026-09-29T10:10:35.872287Z</t>
        </is>
      </c>
      <c r="C193" s="24" t="inlineStr">
        <is>
          <t>2026-09-29T16:00:00Z</t>
        </is>
      </c>
      <c r="D193" s="24" t="inlineStr">
        <is>
          <t>132269</t>
        </is>
      </c>
      <c r="E193" s="24" t="inlineStr">
        <is>
          <t>LOL</t>
        </is>
      </c>
      <c r="F193" s="24" t="inlineStr">
        <is>
          <t>NightBirds</t>
        </is>
      </c>
      <c r="G193" s="24" t="inlineStr">
        <is>
          <t xml:space="preserve">PCIFIC </t>
        </is>
      </c>
      <c r="H193" s="24" t="inlineStr">
        <is>
          <t>moneyline</t>
        </is>
      </c>
      <c r="I193" s="24" t="inlineStr">
        <is>
          <t>away</t>
        </is>
      </c>
      <c r="J193" s="25" t="n"/>
      <c r="K193" s="24" t="inlineStr">
        <is>
          <t>polymarket_us</t>
        </is>
      </c>
      <c r="L193" s="26" t="n">
        <v>-133</v>
      </c>
      <c r="M193" s="27" t="n">
        <v>1.75188</v>
      </c>
      <c r="N193" s="28" t="n">
        <v>0.570815</v>
      </c>
      <c r="O193" s="28" t="n">
        <v>0.676889</v>
      </c>
      <c r="P193" s="28" t="n"/>
      <c r="Q193" s="28" t="n">
        <v>0.106074</v>
      </c>
      <c r="R193" s="26" t="n">
        <v>73</v>
      </c>
      <c r="S193" s="29" t="n">
        <v>1.25</v>
      </c>
      <c r="T193" s="24" t="inlineStr">
        <is>
          <t>lol-tiered-elo-v6</t>
        </is>
      </c>
      <c r="U193" s="24" t="inlineStr">
        <is>
          <t>settled</t>
        </is>
      </c>
      <c r="V193" s="24" t="inlineStr">
        <is>
          <t>win</t>
        </is>
      </c>
      <c r="W193" s="26" t="n">
        <v>1</v>
      </c>
      <c r="X193" s="26" t="n">
        <v>0</v>
      </c>
      <c r="Y193" s="25" t="n"/>
      <c r="Z193" s="26" t="n"/>
      <c r="AA193" s="28" t="n"/>
      <c r="AB193" s="28" t="n"/>
      <c r="AC193" s="30" t="n">
        <v>0.9399</v>
      </c>
      <c r="AD193" s="24" t="inlineStr">
        <is>
          <t>2026-09-29T22:04:05.262243Z</t>
        </is>
      </c>
      <c r="AE193" s="31" t="inlineStr">
        <is>
          <t>Neutral Elo baseline; executable ask 0.5700 (market_slug=aec-lol-pcific-nbs-2026-09-29).</t>
        </is>
      </c>
      <c r="AF193" s="31" t="inlineStr">
        <is>
          <t>Config-promoted esports baseline; gates enforced at log time.</t>
        </is>
      </c>
      <c r="AG193" s="24" t="inlineStr">
        <is>
          <t>not_applicable</t>
        </is>
      </c>
      <c r="AH193" s="24" t="n"/>
      <c r="AI193" s="31" t="n"/>
      <c r="AJ193" s="31" t="n"/>
      <c r="AK193" s="24" t="inlineStr">
        <is>
          <t>model_qualified</t>
        </is>
      </c>
      <c r="AL193" s="26" t="n">
        <v>4</v>
      </c>
      <c r="AM193" s="24" t="inlineStr">
        <is>
          <t>QUALIFIED_SHADOW_CALL</t>
        </is>
      </c>
      <c r="AN193" s="24" t="inlineStr">
        <is>
          <t>CALL</t>
        </is>
      </c>
      <c r="AO193" s="24" t="inlineStr">
        <is>
          <t>QUALIFIED</t>
        </is>
      </c>
      <c r="AP193" s="24" t="inlineStr">
        <is>
          <t>NightBirds</t>
        </is>
      </c>
      <c r="AQ193" s="24" t="inlineStr">
        <is>
          <t>NightBirds</t>
        </is>
      </c>
      <c r="AR193" s="24" t="inlineStr">
        <is>
          <t>NightBirds</t>
        </is>
      </c>
      <c r="AS193" s="24" t="inlineStr">
        <is>
          <t xml:space="preserve">PCIFIC </t>
        </is>
      </c>
      <c r="AT193" s="24" t="inlineStr">
        <is>
          <t xml:space="preserve">PCIFIC </t>
        </is>
      </c>
      <c r="AU193" s="24" t="inlineStr">
        <is>
          <t xml:space="preserve">PCIFIC 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shadow_qualified</t>
        </is>
      </c>
      <c r="BA193" s="24" t="inlineStr">
        <is>
          <t>a73d85dae9cc0fb78f07323292b2d9d2ab5c0e9482385ac3d47c947d84a95663</t>
        </is>
      </c>
      <c r="BB193" s="24" t="inlineStr">
        <is>
          <t>neutral_elo</t>
        </is>
      </c>
      <c r="BC193" s="24" t="inlineStr">
        <is>
          <t>lol-tiered-elo-v6</t>
        </is>
      </c>
      <c r="BD193" s="24" t="inlineStr">
        <is>
          <t>a73d85dae9cc0fb78f07323292b2d9d2ab5c0e9482385ac3d47c947d84a95663</t>
        </is>
      </c>
      <c r="BE193" s="24" t="inlineStr">
        <is>
          <t>1</t>
        </is>
      </c>
      <c r="BF193" s="24" t="inlineStr">
        <is>
          <t>1</t>
        </is>
      </c>
      <c r="BG193" s="24" t="inlineStr">
        <is>
          <t>lol-tiered-elo-v6</t>
        </is>
      </c>
      <c r="BH193" s="24" t="inlineStr">
        <is>
          <t>2026-09-29T10:09:47.485504Z</t>
        </is>
      </c>
      <c r="BI193" s="24" t="inlineStr">
        <is>
          <t>["same_event","same_team_same_day","same_league_same_day"]</t>
        </is>
      </c>
      <c r="BJ193" s="25" t="n"/>
      <c r="BK193" s="26" t="n">
        <v>-133</v>
      </c>
      <c r="BL193" s="27" t="n">
        <v>1.75188</v>
      </c>
      <c r="BM193" s="28" t="n">
        <v>0.570815</v>
      </c>
      <c r="BN193" s="28" t="n"/>
      <c r="BO193" s="28" t="n"/>
      <c r="BP193" s="25" t="n"/>
      <c r="BQ193" s="27" t="n"/>
      <c r="BR193" s="28" t="n"/>
      <c r="BS193" s="28" t="n"/>
      <c r="BT193" s="28" t="n"/>
      <c r="BU193" s="25" t="n"/>
      <c r="BV193" s="29" t="n"/>
      <c r="BW193" s="24" t="n"/>
      <c r="BX193" s="30" t="n"/>
      <c r="BY193" s="27" t="n"/>
      <c r="BZ193" s="24" t="n"/>
      <c r="CA193" s="31" t="n"/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  <c r="CP193" s="24" t="n"/>
      <c r="CQ193" s="24" t="n"/>
      <c r="CR193" s="24" t="n"/>
      <c r="CS193" s="24" t="inlineStr">
        <is>
          <t>True</t>
        </is>
      </c>
      <c r="CT193" s="24" t="n"/>
      <c r="CU193" s="24" t="n"/>
      <c r="CV193" s="24" t="n"/>
      <c r="CW193" s="24" t="n"/>
      <c r="CX193" s="24" t="n"/>
      <c r="CY193" s="24" t="n"/>
      <c r="CZ193" s="24" t="n"/>
      <c r="DA193" s="24" t="n"/>
      <c r="DB193" s="24" t="n"/>
      <c r="DC193" s="24" t="n"/>
      <c r="DD193" s="24" t="n"/>
      <c r="DE193" s="24" t="n"/>
      <c r="DF193" s="24" t="n"/>
      <c r="DG193" s="24" t="n"/>
      <c r="DH193" s="24" t="n"/>
      <c r="DI193" s="24" t="n"/>
      <c r="DJ193" s="24" t="inlineStr">
        <is>
          <t>0.570815</t>
        </is>
      </c>
      <c r="DK193" s="24" t="n"/>
      <c r="DL193" s="24" t="n"/>
      <c r="DM193" s="24" t="n"/>
      <c r="DN193" s="24" t="n"/>
      <c r="DO193" s="24" t="n"/>
      <c r="DP193" s="24" t="n"/>
      <c r="DQ193" s="24" t="inlineStr">
        <is>
          <t>{"artifact_hash": "a73d85dae9cc0fb78f07323292b2d9d2ab5c0e9482385ac3d47c947d84a95663", "away_team": "NightBirds", "event_id": "132269", "event_start_utc": "2026-09-29T16:00:00Z", "features": {"away_elo": 1826.325896, "away_history_count": 71, "home_elo": 1628.724222, "home_history_count": 28}, "historical_source_observation_times_verified": false, "home_team": "PCIFIC ", "inference_inputs": {"book_state": {"games_played": {"bo3:3:18991": 71, "bo3:3:22396": 28}, "inactivity_half_life_days": null, "inactivity_max_pull": null, "k": 40.0, "last_match_utc": {"bo3:3:18991": "2026-09-28T18:00:00Z", "bo3:3:22396": "2026-09-28T16:00:00Z"}, "minimum_reliable_games": null, "platt_intercept": 0.07779713839971569, "platt_slope": 0.840328299935522, "ratings": {"bo3:3:18991": 1826.325896, "bo3:3:22396": 1628.724222},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"2026-09-29T10:09:22.995002+00:00", "team_ids": ["bo3:3:22396", "bo3:3:18991"]}, "market_type": "moneyline", "model_version": "lol-tiered-elo-v6", "observed_at_utc": "2026-09-29T10:09:22.995002+00:00", "probabilities": {"away": 0.676889, "home": 0.323111}, "replay_scope": "Exact serving book state, calibration, temperature, inactivity reference and thin-history adjustments; training provenance not certified.", "schema": "esports-elo-replay-v1", "snapshot_hash": "ab92667d1fbff2304ca46e1af9b42b3f2ac3447c91f0bf0b2e64e892de277c97", "sport": "LOL"}</t>
        </is>
      </c>
    </row>
    <row r="194" ht="36" customHeight="1">
      <c r="A194" s="24" t="inlineStr">
        <is>
          <t>996bb5a8535e4e78</t>
        </is>
      </c>
      <c r="B194" s="24" t="inlineStr">
        <is>
          <t>2026-09-29T10:10:35.872287Z</t>
        </is>
      </c>
      <c r="C194" s="24" t="inlineStr">
        <is>
          <t>2026-09-29T16:00:00Z</t>
        </is>
      </c>
      <c r="D194" s="24" t="inlineStr">
        <is>
          <t>132265</t>
        </is>
      </c>
      <c r="E194" s="24" t="inlineStr">
        <is>
          <t>LOL</t>
        </is>
      </c>
      <c r="F194" s="24" t="inlineStr">
        <is>
          <t>Gamespace Mediterranean College Esports</t>
        </is>
      </c>
      <c r="G194" s="24" t="inlineStr">
        <is>
          <t>Frites Esports Club</t>
        </is>
      </c>
      <c r="H194" s="24" t="inlineStr">
        <is>
          <t>moneyline</t>
        </is>
      </c>
      <c r="I194" s="24" t="inlineStr">
        <is>
          <t>home</t>
        </is>
      </c>
      <c r="J194" s="25" t="n"/>
      <c r="K194" s="24" t="inlineStr">
        <is>
          <t>polymarket_us</t>
        </is>
      </c>
      <c r="L194" s="26" t="n">
        <v>-156</v>
      </c>
      <c r="M194" s="27" t="n">
        <v>1.641026</v>
      </c>
      <c r="N194" s="28" t="n">
        <v>0.609375</v>
      </c>
      <c r="O194" s="28" t="n">
        <v>0.736484</v>
      </c>
      <c r="P194" s="28" t="n"/>
      <c r="Q194" s="28" t="n">
        <v>0.127109</v>
      </c>
      <c r="R194" s="26" t="n">
        <v>84</v>
      </c>
      <c r="S194" s="29" t="n">
        <v>1.5</v>
      </c>
      <c r="T194" s="24" t="inlineStr">
        <is>
          <t>lol-tiered-elo-v6</t>
        </is>
      </c>
      <c r="U194" s="24" t="inlineStr">
        <is>
          <t>settled</t>
        </is>
      </c>
      <c r="V194" s="24" t="inlineStr">
        <is>
          <t>win</t>
        </is>
      </c>
      <c r="W194" s="26" t="n">
        <v>0</v>
      </c>
      <c r="X194" s="26" t="n">
        <v>1</v>
      </c>
      <c r="Y194" s="25" t="n"/>
      <c r="Z194" s="26" t="n"/>
      <c r="AA194" s="28" t="n"/>
      <c r="AB194" s="28" t="n"/>
      <c r="AC194" s="30" t="n">
        <v>0.9615</v>
      </c>
      <c r="AD194" s="24" t="inlineStr">
        <is>
          <t>2026-09-29T22:04:05.650269Z</t>
        </is>
      </c>
      <c r="AE194" s="31" t="inlineStr">
        <is>
          <t>Neutral Elo baseline; executable ask 0.6100 (market_slug=aec-lol-fec-gsmc-2026-09-29).</t>
        </is>
      </c>
      <c r="AF194" s="31" t="inlineStr">
        <is>
          <t>Config-promoted esports baseline; gates enforced at log time.</t>
        </is>
      </c>
      <c r="AG194" s="24" t="inlineStr">
        <is>
          <t>not_applicable</t>
        </is>
      </c>
      <c r="AH194" s="24" t="n"/>
      <c r="AI194" s="31" t="n"/>
      <c r="AJ194" s="31" t="n"/>
      <c r="AK194" s="24" t="inlineStr">
        <is>
          <t>model_qualified</t>
        </is>
      </c>
      <c r="AL194" s="26" t="n">
        <v>4</v>
      </c>
      <c r="AM194" s="24" t="inlineStr">
        <is>
          <t>QUALIFIED_SHADOW_CALL</t>
        </is>
      </c>
      <c r="AN194" s="24" t="inlineStr">
        <is>
          <t>CALL</t>
        </is>
      </c>
      <c r="AO194" s="24" t="inlineStr">
        <is>
          <t>QUALIFIED</t>
        </is>
      </c>
      <c r="AP194" s="24" t="inlineStr">
        <is>
          <t>Gamespace Mediterranean College Esports</t>
        </is>
      </c>
      <c r="AQ194" s="24" t="inlineStr">
        <is>
          <t>Gamespace Mediterranean College Esports</t>
        </is>
      </c>
      <c r="AR194" s="24" t="inlineStr">
        <is>
          <t>Gamespace Mediterranean College Esports</t>
        </is>
      </c>
      <c r="AS194" s="24" t="inlineStr">
        <is>
          <t>Frites Esports Club</t>
        </is>
      </c>
      <c r="AT194" s="24" t="inlineStr">
        <is>
          <t>Frites Esports Club</t>
        </is>
      </c>
      <c r="AU194" s="24" t="inlineStr">
        <is>
          <t>Frites Esports Club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shadow_qualified</t>
        </is>
      </c>
      <c r="BA194" s="24" t="inlineStr">
        <is>
          <t>a73d85dae9cc0fb78f07323292b2d9d2ab5c0e9482385ac3d47c947d84a95663</t>
        </is>
      </c>
      <c r="BB194" s="24" t="inlineStr">
        <is>
          <t>neutral_elo</t>
        </is>
      </c>
      <c r="BC194" s="24" t="inlineStr">
        <is>
          <t>lol-tiered-elo-v6</t>
        </is>
      </c>
      <c r="BD194" s="24" t="inlineStr">
        <is>
          <t>a73d85dae9cc0fb78f07323292b2d9d2ab5c0e9482385ac3d47c947d84a95663</t>
        </is>
      </c>
      <c r="BE194" s="24" t="inlineStr">
        <is>
          <t>1</t>
        </is>
      </c>
      <c r="BF194" s="24" t="inlineStr">
        <is>
          <t>1</t>
        </is>
      </c>
      <c r="BG194" s="24" t="inlineStr">
        <is>
          <t>lol-tiered-elo-v6</t>
        </is>
      </c>
      <c r="BH194" s="24" t="inlineStr">
        <is>
          <t>2026-09-29T10:09:47.547187Z</t>
        </is>
      </c>
      <c r="BI194" s="24" t="inlineStr">
        <is>
          <t>["same_event","same_team_same_day","same_league_same_day"]</t>
        </is>
      </c>
      <c r="BJ194" s="25" t="n"/>
      <c r="BK194" s="26" t="n">
        <v>-156</v>
      </c>
      <c r="BL194" s="27" t="n">
        <v>1.641026</v>
      </c>
      <c r="BM194" s="28" t="n">
        <v>0.609375</v>
      </c>
      <c r="BN194" s="28" t="n"/>
      <c r="BO194" s="28" t="n"/>
      <c r="BP194" s="25" t="n"/>
      <c r="BQ194" s="27" t="n"/>
      <c r="BR194" s="28" t="n"/>
      <c r="BS194" s="28" t="n"/>
      <c r="BT194" s="28" t="n"/>
      <c r="BU194" s="25" t="n"/>
      <c r="BV194" s="29" t="n"/>
      <c r="BW194" s="24" t="n"/>
      <c r="BX194" s="30" t="n"/>
      <c r="BY194" s="27" t="n"/>
      <c r="BZ194" s="24" t="n"/>
      <c r="CA194" s="31" t="n"/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  <c r="CP194" s="24" t="n"/>
      <c r="CQ194" s="24" t="n"/>
      <c r="CR194" s="24" t="n"/>
      <c r="CS194" s="24" t="inlineStr">
        <is>
          <t>True</t>
        </is>
      </c>
      <c r="CT194" s="24" t="n"/>
      <c r="CU194" s="24" t="n"/>
      <c r="CV194" s="24" t="n"/>
      <c r="CW194" s="24" t="n"/>
      <c r="CX194" s="24" t="n"/>
      <c r="CY194" s="24" t="n"/>
      <c r="CZ194" s="24" t="n"/>
      <c r="DA194" s="24" t="n"/>
      <c r="DB194" s="24" t="n"/>
      <c r="DC194" s="24" t="n"/>
      <c r="DD194" s="24" t="n"/>
      <c r="DE194" s="24" t="n"/>
      <c r="DF194" s="24" t="n"/>
      <c r="DG194" s="24" t="n"/>
      <c r="DH194" s="24" t="n"/>
      <c r="DI194" s="24" t="n"/>
      <c r="DJ194" s="24" t="inlineStr">
        <is>
          <t>0.609375</t>
        </is>
      </c>
      <c r="DK194" s="24" t="n"/>
      <c r="DL194" s="24" t="n"/>
      <c r="DM194" s="24" t="n"/>
      <c r="DN194" s="24" t="n"/>
      <c r="DO194" s="24" t="n"/>
      <c r="DP194" s="24" t="n"/>
      <c r="DQ194" s="24" t="inlineStr">
        <is>
          <t>{"artifact_hash": "a73d85dae9cc0fb78f07323292b2d9d2ab5c0e9482385ac3d47c947d84a95663", "away_team": "Gamespace Mediterranean College Esports", "event_id": "132265", "event_start_utc": "2026-09-29T16:00:00Z", "features": {"away_elo": 1547.049697, "away_history_count": 114, "home_elo": 1783.374777, "home_history_count": 42}, "historical_source_observation_times_verified": false, "home_team": "Frites Esports Club", "inference_inputs": {"book_state": {"games_played": {"bo3:3:17225": 114, "bo3:3:22314": 42}, "inactivity_half_life_days": null, "inactivity_max_pull": null, "k": 40.0, "last_match_utc": {"bo3:3:17225": "2026-09-28T19:00:00Z", "bo3:3:22314": "2026-09-28T16:00:00Z"}, "minimum_reliable_games": null, "platt_intercept": 0.07779713839971569, "platt_slope": 0.840328299935522, "ratings": {"bo3:3:17225": 1547.049697, "bo3:3:22314": 1783.374777},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"2026-09-29T10:09:22.995002+00:00", "team_ids": ["bo3:3:22314", "bo3:3:17225"]}, "market_type": "moneyline", "model_version": "lol-tiered-elo-v6", "observed_at_utc": "2026-09-29T10:09:22.995002+00:00", "probabilities": {"away": 0.263516, "home": 0.736484}, "replay_scope": "Exact serving book state, calibration, temperature, inactivity reference and thin-history adjustments; training provenance not certified.", "schema": "esports-elo-replay-v1", "snapshot_hash": "157d7fee25d54ec74571e56f234ca3df5cb499a71eeb762b2fa17a98f0a76f62", "sport": "LOL"}</t>
        </is>
      </c>
    </row>
    <row r="195" ht="36" customHeight="1">
      <c r="A195" s="24" t="inlineStr">
        <is>
          <t>ceb968b09ee14649</t>
        </is>
      </c>
      <c r="B195" s="24" t="inlineStr">
        <is>
          <t>2026-09-30T04:40:53.915024Z</t>
        </is>
      </c>
      <c r="C195" s="24" t="inlineStr">
        <is>
          <t>2026-09-30T09:00:00Z</t>
        </is>
      </c>
      <c r="D195" s="24" t="inlineStr">
        <is>
          <t>131472</t>
        </is>
      </c>
      <c r="E195" s="24" t="inlineStr">
        <is>
          <t>LOL</t>
        </is>
      </c>
      <c r="F195" s="24" t="inlineStr">
        <is>
          <t>Galions</t>
        </is>
      </c>
      <c r="G195" s="24" t="inlineStr">
        <is>
          <t>T1 Academy</t>
        </is>
      </c>
      <c r="H195" s="24" t="inlineStr">
        <is>
          <t>moneyline</t>
        </is>
      </c>
      <c r="I195" s="24" t="inlineStr">
        <is>
          <t>home</t>
        </is>
      </c>
      <c r="J195" s="25" t="n"/>
      <c r="K195" s="24" t="inlineStr">
        <is>
          <t>polymarket_us</t>
        </is>
      </c>
      <c r="L195" s="26" t="n">
        <v>-156</v>
      </c>
      <c r="M195" s="27" t="n">
        <v>1.641026</v>
      </c>
      <c r="N195" s="28" t="n">
        <v>0.609375</v>
      </c>
      <c r="O195" s="28" t="n">
        <v>0.570825</v>
      </c>
      <c r="P195" s="28" t="n"/>
      <c r="Q195" s="28" t="n">
        <v>-0.03855</v>
      </c>
      <c r="R195" s="26" t="n">
        <v>1</v>
      </c>
      <c r="S195" s="29" t="n">
        <v>1</v>
      </c>
      <c r="T195" s="24" t="inlineStr">
        <is>
          <t>lol-tiered-elo-v6</t>
        </is>
      </c>
      <c r="U195" s="24" t="inlineStr">
        <is>
          <t>settled</t>
        </is>
      </c>
      <c r="V195" s="24" t="inlineStr">
        <is>
          <t>win</t>
        </is>
      </c>
      <c r="W195" s="26" t="n">
        <v>0</v>
      </c>
      <c r="X195" s="26" t="n">
        <v>1</v>
      </c>
      <c r="Y195" s="25" t="n"/>
      <c r="Z195" s="26" t="n"/>
      <c r="AA195" s="28" t="n"/>
      <c r="AB195" s="28" t="n"/>
      <c r="AC195" s="30" t="n">
        <v>0.641</v>
      </c>
      <c r="AD195" s="24" t="inlineStr">
        <is>
          <t>2026-09-30T16:53:27.111062Z</t>
        </is>
      </c>
      <c r="AE195" s="31" t="inlineStr">
        <is>
          <t>Neutral Elo baseline; executable ask 0.6100 (market_slug=aec-lol-t1a-gal-2026-09-30).</t>
        </is>
      </c>
      <c r="AF195" s="31" t="inlineStr">
        <is>
          <t>Config-promoted esports baseline; gates enforced at log time.</t>
        </is>
      </c>
      <c r="AG195" s="24" t="inlineStr">
        <is>
          <t>not_applicable</t>
        </is>
      </c>
      <c r="AH195" s="24" t="n"/>
      <c r="AI195" s="31" t="n"/>
      <c r="AJ195" s="31" t="n"/>
      <c r="AK195" s="24" t="inlineStr">
        <is>
          <t>paper_call</t>
        </is>
      </c>
      <c r="AL195" s="26" t="n">
        <v>4</v>
      </c>
      <c r="AM195" s="24" t="inlineStr">
        <is>
          <t>RESEARCH_OBSERVATION</t>
        </is>
      </c>
      <c r="AN195" s="24" t="inlineStr">
        <is>
          <t>CALL</t>
        </is>
      </c>
      <c r="AO195" s="24" t="inlineStr">
        <is>
          <t>PAPER_CALL_LOW_EDGE</t>
        </is>
      </c>
      <c r="AP195" s="24" t="inlineStr">
        <is>
          <t>Galions</t>
        </is>
      </c>
      <c r="AQ195" s="24" t="inlineStr">
        <is>
          <t>Galions</t>
        </is>
      </c>
      <c r="AR195" s="24" t="inlineStr">
        <is>
          <t>Galions</t>
        </is>
      </c>
      <c r="AS195" s="24" t="inlineStr">
        <is>
          <t>T1 Academy</t>
        </is>
      </c>
      <c r="AT195" s="24" t="inlineStr">
        <is>
          <t>T1 Academy</t>
        </is>
      </c>
      <c r="AU195" s="24" t="inlineStr">
        <is>
          <t>T1 Academy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shadow_qualified</t>
        </is>
      </c>
      <c r="BA195" s="24" t="inlineStr">
        <is>
          <t>c6395ef0caa8308030300cb60b620e40882d9a0c2f44dd84acd3d2110900b3f1</t>
        </is>
      </c>
      <c r="BB195" s="24" t="inlineStr">
        <is>
          <t>neutral_elo</t>
        </is>
      </c>
      <c r="BC195" s="24" t="inlineStr">
        <is>
          <t>lol-tiered-elo-v6</t>
        </is>
      </c>
      <c r="BD195" s="24" t="inlineStr">
        <is>
          <t>c6395ef0caa8308030300cb60b620e40882d9a0c2f44dd84acd3d2110900b3f1</t>
        </is>
      </c>
      <c r="BE195" s="24" t="inlineStr">
        <is>
          <t>1</t>
        </is>
      </c>
      <c r="BF195" s="24" t="inlineStr">
        <is>
          <t>1</t>
        </is>
      </c>
      <c r="BG195" s="24" t="inlineStr">
        <is>
          <t>lol-tiered-elo-v6</t>
        </is>
      </c>
      <c r="BH195" s="24" t="inlineStr">
        <is>
          <t>2026-09-30T04:40:06.063706Z</t>
        </is>
      </c>
      <c r="BI195" s="24" t="inlineStr">
        <is>
          <t>["same_event","same_team_same_day","same_league_same_day"]</t>
        </is>
      </c>
      <c r="BJ195" s="25" t="n"/>
      <c r="BK195" s="26" t="n">
        <v>-156</v>
      </c>
      <c r="BL195" s="27" t="n">
        <v>1.641026</v>
      </c>
      <c r="BM195" s="28" t="n">
        <v>0.609375</v>
      </c>
      <c r="BN195" s="28" t="n"/>
      <c r="BO195" s="28" t="n"/>
      <c r="BP195" s="25" t="n"/>
      <c r="BQ195" s="27" t="n"/>
      <c r="BR195" s="28" t="n"/>
      <c r="BS195" s="28" t="n"/>
      <c r="BT195" s="28" t="n"/>
      <c r="BU195" s="25" t="n"/>
      <c r="BV195" s="29" t="n"/>
      <c r="BW195" s="24" t="n"/>
      <c r="BX195" s="30" t="n"/>
      <c r="BY195" s="27" t="n"/>
      <c r="BZ195" s="24" t="n"/>
      <c r="CA195" s="31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  <c r="CR195" s="24" t="n"/>
      <c r="CS195" s="24" t="inlineStr">
        <is>
          <t>False</t>
        </is>
      </c>
      <c r="CT195" s="24" t="n"/>
      <c r="CU195" s="24" t="n"/>
      <c r="CV195" s="24" t="n"/>
      <c r="CW195" s="24" t="n"/>
      <c r="CX195" s="24" t="n"/>
      <c r="CY195" s="24" t="n"/>
      <c r="CZ195" s="24" t="n"/>
      <c r="DA195" s="24" t="n"/>
      <c r="DB195" s="24" t="n"/>
      <c r="DC195" s="24" t="n"/>
      <c r="DD195" s="24" t="n"/>
      <c r="DE195" s="24" t="n"/>
      <c r="DF195" s="24" t="n"/>
      <c r="DG195" s="24" t="n"/>
      <c r="DH195" s="24" t="n"/>
      <c r="DI195" s="24" t="n"/>
      <c r="DJ195" s="24" t="inlineStr">
        <is>
          <t>0.609375</t>
        </is>
      </c>
      <c r="DK195" s="24" t="n"/>
      <c r="DL195" s="24" t="n"/>
      <c r="DM195" s="24" t="n"/>
      <c r="DN195" s="24" t="n"/>
      <c r="DO195" s="24" t="n"/>
      <c r="DP195" s="24" t="n"/>
      <c r="DQ195" s="24" t="inlineStr">
        <is>
          <t>{"artifact_hash": "c6395ef0caa8308030300cb60b620e40882d9a0c2f44dd84acd3d2110900b3f1", "away_team": "Galions", "event_id": "131472", "event_start_utc": "2026-09-30T09:00:00Z", "features": {"away_elo": 1892.396286, "away_history_count": 109, "home_elo": 1946.895946, "home_history_count": 157}, "historical_source_observation_times_verified": false, "home_team": "T1 Academy", "inference_inputs": {"book_state": {"games_played": {"bo3:3:17053": 157, "bo3:3:18886": 109}, "inactivity_half_life_days": null, "inactivity_max_pull": null, "k": 40.0, "last_match_utc": {"bo3:3:17053": "2026-09-28T06:00:00Z", "bo3:3:18886": "2026-09-28T09:30:00Z"}, "minimum_reliable_games": null, "platt_intercept": 0.07892693546437222, "platt_slope": 0.8441059210598637, "ratings": {"bo3:3:17053": 1946.895946, "bo3:3:18886": 1892.396286},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"2026-09-30T04:39:54.505734+00:00", "team_ids": ["bo3:3:17053", "bo3:3:18886"]}, "market_type": "moneyline", "model_version": "lol-tiered-elo-v6", "observed_at_utc": "2026-09-30T04:39:54.505734+00:00", "probabilities": {"away": 0.429175, "home": 0.570825}, "replay_scope": "Exact serving book state, calibration, temperature, inactivity reference and thin-history adjustments; training provenance not certified.", "schema": "esports-elo-replay-v1", "snapshot_hash": "4129a3d3191e25dd588b0a1182de9ed496212b75312546e4effcefa89d7c0806", "sport": "LOL"}</t>
        </is>
      </c>
    </row>
    <row r="196" ht="36" customHeight="1">
      <c r="A196" s="24" t="inlineStr">
        <is>
          <t>6c33b94a018b4e22</t>
        </is>
      </c>
      <c r="B196" s="24" t="inlineStr">
        <is>
          <t>2026-09-30T10:10:36.661420Z</t>
        </is>
      </c>
      <c r="C196" s="24" t="inlineStr">
        <is>
          <t>2026-09-30T15:00:00Z</t>
        </is>
      </c>
      <c r="D196" s="24" t="inlineStr">
        <is>
          <t>133903</t>
        </is>
      </c>
      <c r="E196" s="24" t="inlineStr">
        <is>
          <t>LOL</t>
        </is>
      </c>
      <c r="F196" s="24" t="inlineStr">
        <is>
          <t>Unicorns Of Love Sexy Edition</t>
        </is>
      </c>
      <c r="G196" s="24" t="inlineStr">
        <is>
          <t>Kaufland Hangry Knights</t>
        </is>
      </c>
      <c r="H196" s="24" t="inlineStr">
        <is>
          <t>moneyline</t>
        </is>
      </c>
      <c r="I196" s="24" t="inlineStr">
        <is>
          <t>away</t>
        </is>
      </c>
      <c r="J196" s="25" t="n"/>
      <c r="K196" s="24" t="inlineStr">
        <is>
          <t>polymarket_us</t>
        </is>
      </c>
      <c r="L196" s="26" t="n">
        <v>100</v>
      </c>
      <c r="M196" s="27" t="n">
        <v>2</v>
      </c>
      <c r="N196" s="28" t="n">
        <v>0.5</v>
      </c>
      <c r="O196" s="28" t="n">
        <v>0.606851</v>
      </c>
      <c r="P196" s="28" t="n"/>
      <c r="Q196" s="28" t="n">
        <v>0.106851</v>
      </c>
      <c r="R196" s="26" t="n">
        <v>73</v>
      </c>
      <c r="S196" s="29" t="n">
        <v>1.5</v>
      </c>
      <c r="T196" s="24" t="inlineStr">
        <is>
          <t>lol-tiered-elo-v6</t>
        </is>
      </c>
      <c r="U196" s="24" t="inlineStr">
        <is>
          <t>settled</t>
        </is>
      </c>
      <c r="V196" s="24" t="inlineStr">
        <is>
          <t>loss</t>
        </is>
      </c>
      <c r="W196" s="26" t="n">
        <v>0</v>
      </c>
      <c r="X196" s="26" t="n">
        <v>1</v>
      </c>
      <c r="Y196" s="25" t="n"/>
      <c r="Z196" s="26" t="n">
        <v>100</v>
      </c>
      <c r="AA196" s="28" t="n">
        <v>0.5</v>
      </c>
      <c r="AB196" s="28" t="n">
        <v>0</v>
      </c>
      <c r="AC196" s="30" t="n">
        <v>-1.5</v>
      </c>
      <c r="AD196" s="24" t="inlineStr">
        <is>
          <t>2026-09-30T16:53:27.843552Z</t>
        </is>
      </c>
      <c r="AE196" s="31" t="inlineStr">
        <is>
          <t>Neutral Elo baseline; executable ask 0.5000 (market_slug=aec-lol-khk-use-2026-09-30).</t>
        </is>
      </c>
      <c r="AF196" s="31" t="inlineStr">
        <is>
          <t>Config-promoted esports baseline; gates enforced at log time.</t>
        </is>
      </c>
      <c r="AG196" s="24" t="inlineStr">
        <is>
          <t>review_required</t>
        </is>
      </c>
      <c r="AH196" s="24" t="n"/>
      <c r="AI196" s="31" t="n"/>
      <c r="AJ196" s="31" t="n"/>
      <c r="AK196" s="24" t="inlineStr">
        <is>
          <t>model_qualified</t>
        </is>
      </c>
      <c r="AL196" s="26" t="n">
        <v>4</v>
      </c>
      <c r="AM196" s="24" t="inlineStr">
        <is>
          <t>QUALIFIED_SHADOW_CALL</t>
        </is>
      </c>
      <c r="AN196" s="24" t="inlineStr">
        <is>
          <t>CALL</t>
        </is>
      </c>
      <c r="AO196" s="24" t="inlineStr">
        <is>
          <t>QUALIFIED</t>
        </is>
      </c>
      <c r="AP196" s="24" t="inlineStr">
        <is>
          <t>Unicorns Of Love Sexy Edition</t>
        </is>
      </c>
      <c r="AQ196" s="24" t="inlineStr">
        <is>
          <t>Unicorns Of Love Sexy Edition</t>
        </is>
      </c>
      <c r="AR196" s="24" t="inlineStr">
        <is>
          <t>Unicorns Of Love Sexy Edition</t>
        </is>
      </c>
      <c r="AS196" s="24" t="inlineStr">
        <is>
          <t>Kaufland Hangry Knights</t>
        </is>
      </c>
      <c r="AT196" s="24" t="inlineStr">
        <is>
          <t>Kaufland Hangry Knights</t>
        </is>
      </c>
      <c r="AU196" s="24" t="inlineStr">
        <is>
          <t>Kaufland Hangry Knights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shadow_qualified</t>
        </is>
      </c>
      <c r="BA196" s="24" t="inlineStr">
        <is>
          <t>098147281a622325702a2a2df8d2d9925f4abeaaca914b1311dd3f4e7fcc2827</t>
        </is>
      </c>
      <c r="BB196" s="24" t="inlineStr">
        <is>
          <t>neutral_elo</t>
        </is>
      </c>
      <c r="BC196" s="24" t="inlineStr">
        <is>
          <t>lol-tiered-elo-v6</t>
        </is>
      </c>
      <c r="BD196" s="24" t="inlineStr">
        <is>
          <t>098147281a622325702a2a2df8d2d9925f4abeaaca914b1311dd3f4e7fcc2827</t>
        </is>
      </c>
      <c r="BE196" s="24" t="inlineStr">
        <is>
          <t>1</t>
        </is>
      </c>
      <c r="BF196" s="24" t="inlineStr">
        <is>
          <t>1</t>
        </is>
      </c>
      <c r="BG196" s="24" t="inlineStr">
        <is>
          <t>lol-tiered-elo-v6</t>
        </is>
      </c>
      <c r="BH196" s="24" t="inlineStr">
        <is>
          <t>2026-09-30T10:10:03.329600Z</t>
        </is>
      </c>
      <c r="BI196" s="24" t="inlineStr">
        <is>
          <t>["same_event","same_team_same_day","same_league_same_day"]</t>
        </is>
      </c>
      <c r="BJ196" s="25" t="n"/>
      <c r="BK196" s="26" t="n">
        <v>100</v>
      </c>
      <c r="BL196" s="27" t="n">
        <v>2</v>
      </c>
      <c r="BM196" s="28" t="n">
        <v>0.5</v>
      </c>
      <c r="BN196" s="28" t="n"/>
      <c r="BO196" s="28" t="n"/>
      <c r="BP196" s="25" t="n"/>
      <c r="BQ196" s="27" t="n">
        <v>2</v>
      </c>
      <c r="BR196" s="28" t="n">
        <v>0.5</v>
      </c>
      <c r="BS196" s="28" t="n"/>
      <c r="BT196" s="28" t="n"/>
      <c r="BU196" s="25" t="n"/>
      <c r="BV196" s="29" t="n"/>
      <c r="BW196" s="24" t="n"/>
      <c r="BX196" s="30" t="n"/>
      <c r="BY196" s="27" t="n"/>
      <c r="BZ196" s="24" t="n"/>
      <c r="CA196" s="31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inlineStr">
        <is>
          <t>True</t>
        </is>
      </c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n"/>
      <c r="DE196" s="24" t="n"/>
      <c r="DF196" s="24" t="n"/>
      <c r="DG196" s="24" t="n"/>
      <c r="DH196" s="24" t="n"/>
      <c r="DI196" s="24" t="n"/>
      <c r="DJ196" s="24" t="inlineStr">
        <is>
          <t>0.5</t>
        </is>
      </c>
      <c r="DK196" s="24" t="n"/>
      <c r="DL196" s="24" t="n"/>
      <c r="DM196" s="24" t="n"/>
      <c r="DN196" s="24" t="n"/>
      <c r="DO196" s="24" t="n"/>
      <c r="DP196" s="24" t="n"/>
      <c r="DQ196" s="24" t="inlineStr">
        <is>
          <t>{"artifact_hash": "098147281a622325702a2a2df8d2d9925f4abeaaca914b1311dd3f4e7fcc2827", "away_team": "Unicorns Of Love Sexy Edition", "event_id": "133903", "event_start_utc": "2026-09-30T15:00:00Z", "features": {"away_elo": 1810.51213, "away_history_count": 144, "home_elo": 1680.344276, "home_history_count": 73}, "historical_source_observation_times_verified": false, "home_team": "Kaufland Hangry Knights", "inference_inputs": {"book_state": {"games_played": {"bo3:3:16963": 73, "bo3:3:17414": 144}, "inactivity_half_life_days": null, "inactivity_max_pull": null, "k": 48.0, "last_match_utc": {"bo3:3:16963": "2026-09-29T17:00:00Z", "bo3:3:17414": "2026-09-29T16:00:00Z"}, "minimum_reliable_games": null, "platt_intercept": 0.07587920628701397, "platt_slope": 0.7907869807183922, "ratings": {"bo3:3:16963": 1680.344276, "bo3:3:17414": 1810.51213},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"2026-09-30T10:09:42.546082+00:00", "team_ids": ["bo3:3:16963", "bo3:3:17414"]}, "market_type": "moneyline", "model_version": "lol-tiered-elo-v6", "observed_at_utc": "2026-09-30T10:09:42.546082+00:00", "probabilities": {"away": 0.606851, "home": 0.393149}, "replay_scope": "Exact serving book state, calibration, temperature, inactivity reference and thin-history adjustments; training provenance not certified.", "schema": "esports-elo-replay-v1", "snapshot_hash": "457a8dabc081c5b790a40b7b4158c1bab0e2a760628c654088122c9a262fef88", "sport": "LOL"}</t>
        </is>
      </c>
    </row>
    <row r="197" ht="36" customHeight="1">
      <c r="A197" s="24" t="inlineStr">
        <is>
          <t>e984eecd60494bca</t>
        </is>
      </c>
      <c r="B197" s="24" t="inlineStr">
        <is>
          <t>2026-09-30T17:59:15.100815Z</t>
        </is>
      </c>
      <c r="C197" s="24" t="inlineStr">
        <is>
          <t>2026-09-30T18:00:00Z</t>
        </is>
      </c>
      <c r="D197" s="24" t="inlineStr">
        <is>
          <t>133910</t>
        </is>
      </c>
      <c r="E197" s="24" t="inlineStr">
        <is>
          <t>LOL</t>
        </is>
      </c>
      <c r="F197" s="24" t="inlineStr">
        <is>
          <t>NightBirds</t>
        </is>
      </c>
      <c r="G197" s="24" t="inlineStr">
        <is>
          <t>Team Heretics Academy</t>
        </is>
      </c>
      <c r="H197" s="24" t="inlineStr">
        <is>
          <t>moneyline</t>
        </is>
      </c>
      <c r="I197" s="24" t="inlineStr">
        <is>
          <t>home</t>
        </is>
      </c>
      <c r="J197" s="25" t="n"/>
      <c r="K197" s="24" t="inlineStr">
        <is>
          <t>polymarket_us</t>
        </is>
      </c>
      <c r="L197" s="26" t="n">
        <v>113</v>
      </c>
      <c r="M197" s="27" t="n">
        <v>2.13</v>
      </c>
      <c r="N197" s="28" t="n">
        <v>0.469484</v>
      </c>
      <c r="O197" s="28" t="n">
        <v>0.502834</v>
      </c>
      <c r="P197" s="28" t="n"/>
      <c r="Q197" s="28" t="n">
        <v>0.03335</v>
      </c>
      <c r="R197" s="26" t="n">
        <v>37</v>
      </c>
      <c r="S197" s="29" t="n">
        <v>1</v>
      </c>
      <c r="T197" s="24" t="inlineStr">
        <is>
          <t>lol-tiered-elo-v6</t>
        </is>
      </c>
      <c r="U197" s="24" t="inlineStr">
        <is>
          <t>settled</t>
        </is>
      </c>
      <c r="V197" s="24" t="inlineStr">
        <is>
          <t>win</t>
        </is>
      </c>
      <c r="W197" s="26" t="n">
        <v>0</v>
      </c>
      <c r="X197" s="26" t="n">
        <v>1</v>
      </c>
      <c r="Y197" s="25" t="n"/>
      <c r="Z197" s="26" t="n"/>
      <c r="AA197" s="28" t="n"/>
      <c r="AB197" s="28" t="n"/>
      <c r="AC197" s="30" t="n">
        <v>1.13</v>
      </c>
      <c r="AD197" s="24" t="inlineStr">
        <is>
          <t>2026-09-30T22:02:01.815584Z</t>
        </is>
      </c>
      <c r="AE197" s="31" t="inlineStr">
        <is>
          <t>Neutral Elo baseline; executable ask 0.4700 (market_slug=aec-lol-hrts-nbs-2026-09-30).</t>
        </is>
      </c>
      <c r="AF197" s="31" t="inlineStr">
        <is>
          <t>Config-promoted esports baseline; gates enforced at log time.</t>
        </is>
      </c>
      <c r="AG197" s="24" t="inlineStr">
        <is>
          <t>not_applicable</t>
        </is>
      </c>
      <c r="AH197" s="24" t="n"/>
      <c r="AI197" s="31" t="n"/>
      <c r="AJ197" s="31" t="n"/>
      <c r="AK197" s="24" t="inlineStr">
        <is>
          <t>paper_call</t>
        </is>
      </c>
      <c r="AL197" s="26" t="n">
        <v>4</v>
      </c>
      <c r="AM197" s="24" t="inlineStr">
        <is>
          <t>RESEARCH_OBSERVATION</t>
        </is>
      </c>
      <c r="AN197" s="24" t="inlineStr">
        <is>
          <t>CALL</t>
        </is>
      </c>
      <c r="AO197" s="24" t="inlineStr">
        <is>
          <t>PAPER_CALL_LOW_EDGE</t>
        </is>
      </c>
      <c r="AP197" s="24" t="inlineStr">
        <is>
          <t>NightBirds</t>
        </is>
      </c>
      <c r="AQ197" s="24" t="inlineStr">
        <is>
          <t>NightBirds</t>
        </is>
      </c>
      <c r="AR197" s="24" t="inlineStr">
        <is>
          <t>NightBirds</t>
        </is>
      </c>
      <c r="AS197" s="24" t="inlineStr">
        <is>
          <t>Team Heretics Academy</t>
        </is>
      </c>
      <c r="AT197" s="24" t="inlineStr">
        <is>
          <t>Team Heretics Academy</t>
        </is>
      </c>
      <c r="AU197" s="24" t="inlineStr">
        <is>
          <t>Team Heretics Academy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shadow_qualified</t>
        </is>
      </c>
      <c r="BA197" s="24" t="inlineStr">
        <is>
          <t>9e6b9ffb01f2056842a13dc1761bc3dd6d2fc4af878fbedf6672e7387078b0e5</t>
        </is>
      </c>
      <c r="BB197" s="24" t="inlineStr">
        <is>
          <t>neutral_elo</t>
        </is>
      </c>
      <c r="BC197" s="24" t="inlineStr">
        <is>
          <t>lol-tiered-elo-v6</t>
        </is>
      </c>
      <c r="BD197" s="24" t="inlineStr">
        <is>
          <t>9e6b9ffb01f2056842a13dc1761bc3dd6d2fc4af878fbedf6672e7387078b0e5</t>
        </is>
      </c>
      <c r="BE197" s="24" t="inlineStr">
        <is>
          <t>1</t>
        </is>
      </c>
      <c r="BF197" s="24" t="inlineStr">
        <is>
          <t>1</t>
        </is>
      </c>
      <c r="BG197" s="24" t="inlineStr">
        <is>
          <t>lol-tiered-elo-v6</t>
        </is>
      </c>
      <c r="BH197" s="24" t="inlineStr">
        <is>
          <t>2026-09-30T17:59:00.816285Z</t>
        </is>
      </c>
      <c r="BI197" s="24" t="inlineStr">
        <is>
          <t>["same_event","same_team_same_day","same_league_same_day"]</t>
        </is>
      </c>
      <c r="BJ197" s="25" t="n"/>
      <c r="BK197" s="26" t="n">
        <v>113</v>
      </c>
      <c r="BL197" s="27" t="n">
        <v>2.13</v>
      </c>
      <c r="BM197" s="28" t="n">
        <v>0.469484</v>
      </c>
      <c r="BN197" s="28" t="n"/>
      <c r="BO197" s="28" t="n"/>
      <c r="BP197" s="25" t="n"/>
      <c r="BQ197" s="27" t="n"/>
      <c r="BR197" s="28" t="n"/>
      <c r="BS197" s="28" t="n"/>
      <c r="BT197" s="28" t="n"/>
      <c r="BU197" s="25" t="n"/>
      <c r="BV197" s="29" t="n"/>
      <c r="BW197" s="24" t="n"/>
      <c r="BX197" s="30" t="n"/>
      <c r="BY197" s="27" t="n"/>
      <c r="BZ197" s="24" t="n"/>
      <c r="CA197" s="31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  <c r="CR197" s="24" t="n"/>
      <c r="CS197" s="24" t="inlineStr">
        <is>
          <t>True</t>
        </is>
      </c>
      <c r="CT197" s="24" t="n"/>
      <c r="CU197" s="24" t="n"/>
      <c r="CV197" s="24" t="n"/>
      <c r="CW197" s="24" t="n"/>
      <c r="CX197" s="24" t="n"/>
      <c r="CY197" s="24" t="n"/>
      <c r="CZ197" s="24" t="n"/>
      <c r="DA197" s="24" t="n"/>
      <c r="DB197" s="24" t="n"/>
      <c r="DC197" s="24" t="n"/>
      <c r="DD197" s="24" t="n"/>
      <c r="DE197" s="24" t="n"/>
      <c r="DF197" s="24" t="n"/>
      <c r="DG197" s="24" t="n"/>
      <c r="DH197" s="24" t="n"/>
      <c r="DI197" s="24" t="n"/>
      <c r="DJ197" s="24" t="inlineStr">
        <is>
          <t>0.469484</t>
        </is>
      </c>
      <c r="DK197" s="24" t="n"/>
      <c r="DL197" s="24" t="n"/>
      <c r="DM197" s="24" t="n"/>
      <c r="DN197" s="24" t="n"/>
      <c r="DO197" s="24" t="n"/>
      <c r="DP197" s="24" t="n"/>
      <c r="DQ197" s="24" t="inlineStr">
        <is>
          <t>{"artifact_hash": "9e6b9ffb01f2056842a13dc1761bc3dd6d2fc4af878fbedf6672e7387078b0e5", "away_team": "NightBirds", "event_id": "133910", "event_start_utc": "2026-09-30T18:00:00Z", "features": {"away_elo": 1872.579703, "away_history_count": 72, "home_elo": 1859.551013, "home_history_count": 156}, "historical_source_observation_times_verified": false, "home_team": "Team Heretics Academy", "inference_inputs": {"book_state": {"games_played": {"bo3:3:16945": 156, "bo3:3:18991": 72}, "inactivity_half_life_days": null, "inactivity_max_pull": null, "k": 48.0, "last_match_utc": {"bo3:3:16945": "2026-09-29T18:15:00Z", "bo3:3:18991": "2026-09-29T16:15:00Z"}, "minimum_reliable_games": null, "platt_intercept": 0.07080859036733783, "platt_slope": 0.7900811380077168, "ratings": {"bo3:3:16945": 1859.551013, "bo3:3:18991": 1872.579703},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"2026-09-30T17:59:00.437071+00:00", "team_ids": ["bo3:3:16945", "bo3:3:18991"]}, "market_type": "moneyline", "model_version": "lol-tiered-elo-v6", "observed_at_utc": "2026-09-30T17:59:00.437071+00:00", "probabilities": {"away": 0.497166, "home": 0.502834}, "replay_scope": "Exact serving book state, calibration, temperature, inactivity reference and thin-history adjustments; training provenance not certified.", "schema": "esports-elo-replay-v1", "snapshot_hash": "96ac5b7e19473301306ea9a9944935029e6216a0aa13814cf9a04f44ed1ce9c5", "sport": "LOL"}</t>
        </is>
      </c>
    </row>
    <row r="198" ht="36" customHeight="1">
      <c r="A198" s="24" t="inlineStr">
        <is>
          <t>aec5e8cff847470e</t>
        </is>
      </c>
      <c r="B198" s="24" t="inlineStr">
        <is>
          <t>2026-09-30T22:06:04.961019Z</t>
        </is>
      </c>
      <c r="C198" s="24" t="inlineStr">
        <is>
          <t>2026-10-01T00:00:00Z</t>
        </is>
      </c>
      <c r="D198" s="24" t="inlineStr">
        <is>
          <t>134504</t>
        </is>
      </c>
      <c r="E198" s="24" t="inlineStr">
        <is>
          <t>LOL</t>
        </is>
      </c>
      <c r="F198" s="24" t="inlineStr">
        <is>
          <t>Chinese Taipei</t>
        </is>
      </c>
      <c r="G198" s="24" t="inlineStr">
        <is>
          <t>Vietnam</t>
        </is>
      </c>
      <c r="H198" s="24" t="inlineStr">
        <is>
          <t>moneyline</t>
        </is>
      </c>
      <c r="I198" s="24" t="inlineStr">
        <is>
          <t>home</t>
        </is>
      </c>
      <c r="J198" s="25" t="n"/>
      <c r="K198" s="24" t="inlineStr">
        <is>
          <t>polymarket_us</t>
        </is>
      </c>
      <c r="L198" s="26" t="n">
        <v>-117</v>
      </c>
      <c r="M198" s="27" t="n">
        <v>1.854701</v>
      </c>
      <c r="N198" s="28" t="n">
        <v>0.539171</v>
      </c>
      <c r="O198" s="28" t="n">
        <v>0.561712</v>
      </c>
      <c r="P198" s="28" t="n"/>
      <c r="Q198" s="28" t="n">
        <v>0.022541</v>
      </c>
      <c r="R198" s="26" t="n">
        <v>31</v>
      </c>
      <c r="S198" s="29" t="n">
        <v>1</v>
      </c>
      <c r="T198" s="24" t="inlineStr">
        <is>
          <t>lol-tiered-elo-v6</t>
        </is>
      </c>
      <c r="U198" s="24" t="inlineStr">
        <is>
          <t>settled</t>
        </is>
      </c>
      <c r="V198" s="24" t="inlineStr">
        <is>
          <t>loss</t>
        </is>
      </c>
      <c r="W198" s="26" t="n">
        <v>1</v>
      </c>
      <c r="X198" s="26" t="n">
        <v>0</v>
      </c>
      <c r="Y198" s="25" t="n"/>
      <c r="Z198" s="26" t="n"/>
      <c r="AA198" s="28" t="n"/>
      <c r="AB198" s="28" t="n"/>
      <c r="AC198" s="30" t="n">
        <v>-1</v>
      </c>
      <c r="AD198" s="24" t="inlineStr">
        <is>
          <t>2026-10-01T04:32:36.325552Z</t>
        </is>
      </c>
      <c r="AE198" s="31" t="inlineStr">
        <is>
          <t>Neutral Elo baseline; executable ask 0.5400 (market_slug=aec-lol-vie-tpe-2026-10-01).</t>
        </is>
      </c>
      <c r="AF198" s="31" t="inlineStr">
        <is>
          <t>Config-promoted esports baseline; gates enforced at log time.</t>
        </is>
      </c>
      <c r="AG198" s="24" t="inlineStr">
        <is>
          <t>review_required</t>
        </is>
      </c>
      <c r="AH198" s="24" t="n"/>
      <c r="AI198" s="31" t="n"/>
      <c r="AJ198" s="31" t="n"/>
      <c r="AK198" s="24" t="inlineStr">
        <is>
          <t>paper_call</t>
        </is>
      </c>
      <c r="AL198" s="26" t="n">
        <v>4</v>
      </c>
      <c r="AM198" s="24" t="inlineStr">
        <is>
          <t>RESEARCH_OBSERVATION</t>
        </is>
      </c>
      <c r="AN198" s="24" t="inlineStr">
        <is>
          <t>CALL</t>
        </is>
      </c>
      <c r="AO198" s="24" t="inlineStr">
        <is>
          <t>PAPER_CALL_LOW_EDGE</t>
        </is>
      </c>
      <c r="AP198" s="24" t="inlineStr">
        <is>
          <t>Chinese Taipei</t>
        </is>
      </c>
      <c r="AQ198" s="24" t="inlineStr">
        <is>
          <t>Chinese Taipei</t>
        </is>
      </c>
      <c r="AR198" s="24" t="inlineStr">
        <is>
          <t>Chinese Taipei</t>
        </is>
      </c>
      <c r="AS198" s="24" t="inlineStr">
        <is>
          <t>Vietnam</t>
        </is>
      </c>
      <c r="AT198" s="24" t="inlineStr">
        <is>
          <t>Vietnam</t>
        </is>
      </c>
      <c r="AU198" s="24" t="inlineStr">
        <is>
          <t>Vietnam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shadow_qualified</t>
        </is>
      </c>
      <c r="BA198" s="24" t="inlineStr">
        <is>
          <t>4ae997e0dcf9557feb2563b8fd3c6b42642c393e178c45f334e7f891f0d6134e</t>
        </is>
      </c>
      <c r="BB198" s="24" t="inlineStr">
        <is>
          <t>neutral_elo</t>
        </is>
      </c>
      <c r="BC198" s="24" t="inlineStr">
        <is>
          <t>lol-tiered-elo-v6</t>
        </is>
      </c>
      <c r="BD198" s="24" t="inlineStr">
        <is>
          <t>4ae997e0dcf9557feb2563b8fd3c6b42642c393e178c45f334e7f891f0d6134e</t>
        </is>
      </c>
      <c r="BE198" s="24" t="inlineStr">
        <is>
          <t>1</t>
        </is>
      </c>
      <c r="BF198" s="24" t="inlineStr">
        <is>
          <t>1</t>
        </is>
      </c>
      <c r="BG198" s="24" t="inlineStr">
        <is>
          <t>lol-tiered-elo-v6</t>
        </is>
      </c>
      <c r="BH198" s="24" t="inlineStr">
        <is>
          <t>2026-09-30T22:05:28.338129Z</t>
        </is>
      </c>
      <c r="BI198" s="24" t="inlineStr">
        <is>
          <t>["same_event","same_team_same_day","same_league_same_day"]</t>
        </is>
      </c>
      <c r="BJ198" s="25" t="n"/>
      <c r="BK198" s="26" t="n">
        <v>-117</v>
      </c>
      <c r="BL198" s="27" t="n">
        <v>1.854701</v>
      </c>
      <c r="BM198" s="28" t="n">
        <v>0.539171</v>
      </c>
      <c r="BN198" s="28" t="n"/>
      <c r="BO198" s="28" t="n"/>
      <c r="BP198" s="25" t="n"/>
      <c r="BQ198" s="27" t="n"/>
      <c r="BR198" s="28" t="n"/>
      <c r="BS198" s="28" t="n"/>
      <c r="BT198" s="28" t="n"/>
      <c r="BU198" s="25" t="n"/>
      <c r="BV198" s="29" t="n"/>
      <c r="BW198" s="24" t="n"/>
      <c r="BX198" s="30" t="n"/>
      <c r="BY198" s="27" t="n"/>
      <c r="BZ198" s="24" t="n"/>
      <c r="CA198" s="31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  <c r="CR198" s="24" t="n"/>
      <c r="CS198" s="24" t="inlineStr">
        <is>
          <t>True</t>
        </is>
      </c>
      <c r="CT198" s="24" t="n"/>
      <c r="CU198" s="24" t="n"/>
      <c r="CV198" s="24" t="n"/>
      <c r="CW198" s="24" t="n"/>
      <c r="CX198" s="24" t="n"/>
      <c r="CY198" s="24" t="n"/>
      <c r="CZ198" s="24" t="n"/>
      <c r="DA198" s="24" t="n"/>
      <c r="DB198" s="24" t="n"/>
      <c r="DC198" s="24" t="n"/>
      <c r="DD198" s="24" t="n"/>
      <c r="DE198" s="24" t="n"/>
      <c r="DF198" s="24" t="n"/>
      <c r="DG198" s="24" t="n"/>
      <c r="DH198" s="24" t="n"/>
      <c r="DI198" s="24" t="n"/>
      <c r="DJ198" s="24" t="inlineStr">
        <is>
          <t>0.539171</t>
        </is>
      </c>
      <c r="DK198" s="24" t="n"/>
      <c r="DL198" s="24" t="n"/>
      <c r="DM198" s="24" t="n"/>
      <c r="DN198" s="24" t="n"/>
      <c r="DO198" s="24" t="n"/>
      <c r="DP198" s="24" t="n"/>
      <c r="DQ198" s="24" t="inlineStr">
        <is>
          <t>{"artifact_hash": "4ae997e0dcf9557feb2563b8fd3c6b42642c393e178c45f334e7f891f0d6134e", "away_team": "Chinese Taipei", "event_id": "134504", "event_start_utc": "2026-10-01T00:00:00Z", "features": {"away_elo": 1530.826233, "away_history_count": 12, "home_elo": 1581.592022, "home_history_count": 16}, "historical_source_observation_times_verified": false, "home_team": "Vietnam", "inference_inputs": {"book_state": {"games_played": {"bo3:3:16798": 12, "bo3:3:17066": 16}, "inactivity_half_life_days": null, "inactivity_max_pull": null, "k": 48.0, "last_match_utc": {"bo3:3:16798": "2026-09-30T05:00:00Z", "bo3:3:17066": "2026-09-29T05:00:00Z"}, "minimum_reliable_games": null, "platt_intercept": 0.0691503827781253, "platt_slope": 0.7817450073579496, "ratings": {"bo3:3:16798": 1530.826233, "bo3:3:17066": 1581.592022},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"2026-09-30T22:05:28.259487+00:00", "team_ids": ["bo3:3:17066", "bo3:3:16798"]}, "market_type": "moneyline", "model_version": "lol-tiered-elo-v6", "observed_at_utc": "2026-09-30T22:05:28.259487+00:00", "probabilities": {"away": 0.438288, "home": 0.561712}, "replay_scope": "Exact serving book state, calibration, temperature, inactivity reference and thin-history adjustments; training provenance not certified.", "schema": "esports-elo-replay-v1", "snapshot_hash": "0adec1baf9f7d35f59401711dd0bd12a71c7841487d4b154c66c665c4b3ee53a", "sport": "LOL"}</t>
        </is>
      </c>
    </row>
    <row r="199" ht="36" customHeight="1">
      <c r="A199" s="24" t="inlineStr">
        <is>
          <t>ccf74a30a1cd4c19</t>
        </is>
      </c>
      <c r="B199" s="24" t="inlineStr">
        <is>
          <t>2026-10-02T04:41:17.356830Z</t>
        </is>
      </c>
      <c r="C199" s="24" t="inlineStr">
        <is>
          <t>2026-10-02T09:00:00Z</t>
        </is>
      </c>
      <c r="D199" s="24" t="inlineStr">
        <is>
          <t>134698</t>
        </is>
      </c>
      <c r="E199" s="24" t="inlineStr">
        <is>
          <t>LOL</t>
        </is>
      </c>
      <c r="F199" s="24" t="inlineStr">
        <is>
          <t>T1 Academy</t>
        </is>
      </c>
      <c r="G199" s="24" t="inlineStr">
        <is>
          <t>Solary</t>
        </is>
      </c>
      <c r="H199" s="24" t="inlineStr">
        <is>
          <t>moneyline</t>
        </is>
      </c>
      <c r="I199" s="24" t="inlineStr">
        <is>
          <t>away</t>
        </is>
      </c>
      <c r="J199" s="25" t="n"/>
      <c r="K199" s="24" t="inlineStr">
        <is>
          <t>polymarket_us</t>
        </is>
      </c>
      <c r="L199" s="26" t="n">
        <v>-178</v>
      </c>
      <c r="M199" s="27" t="n">
        <v>1.561798</v>
      </c>
      <c r="N199" s="28" t="n">
        <v>0.640288</v>
      </c>
      <c r="O199" s="28" t="n">
        <v>0.5264720000000001</v>
      </c>
      <c r="P199" s="28" t="n"/>
      <c r="Q199" s="28" t="n">
        <v>-0.113816</v>
      </c>
      <c r="R199" s="26" t="n">
        <v>0</v>
      </c>
      <c r="S199" s="29" t="n">
        <v>1</v>
      </c>
      <c r="T199" s="24" t="inlineStr">
        <is>
          <t>lol-tiered-elo-v6</t>
        </is>
      </c>
      <c r="U199" s="24" t="inlineStr">
        <is>
          <t>settled</t>
        </is>
      </c>
      <c r="V199" s="24" t="inlineStr">
        <is>
          <t>win</t>
        </is>
      </c>
      <c r="W199" s="26" t="n">
        <v>1</v>
      </c>
      <c r="X199" s="26" t="n">
        <v>0</v>
      </c>
      <c r="Y199" s="25" t="n"/>
      <c r="Z199" s="26" t="n">
        <v>-178</v>
      </c>
      <c r="AA199" s="28" t="n">
        <v>0.64</v>
      </c>
      <c r="AB199" s="28" t="n">
        <v>-0.000288</v>
      </c>
      <c r="AC199" s="30" t="n">
        <v>0.5618</v>
      </c>
      <c r="AD199" s="24" t="inlineStr">
        <is>
          <t>2026-10-02T16:03:27.091078Z</t>
        </is>
      </c>
      <c r="AE199" s="31" t="inlineStr">
        <is>
          <t>Neutral Elo baseline; executable ask 0.6400 (market_slug=aec-lol-sly-t1a-2026-10-02).</t>
        </is>
      </c>
      <c r="AF199" s="31" t="inlineStr">
        <is>
          <t>Config-promoted esports baseline; gates enforced at log time.</t>
        </is>
      </c>
      <c r="AG199" s="24" t="inlineStr">
        <is>
          <t>not_applicable</t>
        </is>
      </c>
      <c r="AH199" s="24" t="n"/>
      <c r="AI199" s="31" t="n"/>
      <c r="AJ199" s="31" t="n"/>
      <c r="AK199" s="24" t="inlineStr">
        <is>
          <t>paper_call</t>
        </is>
      </c>
      <c r="AL199" s="26" t="n">
        <v>4</v>
      </c>
      <c r="AM199" s="24" t="inlineStr">
        <is>
          <t>RESEARCH_OBSERVATION</t>
        </is>
      </c>
      <c r="AN199" s="24" t="inlineStr">
        <is>
          <t>CALL</t>
        </is>
      </c>
      <c r="AO199" s="24" t="inlineStr">
        <is>
          <t>PAPER_CALL_LOW_EDGE</t>
        </is>
      </c>
      <c r="AP199" s="24" t="inlineStr">
        <is>
          <t>T1 Academy</t>
        </is>
      </c>
      <c r="AQ199" s="24" t="inlineStr">
        <is>
          <t>T1 Academy</t>
        </is>
      </c>
      <c r="AR199" s="24" t="inlineStr">
        <is>
          <t>T1 Academy</t>
        </is>
      </c>
      <c r="AS199" s="24" t="inlineStr">
        <is>
          <t>Solary</t>
        </is>
      </c>
      <c r="AT199" s="24" t="inlineStr">
        <is>
          <t>Solary</t>
        </is>
      </c>
      <c r="AU199" s="24" t="inlineStr">
        <is>
          <t>Solary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shadow_qualified</t>
        </is>
      </c>
      <c r="BA199" s="24" t="inlineStr">
        <is>
          <t>e5c7115dd6d9422a78e604a54fe2af6e3fc8a40dfe8a58b0f763b2421e7c5f28</t>
        </is>
      </c>
      <c r="BB199" s="24" t="inlineStr">
        <is>
          <t>neutral_elo</t>
        </is>
      </c>
      <c r="BC199" s="24" t="inlineStr">
        <is>
          <t>lol-tiered-elo-v6</t>
        </is>
      </c>
      <c r="BD199" s="24" t="inlineStr">
        <is>
          <t>e5c7115dd6d9422a78e604a54fe2af6e3fc8a40dfe8a58b0f763b2421e7c5f28</t>
        </is>
      </c>
      <c r="BE199" s="24" t="inlineStr">
        <is>
          <t>1</t>
        </is>
      </c>
      <c r="BF199" s="24" t="inlineStr">
        <is>
          <t>1</t>
        </is>
      </c>
      <c r="BG199" s="24" t="inlineStr">
        <is>
          <t>lol-tiered-elo-v6</t>
        </is>
      </c>
      <c r="BH199" s="24" t="inlineStr">
        <is>
          <t>2026-10-02T04:40:29.188931Z</t>
        </is>
      </c>
      <c r="BI199" s="24" t="inlineStr">
        <is>
          <t>["same_event","same_team_same_day","same_league_same_day"]</t>
        </is>
      </c>
      <c r="BJ199" s="25" t="n"/>
      <c r="BK199" s="26" t="n">
        <v>-178</v>
      </c>
      <c r="BL199" s="27" t="n">
        <v>1.561798</v>
      </c>
      <c r="BM199" s="28" t="n">
        <v>0.640288</v>
      </c>
      <c r="BN199" s="28" t="n"/>
      <c r="BO199" s="28" t="n"/>
      <c r="BP199" s="25" t="n"/>
      <c r="BQ199" s="27" t="n">
        <v>1.561798</v>
      </c>
      <c r="BR199" s="28" t="n">
        <v>0.64</v>
      </c>
      <c r="BS199" s="28" t="n"/>
      <c r="BT199" s="28" t="n"/>
      <c r="BU199" s="25" t="n"/>
      <c r="BV199" s="29" t="n"/>
      <c r="BW199" s="24" t="n"/>
      <c r="BX199" s="30" t="n"/>
      <c r="BY199" s="27" t="n"/>
      <c r="BZ199" s="24" t="n"/>
      <c r="CA199" s="31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  <c r="CR199" s="24" t="n"/>
      <c r="CS199" s="24" t="inlineStr">
        <is>
          <t>False</t>
        </is>
      </c>
      <c r="CT199" s="24" t="n"/>
      <c r="CU199" s="24" t="n"/>
      <c r="CV199" s="24" t="n"/>
      <c r="CW199" s="24" t="n"/>
      <c r="CX199" s="24" t="n"/>
      <c r="CY199" s="24" t="n"/>
      <c r="CZ199" s="24" t="n"/>
      <c r="DA199" s="24" t="n"/>
      <c r="DB199" s="24" t="n"/>
      <c r="DC199" s="24" t="n"/>
      <c r="DD199" s="24" t="n"/>
      <c r="DE199" s="24" t="n"/>
      <c r="DF199" s="24" t="n"/>
      <c r="DG199" s="24" t="n"/>
      <c r="DH199" s="24" t="n"/>
      <c r="DI199" s="24" t="n"/>
      <c r="DJ199" s="24" t="inlineStr">
        <is>
          <t>0.640288</t>
        </is>
      </c>
      <c r="DK199" s="24" t="n"/>
      <c r="DL199" s="24" t="n"/>
      <c r="DM199" s="24" t="n"/>
      <c r="DN199" s="24" t="n"/>
      <c r="DO199" s="24" t="n"/>
      <c r="DP199" s="24" t="n"/>
      <c r="DQ199" s="24" t="inlineStr">
        <is>
          <t>{"artifact_hash": "e5c7115dd6d9422a78e604a54fe2af6e3fc8a40dfe8a58b0f763b2421e7c5f28", "away_team": "T1 Academy", "event_id": "134698", "event_start_utc": "2026-10-02T09:00:00Z", "features": {"away_elo": 2020.339408, "away_history_count": 158, "home_elo": 1977.993984, "home_history_count": 130}, "historical_source_observation_times_verified": false, "home_team": "Solary", "inference_inputs": {"book_state": {"games_played": {"bo3:3:17053": 158, "bo3:3:17873": 130}, "inactivity_half_life_days": null, "inactivity_max_pull": null, "k": 48.0, "last_match_utc": {"bo3:3:17053": "2026-09-30T10:00:00Z", "bo3:3:17873": "2026-09-30T06:00:00Z"}, "minimum_reliable_games": null, "platt_intercept": 0.06662409327245579, "platt_slope": 0.7858463854521537, "ratings": {"bo3:3:17053": 2020.339408, "bo3:3:17873": 1977.993984},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"2026-10-02T04:40:29.121209+00:00", "team_ids": ["bo3:3:17873", "bo3:3:17053"]}, "market_type": "moneyline", "model_version": "lol-tiered-elo-v6", "observed_at_utc": "2026-10-02T04:40:29.121209+00:00", "probabilities": {"away": 0.526472, "home": 0.473528}, "replay_scope": "Exact serving book state, calibration, temperature, inactivity reference and thin-history adjustments; training provenance not certified.", "schema": "esports-elo-replay-v1", "snapshot_hash": "a83cce7a5fe3c1cf2951b50a4f0fee0e22f7451a6b74aabc9d629717cfb22afd", "sport": "LOL"}</t>
        </is>
      </c>
    </row>
    <row r="200" ht="36" customHeight="1">
      <c r="A200" s="24" t="inlineStr">
        <is>
          <t>7a72d44edf0f4a45</t>
        </is>
      </c>
      <c r="B200" s="24" t="inlineStr">
        <is>
          <t>2026-10-02T10:10:21.039140Z</t>
        </is>
      </c>
      <c r="C200" s="24" t="inlineStr">
        <is>
          <t>2026-10-02T15:00:00Z</t>
        </is>
      </c>
      <c r="D200" s="24" t="inlineStr">
        <is>
          <t>137359</t>
        </is>
      </c>
      <c r="E200" s="24" t="inlineStr">
        <is>
          <t>LOL</t>
        </is>
      </c>
      <c r="F200" s="24" t="inlineStr">
        <is>
          <t>UCAM Esports Club</t>
        </is>
      </c>
      <c r="G200" s="24" t="inlineStr">
        <is>
          <t>NightBirds</t>
        </is>
      </c>
      <c r="H200" s="24" t="inlineStr">
        <is>
          <t>moneyline</t>
        </is>
      </c>
      <c r="I200" s="24" t="inlineStr">
        <is>
          <t>home</t>
        </is>
      </c>
      <c r="J200" s="25" t="n"/>
      <c r="K200" s="24" t="inlineStr">
        <is>
          <t>polymarket_us</t>
        </is>
      </c>
      <c r="L200" s="26" t="n">
        <v>138</v>
      </c>
      <c r="M200" s="27" t="n">
        <v>2.38</v>
      </c>
      <c r="N200" s="28" t="n">
        <v>0.420168</v>
      </c>
      <c r="O200" s="28" t="n">
        <v>0.570955</v>
      </c>
      <c r="P200" s="28" t="n"/>
      <c r="Q200" s="28" t="n">
        <v>0.150787</v>
      </c>
      <c r="R200" s="26" t="n">
        <v>95</v>
      </c>
      <c r="S200" s="29" t="n">
        <v>1.75</v>
      </c>
      <c r="T200" s="24" t="inlineStr">
        <is>
          <t>lol-tiered-elo-v6</t>
        </is>
      </c>
      <c r="U200" s="24" t="inlineStr">
        <is>
          <t>settled</t>
        </is>
      </c>
      <c r="V200" s="24" t="inlineStr">
        <is>
          <t>loss</t>
        </is>
      </c>
      <c r="W200" s="26" t="n">
        <v>1</v>
      </c>
      <c r="X200" s="26" t="n">
        <v>0</v>
      </c>
      <c r="Y200" s="25" t="n"/>
      <c r="Z200" s="26" t="n"/>
      <c r="AA200" s="28" t="n"/>
      <c r="AB200" s="28" t="n"/>
      <c r="AC200" s="30" t="n">
        <v>-1.75</v>
      </c>
      <c r="AD200" s="24" t="inlineStr">
        <is>
          <t>2026-10-02T22:02:50.144314Z</t>
        </is>
      </c>
      <c r="AE200" s="31" t="inlineStr">
        <is>
          <t>Neutral Elo baseline; executable ask 0.4200 (market_slug=aec-lol-nbs-ucam-2026-10-02).</t>
        </is>
      </c>
      <c r="AF200" s="31" t="inlineStr">
        <is>
          <t>Config-promoted esports baseline; gates enforced at log time.</t>
        </is>
      </c>
      <c r="AG200" s="24" t="inlineStr">
        <is>
          <t>review_required</t>
        </is>
      </c>
      <c r="AH200" s="24" t="n"/>
      <c r="AI200" s="31" t="n"/>
      <c r="AJ200" s="31" t="n"/>
      <c r="AK200" s="24" t="inlineStr">
        <is>
          <t>model_qualified</t>
        </is>
      </c>
      <c r="AL200" s="26" t="n">
        <v>4</v>
      </c>
      <c r="AM200" s="24" t="inlineStr">
        <is>
          <t>QUALIFIED_SHADOW_CALL</t>
        </is>
      </c>
      <c r="AN200" s="24" t="inlineStr">
        <is>
          <t>CALL</t>
        </is>
      </c>
      <c r="AO200" s="24" t="inlineStr">
        <is>
          <t>QUALIFIED</t>
        </is>
      </c>
      <c r="AP200" s="24" t="inlineStr">
        <is>
          <t>UCAM Esports Club</t>
        </is>
      </c>
      <c r="AQ200" s="24" t="inlineStr">
        <is>
          <t>UCAM Esports Club</t>
        </is>
      </c>
      <c r="AR200" s="24" t="inlineStr">
        <is>
          <t>UCAM Esports Club</t>
        </is>
      </c>
      <c r="AS200" s="24" t="inlineStr">
        <is>
          <t>NightBirds</t>
        </is>
      </c>
      <c r="AT200" s="24" t="inlineStr">
        <is>
          <t>NightBirds</t>
        </is>
      </c>
      <c r="AU200" s="24" t="inlineStr">
        <is>
          <t>NightBirds</t>
        </is>
      </c>
      <c r="AV200" s="24" t="n"/>
      <c r="AW200" s="24" t="n"/>
      <c r="AX200" s="24" t="inlineStr">
        <is>
          <t>statistical_model</t>
        </is>
      </c>
      <c r="AY200" s="24" t="n"/>
      <c r="AZ200" s="24" t="inlineStr">
        <is>
          <t>shadow_qualified</t>
        </is>
      </c>
      <c r="BA200" s="24" t="inlineStr">
        <is>
          <t>9c6bc14286af4930dd28fa534e95ad3234ad81355541cf3c07f9cb0c6b8e49ed</t>
        </is>
      </c>
      <c r="BB200" s="24" t="inlineStr">
        <is>
          <t>neutral_elo</t>
        </is>
      </c>
      <c r="BC200" s="24" t="inlineStr">
        <is>
          <t>lol-tiered-elo-v6</t>
        </is>
      </c>
      <c r="BD200" s="24" t="inlineStr">
        <is>
          <t>9c6bc14286af4930dd28fa534e95ad3234ad81355541cf3c07f9cb0c6b8e49ed</t>
        </is>
      </c>
      <c r="BE200" s="24" t="inlineStr">
        <is>
          <t>1</t>
        </is>
      </c>
      <c r="BF200" s="24" t="inlineStr">
        <is>
          <t>1</t>
        </is>
      </c>
      <c r="BG200" s="24" t="inlineStr">
        <is>
          <t>lol-tiered-elo-v6</t>
        </is>
      </c>
      <c r="BH200" s="24" t="inlineStr">
        <is>
          <t>2026-10-02T10:09:45.042803Z</t>
        </is>
      </c>
      <c r="BI200" s="24" t="inlineStr">
        <is>
          <t>["same_event","same_team_same_day","same_league_same_day"]</t>
        </is>
      </c>
      <c r="BJ200" s="25" t="n"/>
      <c r="BK200" s="26" t="n">
        <v>138</v>
      </c>
      <c r="BL200" s="27" t="n">
        <v>2.38</v>
      </c>
      <c r="BM200" s="28" t="n">
        <v>0.420168</v>
      </c>
      <c r="BN200" s="28" t="n"/>
      <c r="BO200" s="28" t="n"/>
      <c r="BP200" s="25" t="n"/>
      <c r="BQ200" s="27" t="n"/>
      <c r="BR200" s="28" t="n"/>
      <c r="BS200" s="28" t="n"/>
      <c r="BT200" s="28" t="n"/>
      <c r="BU200" s="25" t="n"/>
      <c r="BV200" s="29" t="n"/>
      <c r="BW200" s="24" t="n"/>
      <c r="BX200" s="30" t="n"/>
      <c r="BY200" s="27" t="n"/>
      <c r="BZ200" s="24" t="n"/>
      <c r="CA200" s="31" t="n"/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  <c r="CR200" s="24" t="n"/>
      <c r="CS200" s="24" t="inlineStr">
        <is>
          <t>True</t>
        </is>
      </c>
      <c r="CT200" s="24" t="n"/>
      <c r="CU200" s="24" t="n"/>
      <c r="CV200" s="24" t="n"/>
      <c r="CW200" s="24" t="n"/>
      <c r="CX200" s="24" t="n"/>
      <c r="CY200" s="24" t="n"/>
      <c r="CZ200" s="24" t="n"/>
      <c r="DA200" s="24" t="n"/>
      <c r="DB200" s="24" t="n"/>
      <c r="DC200" s="24" t="n"/>
      <c r="DD200" s="24" t="n"/>
      <c r="DE200" s="24" t="n"/>
      <c r="DF200" s="24" t="n"/>
      <c r="DG200" s="24" t="n"/>
      <c r="DH200" s="24" t="n"/>
      <c r="DI200" s="24" t="n"/>
      <c r="DJ200" s="24" t="inlineStr">
        <is>
          <t>0.420168</t>
        </is>
      </c>
      <c r="DK200" s="24" t="n"/>
      <c r="DL200" s="24" t="n"/>
      <c r="DM200" s="24" t="n"/>
      <c r="DN200" s="24" t="n"/>
      <c r="DO200" s="24" t="n"/>
      <c r="DP200" s="24" t="n"/>
      <c r="DQ200" s="24" t="inlineStr">
        <is>
          <t>{"artifact_hash": "9c6bc14286af4930dd28fa534e95ad3234ad81355541cf3c07f9cb0c6b8e49ed", "away_team": "UCAM Esports Club", "event_id": "137359", "event_start_utc": "2026-10-02T15:00:00Z", "features": {"away_elo": 1742.865359, "away_history_count": 104, "home_elo": 1803.643744, "home_history_count": 74}, "historical_source_observation_times_verified": false, "home_team": "NightBirds", "inference_inputs": {"book_state": {"games_played": {"bo3:3:17427": 104, "bo3:3:18991": 74}, "inactivity_half_life_days": null, "inactivity_max_pull": null, "k": 48.0, "last_match_utc": {"bo3:3:17427": "2026-10-01T17:50:00Z", "bo3:3:18991": "2026-10-01T16:45:00Z"}, "minimum_reliable_games": null, "platt_intercept": 0.06457522745076319, "platt_slope": 0.7857110132195196, "ratings": {"bo3:3:17427": 1742.865359, "bo3:3:18991": 1803.643744},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"2026-10-02T10:09:44.961393+00:00", "team_ids": ["bo3:3:18991", "bo3:3:17427"]}, "market_type": "moneyline", "model_version": "lol-tiered-elo-v6", "observed_at_utc": "2026-10-02T10:09:44.961393+00:00", "probabilities": {"away": 0.429045, "home": 0.570955}, "replay_scope": "Exact serving book state, calibration, temperature, inactivity reference and thin-history adjustments; training provenance not certified.", "schema": "esports-elo-replay-v1", "snapshot_hash": "1a819664d481b36730edca64a54f6e5c207beee52fb8cee4668ec29491e8992f", "sport": "LOL"}</t>
        </is>
      </c>
    </row>
    <row r="201" ht="36" customHeight="1">
      <c r="A201" s="24" t="inlineStr">
        <is>
          <t>8f14053d9a8146ed</t>
        </is>
      </c>
      <c r="B201" s="24" t="inlineStr">
        <is>
          <t>2026-10-02T16:09:40.084721Z</t>
        </is>
      </c>
      <c r="C201" s="24" t="inlineStr">
        <is>
          <t>2026-10-02T18:00:00Z</t>
        </is>
      </c>
      <c r="D201" s="24" t="inlineStr">
        <is>
          <t>137362</t>
        </is>
      </c>
      <c r="E201" s="24" t="inlineStr">
        <is>
          <t>LOL</t>
        </is>
      </c>
      <c r="F201" s="24" t="inlineStr">
        <is>
          <t>Barça eSports</t>
        </is>
      </c>
      <c r="G201" s="24" t="inlineStr">
        <is>
          <t>BOMBA Team</t>
        </is>
      </c>
      <c r="H201" s="24" t="inlineStr">
        <is>
          <t>moneyline</t>
        </is>
      </c>
      <c r="I201" s="24" t="inlineStr">
        <is>
          <t>home</t>
        </is>
      </c>
      <c r="J201" s="25" t="n"/>
      <c r="K201" s="24" t="inlineStr">
        <is>
          <t>polymarket_us</t>
        </is>
      </c>
      <c r="L201" s="26" t="n">
        <v>-133</v>
      </c>
      <c r="M201" s="27" t="n">
        <v>1.75188</v>
      </c>
      <c r="N201" s="28" t="n">
        <v>0.570815</v>
      </c>
      <c r="O201" s="28" t="n">
        <v>0.503563</v>
      </c>
      <c r="P201" s="28" t="n"/>
      <c r="Q201" s="28" t="n">
        <v>-0.06725200000000001</v>
      </c>
      <c r="R201" s="26" t="n">
        <v>0</v>
      </c>
      <c r="S201" s="29" t="n">
        <v>1</v>
      </c>
      <c r="T201" s="24" t="inlineStr">
        <is>
          <t>lol-tiered-elo-v6</t>
        </is>
      </c>
      <c r="U201" s="24" t="inlineStr">
        <is>
          <t>settled</t>
        </is>
      </c>
      <c r="V201" s="24" t="inlineStr">
        <is>
          <t>loss</t>
        </is>
      </c>
      <c r="W201" s="26" t="n">
        <v>1</v>
      </c>
      <c r="X201" s="26" t="n">
        <v>0</v>
      </c>
      <c r="Y201" s="25" t="n"/>
      <c r="Z201" s="26" t="n"/>
      <c r="AA201" s="28" t="n"/>
      <c r="AB201" s="28" t="n"/>
      <c r="AC201" s="30" t="n">
        <v>-1</v>
      </c>
      <c r="AD201" s="24" t="inlineStr">
        <is>
          <t>2026-10-02T22:02:50.602228Z</t>
        </is>
      </c>
      <c r="AE201" s="31" t="inlineStr">
        <is>
          <t>Neutral Elo baseline; executable ask 0.5700 (market_slug=aec-lol-boom-bar-2026-10-02).</t>
        </is>
      </c>
      <c r="AF201" s="31" t="inlineStr">
        <is>
          <t>Config-promoted esports baseline; gates enforced at log time.</t>
        </is>
      </c>
      <c r="AG201" s="24" t="inlineStr">
        <is>
          <t>review_required</t>
        </is>
      </c>
      <c r="AH201" s="24" t="n"/>
      <c r="AI201" s="31" t="n"/>
      <c r="AJ201" s="31" t="n"/>
      <c r="AK201" s="24" t="inlineStr">
        <is>
          <t>paper_call</t>
        </is>
      </c>
      <c r="AL201" s="26" t="n">
        <v>4</v>
      </c>
      <c r="AM201" s="24" t="inlineStr">
        <is>
          <t>RESEARCH_OBSERVATION</t>
        </is>
      </c>
      <c r="AN201" s="24" t="inlineStr">
        <is>
          <t>CALL</t>
        </is>
      </c>
      <c r="AO201" s="24" t="inlineStr">
        <is>
          <t>PAPER_CALL_LOW_EDGE</t>
        </is>
      </c>
      <c r="AP201" s="24" t="inlineStr">
        <is>
          <t>Barça eSports</t>
        </is>
      </c>
      <c r="AQ201" s="24" t="inlineStr">
        <is>
          <t>Barça eSports</t>
        </is>
      </c>
      <c r="AR201" s="24" t="inlineStr">
        <is>
          <t>Barça eSports</t>
        </is>
      </c>
      <c r="AS201" s="24" t="inlineStr">
        <is>
          <t>BOMBA Team</t>
        </is>
      </c>
      <c r="AT201" s="24" t="inlineStr">
        <is>
          <t>BOMBA Team</t>
        </is>
      </c>
      <c r="AU201" s="24" t="inlineStr">
        <is>
          <t>BOMBA Team</t>
        </is>
      </c>
      <c r="AV201" s="24" t="n"/>
      <c r="AW201" s="24" t="n"/>
      <c r="AX201" s="24" t="inlineStr">
        <is>
          <t>statistical_model</t>
        </is>
      </c>
      <c r="AY201" s="24" t="n"/>
      <c r="AZ201" s="24" t="inlineStr">
        <is>
          <t>shadow_qualified</t>
        </is>
      </c>
      <c r="BA201" s="24" t="inlineStr">
        <is>
          <t>058080653a303b2a44ae99dbc324c5cfaa1ca37281b17cf8bbccf18872b9dca2</t>
        </is>
      </c>
      <c r="BB201" s="24" t="inlineStr">
        <is>
          <t>neutral_elo</t>
        </is>
      </c>
      <c r="BC201" s="24" t="inlineStr">
        <is>
          <t>lol-tiered-elo-v6</t>
        </is>
      </c>
      <c r="BD201" s="24" t="inlineStr">
        <is>
          <t>058080653a303b2a44ae99dbc324c5cfaa1ca37281b17cf8bbccf18872b9dca2</t>
        </is>
      </c>
      <c r="BE201" s="24" t="inlineStr">
        <is>
          <t>1</t>
        </is>
      </c>
      <c r="BF201" s="24" t="inlineStr">
        <is>
          <t>1</t>
        </is>
      </c>
      <c r="BG201" s="24" t="inlineStr">
        <is>
          <t>lol-tiered-elo-v6</t>
        </is>
      </c>
      <c r="BH201" s="24" t="inlineStr">
        <is>
          <t>2026-10-02T16:09:16.182243Z</t>
        </is>
      </c>
      <c r="BI201" s="24" t="inlineStr">
        <is>
          <t>["same_event","same_team_same_day","same_league_same_day"]</t>
        </is>
      </c>
      <c r="BJ201" s="25" t="n"/>
      <c r="BK201" s="26" t="n">
        <v>-133</v>
      </c>
      <c r="BL201" s="27" t="n">
        <v>1.75188</v>
      </c>
      <c r="BM201" s="28" t="n">
        <v>0.570815</v>
      </c>
      <c r="BN201" s="28" t="n"/>
      <c r="BO201" s="28" t="n"/>
      <c r="BP201" s="25" t="n"/>
      <c r="BQ201" s="27" t="n"/>
      <c r="BR201" s="28" t="n"/>
      <c r="BS201" s="28" t="n"/>
      <c r="BT201" s="28" t="n"/>
      <c r="BU201" s="25" t="n"/>
      <c r="BV201" s="29" t="n"/>
      <c r="BW201" s="24" t="n"/>
      <c r="BX201" s="30" t="n"/>
      <c r="BY201" s="27" t="n"/>
      <c r="BZ201" s="24" t="n"/>
      <c r="CA201" s="31" t="n"/>
      <c r="CB201" s="24" t="n"/>
      <c r="CC201" s="24" t="n"/>
      <c r="CD201" s="24" t="n"/>
      <c r="CE201" s="24" t="n"/>
      <c r="CF201" s="24" t="n"/>
      <c r="CG201" s="24" t="n"/>
      <c r="CH201" s="24" t="n"/>
      <c r="CI201" s="24" t="n"/>
      <c r="CJ201" s="24" t="n"/>
      <c r="CK201" s="24" t="n"/>
      <c r="CL201" s="24" t="n"/>
      <c r="CM201" s="24" t="n"/>
      <c r="CN201" s="24" t="n"/>
      <c r="CO201" s="24" t="n"/>
      <c r="CP201" s="24" t="n"/>
      <c r="CQ201" s="24" t="n"/>
      <c r="CR201" s="24" t="n"/>
      <c r="CS201" s="24" t="inlineStr">
        <is>
          <t>False</t>
        </is>
      </c>
      <c r="CT201" s="24" t="n"/>
      <c r="CU201" s="24" t="n"/>
      <c r="CV201" s="24" t="n"/>
      <c r="CW201" s="24" t="n"/>
      <c r="CX201" s="24" t="n"/>
      <c r="CY201" s="24" t="n"/>
      <c r="CZ201" s="24" t="n"/>
      <c r="DA201" s="24" t="n"/>
      <c r="DB201" s="24" t="n"/>
      <c r="DC201" s="24" t="n"/>
      <c r="DD201" s="24" t="n"/>
      <c r="DE201" s="24" t="n"/>
      <c r="DF201" s="24" t="n"/>
      <c r="DG201" s="24" t="n"/>
      <c r="DH201" s="24" t="n"/>
      <c r="DI201" s="24" t="n"/>
      <c r="DJ201" s="24" t="inlineStr">
        <is>
          <t>0.570815</t>
        </is>
      </c>
      <c r="DK201" s="24" t="n"/>
      <c r="DL201" s="24" t="n"/>
      <c r="DM201" s="24" t="n"/>
      <c r="DN201" s="24" t="n"/>
      <c r="DO201" s="24" t="n"/>
      <c r="DP201" s="24" t="n"/>
      <c r="DQ201" s="24" t="inlineStr">
        <is>
          <t>{"artifact_hash": "058080653a303b2a44ae99dbc324c5cfaa1ca37281b17cf8bbccf18872b9dca2", "away_team": "Bar\u00e7a eSports", "event_id": "137362", "event_start_utc": "2026-10-02T18:00:00Z", "features": {"away_elo": 1700.734716, "away_history_count": 145, "home_elo": 1690.057221, "home_history_count": 124}, "historical_source_observation_times_verified": false, "home_team": "BOMBA Team", "inference_inputs": {"book_state": {"games_played": {"bo3:3:17144": 145, "bo3:3:18311": 124}, "inactivity_half_life_days": null, "inactivity_max_pull": null, "k": 48.0, "last_match_utc": {"bo3:3:17144": "2026-10-01T17:00:00Z", "bo3:3:18311": "2026-10-01T15:00:00Z"}, "minimum_reliable_games": null, "platt_intercept": 0.06534305356309358, "platt_slope": 0.7858277208386065, "ratings": {"bo3:3:17144": 1700.734716, "bo3:3:18311": 1690.057221},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"2026-10-02T16:09:16.052670+00:00", "team_ids": ["bo3:3:18311", "bo3:3:17144"]}, "market_type": "moneyline", "model_version": "lol-tiered-elo-v6", "observed_at_utc": "2026-10-02T16:09:16.052670+00:00", "probabilities": {"away": 0.496437, "home": 0.503563}, "replay_scope": "Exact serving book state, calibration, temperature, inactivity reference and thin-history adjustments; training provenance not certified.", "schema": "esports-elo-replay-v1", "snapshot_hash": "002e12a240d650c1d1cb568b6d687b2f1e49665300cba5b72e6483aa4212af87", "sport": "LOL"}</t>
        </is>
      </c>
    </row>
    <row r="202" ht="36" customHeight="1">
      <c r="A202" s="24" t="inlineStr">
        <is>
          <t>2f526b2100e04436</t>
        </is>
      </c>
      <c r="B202" s="24" t="inlineStr">
        <is>
          <t>2026-10-03T16:53:04.381999Z</t>
        </is>
      </c>
      <c r="C202" s="24" t="inlineStr">
        <is>
          <t>2026-10-03T20:00:00Z</t>
        </is>
      </c>
      <c r="D202" s="24" t="inlineStr">
        <is>
          <t>135657</t>
        </is>
      </c>
      <c r="E202" s="24" t="inlineStr">
        <is>
          <t>LOL</t>
        </is>
      </c>
      <c r="F202" s="24" t="inlineStr">
        <is>
          <t>LYON</t>
        </is>
      </c>
      <c r="G202" s="24" t="inlineStr">
        <is>
          <t>Cloud9</t>
        </is>
      </c>
      <c r="H202" s="24" t="inlineStr">
        <is>
          <t>moneyline</t>
        </is>
      </c>
      <c r="I202" s="24" t="inlineStr">
        <is>
          <t>away</t>
        </is>
      </c>
      <c r="J202" s="25" t="n"/>
      <c r="K202" s="24" t="inlineStr">
        <is>
          <t>polymarket_us</t>
        </is>
      </c>
      <c r="L202" s="26" t="n">
        <v>-223</v>
      </c>
      <c r="M202" s="27" t="n">
        <v>1.44843</v>
      </c>
      <c r="N202" s="28" t="n">
        <v>0.690402</v>
      </c>
      <c r="O202" s="28" t="n">
        <v>0.534531</v>
      </c>
      <c r="P202" s="28" t="n"/>
      <c r="Q202" s="28" t="n">
        <v>-0.155871</v>
      </c>
      <c r="R202" s="26" t="n">
        <v>0</v>
      </c>
      <c r="S202" s="29" t="n">
        <v>1</v>
      </c>
      <c r="T202" s="24" t="inlineStr">
        <is>
          <t>lol-tiered-elo-v6</t>
        </is>
      </c>
      <c r="U202" s="24" t="inlineStr">
        <is>
          <t>settled</t>
        </is>
      </c>
      <c r="V202" s="24" t="inlineStr">
        <is>
          <t>win</t>
        </is>
      </c>
      <c r="W202" s="26" t="n">
        <v>1</v>
      </c>
      <c r="X202" s="26" t="n">
        <v>0</v>
      </c>
      <c r="Y202" s="25" t="n"/>
      <c r="Z202" s="26" t="n"/>
      <c r="AA202" s="28" t="n"/>
      <c r="AB202" s="28" t="n"/>
      <c r="AC202" s="30" t="n">
        <v>0.4484</v>
      </c>
      <c r="AD202" s="24" t="inlineStr">
        <is>
          <t>2026-10-04T21:06:20.955882Z</t>
        </is>
      </c>
      <c r="AE202" s="31" t="inlineStr">
        <is>
          <t>Neutral Elo baseline; executable ask 0.6900 (market_slug=aec-lol-c9-ly-2026-10-03).</t>
        </is>
      </c>
      <c r="AF202" s="31" t="inlineStr">
        <is>
          <t>Config-promoted esports baseline; gates enforced at log time.</t>
        </is>
      </c>
      <c r="AG202" s="24" t="inlineStr">
        <is>
          <t>not_applicable</t>
        </is>
      </c>
      <c r="AH202" s="24" t="n"/>
      <c r="AI202" s="31" t="n"/>
      <c r="AJ202" s="31" t="n"/>
      <c r="AK202" s="24" t="inlineStr">
        <is>
          <t>paper_call</t>
        </is>
      </c>
      <c r="AL202" s="26" t="n">
        <v>4</v>
      </c>
      <c r="AM202" s="24" t="inlineStr">
        <is>
          <t>RESEARCH_OBSERVATION</t>
        </is>
      </c>
      <c r="AN202" s="24" t="inlineStr">
        <is>
          <t>CALL</t>
        </is>
      </c>
      <c r="AO202" s="24" t="inlineStr">
        <is>
          <t>PAPER_CALL_LOW_EDGE</t>
        </is>
      </c>
      <c r="AP202" s="24" t="inlineStr">
        <is>
          <t>LYON</t>
        </is>
      </c>
      <c r="AQ202" s="24" t="inlineStr">
        <is>
          <t>LYON</t>
        </is>
      </c>
      <c r="AR202" s="24" t="inlineStr">
        <is>
          <t>LYON</t>
        </is>
      </c>
      <c r="AS202" s="24" t="inlineStr">
        <is>
          <t>Cloud9</t>
        </is>
      </c>
      <c r="AT202" s="24" t="inlineStr">
        <is>
          <t>Cloud9</t>
        </is>
      </c>
      <c r="AU202" s="24" t="inlineStr">
        <is>
          <t>Cloud9</t>
        </is>
      </c>
      <c r="AV202" s="24" t="n"/>
      <c r="AW202" s="24" t="n"/>
      <c r="AX202" s="24" t="inlineStr">
        <is>
          <t>statistical_model</t>
        </is>
      </c>
      <c r="AY202" s="24" t="n"/>
      <c r="AZ202" s="24" t="inlineStr">
        <is>
          <t>shadow_qualified</t>
        </is>
      </c>
      <c r="BA202" s="24" t="inlineStr">
        <is>
          <t>7dd84946e8171bfb91879166ef376f6954d268d14622bb77392ddbee9f1cd18c</t>
        </is>
      </c>
      <c r="BB202" s="24" t="inlineStr">
        <is>
          <t>neutral_elo</t>
        </is>
      </c>
      <c r="BC202" s="24" t="inlineStr">
        <is>
          <t>lol-tiered-elo-v6</t>
        </is>
      </c>
      <c r="BD202" s="24" t="inlineStr">
        <is>
          <t>7dd84946e8171bfb91879166ef376f6954d268d14622bb77392ddbee9f1cd18c</t>
        </is>
      </c>
      <c r="BE202" s="24" t="inlineStr">
        <is>
          <t>1</t>
        </is>
      </c>
      <c r="BF202" s="24" t="inlineStr">
        <is>
          <t>1</t>
        </is>
      </c>
      <c r="BG202" s="24" t="inlineStr">
        <is>
          <t>lol-tiered-elo-v6</t>
        </is>
      </c>
      <c r="BH202" s="24" t="inlineStr">
        <is>
          <t>2026-10-03T16:52:49.789788Z</t>
        </is>
      </c>
      <c r="BI202" s="24" t="inlineStr">
        <is>
          <t>["same_event","same_team_same_day","same_league_same_day"]</t>
        </is>
      </c>
      <c r="BJ202" s="25" t="n"/>
      <c r="BK202" s="26" t="n">
        <v>-223</v>
      </c>
      <c r="BL202" s="27" t="n">
        <v>1.44843</v>
      </c>
      <c r="BM202" s="28" t="n">
        <v>0.690402</v>
      </c>
      <c r="BN202" s="28" t="n"/>
      <c r="BO202" s="28" t="n"/>
      <c r="BP202" s="25" t="n"/>
      <c r="BQ202" s="27" t="n"/>
      <c r="BR202" s="28" t="n"/>
      <c r="BS202" s="28" t="n"/>
      <c r="BT202" s="28" t="n"/>
      <c r="BU202" s="25" t="n"/>
      <c r="BV202" s="29" t="n"/>
      <c r="BW202" s="24" t="n"/>
      <c r="BX202" s="30" t="n"/>
      <c r="BY202" s="27" t="n"/>
      <c r="BZ202" s="24" t="n"/>
      <c r="CA202" s="31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inlineStr">
        <is>
          <t>False</t>
        </is>
      </c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/>
      <c r="DH202" s="24" t="n"/>
      <c r="DI202" s="24" t="n"/>
      <c r="DJ202" s="24" t="inlineStr">
        <is>
          <t>0.690402</t>
        </is>
      </c>
      <c r="DK202" s="24" t="n"/>
      <c r="DL202" s="24" t="n"/>
      <c r="DM202" s="24" t="n"/>
      <c r="DN202" s="24" t="n"/>
      <c r="DO202" s="24" t="n"/>
      <c r="DP202" s="24" t="n"/>
      <c r="DQ202" s="24" t="inlineStr">
        <is>
          <t>{"artifact_hash": "7dd84946e8171bfb91879166ef376f6954d268d14622bb77392ddbee9f1cd18c", "away_team": "LYON", "event_id": "135657", "event_start_utc": "2026-10-03T20:00:00Z", "features": {"away_elo": 1769.778361, "away_history_count": 83, "home_elo": 1714.964859, "home_history_count": 96}, "historical_source_observation_times_verified": false, "home_team": "Cloud9", "inference_inputs": {"book_state": {"games_played": {"bo3:3:17900": 96, "bo3:3:17950": 83}, "inactivity_half_life_days": null, "inactivity_max_pull": null, "k": 48.0, "last_match_utc": {"bo3:3:17900": "2026-09-27T20:00:00Z", "bo3:3:17950": "2026-09-26T20:00:00Z"}, "minimum_reliable_games": null, "platt_intercept": 0.06303534196602165, "platt_slope": 0.790763821787615, "ratings": {"bo3:3:17900": 1714.964859, "bo3:3:17950": 1769.778361},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"2026-10-03T16:52:49.699446+00:00", "team_ids": ["bo3:3:17900", "bo3:3:17950"]}, "market_type": "moneyline", "model_version": "lol-tiered-elo-v6", "observed_at_utc": "2026-10-03T16:52:49.699446+00:00", "probabilities": {"away": 0.534531, "home": 0.465469}, "replay_scope": "Exact serving book state, calibration, temperature, inactivity reference and thin-history adjustments; training provenance not certified.", "schema": "esports-elo-replay-v1", "snapshot_hash": "629fd0a283340c2e8fff8d26aa55c1f8f73e695e64cd464accbecaf1be970b93", "sport": "LOL"}</t>
        </is>
      </c>
    </row>
    <row r="203" ht="36" customHeight="1">
      <c r="A203" s="24" t="inlineStr">
        <is>
          <t>25edd73d181545da</t>
        </is>
      </c>
      <c r="B203" s="24" t="inlineStr">
        <is>
          <t>2026-10-03T22:33:42.309505Z</t>
        </is>
      </c>
      <c r="C203" s="24" t="inlineStr">
        <is>
          <t>2026-10-04T07:00:00Z</t>
        </is>
      </c>
      <c r="D203" s="24" t="inlineStr">
        <is>
          <t>139902</t>
        </is>
      </c>
      <c r="E203" s="24" t="inlineStr">
        <is>
          <t>LOL</t>
        </is>
      </c>
      <c r="F203" s="24" t="inlineStr">
        <is>
          <t>BNK FEARX</t>
        </is>
      </c>
      <c r="G203" s="24" t="inlineStr">
        <is>
          <t>LGD Gaming</t>
        </is>
      </c>
      <c r="H203" s="24" t="inlineStr">
        <is>
          <t>moneyline</t>
        </is>
      </c>
      <c r="I203" s="24" t="inlineStr">
        <is>
          <t>home</t>
        </is>
      </c>
      <c r="J203" s="25" t="n"/>
      <c r="K203" s="24" t="inlineStr">
        <is>
          <t>polymarket_us</t>
        </is>
      </c>
      <c r="L203" s="26" t="n">
        <v>127</v>
      </c>
      <c r="M203" s="27" t="n">
        <v>2.27</v>
      </c>
      <c r="N203" s="28" t="n">
        <v>0.440529</v>
      </c>
      <c r="O203" s="28" t="n">
        <v>0.545669</v>
      </c>
      <c r="P203" s="28" t="n"/>
      <c r="Q203" s="28" t="n">
        <v>0.10514</v>
      </c>
      <c r="R203" s="26" t="n">
        <v>73</v>
      </c>
      <c r="S203" s="29" t="n">
        <v>1.25</v>
      </c>
      <c r="T203" s="24" t="inlineStr">
        <is>
          <t>lol-tiered-elo-v6</t>
        </is>
      </c>
      <c r="U203" s="24" t="inlineStr">
        <is>
          <t>settled</t>
        </is>
      </c>
      <c r="V203" s="24" t="inlineStr">
        <is>
          <t>loss</t>
        </is>
      </c>
      <c r="W203" s="26" t="n">
        <v>1</v>
      </c>
      <c r="X203" s="26" t="n">
        <v>0</v>
      </c>
      <c r="Y203" s="25" t="n"/>
      <c r="Z203" s="26" t="n"/>
      <c r="AA203" s="28" t="n"/>
      <c r="AB203" s="28" t="n"/>
      <c r="AC203" s="30" t="n">
        <v>-1.25</v>
      </c>
      <c r="AD203" s="24" t="inlineStr">
        <is>
          <t>2026-10-04T21:06:23.416123Z</t>
        </is>
      </c>
      <c r="AE203" s="31" t="inlineStr">
        <is>
          <t>Neutral Elo baseline; executable ask 0.4400 (market_slug=aec-lol-lgd-bfx-2026-10-04).</t>
        </is>
      </c>
      <c r="AF203" s="31" t="inlineStr">
        <is>
          <t>Config-promoted esports baseline; gates enforced at log time.</t>
        </is>
      </c>
      <c r="AG203" s="24" t="inlineStr">
        <is>
          <t>review_required</t>
        </is>
      </c>
      <c r="AH203" s="24" t="n"/>
      <c r="AI203" s="31" t="n"/>
      <c r="AJ203" s="31" t="n"/>
      <c r="AK203" s="24" t="inlineStr">
        <is>
          <t>model_qualified</t>
        </is>
      </c>
      <c r="AL203" s="26" t="n">
        <v>4</v>
      </c>
      <c r="AM203" s="24" t="inlineStr">
        <is>
          <t>QUALIFIED_SHADOW_CALL</t>
        </is>
      </c>
      <c r="AN203" s="24" t="inlineStr">
        <is>
          <t>CALL</t>
        </is>
      </c>
      <c r="AO203" s="24" t="inlineStr">
        <is>
          <t>QUALIFIED</t>
        </is>
      </c>
      <c r="AP203" s="24" t="inlineStr">
        <is>
          <t>BNK FEARX</t>
        </is>
      </c>
      <c r="AQ203" s="24" t="inlineStr">
        <is>
          <t>BNK FEARX</t>
        </is>
      </c>
      <c r="AR203" s="24" t="inlineStr">
        <is>
          <t>BNK FEARX</t>
        </is>
      </c>
      <c r="AS203" s="24" t="inlineStr">
        <is>
          <t>LGD Gaming</t>
        </is>
      </c>
      <c r="AT203" s="24" t="inlineStr">
        <is>
          <t>LGD Gaming</t>
        </is>
      </c>
      <c r="AU203" s="24" t="inlineStr">
        <is>
          <t>LGD Gaming</t>
        </is>
      </c>
      <c r="AV203" s="24" t="n"/>
      <c r="AW203" s="24" t="n"/>
      <c r="AX203" s="24" t="inlineStr">
        <is>
          <t>statistical_model</t>
        </is>
      </c>
      <c r="AY203" s="24" t="n"/>
      <c r="AZ203" s="24" t="inlineStr">
        <is>
          <t>shadow_qualified</t>
        </is>
      </c>
      <c r="BA203" s="24" t="inlineStr">
        <is>
          <t>55223e6a1465dbff2f9b3d3d31599ba7a43c04f3010a53f4e13de30086a4cc22</t>
        </is>
      </c>
      <c r="BB203" s="24" t="inlineStr">
        <is>
          <t>neutral_elo</t>
        </is>
      </c>
      <c r="BC203" s="24" t="inlineStr">
        <is>
          <t>lol-tiered-elo-v6</t>
        </is>
      </c>
      <c r="BD203" s="24" t="inlineStr">
        <is>
          <t>55223e6a1465dbff2f9b3d3d31599ba7a43c04f3010a53f4e13de30086a4cc22</t>
        </is>
      </c>
      <c r="BE203" s="24" t="inlineStr">
        <is>
          <t>1</t>
        </is>
      </c>
      <c r="BF203" s="24" t="inlineStr">
        <is>
          <t>1</t>
        </is>
      </c>
      <c r="BG203" s="24" t="inlineStr">
        <is>
          <t>lol-tiered-elo-v6</t>
        </is>
      </c>
      <c r="BH203" s="24" t="inlineStr">
        <is>
          <t>2026-10-03T22:33:25.331331Z</t>
        </is>
      </c>
      <c r="BI203" s="24" t="inlineStr">
        <is>
          <t>["same_event","same_team_same_day","same_league_same_day"]</t>
        </is>
      </c>
      <c r="BJ203" s="25" t="n"/>
      <c r="BK203" s="26" t="n">
        <v>127</v>
      </c>
      <c r="BL203" s="27" t="n">
        <v>2.27</v>
      </c>
      <c r="BM203" s="28" t="n">
        <v>0.440529</v>
      </c>
      <c r="BN203" s="28" t="n"/>
      <c r="BO203" s="28" t="n"/>
      <c r="BP203" s="25" t="n"/>
      <c r="BQ203" s="27" t="n"/>
      <c r="BR203" s="28" t="n"/>
      <c r="BS203" s="28" t="n"/>
      <c r="BT203" s="28" t="n"/>
      <c r="BU203" s="25" t="n"/>
      <c r="BV203" s="29" t="n"/>
      <c r="BW203" s="24" t="n"/>
      <c r="BX203" s="30" t="n"/>
      <c r="BY203" s="27" t="n"/>
      <c r="BZ203" s="24" t="n"/>
      <c r="CA203" s="31" t="n"/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  <c r="CR203" s="24" t="n"/>
      <c r="CS203" s="24" t="inlineStr">
        <is>
          <t>True</t>
        </is>
      </c>
      <c r="CT203" s="24" t="n"/>
      <c r="CU203" s="24" t="n"/>
      <c r="CV203" s="24" t="n"/>
      <c r="CW203" s="24" t="n"/>
      <c r="CX203" s="24" t="n"/>
      <c r="CY203" s="24" t="n"/>
      <c r="CZ203" s="24" t="n"/>
      <c r="DA203" s="24" t="n"/>
      <c r="DB203" s="24" t="n"/>
      <c r="DC203" s="24" t="n"/>
      <c r="DD203" s="24" t="n"/>
      <c r="DE203" s="24" t="n"/>
      <c r="DF203" s="24" t="n"/>
      <c r="DG203" s="24" t="n"/>
      <c r="DH203" s="24" t="n"/>
      <c r="DI203" s="24" t="n"/>
      <c r="DJ203" s="24" t="inlineStr">
        <is>
          <t>0.440529</t>
        </is>
      </c>
      <c r="DK203" s="24" t="n"/>
      <c r="DL203" s="24" t="n"/>
      <c r="DM203" s="24" t="n"/>
      <c r="DN203" s="24" t="n"/>
      <c r="DO203" s="24" t="n"/>
      <c r="DP203" s="24" t="n"/>
      <c r="DQ203" s="24" t="inlineStr">
        <is>
          <t>{"artifact_hash": "55223e6a1465dbff2f9b3d3d31599ba7a43c04f3010a53f4e13de30086a4cc22", "away_team": "BNK FEARX", "event_id": "139902", "event_start_utc": "2026-10-04T07:00:00Z", "features": {"away_elo": 1626.939072, "away_history_count": 145, "home_elo": 1660.535401, "home_history_count": 112}, "historical_source_observation_times_verified": false, "home_team": "LGD Gaming", "inference_inputs": {"book_state": {"games_played": {"bo3:3:17957": 112, "bo3:3:18335": 145}, "inactivity_half_life_days": null, "inactivity_max_pull": null, "k": 48.0, "last_match_utc": {"bo3:3:17957": "2026-10-03T09:00:00Z", "bo3:3:18335": "2026-10-03T11:00:00Z"}, "minimum_reliable_games": null, "platt_intercept": 0.06439558043610222, "platt_slope": 0.7911235460098343, "ratings": {"bo3:3:17957": 1660.535401, "bo3:3:18335": 1626.939072},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"2026-10-03T22:33:25.156596+00:00", "team_ids": ["bo3:3:17957", "bo3:3:18335"]}, "market_type": "moneyline", "model_version": "lol-tiered-elo-v6", "observed_at_utc": "2026-10-03T22:33:25.156596+00:00", "probabilities": {"away": 0.454331, "home": 0.545669}, "replay_scope": "Exact serving book state, calibration, temperature, inactivity reference and thin-history adjustments; training provenance not certified.", "schema": "esports-elo-replay-v1", "snapshot_hash": "69b57985febfd61e543607dadbc7c562f83ebd0ed397a8346232a557c2d559c6", "sport": "LOL"}</t>
        </is>
      </c>
    </row>
    <row r="204" ht="36" customHeight="1">
      <c r="A204" s="24" t="inlineStr">
        <is>
          <t>abe05b1cd7304a6e</t>
        </is>
      </c>
      <c r="B204" s="24" t="inlineStr">
        <is>
          <t>2026-10-04T20:31:25.868273Z</t>
        </is>
      </c>
      <c r="C204" s="24" t="inlineStr">
        <is>
          <t>2026-10-05T09:00:00Z</t>
        </is>
      </c>
      <c r="D204" s="24" t="inlineStr">
        <is>
          <t>139903</t>
        </is>
      </c>
      <c r="E204" s="24" t="inlineStr">
        <is>
          <t>LOL</t>
        </is>
      </c>
      <c r="F204" s="24" t="inlineStr">
        <is>
          <t>FlyQuest</t>
        </is>
      </c>
      <c r="G204" s="24" t="inlineStr">
        <is>
          <t>Natus Vincere</t>
        </is>
      </c>
      <c r="H204" s="24" t="inlineStr">
        <is>
          <t>moneyline</t>
        </is>
      </c>
      <c r="I204" s="24" t="inlineStr">
        <is>
          <t>home</t>
        </is>
      </c>
      <c r="J204" s="25" t="n"/>
      <c r="K204" s="24" t="inlineStr">
        <is>
          <t>polymarket_us</t>
        </is>
      </c>
      <c r="L204" s="26" t="n">
        <v>-138</v>
      </c>
      <c r="M204" s="27" t="n">
        <v>1.724638</v>
      </c>
      <c r="N204" s="28" t="n">
        <v>0.579832</v>
      </c>
      <c r="O204" s="28" t="n">
        <v>0.6115390000000001</v>
      </c>
      <c r="P204" s="28" t="n"/>
      <c r="Q204" s="28" t="n">
        <v>0.031707</v>
      </c>
      <c r="R204" s="26" t="n">
        <v>36</v>
      </c>
      <c r="S204" s="29" t="n">
        <v>1</v>
      </c>
      <c r="T204" s="24" t="inlineStr">
        <is>
          <t>lol-tiered-elo-v6</t>
        </is>
      </c>
      <c r="U204" s="24" t="inlineStr">
        <is>
          <t>settled</t>
        </is>
      </c>
      <c r="V204" s="24" t="inlineStr">
        <is>
          <t>win</t>
        </is>
      </c>
      <c r="W204" s="26" t="n">
        <v>0</v>
      </c>
      <c r="X204" s="26" t="n">
        <v>1</v>
      </c>
      <c r="Y204" s="25" t="n"/>
      <c r="Z204" s="26" t="n"/>
      <c r="AA204" s="28" t="n"/>
      <c r="AB204" s="28" t="n"/>
      <c r="AC204" s="30" t="n">
        <v>0.7246</v>
      </c>
      <c r="AD204" s="24" t="inlineStr">
        <is>
          <t>2026-10-05T16:05:01.181572Z</t>
        </is>
      </c>
      <c r="AE204" s="31" t="inlineStr">
        <is>
          <t>Neutral Elo baseline; executable ask 0.5800 (market_slug=aec-lol-navi-fly-2026-10-05).</t>
        </is>
      </c>
      <c r="AF204" s="31" t="inlineStr">
        <is>
          <t>Config-promoted esports baseline; gates enforced at log time.</t>
        </is>
      </c>
      <c r="AG204" s="24" t="inlineStr">
        <is>
          <t>not_applicable</t>
        </is>
      </c>
      <c r="AH204" s="24" t="n"/>
      <c r="AI204" s="31" t="n"/>
      <c r="AJ204" s="31" t="n"/>
      <c r="AK204" s="24" t="inlineStr">
        <is>
          <t>model_qualified</t>
        </is>
      </c>
      <c r="AL204" s="26" t="n">
        <v>4</v>
      </c>
      <c r="AM204" s="24" t="inlineStr">
        <is>
          <t>QUALIFIED_SHADOW_CALL</t>
        </is>
      </c>
      <c r="AN204" s="24" t="inlineStr">
        <is>
          <t>CALL</t>
        </is>
      </c>
      <c r="AO204" s="24" t="inlineStr">
        <is>
          <t>QUALIFIED</t>
        </is>
      </c>
      <c r="AP204" s="24" t="inlineStr">
        <is>
          <t>FlyQuest</t>
        </is>
      </c>
      <c r="AQ204" s="24" t="inlineStr">
        <is>
          <t>FlyQuest</t>
        </is>
      </c>
      <c r="AR204" s="24" t="inlineStr">
        <is>
          <t>FlyQuest</t>
        </is>
      </c>
      <c r="AS204" s="24" t="inlineStr">
        <is>
          <t>Natus Vincere</t>
        </is>
      </c>
      <c r="AT204" s="24" t="inlineStr">
        <is>
          <t>Natus Vincere</t>
        </is>
      </c>
      <c r="AU204" s="24" t="inlineStr">
        <is>
          <t>Natus Vincere</t>
        </is>
      </c>
      <c r="AV204" s="24" t="n"/>
      <c r="AW204" s="24" t="n"/>
      <c r="AX204" s="24" t="inlineStr">
        <is>
          <t>statistical_model</t>
        </is>
      </c>
      <c r="AY204" s="24" t="n"/>
      <c r="AZ204" s="24" t="inlineStr">
        <is>
          <t>shadow_qualified</t>
        </is>
      </c>
      <c r="BA204" s="24" t="inlineStr">
        <is>
          <t>9e41eaa587f37812fc56301fa123f17823292f759ce95923c3e14917718a6162</t>
        </is>
      </c>
      <c r="BB204" s="24" t="inlineStr">
        <is>
          <t>neutral_elo</t>
        </is>
      </c>
      <c r="BC204" s="24" t="inlineStr">
        <is>
          <t>lol-tiered-elo-v6</t>
        </is>
      </c>
      <c r="BD204" s="24" t="inlineStr">
        <is>
          <t>9e41eaa587f37812fc56301fa123f17823292f759ce95923c3e14917718a6162</t>
        </is>
      </c>
      <c r="BE204" s="24" t="inlineStr">
        <is>
          <t>1</t>
        </is>
      </c>
      <c r="BF204" s="24" t="inlineStr">
        <is>
          <t>1</t>
        </is>
      </c>
      <c r="BG204" s="24" t="inlineStr">
        <is>
          <t>lol-tiered-elo-v6</t>
        </is>
      </c>
      <c r="BH204" s="24" t="inlineStr">
        <is>
          <t>2026-10-04T20:31:13.751153Z</t>
        </is>
      </c>
      <c r="BI204" s="24" t="inlineStr">
        <is>
          <t>["same_event","same_team_same_day","same_league_same_day"]</t>
        </is>
      </c>
      <c r="BJ204" s="25" t="n"/>
      <c r="BK204" s="26" t="n">
        <v>-138</v>
      </c>
      <c r="BL204" s="27" t="n">
        <v>1.724638</v>
      </c>
      <c r="BM204" s="28" t="n">
        <v>0.579832</v>
      </c>
      <c r="BN204" s="28" t="n"/>
      <c r="BO204" s="28" t="n"/>
      <c r="BP204" s="25" t="n"/>
      <c r="BQ204" s="27" t="n"/>
      <c r="BR204" s="28" t="n"/>
      <c r="BS204" s="28" t="n"/>
      <c r="BT204" s="28" t="n"/>
      <c r="BU204" s="25" t="n"/>
      <c r="BV204" s="29" t="n"/>
      <c r="BW204" s="24" t="n"/>
      <c r="BX204" s="30" t="n"/>
      <c r="BY204" s="27" t="n"/>
      <c r="BZ204" s="24" t="n"/>
      <c r="CA204" s="31" t="n"/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  <c r="CR204" s="24" t="n"/>
      <c r="CS204" s="24" t="inlineStr">
        <is>
          <t>True</t>
        </is>
      </c>
      <c r="CT204" s="24" t="n"/>
      <c r="CU204" s="24" t="n"/>
      <c r="CV204" s="24" t="n"/>
      <c r="CW204" s="24" t="n"/>
      <c r="CX204" s="24" t="n"/>
      <c r="CY204" s="24" t="n"/>
      <c r="CZ204" s="24" t="n"/>
      <c r="DA204" s="24" t="n"/>
      <c r="DB204" s="24" t="n"/>
      <c r="DC204" s="24" t="n"/>
      <c r="DD204" s="24" t="n"/>
      <c r="DE204" s="24" t="n"/>
      <c r="DF204" s="24" t="n"/>
      <c r="DG204" s="24" t="n"/>
      <c r="DH204" s="24" t="n"/>
      <c r="DI204" s="24" t="n"/>
      <c r="DJ204" s="24" t="n"/>
      <c r="DK204" s="24" t="n"/>
      <c r="DL204" s="24" t="n"/>
      <c r="DM204" s="24" t="n"/>
      <c r="DN204" s="24" t="n"/>
      <c r="DO204" s="24" t="n"/>
      <c r="DP204" s="24" t="n"/>
      <c r="DQ204" s="24" t="inlineStr">
        <is>
          <t>{"artifact_hash": "9e41eaa587f37812fc56301fa123f17823292f759ce95923c3e14917718a6162", "away_team": "FlyQuest", "event_id": "139903", "event_start_utc": "2026-10-05T09:00:00Z", "features": {"away_elo": 1522.811304, "away_history_count": 113, "home_elo": 1628.411306, "home_history_count": 45}, "historical_source_observation_times_verified": false, "home_team": "Natus Vincere", "inference_inputs": {"book_state": {"games_played": {"bo3:3:17800": 45, "bo3:3:18027": 113}, "inactivity_half_life_days": null, "inactivity_max_pull": null, "k": 48.0, "last_match_utc": {"bo3:3:17800": "2026-10-03T08:00:00Z", "bo3:3:18027": "2026-10-03T09:00:00Z"}, "minimum_reliable_games": null, "platt_intercept": 0.06009009532746132, "platt_slope": 0.7931082080386445, "ratings": {"bo3:3:17800": 1628.411306, "bo3:3:18027": 1522.811304},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"2026-10-04T20:31:13.491573+00:00", "team_ids": ["bo3:3:17800", "bo3:3:18027"]}, "market_type": "moneyline", "model_version": "lol-tiered-elo-v6", "observed_at_utc": "2026-10-04T20:31:13.491573+00:00", "probabilities": {"away": 0.388461, "home": 0.611539}, "replay_scope": "Exact serving book state, calibration, temperature, inactivity reference and thin-history adjustments; training provenance not certified.", "schema": "esports-elo-replay-v1", "snapshot_hash": "f71fdf2f82dd763b26b51ca7b12e6402911a1806be428c7f778e89c9cecf089e", "sport": "LOL"}</t>
        </is>
      </c>
    </row>
    <row r="205" ht="36" customHeight="1">
      <c r="A205" s="24" t="inlineStr">
        <is>
          <t>33967333f51c4c87</t>
        </is>
      </c>
      <c r="B205" s="24" t="inlineStr">
        <is>
          <t>2026-10-05T22:26:05.671132Z</t>
        </is>
      </c>
      <c r="C205" s="24" t="inlineStr">
        <is>
          <t>2026-10-06T09:00:00Z</t>
        </is>
      </c>
      <c r="D205" s="24" t="inlineStr">
        <is>
          <t>143496</t>
        </is>
      </c>
      <c r="E205" s="24" t="inlineStr">
        <is>
          <t>LOL</t>
        </is>
      </c>
      <c r="F205" s="24" t="inlineStr">
        <is>
          <t>LGD Gaming</t>
        </is>
      </c>
      <c r="G205" s="24" t="inlineStr">
        <is>
          <t>JD Gaming</t>
        </is>
      </c>
      <c r="H205" s="24" t="inlineStr">
        <is>
          <t>moneyline</t>
        </is>
      </c>
      <c r="I205" s="24" t="inlineStr">
        <is>
          <t>home</t>
        </is>
      </c>
      <c r="J205" s="25" t="n"/>
      <c r="K205" s="24" t="inlineStr">
        <is>
          <t>polymarket_us</t>
        </is>
      </c>
      <c r="L205" s="26" t="n">
        <v>-117</v>
      </c>
      <c r="M205" s="27" t="n">
        <v>1.854701</v>
      </c>
      <c r="N205" s="28" t="n">
        <v>0.539171</v>
      </c>
      <c r="O205" s="28" t="n">
        <v>0.524296</v>
      </c>
      <c r="P205" s="28" t="n"/>
      <c r="Q205" s="28" t="n">
        <v>-0.014875</v>
      </c>
      <c r="R205" s="26" t="n">
        <v>13</v>
      </c>
      <c r="S205" s="29" t="n">
        <v>1</v>
      </c>
      <c r="T205" s="24" t="inlineStr">
        <is>
          <t>lol-tiered-elo-v6</t>
        </is>
      </c>
      <c r="U205" s="24" t="inlineStr">
        <is>
          <t>settled</t>
        </is>
      </c>
      <c r="V205" s="24" t="inlineStr">
        <is>
          <t>loss</t>
        </is>
      </c>
      <c r="W205" s="26" t="n">
        <v>1</v>
      </c>
      <c r="X205" s="26" t="n">
        <v>0</v>
      </c>
      <c r="Y205" s="25" t="n"/>
      <c r="Z205" s="26" t="n">
        <v>-113</v>
      </c>
      <c r="AA205" s="28" t="n">
        <v>0.53</v>
      </c>
      <c r="AB205" s="28" t="n">
        <v>-0.009171</v>
      </c>
      <c r="AC205" s="30" t="n">
        <v>-1</v>
      </c>
      <c r="AD205" s="24" t="inlineStr">
        <is>
          <t>2026-10-06T16:04:31.026816Z</t>
        </is>
      </c>
      <c r="AE205" s="31" t="inlineStr">
        <is>
          <t>Neutral Elo baseline; executable ask 0.5400 (market_slug=aec-lol-jdg-lgd-2026-10-06).</t>
        </is>
      </c>
      <c r="AF205" s="31" t="inlineStr">
        <is>
          <t>Config-promoted esports baseline; gates enforced at log time.</t>
        </is>
      </c>
      <c r="AG205" s="24" t="inlineStr">
        <is>
          <t>review_required</t>
        </is>
      </c>
      <c r="AH205" s="24" t="n"/>
      <c r="AI205" s="31" t="n"/>
      <c r="AJ205" s="31" t="n"/>
      <c r="AK205" s="24" t="inlineStr">
        <is>
          <t>paper_call</t>
        </is>
      </c>
      <c r="AL205" s="26" t="n">
        <v>4</v>
      </c>
      <c r="AM205" s="24" t="inlineStr">
        <is>
          <t>RESEARCH_OBSERVATION</t>
        </is>
      </c>
      <c r="AN205" s="24" t="inlineStr">
        <is>
          <t>CALL</t>
        </is>
      </c>
      <c r="AO205" s="24" t="inlineStr">
        <is>
          <t>PAPER_CALL_LOW_EDGE</t>
        </is>
      </c>
      <c r="AP205" s="24" t="inlineStr">
        <is>
          <t>LGD Gaming</t>
        </is>
      </c>
      <c r="AQ205" s="24" t="inlineStr">
        <is>
          <t>LGD Gaming</t>
        </is>
      </c>
      <c r="AR205" s="24" t="inlineStr">
        <is>
          <t>LGD Gaming</t>
        </is>
      </c>
      <c r="AS205" s="24" t="inlineStr">
        <is>
          <t>JD Gaming</t>
        </is>
      </c>
      <c r="AT205" s="24" t="inlineStr">
        <is>
          <t>JD Gaming</t>
        </is>
      </c>
      <c r="AU205" s="24" t="inlineStr">
        <is>
          <t>JD Gaming</t>
        </is>
      </c>
      <c r="AV205" s="24" t="n"/>
      <c r="AW205" s="24" t="n"/>
      <c r="AX205" s="24" t="inlineStr">
        <is>
          <t>statistical_model</t>
        </is>
      </c>
      <c r="AY205" s="24" t="n"/>
      <c r="AZ205" s="24" t="inlineStr">
        <is>
          <t>shadow_qualified</t>
        </is>
      </c>
      <c r="BA205" s="24" t="inlineStr">
        <is>
          <t>f29d573bdc346de062cac628ea4489b84d7f7a51570c13c18b88e9a5fe12bbb3</t>
        </is>
      </c>
      <c r="BB205" s="24" t="inlineStr">
        <is>
          <t>neutral_elo</t>
        </is>
      </c>
      <c r="BC205" s="24" t="inlineStr">
        <is>
          <t>lol-tiered-elo-v6</t>
        </is>
      </c>
      <c r="BD205" s="24" t="inlineStr">
        <is>
          <t>f29d573bdc346de062cac628ea4489b84d7f7a51570c13c18b88e9a5fe12bbb3</t>
        </is>
      </c>
      <c r="BE205" s="24" t="inlineStr">
        <is>
          <t>1</t>
        </is>
      </c>
      <c r="BF205" s="24" t="inlineStr">
        <is>
          <t>1</t>
        </is>
      </c>
      <c r="BG205" s="24" t="inlineStr">
        <is>
          <t>lol-tiered-elo-v6</t>
        </is>
      </c>
      <c r="BH205" s="24" t="inlineStr">
        <is>
          <t>2026-10-05T22:25:23.965782Z</t>
        </is>
      </c>
      <c r="BI205" s="24" t="inlineStr">
        <is>
          <t>["same_event","same_team_same_day","same_league_same_day"]</t>
        </is>
      </c>
      <c r="BJ205" s="25" t="n"/>
      <c r="BK205" s="26" t="n">
        <v>-117</v>
      </c>
      <c r="BL205" s="27" t="n">
        <v>1.854701</v>
      </c>
      <c r="BM205" s="28" t="n">
        <v>0.539171</v>
      </c>
      <c r="BN205" s="28" t="n"/>
      <c r="BO205" s="28" t="n"/>
      <c r="BP205" s="25" t="n"/>
      <c r="BQ205" s="27" t="n">
        <v>1.884956</v>
      </c>
      <c r="BR205" s="28" t="n">
        <v>0.53</v>
      </c>
      <c r="BS205" s="28" t="n"/>
      <c r="BT205" s="28" t="n"/>
      <c r="BU205" s="25" t="n"/>
      <c r="BV205" s="29" t="n"/>
      <c r="BW205" s="24" t="n"/>
      <c r="BX205" s="30" t="n"/>
      <c r="BY205" s="27" t="n"/>
      <c r="BZ205" s="24" t="n"/>
      <c r="CA205" s="31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  <c r="CR205" s="24" t="n"/>
      <c r="CS205" s="24" t="inlineStr">
        <is>
          <t>False</t>
        </is>
      </c>
      <c r="CT205" s="24" t="n"/>
      <c r="CU205" s="24" t="n"/>
      <c r="CV205" s="24" t="n"/>
      <c r="CW205" s="24" t="n"/>
      <c r="CX205" s="24" t="n"/>
      <c r="CY205" s="24" t="n"/>
      <c r="CZ205" s="24" t="n"/>
      <c r="DA205" s="24" t="n"/>
      <c r="DB205" s="24" t="n"/>
      <c r="DC205" s="24" t="n"/>
      <c r="DD205" s="24" t="n"/>
      <c r="DE205" s="24" t="n"/>
      <c r="DF205" s="24" t="n"/>
      <c r="DG205" s="24" t="n"/>
      <c r="DH205" s="24" t="n"/>
      <c r="DI205" s="24" t="n"/>
      <c r="DJ205" s="24" t="n"/>
      <c r="DK205" s="24" t="n"/>
      <c r="DL205" s="24" t="n"/>
      <c r="DM205" s="24" t="n"/>
      <c r="DN205" s="24" t="n"/>
      <c r="DO205" s="24" t="n"/>
      <c r="DP205" s="24" t="n"/>
      <c r="DQ205" s="24" t="inlineStr">
        <is>
          <t>{"artifact_hash": "f29d573bdc346de062cac628ea4489b84d7f7a51570c13c18b88e9a5fe12bbb3", "away_team": "LGD Gaming", "event_id": "143496", "event_start_utc": "2026-10-06T09:00:00Z", "features": {"away_elo": 1620.88877, "away_history_count": 113, "home_elo": 1630.852803, "home_history_count": 170}, "historical_source_observation_times_verified": false, "home_team": "JD Gaming", "inference_inputs": {"book_state": {"games_played": {"bo3:3:17957": 113, "bo3:3:18021": 170}, "inactivity_half_life_days": null, "inactivity_max_pull": null, "k": 48.0, "last_match_utc": {"bo3:3:17957": "2026-10-04T07:00:00Z", "bo3:3:18021": "2026-10-05T10:40:00Z"}, "minimum_reliable_games": null, "platt_intercept": 0.063826753004786, "platt_slope": 0.7911054317322386, "ratings": {"bo3:3:17957": 1620.88877, "bo3:3:18021": 1630.852803},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"2026-10-05T22:25:23.792169+00:00", "team_ids": ["bo3:3:18021", "bo3:3:17957"]}, "market_type": "moneyline", "model_version": "lol-tiered-elo-v6", "observed_at_utc": "2026-10-05T22:25:23.792169+00:00", "probabilities": {"away": 0.475704, "home": 0.524296}, "replay_scope": "Exact serving book state, calibration, temperature, inactivity reference and thin-history adjustments; training provenance not certified.", "schema": "esports-elo-replay-v1", "snapshot_hash": "bcc5ae2e1f351dbf133d318dc2d7413e060c20ce6341e0f662a581450fcb6fe3", "sport": "LOL"}</t>
        </is>
      </c>
    </row>
    <row r="206" ht="36" customHeight="1">
      <c r="A206" s="24" t="inlineStr">
        <is>
          <t>2e00726b287f40f3</t>
        </is>
      </c>
      <c r="B206" s="24" t="inlineStr">
        <is>
          <t>2026-10-07T05:30:02.936253Z</t>
        </is>
      </c>
      <c r="C206" s="24" t="inlineStr">
        <is>
          <t>2026-10-07T09:00:00Z</t>
        </is>
      </c>
      <c r="D206" s="24" t="inlineStr">
        <is>
          <t>143499</t>
        </is>
      </c>
      <c r="E206" s="24" t="inlineStr">
        <is>
          <t>LOL</t>
        </is>
      </c>
      <c r="F206" s="24" t="inlineStr">
        <is>
          <t>Shopify Rebellion</t>
        </is>
      </c>
      <c r="G206" s="24" t="inlineStr">
        <is>
          <t>GAM Esports</t>
        </is>
      </c>
      <c r="H206" s="24" t="inlineStr">
        <is>
          <t>moneyline</t>
        </is>
      </c>
      <c r="I206" s="24" t="inlineStr">
        <is>
          <t>home</t>
        </is>
      </c>
      <c r="J206" s="25" t="n"/>
      <c r="K206" s="24" t="inlineStr">
        <is>
          <t>polymarket_us</t>
        </is>
      </c>
      <c r="L206" s="26" t="n">
        <v>138</v>
      </c>
      <c r="M206" s="27" t="n">
        <v>2.38</v>
      </c>
      <c r="N206" s="28" t="n">
        <v>0.420168</v>
      </c>
      <c r="O206" s="28" t="n">
        <v>0.596761</v>
      </c>
      <c r="P206" s="28" t="n"/>
      <c r="Q206" s="28" t="n">
        <v>0.176593</v>
      </c>
      <c r="R206" s="26" t="n">
        <v>100</v>
      </c>
      <c r="S206" s="29" t="n">
        <v>1.75</v>
      </c>
      <c r="T206" s="24" t="inlineStr">
        <is>
          <t>lol-tiered-elo-v6</t>
        </is>
      </c>
      <c r="U206" s="24" t="inlineStr">
        <is>
          <t>settled</t>
        </is>
      </c>
      <c r="V206" s="24" t="inlineStr">
        <is>
          <t>loss</t>
        </is>
      </c>
      <c r="W206" s="26" t="n">
        <v>1</v>
      </c>
      <c r="X206" s="26" t="n">
        <v>0</v>
      </c>
      <c r="Y206" s="25" t="n"/>
      <c r="Z206" s="26" t="n">
        <v>138</v>
      </c>
      <c r="AA206" s="28" t="n">
        <v>0.42</v>
      </c>
      <c r="AB206" s="28" t="n">
        <v>-0.000168</v>
      </c>
      <c r="AC206" s="30" t="n">
        <v>-1.75</v>
      </c>
      <c r="AD206" s="24" t="inlineStr">
        <is>
          <t>2026-10-07T10:06:01.180935Z</t>
        </is>
      </c>
      <c r="AE206" s="31" t="inlineStr">
        <is>
          <t>Neutral Elo baseline; executable ask 0.4200 (market_slug=aec-lol-gam-sr-2026-10-07).</t>
        </is>
      </c>
      <c r="AF206" s="31" t="inlineStr">
        <is>
          <t>Config-promoted esports baseline; gates enforced at log time.</t>
        </is>
      </c>
      <c r="AG206" s="24" t="inlineStr">
        <is>
          <t>review_required</t>
        </is>
      </c>
      <c r="AH206" s="24" t="n"/>
      <c r="AI206" s="31" t="n"/>
      <c r="AJ206" s="31" t="n"/>
      <c r="AK206" s="24" t="inlineStr">
        <is>
          <t>model_qualified</t>
        </is>
      </c>
      <c r="AL206" s="26" t="n">
        <v>4</v>
      </c>
      <c r="AM206" s="24" t="inlineStr">
        <is>
          <t>QUALIFIED_SHADOW_CALL</t>
        </is>
      </c>
      <c r="AN206" s="24" t="inlineStr">
        <is>
          <t>CALL</t>
        </is>
      </c>
      <c r="AO206" s="24" t="inlineStr">
        <is>
          <t>QUALIFIED</t>
        </is>
      </c>
      <c r="AP206" s="24" t="inlineStr">
        <is>
          <t>Shopify Rebellion</t>
        </is>
      </c>
      <c r="AQ206" s="24" t="inlineStr">
        <is>
          <t>Shopify Rebellion</t>
        </is>
      </c>
      <c r="AR206" s="24" t="inlineStr">
        <is>
          <t>Shopify Rebellion</t>
        </is>
      </c>
      <c r="AS206" s="24" t="inlineStr">
        <is>
          <t>GAM Esports</t>
        </is>
      </c>
      <c r="AT206" s="24" t="inlineStr">
        <is>
          <t>GAM Esports</t>
        </is>
      </c>
      <c r="AU206" s="24" t="inlineStr">
        <is>
          <t>GAM Esports</t>
        </is>
      </c>
      <c r="AV206" s="24" t="n"/>
      <c r="AW206" s="24" t="n"/>
      <c r="AX206" s="24" t="inlineStr">
        <is>
          <t>statistical_model</t>
        </is>
      </c>
      <c r="AY206" s="24" t="n"/>
      <c r="AZ206" s="24" t="inlineStr">
        <is>
          <t>shadow_qualified</t>
        </is>
      </c>
      <c r="BA206" s="24" t="inlineStr">
        <is>
          <t>af470c57db1077f59bc43ec3332bc3a69fa8772386bf0a1281c4433bf8acc58d</t>
        </is>
      </c>
      <c r="BB206" s="24" t="inlineStr">
        <is>
          <t>neutral_elo</t>
        </is>
      </c>
      <c r="BC206" s="24" t="inlineStr">
        <is>
          <t>lol-tiered-elo-v6</t>
        </is>
      </c>
      <c r="BD206" s="24" t="inlineStr">
        <is>
          <t>af470c57db1077f59bc43ec3332bc3a69fa8772386bf0a1281c4433bf8acc58d</t>
        </is>
      </c>
      <c r="BE206" s="24" t="inlineStr">
        <is>
          <t>1</t>
        </is>
      </c>
      <c r="BF206" s="24" t="inlineStr">
        <is>
          <t>1</t>
        </is>
      </c>
      <c r="BG206" s="24" t="inlineStr">
        <is>
          <t>lol-tiered-elo-v6</t>
        </is>
      </c>
      <c r="BH206" s="24" t="inlineStr">
        <is>
          <t>2026-10-07T05:29:00.002152Z</t>
        </is>
      </c>
      <c r="BI206" s="24" t="inlineStr">
        <is>
          <t>["same_event","same_team_same_day","same_league_same_day"]</t>
        </is>
      </c>
      <c r="BJ206" s="25" t="n"/>
      <c r="BK206" s="26" t="n">
        <v>138</v>
      </c>
      <c r="BL206" s="27" t="n">
        <v>2.38</v>
      </c>
      <c r="BM206" s="28" t="n">
        <v>0.420168</v>
      </c>
      <c r="BN206" s="28" t="n"/>
      <c r="BO206" s="28" t="n"/>
      <c r="BP206" s="25" t="n"/>
      <c r="BQ206" s="27" t="n">
        <v>2.38</v>
      </c>
      <c r="BR206" s="28" t="n">
        <v>0.42</v>
      </c>
      <c r="BS206" s="28" t="n"/>
      <c r="BT206" s="28" t="n"/>
      <c r="BU206" s="25" t="n"/>
      <c r="BV206" s="29" t="n"/>
      <c r="BW206" s="24" t="n"/>
      <c r="BX206" s="30" t="n"/>
      <c r="BY206" s="27" t="n"/>
      <c r="BZ206" s="24" t="n"/>
      <c r="CA206" s="31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24" t="n"/>
      <c r="CN206" s="24" t="n"/>
      <c r="CO206" s="24" t="n"/>
      <c r="CP206" s="24" t="n"/>
      <c r="CQ206" s="24" t="n"/>
      <c r="CR206" s="24" t="n"/>
      <c r="CS206" s="24" t="inlineStr">
        <is>
          <t>True</t>
        </is>
      </c>
      <c r="CT206" s="24" t="n"/>
      <c r="CU206" s="24" t="n"/>
      <c r="CV206" s="24" t="n"/>
      <c r="CW206" s="24" t="n"/>
      <c r="CX206" s="24" t="n"/>
      <c r="CY206" s="24" t="n"/>
      <c r="CZ206" s="24" t="n"/>
      <c r="DA206" s="24" t="n"/>
      <c r="DB206" s="24" t="n"/>
      <c r="DC206" s="24" t="n"/>
      <c r="DD206" s="24" t="n"/>
      <c r="DE206" s="24" t="n"/>
      <c r="DF206" s="24" t="n"/>
      <c r="DG206" s="24" t="n"/>
      <c r="DH206" s="24" t="n"/>
      <c r="DI206" s="24" t="n"/>
      <c r="DJ206" s="24" t="n"/>
      <c r="DK206" s="24" t="n"/>
      <c r="DL206" s="24" t="n"/>
      <c r="DM206" s="24" t="n"/>
      <c r="DN206" s="24" t="n"/>
      <c r="DO206" s="24" t="n"/>
      <c r="DP206" s="24" t="n"/>
      <c r="DQ206" s="24" t="inlineStr">
        <is>
          <t>{"artifact_hash": "af470c57db1077f59bc43ec3332bc3a69fa8772386bf0a1281c4433bf8acc58d", "away_team": "Shopify Rebellion", "event_id": "143499", "event_start_utc": "2026-10-07T09:00:00Z", "features": {"away_elo": 1453.640627, "away_history_count": 72, "home_elo": 1542.596001, "home_history_count": 115}, "historical_source_observation_times_verified": false, "home_team": "GAM Esports", "inference_inputs": {"book_state": {"games_played": {"bo3:3:17572": 115, "bo3:3:18358": 72}, "inactivity_half_life_days": null, "inactivity_max_pull": null, "k": 48.0, "last_match_utc": {"bo3:3:17572": "2026-10-05T07:00:00Z", "bo3:3:18358": "2026-10-05T10:40:00Z"}, "minimum_reliable_games": null, "platt_intercept": 0.06650010106940477, "platt_slope": 0.786729387648304, "ratings": {"bo3:3:17572": 1542.596001, "bo3:3:18358": 1453.640627},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"2026-10-07T05:28:49.652280+00:00", "team_ids": ["bo3:3:17572", "bo3:3:18358"]}, "market_type": "moneyline", "model_version": "lol-tiered-elo-v6", "observed_at_utc": "2026-10-07T05:28:49.652280+00:00", "probabilities": {"away": 0.403239, "home": 0.596761}, "replay_scope": "Exact serving book state, calibration, temperature, inactivity reference and thin-history adjustments; training provenance not certified.", "schema": "esports-elo-replay-v1", "snapshot_hash": "e0c62ff68b4faf4404b0dc3d6f0d9704049626f4ca21c81b1abe7a6255a6b05e", "sport": "LOL"}</t>
        </is>
      </c>
    </row>
    <row r="207" ht="36" customHeight="1">
      <c r="A207" s="24" t="inlineStr">
        <is>
          <t>b1c5d7bad40f4159</t>
        </is>
      </c>
      <c r="B207" s="24" t="inlineStr">
        <is>
          <t>2026-10-07T10:23:29.866453Z</t>
        </is>
      </c>
      <c r="C207" s="24" t="inlineStr">
        <is>
          <t>2026-10-07T16:00:00Z</t>
        </is>
      </c>
      <c r="D207" s="24" t="inlineStr">
        <is>
          <t>142769</t>
        </is>
      </c>
      <c r="E207" s="24" t="inlineStr">
        <is>
          <t>LOL</t>
        </is>
      </c>
      <c r="F207" s="24" t="inlineStr">
        <is>
          <t>Unicorns Of Love Sexy Edition</t>
        </is>
      </c>
      <c r="G207" s="24" t="inlineStr">
        <is>
          <t>Kaufland Hangry Knights</t>
        </is>
      </c>
      <c r="H207" s="24" t="inlineStr">
        <is>
          <t>moneyline</t>
        </is>
      </c>
      <c r="I207" s="24" t="inlineStr">
        <is>
          <t>away</t>
        </is>
      </c>
      <c r="J207" s="25" t="n"/>
      <c r="K207" s="24" t="inlineStr">
        <is>
          <t>polymarket_us</t>
        </is>
      </c>
      <c r="L207" s="26" t="n">
        <v>150</v>
      </c>
      <c r="M207" s="27" t="n">
        <v>2.5</v>
      </c>
      <c r="N207" s="28" t="n">
        <v>0.4</v>
      </c>
      <c r="O207" s="28" t="n">
        <v>0.545756</v>
      </c>
      <c r="P207" s="28" t="n"/>
      <c r="Q207" s="28" t="n">
        <v>0.145756</v>
      </c>
      <c r="R207" s="26" t="n">
        <v>93</v>
      </c>
      <c r="S207" s="29" t="n">
        <v>1.75</v>
      </c>
      <c r="T207" s="24" t="inlineStr">
        <is>
          <t>lol-tiered-elo-v6</t>
        </is>
      </c>
      <c r="U207" s="24" t="inlineStr">
        <is>
          <t>settled</t>
        </is>
      </c>
      <c r="V207" s="24" t="inlineStr">
        <is>
          <t>loss</t>
        </is>
      </c>
      <c r="W207" s="26" t="n">
        <v>0</v>
      </c>
      <c r="X207" s="26" t="n">
        <v>1</v>
      </c>
      <c r="Y207" s="25" t="n"/>
      <c r="Z207" s="26" t="n">
        <v>163</v>
      </c>
      <c r="AA207" s="28" t="n">
        <v>0.38</v>
      </c>
      <c r="AB207" s="28" t="n">
        <v>-0.02</v>
      </c>
      <c r="AC207" s="30" t="n">
        <v>-1.75</v>
      </c>
      <c r="AD207" s="24" t="inlineStr">
        <is>
          <t>2026-10-07T22:04:57.586850Z</t>
        </is>
      </c>
      <c r="AE207" s="31" t="inlineStr">
        <is>
          <t>Neutral Elo baseline; executable ask 0.4000 (market_slug=aec-lol-khk-use-2026-10-07).</t>
        </is>
      </c>
      <c r="AF207" s="31" t="inlineStr">
        <is>
          <t>Config-promoted esports baseline; gates enforced at log time.</t>
        </is>
      </c>
      <c r="AG207" s="24" t="inlineStr">
        <is>
          <t>review_required</t>
        </is>
      </c>
      <c r="AH207" s="24" t="n"/>
      <c r="AI207" s="31" t="n"/>
      <c r="AJ207" s="31" t="n"/>
      <c r="AK207" s="24" t="inlineStr">
        <is>
          <t>model_qualified</t>
        </is>
      </c>
      <c r="AL207" s="26" t="n">
        <v>4</v>
      </c>
      <c r="AM207" s="24" t="inlineStr">
        <is>
          <t>QUALIFIED_SHADOW_CALL</t>
        </is>
      </c>
      <c r="AN207" s="24" t="inlineStr">
        <is>
          <t>CALL</t>
        </is>
      </c>
      <c r="AO207" s="24" t="inlineStr">
        <is>
          <t>QUALIFIED</t>
        </is>
      </c>
      <c r="AP207" s="24" t="inlineStr">
        <is>
          <t>Unicorns Of Love Sexy Edition</t>
        </is>
      </c>
      <c r="AQ207" s="24" t="inlineStr">
        <is>
          <t>Unicorns Of Love Sexy Edition</t>
        </is>
      </c>
      <c r="AR207" s="24" t="inlineStr">
        <is>
          <t>Unicorns Of Love Sexy Edition</t>
        </is>
      </c>
      <c r="AS207" s="24" t="inlineStr">
        <is>
          <t>Kaufland Hangry Knights</t>
        </is>
      </c>
      <c r="AT207" s="24" t="inlineStr">
        <is>
          <t>Kaufland Hangry Knights</t>
        </is>
      </c>
      <c r="AU207" s="24" t="inlineStr">
        <is>
          <t>Kaufland Hangry Knights</t>
        </is>
      </c>
      <c r="AV207" s="24" t="n"/>
      <c r="AW207" s="24" t="n"/>
      <c r="AX207" s="24" t="inlineStr">
        <is>
          <t>statistical_model</t>
        </is>
      </c>
      <c r="AY207" s="24" t="n"/>
      <c r="AZ207" s="24" t="inlineStr">
        <is>
          <t>shadow_qualified</t>
        </is>
      </c>
      <c r="BA207" s="24" t="inlineStr">
        <is>
          <t>2ca11595ae1334d11ecce05380a0a53ce290154b730cc6d01bd66ecde0433fc3</t>
        </is>
      </c>
      <c r="BB207" s="24" t="inlineStr">
        <is>
          <t>neutral_elo</t>
        </is>
      </c>
      <c r="BC207" s="24" t="inlineStr">
        <is>
          <t>lol-tiered-elo-v6</t>
        </is>
      </c>
      <c r="BD207" s="24" t="inlineStr">
        <is>
          <t>2ca11595ae1334d11ecce05380a0a53ce290154b730cc6d01bd66ecde0433fc3</t>
        </is>
      </c>
      <c r="BE207" s="24" t="inlineStr">
        <is>
          <t>1</t>
        </is>
      </c>
      <c r="BF207" s="24" t="inlineStr">
        <is>
          <t>1</t>
        </is>
      </c>
      <c r="BG207" s="24" t="inlineStr">
        <is>
          <t>lol-tiered-elo-v6</t>
        </is>
      </c>
      <c r="BH207" s="24" t="inlineStr">
        <is>
          <t>2026-10-07T10:23:09.262846Z</t>
        </is>
      </c>
      <c r="BI207" s="24" t="inlineStr">
        <is>
          <t>["same_event","same_team_same_day","same_league_same_day"]</t>
        </is>
      </c>
      <c r="BJ207" s="25" t="n"/>
      <c r="BK207" s="26" t="n">
        <v>150</v>
      </c>
      <c r="BL207" s="27" t="n">
        <v>2.5</v>
      </c>
      <c r="BM207" s="28" t="n">
        <v>0.4</v>
      </c>
      <c r="BN207" s="28" t="n"/>
      <c r="BO207" s="28" t="n"/>
      <c r="BP207" s="25" t="n"/>
      <c r="BQ207" s="27" t="n">
        <v>2.63</v>
      </c>
      <c r="BR207" s="28" t="n">
        <v>0.38</v>
      </c>
      <c r="BS207" s="28" t="n"/>
      <c r="BT207" s="28" t="n"/>
      <c r="BU207" s="25" t="n"/>
      <c r="BV207" s="29" t="n"/>
      <c r="BW207" s="24" t="n"/>
      <c r="BX207" s="30" t="n"/>
      <c r="BY207" s="27" t="n"/>
      <c r="BZ207" s="24" t="n"/>
      <c r="CA207" s="31" t="n"/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24" t="n"/>
      <c r="CN207" s="24" t="n"/>
      <c r="CO207" s="24" t="n"/>
      <c r="CP207" s="24" t="n"/>
      <c r="CQ207" s="24" t="n"/>
      <c r="CR207" s="24" t="n"/>
      <c r="CS207" s="24" t="inlineStr">
        <is>
          <t>True</t>
        </is>
      </c>
      <c r="CT207" s="24" t="n"/>
      <c r="CU207" s="24" t="n"/>
      <c r="CV207" s="24" t="n"/>
      <c r="CW207" s="24" t="n"/>
      <c r="CX207" s="24" t="n"/>
      <c r="CY207" s="24" t="n"/>
      <c r="CZ207" s="24" t="n"/>
      <c r="DA207" s="24" t="n"/>
      <c r="DB207" s="24" t="n"/>
      <c r="DC207" s="24" t="n"/>
      <c r="DD207" s="24" t="n"/>
      <c r="DE207" s="24" t="n"/>
      <c r="DF207" s="24" t="n"/>
      <c r="DG207" s="24" t="n"/>
      <c r="DH207" s="24" t="n"/>
      <c r="DI207" s="24" t="n"/>
      <c r="DJ207" s="24" t="n"/>
      <c r="DK207" s="24" t="n"/>
      <c r="DL207" s="24" t="n"/>
      <c r="DM207" s="24" t="n"/>
      <c r="DN207" s="24" t="n"/>
      <c r="DO207" s="24" t="n"/>
      <c r="DP207" s="24" t="n"/>
      <c r="DQ207" s="24" t="inlineStr">
        <is>
          <t>{"artifact_hash": "2ca11595ae1334d11ecce05380a0a53ce290154b730cc6d01bd66ecde0433fc3", "away_team": "Unicorns Of Love Sexy Edition", "event_id": "142769", "event_start_utc": "2026-10-07T16:00:00Z", "features": {"away_elo": 1786.544458, "away_history_count": 146, "home_elo": 1722.438214, "home_history_count": 74}, "historical_source_observation_times_verified": false, "home_team": "Kaufland Hangry Knights", "inference_inputs": {"book_state": {"games_played": {"bo3:3:16963": 74, "bo3:3:17414": 146}, "inactivity_half_life_days": null, "inactivity_max_pull": null, "k": 48.0, "last_match_utc": {"bo3:3:16963": "2026-09-30T14:50:00Z", "bo3:3:17414": "2026-10-01T15:00:00Z"}, "minimum_reliable_games": null, "platt_intercept": 0.06737474926872696, "platt_slope": 0.7868004676862648, "ratings": {"bo3:3:16963": 1722.438214, "bo3:3:17414": 1786.544458},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"2026-10-07T10:23:09.212163+00:00", "team_ids": ["bo3:3:16963", "bo3:3:17414"]}, "market_type": "moneyline", "model_version": "lol-tiered-elo-v6", "observed_at_utc": "2026-10-07T10:23:09.212163+00:00", "probabilities": {"away": 0.545756, "home": 0.454244}, "replay_scope": "Exact serving book state, calibration, temperature, inactivity reference and thin-history adjustments; training provenance not certified.", "schema": "esports-elo-replay-v1", "snapshot_hash": "7580d0f84fde89cc5ff0da5a99b520782310bf119faa2705d1f0a5c7661a3e2b", "sport": "LOL"}</t>
        </is>
      </c>
    </row>
    <row r="208" ht="36" customHeight="1">
      <c r="A208" s="24" t="inlineStr">
        <is>
          <t>e914708ffd0f4d56</t>
        </is>
      </c>
      <c r="B208" s="24" t="inlineStr">
        <is>
          <t>2026-10-07T10:23:29.866453Z</t>
        </is>
      </c>
      <c r="C208" s="24" t="inlineStr">
        <is>
          <t>2026-10-07T16:00:00Z</t>
        </is>
      </c>
      <c r="D208" s="24" t="inlineStr">
        <is>
          <t>142771</t>
        </is>
      </c>
      <c r="E208" s="24" t="inlineStr">
        <is>
          <t>LOL</t>
        </is>
      </c>
      <c r="F208" s="24" t="inlineStr">
        <is>
          <t>G2 NORD</t>
        </is>
      </c>
      <c r="G208" s="24" t="inlineStr">
        <is>
          <t>Team Heretics Academy</t>
        </is>
      </c>
      <c r="H208" s="24" t="inlineStr">
        <is>
          <t>moneyline</t>
        </is>
      </c>
      <c r="I208" s="24" t="inlineStr">
        <is>
          <t>away</t>
        </is>
      </c>
      <c r="J208" s="25" t="n"/>
      <c r="K208" s="24" t="inlineStr">
        <is>
          <t>polymarket_us</t>
        </is>
      </c>
      <c r="L208" s="26" t="n">
        <v>-233</v>
      </c>
      <c r="M208" s="27" t="n">
        <v>1.429185</v>
      </c>
      <c r="N208" s="28" t="n">
        <v>0.6997</v>
      </c>
      <c r="O208" s="28" t="n">
        <v>0.507418</v>
      </c>
      <c r="P208" s="28" t="n"/>
      <c r="Q208" s="28" t="n">
        <v>-0.192282</v>
      </c>
      <c r="R208" s="26" t="n">
        <v>0</v>
      </c>
      <c r="S208" s="29" t="n">
        <v>1</v>
      </c>
      <c r="T208" s="24" t="inlineStr">
        <is>
          <t>lol-tiered-elo-v6</t>
        </is>
      </c>
      <c r="U208" s="24" t="inlineStr">
        <is>
          <t>settled</t>
        </is>
      </c>
      <c r="V208" s="24" t="inlineStr">
        <is>
          <t>win</t>
        </is>
      </c>
      <c r="W208" s="26" t="n">
        <v>1</v>
      </c>
      <c r="X208" s="26" t="n">
        <v>0</v>
      </c>
      <c r="Y208" s="25" t="n"/>
      <c r="Z208" s="26" t="n">
        <v>-156</v>
      </c>
      <c r="AA208" s="28" t="n">
        <v>0.61</v>
      </c>
      <c r="AB208" s="28" t="n">
        <v>-0.0897</v>
      </c>
      <c r="AC208" s="30" t="n">
        <v>0.4292</v>
      </c>
      <c r="AD208" s="24" t="inlineStr">
        <is>
          <t>2026-10-07T22:04:59.281471Z</t>
        </is>
      </c>
      <c r="AE208" s="31" t="inlineStr">
        <is>
          <t>Neutral Elo baseline; executable ask 0.7000 (market_slug=aec-lol-hrts-g2n-2026-10-07).</t>
        </is>
      </c>
      <c r="AF208" s="31" t="inlineStr">
        <is>
          <t>Config-promoted esports baseline; gates enforced at log time.</t>
        </is>
      </c>
      <c r="AG208" s="24" t="inlineStr">
        <is>
          <t>not_applicable</t>
        </is>
      </c>
      <c r="AH208" s="24" t="n"/>
      <c r="AI208" s="31" t="n"/>
      <c r="AJ208" s="31" t="n"/>
      <c r="AK208" s="24" t="inlineStr">
        <is>
          <t>paper_call</t>
        </is>
      </c>
      <c r="AL208" s="26" t="n">
        <v>4</v>
      </c>
      <c r="AM208" s="24" t="inlineStr">
        <is>
          <t>RESEARCH_OBSERVATION</t>
        </is>
      </c>
      <c r="AN208" s="24" t="inlineStr">
        <is>
          <t>CALL</t>
        </is>
      </c>
      <c r="AO208" s="24" t="inlineStr">
        <is>
          <t>PAPER_CALL_LOW_EDGE</t>
        </is>
      </c>
      <c r="AP208" s="24" t="inlineStr">
        <is>
          <t>G2 NORD</t>
        </is>
      </c>
      <c r="AQ208" s="24" t="inlineStr">
        <is>
          <t>G2 NORD</t>
        </is>
      </c>
      <c r="AR208" s="24" t="inlineStr">
        <is>
          <t>G2 NORD</t>
        </is>
      </c>
      <c r="AS208" s="24" t="inlineStr">
        <is>
          <t>Team Heretics Academy</t>
        </is>
      </c>
      <c r="AT208" s="24" t="inlineStr">
        <is>
          <t>Team Heretics Academy</t>
        </is>
      </c>
      <c r="AU208" s="24" t="inlineStr">
        <is>
          <t>Team Heretics Academy</t>
        </is>
      </c>
      <c r="AV208" s="24" t="n"/>
      <c r="AW208" s="24" t="n"/>
      <c r="AX208" s="24" t="inlineStr">
        <is>
          <t>statistical_model</t>
        </is>
      </c>
      <c r="AY208" s="24" t="n"/>
      <c r="AZ208" s="24" t="inlineStr">
        <is>
          <t>shadow_qualified</t>
        </is>
      </c>
      <c r="BA208" s="24" t="inlineStr">
        <is>
          <t>2ca11595ae1334d11ecce05380a0a53ce290154b730cc6d01bd66ecde0433fc3</t>
        </is>
      </c>
      <c r="BB208" s="24" t="inlineStr">
        <is>
          <t>neutral_elo</t>
        </is>
      </c>
      <c r="BC208" s="24" t="inlineStr">
        <is>
          <t>lol-tiered-elo-v6</t>
        </is>
      </c>
      <c r="BD208" s="24" t="inlineStr">
        <is>
          <t>2ca11595ae1334d11ecce05380a0a53ce290154b730cc6d01bd66ecde0433fc3</t>
        </is>
      </c>
      <c r="BE208" s="24" t="inlineStr">
        <is>
          <t>1</t>
        </is>
      </c>
      <c r="BF208" s="24" t="inlineStr">
        <is>
          <t>1</t>
        </is>
      </c>
      <c r="BG208" s="24" t="inlineStr">
        <is>
          <t>lol-tiered-elo-v6</t>
        </is>
      </c>
      <c r="BH208" s="24" t="inlineStr">
        <is>
          <t>2026-10-07T10:23:29.745491Z</t>
        </is>
      </c>
      <c r="BI208" s="24" t="inlineStr">
        <is>
          <t>["same_event","same_team_same_day","same_league_same_day"]</t>
        </is>
      </c>
      <c r="BJ208" s="25" t="n"/>
      <c r="BK208" s="26" t="n">
        <v>-233</v>
      </c>
      <c r="BL208" s="27" t="n">
        <v>1.429185</v>
      </c>
      <c r="BM208" s="28" t="n">
        <v>0.6997</v>
      </c>
      <c r="BN208" s="28" t="n"/>
      <c r="BO208" s="28" t="n"/>
      <c r="BP208" s="25" t="n"/>
      <c r="BQ208" s="27" t="n">
        <v>1.641026</v>
      </c>
      <c r="BR208" s="28" t="n">
        <v>0.61</v>
      </c>
      <c r="BS208" s="28" t="n"/>
      <c r="BT208" s="28" t="n"/>
      <c r="BU208" s="25" t="n"/>
      <c r="BV208" s="29" t="n"/>
      <c r="BW208" s="24" t="n"/>
      <c r="BX208" s="30" t="n"/>
      <c r="BY208" s="27" t="n"/>
      <c r="BZ208" s="24" t="n"/>
      <c r="CA208" s="31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inlineStr">
        <is>
          <t>False</t>
        </is>
      </c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n"/>
      <c r="DE208" s="24" t="n"/>
      <c r="DF208" s="24" t="n"/>
      <c r="DG208" s="24" t="n"/>
      <c r="DH208" s="24" t="n"/>
      <c r="DI208" s="24" t="n"/>
      <c r="DJ208" s="24" t="n"/>
      <c r="DK208" s="24" t="n"/>
      <c r="DL208" s="24" t="n"/>
      <c r="DM208" s="24" t="n"/>
      <c r="DN208" s="24" t="n"/>
      <c r="DO208" s="24" t="n"/>
      <c r="DP208" s="24" t="n"/>
      <c r="DQ208" s="24" t="inlineStr">
        <is>
          <t>{"artifact_hash": "2ca11595ae1334d11ecce05380a0a53ce290154b730cc6d01bd66ecde0433fc3", "away_team": "G2 NORD", "event_id": "142771", "event_start_utc": "2026-10-07T16:00:00Z", "features": {"away_elo": 1916.720158, "away_history_count": 61, "home_elo": 1892.558669, "home_history_count": 157}, "historical_source_observation_times_verified": false, "home_team": "Team Heretics Academy", "inference_inputs": {"book_state": {"games_played": {"bo3:3:16945": 157, "bo3:3:22411": 61}, "inactivity_half_life_days": null, "inactivity_max_pull": null, "k": 48.0, "last_match_utc": {"bo3:3:16945": "2026-09-30T17:30:00Z", "bo3:3:22411": "2026-09-30T16:35:00Z"}, "minimum_reliable_games": null, "platt_intercept": 0.06737474926872696, "platt_slope": 0.7868004676862648, "ratings": {"bo3:3:16945": 1892.558669, "bo3:3:22411": 1916.720158},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"2026-10-07T10:23:09.212163+00:00", "team_ids": ["bo3:3:16945", "bo3:3:22411"]}, "market_type": "moneyline", "model_version": "lol-tiered-elo-v6", "observed_at_utc": "2026-10-07T10:23:09.212163+00:00", "probabilities": {"away": 0.507418, "home": 0.492582}, "replay_scope": "Exact serving book state, calibration, temperature, inactivity reference and thin-history adjustments; training provenance not certified.", "schema": "esports-elo-replay-v1", "snapshot_hash": "dec17fa454efab03100315fe8322274d5152e3a35fbe1f82621d0059cea7299c", "sport": "LOL"}</t>
        </is>
      </c>
    </row>
    <row r="209" ht="36" customHeight="1">
      <c r="A209" s="24" t="inlineStr">
        <is>
          <t>4ea4d7c8874a422f</t>
        </is>
      </c>
      <c r="B209" s="24" t="inlineStr">
        <is>
          <t>2026-10-12T05:43:06.782310Z</t>
        </is>
      </c>
      <c r="C209" s="24" t="inlineStr">
        <is>
          <t>2026-10-12T09:00:00Z</t>
        </is>
      </c>
      <c r="D209" s="24" t="inlineStr">
        <is>
          <t>150545</t>
        </is>
      </c>
      <c r="E209" s="24" t="inlineStr">
        <is>
          <t>LOL</t>
        </is>
      </c>
      <c r="F209" s="24" t="inlineStr">
        <is>
          <t>JD Gaming</t>
        </is>
      </c>
      <c r="G209" s="24" t="inlineStr">
        <is>
          <t>BNK FEARX</t>
        </is>
      </c>
      <c r="H209" s="24" t="inlineStr">
        <is>
          <t>moneyline</t>
        </is>
      </c>
      <c r="I209" s="24" t="inlineStr">
        <is>
          <t>home</t>
        </is>
      </c>
      <c r="J209" s="25" t="n"/>
      <c r="K209" s="24" t="inlineStr">
        <is>
          <t>polymarket_us</t>
        </is>
      </c>
      <c r="L209" s="26" t="n">
        <v>-213</v>
      </c>
      <c r="M209" s="27" t="n">
        <v>1.469484</v>
      </c>
      <c r="N209" s="28" t="n">
        <v>0.680511</v>
      </c>
      <c r="O209" s="28" t="n">
        <v>0.538731</v>
      </c>
      <c r="P209" s="28" t="n"/>
      <c r="Q209" s="28" t="n">
        <v>-0.14178</v>
      </c>
      <c r="R209" s="26" t="n">
        <v>0</v>
      </c>
      <c r="S209" s="29" t="n">
        <v>1</v>
      </c>
      <c r="T209" s="24" t="inlineStr">
        <is>
          <t>lol-tiered-elo-v6</t>
        </is>
      </c>
      <c r="U209" s="24" t="inlineStr">
        <is>
          <t>settled</t>
        </is>
      </c>
      <c r="V209" s="24" t="inlineStr">
        <is>
          <t>win</t>
        </is>
      </c>
      <c r="W209" s="26" t="n">
        <v>0</v>
      </c>
      <c r="X209" s="26" t="n">
        <v>1</v>
      </c>
      <c r="Y209" s="25" t="n"/>
      <c r="Z209" s="26" t="n">
        <v>-213</v>
      </c>
      <c r="AA209" s="28" t="n">
        <v>0.68</v>
      </c>
      <c r="AB209" s="28" t="n">
        <v>-0.000511</v>
      </c>
      <c r="AC209" s="30" t="n">
        <v>0.4695</v>
      </c>
      <c r="AD209" s="24" t="inlineStr">
        <is>
          <t>2026-10-12T16:17:07.668602Z</t>
        </is>
      </c>
      <c r="AE209" s="31" t="inlineStr">
        <is>
          <t>Neutral Elo baseline; executable ask 0.6800 (market_slug=aec-lol-bfx-jdg-2026-10-12).</t>
        </is>
      </c>
      <c r="AF209" s="31" t="inlineStr">
        <is>
          <t>Config-promoted esports baseline; gates enforced at log time.</t>
        </is>
      </c>
      <c r="AG209" s="24" t="inlineStr">
        <is>
          <t>not_applicable</t>
        </is>
      </c>
      <c r="AH209" s="24" t="n"/>
      <c r="AI209" s="31" t="n"/>
      <c r="AJ209" s="31" t="n"/>
      <c r="AK209" s="24" t="inlineStr">
        <is>
          <t>paper_call</t>
        </is>
      </c>
      <c r="AL209" s="26" t="n">
        <v>4</v>
      </c>
      <c r="AM209" s="24" t="inlineStr">
        <is>
          <t>RESEARCH_OBSERVATION</t>
        </is>
      </c>
      <c r="AN209" s="24" t="inlineStr">
        <is>
          <t>CALL</t>
        </is>
      </c>
      <c r="AO209" s="24" t="inlineStr">
        <is>
          <t>PAPER_CALL_LOW_EDGE</t>
        </is>
      </c>
      <c r="AP209" s="24" t="inlineStr">
        <is>
          <t>JD Gaming</t>
        </is>
      </c>
      <c r="AQ209" s="24" t="inlineStr">
        <is>
          <t>JD Gaming</t>
        </is>
      </c>
      <c r="AR209" s="24" t="inlineStr">
        <is>
          <t>JD Gaming</t>
        </is>
      </c>
      <c r="AS209" s="24" t="inlineStr">
        <is>
          <t>BNK FEARX</t>
        </is>
      </c>
      <c r="AT209" s="24" t="inlineStr">
        <is>
          <t>BNK FEARX</t>
        </is>
      </c>
      <c r="AU209" s="24" t="inlineStr">
        <is>
          <t>BNK FEARX</t>
        </is>
      </c>
      <c r="AV209" s="24" t="n"/>
      <c r="AW209" s="24" t="n"/>
      <c r="AX209" s="24" t="inlineStr">
        <is>
          <t>statistical_model</t>
        </is>
      </c>
      <c r="AY209" s="24" t="n"/>
      <c r="AZ209" s="24" t="inlineStr">
        <is>
          <t>shadow_qualified</t>
        </is>
      </c>
      <c r="BA209" s="24" t="inlineStr">
        <is>
          <t>5137ee43488f994e321771bd9942579f4deaa67d68a7dcd7cccc026e1ec958fd</t>
        </is>
      </c>
      <c r="BB209" s="24" t="inlineStr">
        <is>
          <t>neutral_elo</t>
        </is>
      </c>
      <c r="BC209" s="24" t="inlineStr">
        <is>
          <t>lol-tiered-elo-v6</t>
        </is>
      </c>
      <c r="BD209" s="24" t="inlineStr">
        <is>
          <t>5137ee43488f994e321771bd9942579f4deaa67d68a7dcd7cccc026e1ec958fd</t>
        </is>
      </c>
      <c r="BE209" s="24" t="inlineStr">
        <is>
          <t>1</t>
        </is>
      </c>
      <c r="BF209" s="24" t="inlineStr">
        <is>
          <t>1</t>
        </is>
      </c>
      <c r="BG209" s="24" t="inlineStr">
        <is>
          <t>lol-tiered-elo-v6</t>
        </is>
      </c>
      <c r="BH209" s="24" t="inlineStr">
        <is>
          <t>2026-10-12T05:41:14.138646Z</t>
        </is>
      </c>
      <c r="BI209" s="24" t="inlineStr">
        <is>
          <t>["same_event","same_team_same_day","same_league_same_day"]</t>
        </is>
      </c>
      <c r="BJ209" s="25" t="n"/>
      <c r="BK209" s="26" t="n">
        <v>-213</v>
      </c>
      <c r="BL209" s="27" t="n">
        <v>1.469484</v>
      </c>
      <c r="BM209" s="28" t="n">
        <v>0.680511</v>
      </c>
      <c r="BN209" s="28" t="n"/>
      <c r="BO209" s="28" t="n"/>
      <c r="BP209" s="25" t="n"/>
      <c r="BQ209" s="27" t="n">
        <v>1.469484</v>
      </c>
      <c r="BR209" s="28" t="n">
        <v>0.68</v>
      </c>
      <c r="BS209" s="28" t="n"/>
      <c r="BT209" s="28" t="n"/>
      <c r="BU209" s="25" t="n"/>
      <c r="BV209" s="29" t="n"/>
      <c r="BW209" s="24" t="n"/>
      <c r="BX209" s="30" t="n"/>
      <c r="BY209" s="27" t="n"/>
      <c r="BZ209" s="24" t="n"/>
      <c r="CA209" s="31" t="n"/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  <c r="CL209" s="24" t="n"/>
      <c r="CM209" s="24" t="n"/>
      <c r="CN209" s="24" t="n"/>
      <c r="CO209" s="24" t="n"/>
      <c r="CP209" s="24" t="n"/>
      <c r="CQ209" s="24" t="n"/>
      <c r="CR209" s="24" t="n"/>
      <c r="CS209" s="24" t="inlineStr">
        <is>
          <t>False</t>
        </is>
      </c>
      <c r="CT209" s="24" t="n"/>
      <c r="CU209" s="24" t="n"/>
      <c r="CV209" s="24" t="n"/>
      <c r="CW209" s="24" t="n"/>
      <c r="CX209" s="24" t="n"/>
      <c r="CY209" s="24" t="n"/>
      <c r="CZ209" s="24" t="n"/>
      <c r="DA209" s="24" t="n"/>
      <c r="DB209" s="24" t="n"/>
      <c r="DC209" s="24" t="n"/>
      <c r="DD209" s="24" t="n"/>
      <c r="DE209" s="24" t="n"/>
      <c r="DF209" s="24" t="n"/>
      <c r="DG209" s="24" t="n"/>
      <c r="DH209" s="24" t="n"/>
      <c r="DI209" s="24" t="n"/>
      <c r="DJ209" s="24" t="n"/>
      <c r="DK209" s="24" t="n"/>
      <c r="DL209" s="24" t="n"/>
      <c r="DM209" s="24" t="n"/>
      <c r="DN209" s="24" t="n"/>
      <c r="DO209" s="24" t="n"/>
      <c r="DP209" s="24" t="n"/>
      <c r="DQ209" s="24" t="inlineStr">
        <is>
          <t>{"artifact_hash": "5137ee43488f994e321771bd9942579f4deaa67d68a7dcd7cccc026e1ec958fd", "away_team": "JD Gaming", "event_id": "150545", "event_start_utc": "2026-10-12T09:00:00Z", "features": {"away_elo": 1631.173386, "away_history_count": 172, "home_elo": 1664.536017, "home_history_count": 146}, "historical_source_observation_times_verified": false, "home_team": "BNK FEARX", "inference_inputs": {"book_state": {"games_played": {"bo3:3:18021": 172, "bo3:3:18335": 146}, "inactivity_half_life_days": null, "inactivity_max_pull": null, "k": 48.0, "last_match_utc": {"bo3:3:18021": "2026-10-08T11:00:00Z", "bo3:3:18335": "2026-10-04T07:00:00Z"}, "minimum_reliable_games": null, "platt_intercept": 0.06391582132779343, "platt_slope": 0.7835616878097331, "ratings": {"bo3:3:18021": 1631.173386, "bo3:3:18335": 1664.536017},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"2026-10-12T05:39:31.685941+00:00", "team_ids": ["bo3:3:18335", "bo3:3:18021"]}, "market_type": "moneyline", "model_version": "lol-tiered-elo-v6", "observed_at_utc": "2026-10-12T05:39:31.685941+00:00", "probabilities": {"away": 0.461269, "home": 0.538731}, "replay_scope": "Exact serving book state, calibration, temperature, inactivity reference and thin-history adjustments; training provenance not certified.", "schema": "esports-elo-replay-v1", "snapshot_hash": "3e8aa8620e48e7878547b5129c31f374ff4089aaa157ed8cf73eee70622f0908", "sport": "LOL"}</t>
        </is>
      </c>
    </row>
    <row r="210" ht="36" customHeight="1">
      <c r="A210" s="24" t="inlineStr">
        <is>
          <t>5178ef11a8fe4c73</t>
        </is>
      </c>
      <c r="B210" s="24" t="inlineStr">
        <is>
          <t>2026-10-12T05:43:06.782310Z</t>
        </is>
      </c>
      <c r="C210" s="24" t="inlineStr">
        <is>
          <t>2026-10-12T09:00:00Z</t>
        </is>
      </c>
      <c r="D210" s="24" t="inlineStr">
        <is>
          <t>150545</t>
        </is>
      </c>
      <c r="E210" s="24" t="inlineStr">
        <is>
          <t>LOL</t>
        </is>
      </c>
      <c r="F210" s="24" t="inlineStr">
        <is>
          <t>JD Gaming</t>
        </is>
      </c>
      <c r="G210" s="24" t="inlineStr">
        <is>
          <t>BNK FEARX</t>
        </is>
      </c>
      <c r="H210" s="24" t="inlineStr">
        <is>
          <t>spread</t>
        </is>
      </c>
      <c r="I210" s="24" t="inlineStr">
        <is>
          <t>away</t>
        </is>
      </c>
      <c r="J210" s="25" t="n">
        <v>1.5</v>
      </c>
      <c r="K210" s="24" t="inlineStr">
        <is>
          <t>polymarket_us</t>
        </is>
      </c>
      <c r="L210" s="26" t="n">
        <v>-113</v>
      </c>
      <c r="M210" s="27" t="n">
        <v>1.884956</v>
      </c>
      <c r="N210" s="28" t="n">
        <v>0.530516</v>
      </c>
      <c r="O210" s="28" t="n">
        <v>0.723488</v>
      </c>
      <c r="P210" s="28" t="n"/>
      <c r="Q210" s="28" t="n">
        <v>0.192972</v>
      </c>
      <c r="R210" s="26" t="n">
        <v>100</v>
      </c>
      <c r="S210" s="29" t="n">
        <v>2</v>
      </c>
      <c r="T210" s="24" t="inlineStr">
        <is>
          <t>lol-spread-tiered-elo-v6</t>
        </is>
      </c>
      <c r="U210" s="24" t="inlineStr">
        <is>
          <t>settled</t>
        </is>
      </c>
      <c r="V210" s="24" t="inlineStr">
        <is>
          <t>win</t>
        </is>
      </c>
      <c r="W210" s="26" t="n">
        <v>1</v>
      </c>
      <c r="X210" s="26" t="n">
        <v>2</v>
      </c>
      <c r="Y210" s="25" t="n"/>
      <c r="Z210" s="26" t="n"/>
      <c r="AA210" s="28" t="n"/>
      <c r="AB210" s="28" t="n"/>
      <c r="AC210" s="30" t="n">
        <v>1.7699</v>
      </c>
      <c r="AD210" s="24" t="inlineStr">
        <is>
          <t>2026-10-12T16:17:10.597139Z</t>
        </is>
      </c>
      <c r="AE210" s="31" t="inlineStr">
        <is>
          <t>Neutral Elo baseline; executable ask 0.5300 (market_slug=asc-lol-bfx-jdg-2026-10-12-hcap-neg-1pt5).</t>
        </is>
      </c>
      <c r="AF210" s="31" t="inlineStr">
        <is>
          <t>Config-promoted esports baseline; gates enforced at log time.</t>
        </is>
      </c>
      <c r="AG210" s="24" t="inlineStr">
        <is>
          <t>not_applicable</t>
        </is>
      </c>
      <c r="AH210" s="24" t="n"/>
      <c r="AI210" s="31" t="n"/>
      <c r="AJ210" s="31" t="n"/>
      <c r="AK210" s="24" t="inlineStr">
        <is>
          <t>model_qualified</t>
        </is>
      </c>
      <c r="AL210" s="26" t="n">
        <v>4</v>
      </c>
      <c r="AM210" s="24" t="inlineStr">
        <is>
          <t>QUALIFIED_SHADOW_CALL</t>
        </is>
      </c>
      <c r="AN210" s="24" t="inlineStr">
        <is>
          <t>CALL</t>
        </is>
      </c>
      <c r="AO210" s="24" t="inlineStr">
        <is>
          <t>QUALIFIED</t>
        </is>
      </c>
      <c r="AP210" s="24" t="inlineStr">
        <is>
          <t>JD Gaming</t>
        </is>
      </c>
      <c r="AQ210" s="24" t="inlineStr">
        <is>
          <t>JD Gaming</t>
        </is>
      </c>
      <c r="AR210" s="24" t="inlineStr">
        <is>
          <t>JD Gaming</t>
        </is>
      </c>
      <c r="AS210" s="24" t="inlineStr">
        <is>
          <t>BNK FEARX</t>
        </is>
      </c>
      <c r="AT210" s="24" t="inlineStr">
        <is>
          <t>BNK FEARX</t>
        </is>
      </c>
      <c r="AU210" s="24" t="inlineStr">
        <is>
          <t>BNK FEARX</t>
        </is>
      </c>
      <c r="AV210" s="24" t="n"/>
      <c r="AW210" s="24" t="n"/>
      <c r="AX210" s="24" t="inlineStr">
        <is>
          <t>statistical_model</t>
        </is>
      </c>
      <c r="AY210" s="24" t="n"/>
      <c r="AZ210" s="24" t="inlineStr">
        <is>
          <t>shadow_qualified</t>
        </is>
      </c>
      <c r="BA210" s="24" t="inlineStr">
        <is>
          <t>5137ee43488f994e321771bd9942579f4deaa67d68a7dcd7cccc026e1ec958fd</t>
        </is>
      </c>
      <c r="BB210" s="24" t="inlineStr">
        <is>
          <t>neutral_elo</t>
        </is>
      </c>
      <c r="BC210" s="24" t="inlineStr">
        <is>
          <t>lol-spread-tiered-elo-v6</t>
        </is>
      </c>
      <c r="BD210" s="24" t="inlineStr">
        <is>
          <t>5137ee43488f994e321771bd9942579f4deaa67d68a7dcd7cccc026e1ec958fd</t>
        </is>
      </c>
      <c r="BE210" s="24" t="inlineStr">
        <is>
          <t>1</t>
        </is>
      </c>
      <c r="BF210" s="24" t="inlineStr">
        <is>
          <t>1</t>
        </is>
      </c>
      <c r="BG210" s="24" t="inlineStr">
        <is>
          <t>lol-spread-tiered-elo-v6</t>
        </is>
      </c>
      <c r="BH210" s="24" t="inlineStr">
        <is>
          <t>2026-10-12T05:41:14.386349Z</t>
        </is>
      </c>
      <c r="BI210" s="24" t="inlineStr">
        <is>
          <t>["same_event","same_team_same_day","same_league_same_day"]</t>
        </is>
      </c>
      <c r="BJ210" s="25" t="n">
        <v>1.5</v>
      </c>
      <c r="BK210" s="26" t="n">
        <v>-113</v>
      </c>
      <c r="BL210" s="27" t="n">
        <v>1.884956</v>
      </c>
      <c r="BM210" s="28" t="n">
        <v>0.530516</v>
      </c>
      <c r="BN210" s="28" t="n"/>
      <c r="BO210" s="28" t="n"/>
      <c r="BP210" s="25" t="n"/>
      <c r="BQ210" s="27" t="n"/>
      <c r="BR210" s="28" t="n"/>
      <c r="BS210" s="28" t="n"/>
      <c r="BT210" s="28" t="n"/>
      <c r="BU210" s="25" t="n"/>
      <c r="BV210" s="29" t="n"/>
      <c r="BW210" s="24" t="n"/>
      <c r="BX210" s="30" t="n"/>
      <c r="BY210" s="27" t="n"/>
      <c r="BZ210" s="24" t="n"/>
      <c r="CA210" s="31" t="n"/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  <c r="CL210" s="24" t="n"/>
      <c r="CM210" s="24" t="n"/>
      <c r="CN210" s="24" t="n"/>
      <c r="CO210" s="24" t="n"/>
      <c r="CP210" s="24" t="n"/>
      <c r="CQ210" s="24" t="n"/>
      <c r="CR210" s="24" t="n"/>
      <c r="CS210" s="24" t="inlineStr">
        <is>
          <t>True</t>
        </is>
      </c>
      <c r="CT210" s="24" t="n"/>
      <c r="CU210" s="24" t="n"/>
      <c r="CV210" s="24" t="n"/>
      <c r="CW210" s="24" t="n"/>
      <c r="CX210" s="24" t="n"/>
      <c r="CY210" s="24" t="n"/>
      <c r="CZ210" s="24" t="n"/>
      <c r="DA210" s="24" t="n"/>
      <c r="DB210" s="24" t="n"/>
      <c r="DC210" s="24" t="n"/>
      <c r="DD210" s="24" t="n"/>
      <c r="DE210" s="24" t="n"/>
      <c r="DF210" s="24" t="n"/>
      <c r="DG210" s="24" t="n"/>
      <c r="DH210" s="24" t="n"/>
      <c r="DI210" s="24" t="n"/>
      <c r="DJ210" s="24" t="n"/>
      <c r="DK210" s="24" t="n"/>
      <c r="DL210" s="24" t="n"/>
      <c r="DM210" s="24" t="n"/>
      <c r="DN210" s="24" t="n"/>
      <c r="DO210" s="24" t="n"/>
      <c r="DP210" s="24" t="n"/>
      <c r="DQ210" s="24" t="n"/>
    </row>
    <row r="211" ht="36" customHeight="1">
      <c r="A211" s="24" t="inlineStr">
        <is>
          <t>4e27be92166641ee</t>
        </is>
      </c>
      <c r="B211" s="24" t="inlineStr">
        <is>
          <t>2026-10-12T22:29:57.338884Z</t>
        </is>
      </c>
      <c r="C211" s="24" t="inlineStr">
        <is>
          <t>2026-10-12T23:00:00Z</t>
        </is>
      </c>
      <c r="D211" s="24" t="inlineStr">
        <is>
          <t>153945</t>
        </is>
      </c>
      <c r="E211" s="24" t="inlineStr">
        <is>
          <t>LOL</t>
        </is>
      </c>
      <c r="F211" s="24" t="inlineStr">
        <is>
          <t>Disguised</t>
        </is>
      </c>
      <c r="G211" s="24" t="inlineStr">
        <is>
          <t>Maryville University</t>
        </is>
      </c>
      <c r="H211" s="24" t="inlineStr">
        <is>
          <t>moneyline</t>
        </is>
      </c>
      <c r="I211" s="24" t="inlineStr">
        <is>
          <t>home</t>
        </is>
      </c>
      <c r="J211" s="25" t="n"/>
      <c r="K211" s="24" t="inlineStr">
        <is>
          <t>polymarket_us</t>
        </is>
      </c>
      <c r="L211" s="26" t="n">
        <v>144</v>
      </c>
      <c r="M211" s="27" t="n">
        <v>2.44</v>
      </c>
      <c r="N211" s="28" t="n">
        <v>0.409836</v>
      </c>
      <c r="O211" s="28" t="n">
        <v>0.718608</v>
      </c>
      <c r="P211" s="28" t="n"/>
      <c r="Q211" s="28" t="n">
        <v>0.308772</v>
      </c>
      <c r="R211" s="26" t="n">
        <v>100</v>
      </c>
      <c r="S211" s="29" t="n">
        <v>2</v>
      </c>
      <c r="T211" s="24" t="inlineStr">
        <is>
          <t>lol-tiered-elo-v6</t>
        </is>
      </c>
      <c r="U211" s="24" t="inlineStr">
        <is>
          <t>settled</t>
        </is>
      </c>
      <c r="V211" s="24" t="inlineStr">
        <is>
          <t>loss</t>
        </is>
      </c>
      <c r="W211" s="26" t="n">
        <v>1</v>
      </c>
      <c r="X211" s="26" t="n">
        <v>0</v>
      </c>
      <c r="Y211" s="25" t="n"/>
      <c r="Z211" s="26" t="n">
        <v>144</v>
      </c>
      <c r="AA211" s="28" t="n">
        <v>0.41</v>
      </c>
      <c r="AB211" s="28" t="n">
        <v>0.000164</v>
      </c>
      <c r="AC211" s="30" t="n">
        <v>-2</v>
      </c>
      <c r="AD211" s="24" t="inlineStr">
        <is>
          <t>2026-10-13T04:38:36.245344Z</t>
        </is>
      </c>
      <c r="AE211" s="31" t="inlineStr">
        <is>
          <t>Neutral Elo baseline; executable ask 0.4100 (market_slug=aec-lol-mvu-dsg-2026-10-12).</t>
        </is>
      </c>
      <c r="AF211" s="31" t="inlineStr">
        <is>
          <t>Config-promoted esports baseline; gates enforced at log time.</t>
        </is>
      </c>
      <c r="AG211" s="24" t="inlineStr">
        <is>
          <t>review_required</t>
        </is>
      </c>
      <c r="AH211" s="24" t="n"/>
      <c r="AI211" s="31" t="n"/>
      <c r="AJ211" s="31" t="n"/>
      <c r="AK211" s="24" t="inlineStr">
        <is>
          <t>model_qualified</t>
        </is>
      </c>
      <c r="AL211" s="26" t="n">
        <v>4</v>
      </c>
      <c r="AM211" s="24" t="inlineStr">
        <is>
          <t>QUALIFIED_SHADOW_CALL</t>
        </is>
      </c>
      <c r="AN211" s="24" t="inlineStr">
        <is>
          <t>CALL</t>
        </is>
      </c>
      <c r="AO211" s="24" t="inlineStr">
        <is>
          <t>QUALIFIED</t>
        </is>
      </c>
      <c r="AP211" s="24" t="inlineStr">
        <is>
          <t>Disguised</t>
        </is>
      </c>
      <c r="AQ211" s="24" t="inlineStr">
        <is>
          <t>Disguised</t>
        </is>
      </c>
      <c r="AR211" s="24" t="inlineStr">
        <is>
          <t>Disguised</t>
        </is>
      </c>
      <c r="AS211" s="24" t="inlineStr">
        <is>
          <t>Maryville University</t>
        </is>
      </c>
      <c r="AT211" s="24" t="inlineStr">
        <is>
          <t>Maryville University</t>
        </is>
      </c>
      <c r="AU211" s="24" t="inlineStr">
        <is>
          <t>Maryville University</t>
        </is>
      </c>
      <c r="AV211" s="24" t="n"/>
      <c r="AW211" s="24" t="n"/>
      <c r="AX211" s="24" t="inlineStr">
        <is>
          <t>statistical_model</t>
        </is>
      </c>
      <c r="AY211" s="24" t="n"/>
      <c r="AZ211" s="24" t="inlineStr">
        <is>
          <t>shadow_qualified</t>
        </is>
      </c>
      <c r="BA211" s="24" t="inlineStr">
        <is>
          <t>6de143ae7e881320a02a25f5cd310612ffb83b18b18b3d0e8b499f5da3c2fcf8</t>
        </is>
      </c>
      <c r="BB211" s="24" t="inlineStr">
        <is>
          <t>neutral_elo</t>
        </is>
      </c>
      <c r="BC211" s="24" t="inlineStr">
        <is>
          <t>lol-tiered-elo-v6</t>
        </is>
      </c>
      <c r="BD211" s="24" t="inlineStr">
        <is>
          <t>6de143ae7e881320a02a25f5cd310612ffb83b18b18b3d0e8b499f5da3c2fcf8</t>
        </is>
      </c>
      <c r="BE211" s="24" t="inlineStr">
        <is>
          <t>1</t>
        </is>
      </c>
      <c r="BF211" s="24" t="inlineStr">
        <is>
          <t>1</t>
        </is>
      </c>
      <c r="BG211" s="24" t="inlineStr">
        <is>
          <t>lol-tiered-elo-v6</t>
        </is>
      </c>
      <c r="BH211" s="24" t="inlineStr">
        <is>
          <t>2026-10-12T22:27:24.541326Z</t>
        </is>
      </c>
      <c r="BI211" s="24" t="inlineStr">
        <is>
          <t>["same_event","same_team_same_day","same_league_same_day"]</t>
        </is>
      </c>
      <c r="BJ211" s="25" t="n"/>
      <c r="BK211" s="26" t="n">
        <v>144</v>
      </c>
      <c r="BL211" s="27" t="n">
        <v>2.44</v>
      </c>
      <c r="BM211" s="28" t="n">
        <v>0.409836</v>
      </c>
      <c r="BN211" s="28" t="n"/>
      <c r="BO211" s="28" t="n"/>
      <c r="BP211" s="25" t="n"/>
      <c r="BQ211" s="27" t="n">
        <v>2.44</v>
      </c>
      <c r="BR211" s="28" t="n">
        <v>0.41</v>
      </c>
      <c r="BS211" s="28" t="n"/>
      <c r="BT211" s="28" t="n"/>
      <c r="BU211" s="25" t="n"/>
      <c r="BV211" s="29" t="n"/>
      <c r="BW211" s="24" t="n"/>
      <c r="BX211" s="30" t="n"/>
      <c r="BY211" s="27" t="n"/>
      <c r="BZ211" s="24" t="n"/>
      <c r="CA211" s="31" t="n"/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  <c r="CR211" s="24" t="n"/>
      <c r="CS211" s="24" t="inlineStr">
        <is>
          <t>True</t>
        </is>
      </c>
      <c r="CT211" s="24" t="n"/>
      <c r="CU211" s="24" t="n"/>
      <c r="CV211" s="24" t="n"/>
      <c r="CW211" s="24" t="n"/>
      <c r="CX211" s="24" t="n"/>
      <c r="CY211" s="24" t="n"/>
      <c r="CZ211" s="24" t="n"/>
      <c r="DA211" s="24" t="n"/>
      <c r="DB211" s="24" t="n"/>
      <c r="DC211" s="24" t="n"/>
      <c r="DD211" s="24" t="n"/>
      <c r="DE211" s="24" t="n"/>
      <c r="DF211" s="24" t="n"/>
      <c r="DG211" s="24" t="n"/>
      <c r="DH211" s="24" t="n"/>
      <c r="DI211" s="24" t="n"/>
      <c r="DJ211" s="24" t="n"/>
      <c r="DK211" s="24" t="n"/>
      <c r="DL211" s="24" t="n"/>
      <c r="DM211" s="24" t="n"/>
      <c r="DN211" s="24" t="n"/>
      <c r="DO211" s="24" t="n"/>
      <c r="DP211" s="24" t="n"/>
      <c r="DQ211" s="24" t="inlineStr">
        <is>
          <t>{"artifact_hash": "6de143ae7e881320a02a25f5cd310612ffb83b18b18b3d0e8b499f5da3c2fcf8", "away_team": "Disguised", "event_id": "153945", "event_start_utc": "2026-10-12T23:00:00Z", "features": {"away_elo": 1470.024636, "away_history_count": 70, "home_elo": 1708.985153, "home_history_count": 40}, "historical_source_observation_times_verified": false, "home_team": "Maryville University", "inference_inputs": {"book_state": {"games_played": {"bo3:3:16807": 70, "bo3:3:17077": 40}, "inactivity_half_life_days": null, "inactivity_max_pull": null, "k": 48.0, "last_match_utc": {"bo3:3:16807": "2026-10-10T21:00:00Z", "bo3:3:17077": "2026-10-08T21:00:00Z"}, "minimum_reliable_games": null, "platt_intercept": 0.06253227406504594, "platt_slope": 0.7856538446533121, "ratings": {"bo3:3:16807": 1470.024636, "bo3:3:17077": 1708.985153},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"2026-10-12T22:27:24.244027+00:00", "team_ids": ["bo3:3:17077", "bo3:3:16807"]}, "market_type": "moneyline", "model_version": "lol-tiered-elo-v6", "observed_at_utc": "2026-10-12T22:27:24.244027+00:00", "probabilities": {"away": 0.281392, "home": 0.718608}, "replay_scope": "Exact serving book state, calibration, temperature, inactivity reference and thin-history adjustments; training provenance not certified.", "schema": "esports-elo-replay-v1", "snapshot_hash": "b2a92a0ef4e80a3233e00826ed15fec205ac7f62b677edd56c5b3def16bd353c", "sport": "LOL"}</t>
        </is>
      </c>
    </row>
    <row r="212" ht="36" customHeight="1">
      <c r="A212" s="24" t="inlineStr">
        <is>
          <t>efc3d223514447f9</t>
        </is>
      </c>
      <c r="B212" s="24" t="inlineStr">
        <is>
          <t>2026-10-13T05:54:20.479309Z</t>
        </is>
      </c>
      <c r="C212" s="24" t="inlineStr">
        <is>
          <t>2026-10-13T06:00:00Z</t>
        </is>
      </c>
      <c r="D212" s="24" t="inlineStr">
        <is>
          <t>152421</t>
        </is>
      </c>
      <c r="E212" s="24" t="inlineStr">
        <is>
          <t>LOL</t>
        </is>
      </c>
      <c r="F212" s="24" t="inlineStr">
        <is>
          <t>FlyQuest</t>
        </is>
      </c>
      <c r="G212" s="24" t="inlineStr">
        <is>
          <t>Team WE</t>
        </is>
      </c>
      <c r="H212" s="24" t="inlineStr">
        <is>
          <t>spread</t>
        </is>
      </c>
      <c r="I212" s="24" t="inlineStr">
        <is>
          <t>away</t>
        </is>
      </c>
      <c r="J212" s="25" t="n">
        <v>1.5</v>
      </c>
      <c r="K212" s="24" t="inlineStr">
        <is>
          <t>polymarket_us</t>
        </is>
      </c>
      <c r="L212" s="26" t="n">
        <v>186</v>
      </c>
      <c r="M212" s="27" t="n">
        <v>2.86</v>
      </c>
      <c r="N212" s="28" t="n">
        <v>0.34965</v>
      </c>
      <c r="O212" s="28" t="n">
        <v>0.7229100000000001</v>
      </c>
      <c r="P212" s="28" t="n"/>
      <c r="Q212" s="28" t="n">
        <v>0.37326</v>
      </c>
      <c r="R212" s="26" t="n">
        <v>100</v>
      </c>
      <c r="S212" s="29" t="n">
        <v>2</v>
      </c>
      <c r="T212" s="24" t="inlineStr">
        <is>
          <t>lol-spread-tiered-elo-v6</t>
        </is>
      </c>
      <c r="U212" s="24" t="inlineStr">
        <is>
          <t>settled</t>
        </is>
      </c>
      <c r="V212" s="24" t="inlineStr">
        <is>
          <t>win</t>
        </is>
      </c>
      <c r="W212" s="26" t="n">
        <v>1</v>
      </c>
      <c r="X212" s="26" t="n">
        <v>2</v>
      </c>
      <c r="Y212" s="25" t="n"/>
      <c r="Z212" s="26" t="n"/>
      <c r="AA212" s="28" t="n"/>
      <c r="AB212" s="28" t="n"/>
      <c r="AC212" s="30" t="n">
        <v>3.72</v>
      </c>
      <c r="AD212" s="24" t="inlineStr">
        <is>
          <t>2026-10-13T10:09:03.422163Z</t>
        </is>
      </c>
      <c r="AE212" s="31" t="inlineStr">
        <is>
          <t>Neutral Elo baseline; executable ask 0.3500 (market_slug=asc-lol-we-fly-2026-10-13-hcap-neg-1pt5).</t>
        </is>
      </c>
      <c r="AF212" s="31" t="inlineStr">
        <is>
          <t>Config-promoted esports baseline; gates enforced at log time.</t>
        </is>
      </c>
      <c r="AG212" s="24" t="inlineStr">
        <is>
          <t>not_applicable</t>
        </is>
      </c>
      <c r="AH212" s="24" t="n"/>
      <c r="AI212" s="31" t="n"/>
      <c r="AJ212" s="31" t="n"/>
      <c r="AK212" s="24" t="inlineStr">
        <is>
          <t>model_qualified</t>
        </is>
      </c>
      <c r="AL212" s="26" t="n">
        <v>4</v>
      </c>
      <c r="AM212" s="24" t="inlineStr">
        <is>
          <t>QUALIFIED_SHADOW_CALL</t>
        </is>
      </c>
      <c r="AN212" s="24" t="inlineStr">
        <is>
          <t>CALL</t>
        </is>
      </c>
      <c r="AO212" s="24" t="inlineStr">
        <is>
          <t>QUALIFIED</t>
        </is>
      </c>
      <c r="AP212" s="24" t="inlineStr">
        <is>
          <t>FlyQuest</t>
        </is>
      </c>
      <c r="AQ212" s="24" t="inlineStr">
        <is>
          <t>FlyQuest</t>
        </is>
      </c>
      <c r="AR212" s="24" t="inlineStr">
        <is>
          <t>FlyQuest</t>
        </is>
      </c>
      <c r="AS212" s="24" t="inlineStr">
        <is>
          <t>Team WE</t>
        </is>
      </c>
      <c r="AT212" s="24" t="inlineStr">
        <is>
          <t>Team WE</t>
        </is>
      </c>
      <c r="AU212" s="24" t="inlineStr">
        <is>
          <t>Team WE</t>
        </is>
      </c>
      <c r="AV212" s="24" t="n"/>
      <c r="AW212" s="24" t="n"/>
      <c r="AX212" s="24" t="inlineStr">
        <is>
          <t>statistical_model</t>
        </is>
      </c>
      <c r="AY212" s="24" t="n"/>
      <c r="AZ212" s="24" t="inlineStr">
        <is>
          <t>shadow_qualified</t>
        </is>
      </c>
      <c r="BA212" s="24" t="inlineStr">
        <is>
          <t>4df027d27b20080e68bff92c8293fe0ed08143a81bbcd74c2f984d4255029ce6</t>
        </is>
      </c>
      <c r="BB212" s="24" t="inlineStr">
        <is>
          <t>neutral_elo</t>
        </is>
      </c>
      <c r="BC212" s="24" t="inlineStr">
        <is>
          <t>lol-spread-tiered-elo-v6</t>
        </is>
      </c>
      <c r="BD212" s="24" t="inlineStr">
        <is>
          <t>4df027d27b20080e68bff92c8293fe0ed08143a81bbcd74c2f984d4255029ce6</t>
        </is>
      </c>
      <c r="BE212" s="24" t="inlineStr">
        <is>
          <t>1</t>
        </is>
      </c>
      <c r="BF212" s="24" t="inlineStr">
        <is>
          <t>1</t>
        </is>
      </c>
      <c r="BG212" s="24" t="inlineStr">
        <is>
          <t>lol-spread-tiered-elo-v6</t>
        </is>
      </c>
      <c r="BH212" s="24" t="inlineStr">
        <is>
          <t>2026-10-13T05:50:53.893217Z</t>
        </is>
      </c>
      <c r="BI212" s="24" t="inlineStr">
        <is>
          <t>["same_event","same_team_same_day","same_league_same_day"]</t>
        </is>
      </c>
      <c r="BJ212" s="25" t="n">
        <v>1.5</v>
      </c>
      <c r="BK212" s="26" t="n">
        <v>186</v>
      </c>
      <c r="BL212" s="27" t="n">
        <v>2.86</v>
      </c>
      <c r="BM212" s="28" t="n">
        <v>0.34965</v>
      </c>
      <c r="BN212" s="28" t="n"/>
      <c r="BO212" s="28" t="n"/>
      <c r="BP212" s="25" t="n"/>
      <c r="BQ212" s="27" t="n"/>
      <c r="BR212" s="28" t="n"/>
      <c r="BS212" s="28" t="n"/>
      <c r="BT212" s="28" t="n"/>
      <c r="BU212" s="25" t="n"/>
      <c r="BV212" s="29" t="n"/>
      <c r="BW212" s="24" t="n"/>
      <c r="BX212" s="30" t="n"/>
      <c r="BY212" s="27" t="n"/>
      <c r="BZ212" s="24" t="n"/>
      <c r="CA212" s="31" t="n"/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inlineStr">
        <is>
          <t>True</t>
        </is>
      </c>
      <c r="CT212" s="24" t="n"/>
      <c r="CU212" s="24" t="n"/>
      <c r="CV212" s="24" t="n"/>
      <c r="CW212" s="24" t="n"/>
      <c r="CX212" s="24" t="n"/>
      <c r="CY212" s="24" t="n"/>
      <c r="CZ212" s="24" t="n"/>
      <c r="DA212" s="24" t="n"/>
      <c r="DB212" s="24" t="n"/>
      <c r="DC212" s="24" t="n"/>
      <c r="DD212" s="24" t="n"/>
      <c r="DE212" s="24" t="n"/>
      <c r="DF212" s="24" t="n"/>
      <c r="DG212" s="24" t="n"/>
      <c r="DH212" s="24" t="n"/>
      <c r="DI212" s="24" t="n"/>
      <c r="DJ212" s="24" t="n"/>
      <c r="DK212" s="24" t="n"/>
      <c r="DL212" s="24" t="n"/>
      <c r="DM212" s="24" t="n"/>
      <c r="DN212" s="24" t="n"/>
      <c r="DO212" s="24" t="n"/>
      <c r="DP212" s="24" t="n"/>
      <c r="DQ212" s="24" t="n"/>
    </row>
    <row r="213" ht="36" customHeight="1">
      <c r="A213" s="24" t="inlineStr">
        <is>
          <t>82c6df908db64dac</t>
        </is>
      </c>
      <c r="B213" s="24" t="inlineStr">
        <is>
          <t>2026-10-13T05:54:20.479309Z</t>
        </is>
      </c>
      <c r="C213" s="24" t="inlineStr">
        <is>
          <t>2026-10-13T09:00:00Z</t>
        </is>
      </c>
      <c r="D213" s="24" t="inlineStr">
        <is>
          <t>152512</t>
        </is>
      </c>
      <c r="E213" s="24" t="inlineStr">
        <is>
          <t>LOL</t>
        </is>
      </c>
      <c r="F213" s="24" t="inlineStr">
        <is>
          <t>LGD Gaming</t>
        </is>
      </c>
      <c r="G213" s="24" t="inlineStr">
        <is>
          <t>HANJIN BRION</t>
        </is>
      </c>
      <c r="H213" s="24" t="inlineStr">
        <is>
          <t>spread</t>
        </is>
      </c>
      <c r="I213" s="24" t="inlineStr">
        <is>
          <t>home</t>
        </is>
      </c>
      <c r="J213" s="25" t="n">
        <v>1.5</v>
      </c>
      <c r="K213" s="24" t="inlineStr">
        <is>
          <t>polymarket_us</t>
        </is>
      </c>
      <c r="L213" s="26" t="n">
        <v>-223</v>
      </c>
      <c r="M213" s="27" t="n">
        <v>1.44843</v>
      </c>
      <c r="N213" s="28" t="n">
        <v>0.690402</v>
      </c>
      <c r="O213" s="28" t="n">
        <v>0.687275</v>
      </c>
      <c r="P213" s="28" t="n"/>
      <c r="Q213" s="28" t="n">
        <v>-0.003127</v>
      </c>
      <c r="R213" s="26" t="n">
        <v>18</v>
      </c>
      <c r="S213" s="29" t="n">
        <v>1</v>
      </c>
      <c r="T213" s="24" t="inlineStr">
        <is>
          <t>lol-spread-tiered-elo-v6</t>
        </is>
      </c>
      <c r="U213" s="24" t="inlineStr">
        <is>
          <t>settled</t>
        </is>
      </c>
      <c r="V213" s="24" t="inlineStr">
        <is>
          <t>win</t>
        </is>
      </c>
      <c r="W213" s="26" t="n">
        <v>2</v>
      </c>
      <c r="X213" s="26" t="n">
        <v>1</v>
      </c>
      <c r="Y213" s="25" t="n"/>
      <c r="Z213" s="26" t="n"/>
      <c r="AA213" s="28" t="n"/>
      <c r="AB213" s="28" t="n"/>
      <c r="AC213" s="30" t="n">
        <v>0.4484</v>
      </c>
      <c r="AD213" s="24" t="inlineStr">
        <is>
          <t>2026-10-13T16:17:44.186243Z</t>
        </is>
      </c>
      <c r="AE213" s="31" t="inlineStr">
        <is>
          <t>Neutral Elo baseline; executable ask 0.6900 (market_slug=asc-lol-bro-lgd-2026-10-13-hcap-pos-1pt5).</t>
        </is>
      </c>
      <c r="AF213" s="31" t="inlineStr">
        <is>
          <t>Config-promoted esports baseline; gates enforced at log time.</t>
        </is>
      </c>
      <c r="AG213" s="24" t="inlineStr">
        <is>
          <t>not_applicable</t>
        </is>
      </c>
      <c r="AH213" s="24" t="n"/>
      <c r="AI213" s="31" t="n"/>
      <c r="AJ213" s="31" t="n"/>
      <c r="AK213" s="24" t="inlineStr">
        <is>
          <t>paper_call</t>
        </is>
      </c>
      <c r="AL213" s="26" t="n">
        <v>4</v>
      </c>
      <c r="AM213" s="24" t="inlineStr">
        <is>
          <t>RESEARCH_OBSERVATION</t>
        </is>
      </c>
      <c r="AN213" s="24" t="inlineStr">
        <is>
          <t>CALL</t>
        </is>
      </c>
      <c r="AO213" s="24" t="inlineStr">
        <is>
          <t>PAPER_CALL_LOW_EDGE</t>
        </is>
      </c>
      <c r="AP213" s="24" t="inlineStr">
        <is>
          <t>LGD Gaming</t>
        </is>
      </c>
      <c r="AQ213" s="24" t="inlineStr">
        <is>
          <t>LGD Gaming</t>
        </is>
      </c>
      <c r="AR213" s="24" t="inlineStr">
        <is>
          <t>LGD Gaming</t>
        </is>
      </c>
      <c r="AS213" s="24" t="inlineStr">
        <is>
          <t>HANJIN BRION</t>
        </is>
      </c>
      <c r="AT213" s="24" t="inlineStr">
        <is>
          <t>HANJIN BRION</t>
        </is>
      </c>
      <c r="AU213" s="24" t="inlineStr">
        <is>
          <t>HANJIN BRION</t>
        </is>
      </c>
      <c r="AV213" s="24" t="n"/>
      <c r="AW213" s="24" t="n"/>
      <c r="AX213" s="24" t="inlineStr">
        <is>
          <t>statistical_model</t>
        </is>
      </c>
      <c r="AY213" s="24" t="n"/>
      <c r="AZ213" s="24" t="inlineStr">
        <is>
          <t>shadow_qualified</t>
        </is>
      </c>
      <c r="BA213" s="24" t="inlineStr">
        <is>
          <t>4df027d27b20080e68bff92c8293fe0ed08143a81bbcd74c2f984d4255029ce6</t>
        </is>
      </c>
      <c r="BB213" s="24" t="inlineStr">
        <is>
          <t>neutral_elo</t>
        </is>
      </c>
      <c r="BC213" s="24" t="inlineStr">
        <is>
          <t>lol-spread-tiered-elo-v6</t>
        </is>
      </c>
      <c r="BD213" s="24" t="inlineStr">
        <is>
          <t>4df027d27b20080e68bff92c8293fe0ed08143a81bbcd74c2f984d4255029ce6</t>
        </is>
      </c>
      <c r="BE213" s="24" t="inlineStr">
        <is>
          <t>1</t>
        </is>
      </c>
      <c r="BF213" s="24" t="inlineStr">
        <is>
          <t>1</t>
        </is>
      </c>
      <c r="BG213" s="24" t="inlineStr">
        <is>
          <t>lol-spread-tiered-elo-v6</t>
        </is>
      </c>
      <c r="BH213" s="24" t="inlineStr">
        <is>
          <t>2026-10-13T05:53:07.034737Z</t>
        </is>
      </c>
      <c r="BI213" s="24" t="inlineStr">
        <is>
          <t>["same_event","same_team_same_day","same_league_same_day"]</t>
        </is>
      </c>
      <c r="BJ213" s="25" t="n">
        <v>1.5</v>
      </c>
      <c r="BK213" s="26" t="n">
        <v>-223</v>
      </c>
      <c r="BL213" s="27" t="n">
        <v>1.44843</v>
      </c>
      <c r="BM213" s="28" t="n">
        <v>0.690402</v>
      </c>
      <c r="BN213" s="28" t="n"/>
      <c r="BO213" s="28" t="n"/>
      <c r="BP213" s="25" t="n"/>
      <c r="BQ213" s="27" t="n"/>
      <c r="BR213" s="28" t="n"/>
      <c r="BS213" s="28" t="n"/>
      <c r="BT213" s="28" t="n"/>
      <c r="BU213" s="25" t="n"/>
      <c r="BV213" s="29" t="n"/>
      <c r="BW213" s="24" t="n"/>
      <c r="BX213" s="30" t="n"/>
      <c r="BY213" s="27" t="n"/>
      <c r="BZ213" s="24" t="n"/>
      <c r="CA213" s="31" t="n"/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  <c r="CL213" s="24" t="n"/>
      <c r="CM213" s="24" t="n"/>
      <c r="CN213" s="24" t="n"/>
      <c r="CO213" s="24" t="n"/>
      <c r="CP213" s="24" t="n"/>
      <c r="CQ213" s="24" t="n"/>
      <c r="CR213" s="24" t="n"/>
      <c r="CS213" s="24" t="inlineStr">
        <is>
          <t>False</t>
        </is>
      </c>
      <c r="CT213" s="24" t="n"/>
      <c r="CU213" s="24" t="n"/>
      <c r="CV213" s="24" t="n"/>
      <c r="CW213" s="24" t="n"/>
      <c r="CX213" s="24" t="n"/>
      <c r="CY213" s="24" t="n"/>
      <c r="CZ213" s="24" t="n"/>
      <c r="DA213" s="24" t="n"/>
      <c r="DB213" s="24" t="n"/>
      <c r="DC213" s="24" t="n"/>
      <c r="DD213" s="24" t="n"/>
      <c r="DE213" s="24" t="n"/>
      <c r="DF213" s="24" t="n"/>
      <c r="DG213" s="24" t="n"/>
      <c r="DH213" s="24" t="n"/>
      <c r="DI213" s="24" t="n"/>
      <c r="DJ213" s="24" t="n"/>
      <c r="DK213" s="24" t="n"/>
      <c r="DL213" s="24" t="n"/>
      <c r="DM213" s="24" t="n"/>
      <c r="DN213" s="24" t="n"/>
      <c r="DO213" s="24" t="n"/>
      <c r="DP213" s="24" t="n"/>
      <c r="DQ213" s="24" t="n"/>
    </row>
    <row r="214" ht="36" customHeight="1">
      <c r="A214" s="24" t="inlineStr">
        <is>
          <t>1fc9bb46814d4066</t>
        </is>
      </c>
      <c r="B214" s="24" t="inlineStr">
        <is>
          <t>2026-10-13T05:54:20.479309Z</t>
        </is>
      </c>
      <c r="C214" s="24" t="inlineStr">
        <is>
          <t>2026-10-13T09:00:00Z</t>
        </is>
      </c>
      <c r="D214" s="24" t="inlineStr">
        <is>
          <t>152512</t>
        </is>
      </c>
      <c r="E214" s="24" t="inlineStr">
        <is>
          <t>LOL</t>
        </is>
      </c>
      <c r="F214" s="24" t="inlineStr">
        <is>
          <t>LGD Gaming</t>
        </is>
      </c>
      <c r="G214" s="24" t="inlineStr">
        <is>
          <t>HANJIN BRION</t>
        </is>
      </c>
      <c r="H214" s="24" t="inlineStr">
        <is>
          <t>moneyline</t>
        </is>
      </c>
      <c r="I214" s="24" t="inlineStr">
        <is>
          <t>away</t>
        </is>
      </c>
      <c r="J214" s="25" t="n"/>
      <c r="K214" s="24" t="inlineStr">
        <is>
          <t>polymarket_us</t>
        </is>
      </c>
      <c r="L214" s="26" t="n">
        <v>-117</v>
      </c>
      <c r="M214" s="27" t="n">
        <v>1.854701</v>
      </c>
      <c r="N214" s="28" t="n">
        <v>0.539171</v>
      </c>
      <c r="O214" s="28" t="n">
        <v>0.588411</v>
      </c>
      <c r="P214" s="28" t="n"/>
      <c r="Q214" s="28" t="n">
        <v>0.04924</v>
      </c>
      <c r="R214" s="26" t="n">
        <v>45</v>
      </c>
      <c r="S214" s="29" t="n">
        <v>1</v>
      </c>
      <c r="T214" s="24" t="inlineStr">
        <is>
          <t>lol-tiered-elo-v6</t>
        </is>
      </c>
      <c r="U214" s="24" t="inlineStr">
        <is>
          <t>settled</t>
        </is>
      </c>
      <c r="V214" s="24" t="inlineStr">
        <is>
          <t>loss</t>
        </is>
      </c>
      <c r="W214" s="26" t="n">
        <v>0</v>
      </c>
      <c r="X214" s="26" t="n">
        <v>1</v>
      </c>
      <c r="Y214" s="25" t="n"/>
      <c r="Z214" s="26" t="n">
        <v>-117</v>
      </c>
      <c r="AA214" s="28" t="n">
        <v>0.54</v>
      </c>
      <c r="AB214" s="28" t="n">
        <v>0.000829</v>
      </c>
      <c r="AC214" s="30" t="n">
        <v>-1</v>
      </c>
      <c r="AD214" s="24" t="inlineStr">
        <is>
          <t>2026-10-13T16:17:45.646882Z</t>
        </is>
      </c>
      <c r="AE214" s="31" t="inlineStr">
        <is>
          <t>Neutral Elo baseline; executable ask 0.5400 (market_slug=aec-lol-bro-lgd-2026-10-13).</t>
        </is>
      </c>
      <c r="AF214" s="31" t="inlineStr">
        <is>
          <t>Config-promoted esports baseline; gates enforced at log time.</t>
        </is>
      </c>
      <c r="AG214" s="24" t="inlineStr">
        <is>
          <t>review_required</t>
        </is>
      </c>
      <c r="AH214" s="24" t="n"/>
      <c r="AI214" s="31" t="n"/>
      <c r="AJ214" s="31" t="n"/>
      <c r="AK214" s="24" t="inlineStr">
        <is>
          <t>model_qualified</t>
        </is>
      </c>
      <c r="AL214" s="26" t="n">
        <v>4</v>
      </c>
      <c r="AM214" s="24" t="inlineStr">
        <is>
          <t>QUALIFIED_SHADOW_CALL</t>
        </is>
      </c>
      <c r="AN214" s="24" t="inlineStr">
        <is>
          <t>CALL</t>
        </is>
      </c>
      <c r="AO214" s="24" t="inlineStr">
        <is>
          <t>QUALIFIED</t>
        </is>
      </c>
      <c r="AP214" s="24" t="inlineStr">
        <is>
          <t>LGD Gaming</t>
        </is>
      </c>
      <c r="AQ214" s="24" t="inlineStr">
        <is>
          <t>LGD Gaming</t>
        </is>
      </c>
      <c r="AR214" s="24" t="inlineStr">
        <is>
          <t>LGD Gaming</t>
        </is>
      </c>
      <c r="AS214" s="24" t="inlineStr">
        <is>
          <t>HANJIN BRION</t>
        </is>
      </c>
      <c r="AT214" s="24" t="inlineStr">
        <is>
          <t>HANJIN BRION</t>
        </is>
      </c>
      <c r="AU214" s="24" t="inlineStr">
        <is>
          <t>HANJIN BRION</t>
        </is>
      </c>
      <c r="AV214" s="24" t="n"/>
      <c r="AW214" s="24" t="n"/>
      <c r="AX214" s="24" t="inlineStr">
        <is>
          <t>statistical_model</t>
        </is>
      </c>
      <c r="AY214" s="24" t="n"/>
      <c r="AZ214" s="24" t="inlineStr">
        <is>
          <t>shadow_qualified</t>
        </is>
      </c>
      <c r="BA214" s="24" t="inlineStr">
        <is>
          <t>4df027d27b20080e68bff92c8293fe0ed08143a81bbcd74c2f984d4255029ce6</t>
        </is>
      </c>
      <c r="BB214" s="24" t="inlineStr">
        <is>
          <t>neutral_elo</t>
        </is>
      </c>
      <c r="BC214" s="24" t="inlineStr">
        <is>
          <t>lol-tiered-elo-v6</t>
        </is>
      </c>
      <c r="BD214" s="24" t="inlineStr">
        <is>
          <t>4df027d27b20080e68bff92c8293fe0ed08143a81bbcd74c2f984d4255029ce6</t>
        </is>
      </c>
      <c r="BE214" s="24" t="inlineStr">
        <is>
          <t>1</t>
        </is>
      </c>
      <c r="BF214" s="24" t="inlineStr">
        <is>
          <t>1</t>
        </is>
      </c>
      <c r="BG214" s="24" t="inlineStr">
        <is>
          <t>lol-tiered-elo-v6</t>
        </is>
      </c>
      <c r="BH214" s="24" t="inlineStr">
        <is>
          <t>2026-10-13T05:53:07.110637Z</t>
        </is>
      </c>
      <c r="BI214" s="24" t="inlineStr">
        <is>
          <t>["same_event","same_team_same_day","same_league_same_day"]</t>
        </is>
      </c>
      <c r="BJ214" s="25" t="n"/>
      <c r="BK214" s="26" t="n">
        <v>-117</v>
      </c>
      <c r="BL214" s="27" t="n">
        <v>1.854701</v>
      </c>
      <c r="BM214" s="28" t="n">
        <v>0.539171</v>
      </c>
      <c r="BN214" s="28" t="n"/>
      <c r="BO214" s="28" t="n"/>
      <c r="BP214" s="25" t="n"/>
      <c r="BQ214" s="27" t="n">
        <v>1.854701</v>
      </c>
      <c r="BR214" s="28" t="n">
        <v>0.54</v>
      </c>
      <c r="BS214" s="28" t="n"/>
      <c r="BT214" s="28" t="n"/>
      <c r="BU214" s="25" t="n"/>
      <c r="BV214" s="29" t="n"/>
      <c r="BW214" s="24" t="n"/>
      <c r="BX214" s="30" t="n"/>
      <c r="BY214" s="27" t="n"/>
      <c r="BZ214" s="24" t="n"/>
      <c r="CA214" s="31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inlineStr">
        <is>
          <t>True</t>
        </is>
      </c>
      <c r="CT214" s="24" t="n"/>
      <c r="CU214" s="24" t="n"/>
      <c r="CV214" s="24" t="n"/>
      <c r="CW214" s="24" t="n"/>
      <c r="CX214" s="24" t="n"/>
      <c r="CY214" s="24" t="n"/>
      <c r="CZ214" s="24" t="n"/>
      <c r="DA214" s="24" t="n"/>
      <c r="DB214" s="24" t="n"/>
      <c r="DC214" s="24" t="n"/>
      <c r="DD214" s="24" t="n"/>
      <c r="DE214" s="24" t="n"/>
      <c r="DF214" s="24" t="n"/>
      <c r="DG214" s="24" t="n"/>
      <c r="DH214" s="24" t="n"/>
      <c r="DI214" s="24" t="n"/>
      <c r="DJ214" s="24" t="n"/>
      <c r="DK214" s="24" t="n"/>
      <c r="DL214" s="24" t="n"/>
      <c r="DM214" s="24" t="n"/>
      <c r="DN214" s="24" t="n"/>
      <c r="DO214" s="24" t="n"/>
      <c r="DP214" s="24" t="n"/>
      <c r="DQ214" s="24" t="inlineStr">
        <is>
          <t>{"artifact_hash": "4df027d27b20080e68bff92c8293fe0ed08143a81bbcd74c2f984d4255029ce6", "away_team": "LGD Gaming", "event_id": "152512", "event_start_utc": "2026-10-13T09:00:00Z", "features": {"away_elo": 1656.696707, "away_history_count": 114, "home_elo": 1542.658013, "home_history_count": 135}, "historical_source_observation_times_verified": false, "home_team": "HANJIN BRION", "inference_inputs": {"book_state": {"games_played": {"bo3:3:17957": 114, "bo3:3:20350": 135}, "inactivity_half_life_days": null, "inactivity_max_pull": null, "k": 48.0, "last_match_utc": {"bo3:3:17957": "2026-10-06T11:15:00Z", "bo3:3:20350": "2026-10-06T07:00:00Z"}, "minimum_reliable_games": null, "platt_intercept": 0.06587908043027771, "platt_slope": 0.7892862326027437, "ratings": {"bo3:3:17957": 1656.696707, "bo3:3:20350": 1542.658013},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"2026-10-13T05:50:34.289338+00:00", "team_ids": ["bo3:3:20350", "bo3:3:17957"]}, "market_type": "moneyline", "model_version": "lol-tiered-elo-v6", "observed_at_utc": "2026-10-13T05:50:34.289338+00:00", "probabilities": {"away": 0.588411, "home": 0.411589}, "replay_scope": "Exact serving book state, calibration, temperature, inactivity reference and thin-history adjustments; training provenance not certified.", "schema": "esports-elo-replay-v1", "snapshot_hash": "811be39846daad73048f62ec5d2243ace3d77682a1f8b69650c820b927c8abe9", "sport": "LOL"}</t>
        </is>
      </c>
    </row>
    <row r="215" ht="36" customHeight="1">
      <c r="A215" s="24" t="inlineStr">
        <is>
          <t>baa59c3159b94171</t>
        </is>
      </c>
      <c r="B215" s="24" t="inlineStr">
        <is>
          <t>2026-10-13T22:30:28.211733Z</t>
        </is>
      </c>
      <c r="C215" s="24" t="inlineStr">
        <is>
          <t>2026-10-14T09:00:00Z</t>
        </is>
      </c>
      <c r="D215" s="24" t="inlineStr">
        <is>
          <t>156611</t>
        </is>
      </c>
      <c r="E215" s="24" t="inlineStr">
        <is>
          <t>LOL</t>
        </is>
      </c>
      <c r="F215" s="24" t="inlineStr">
        <is>
          <t>BNK FEARX</t>
        </is>
      </c>
      <c r="G215" s="24" t="inlineStr">
        <is>
          <t>KT Rolster</t>
        </is>
      </c>
      <c r="H215" s="24" t="inlineStr">
        <is>
          <t>moneyline</t>
        </is>
      </c>
      <c r="I215" s="24" t="inlineStr">
        <is>
          <t>home</t>
        </is>
      </c>
      <c r="J215" s="25" t="n"/>
      <c r="K215" s="24" t="inlineStr">
        <is>
          <t>polymarket_us</t>
        </is>
      </c>
      <c r="L215" s="26" t="n">
        <v>-156</v>
      </c>
      <c r="M215" s="27" t="n">
        <v>1.641026</v>
      </c>
      <c r="N215" s="28" t="n">
        <v>0.609375</v>
      </c>
      <c r="O215" s="28" t="n">
        <v>0.538121</v>
      </c>
      <c r="P215" s="28" t="n"/>
      <c r="Q215" s="28" t="n">
        <v>-0.071254</v>
      </c>
      <c r="R215" s="26" t="n">
        <v>0</v>
      </c>
      <c r="S215" s="29" t="n">
        <v>1</v>
      </c>
      <c r="T215" s="24" t="inlineStr">
        <is>
          <t>lol-tiered-elo-v6</t>
        </is>
      </c>
      <c r="U215" s="24" t="inlineStr">
        <is>
          <t>open</t>
        </is>
      </c>
      <c r="V215" s="24" t="n"/>
      <c r="W215" s="26" t="n"/>
      <c r="X215" s="26" t="n"/>
      <c r="Y215" s="25" t="n"/>
      <c r="Z215" s="26" t="n"/>
      <c r="AA215" s="28" t="n"/>
      <c r="AB215" s="28" t="n"/>
      <c r="AC215" s="30" t="n"/>
      <c r="AD215" s="24" t="n"/>
      <c r="AE215" s="31" t="inlineStr">
        <is>
          <t>Neutral Elo baseline; executable ask 0.6100 (market_slug=aec-lol-kt-bfx-2026-10-14).</t>
        </is>
      </c>
      <c r="AF215" s="31" t="inlineStr">
        <is>
          <t>Config-promoted esports baseline; gates enforced at log time.</t>
        </is>
      </c>
      <c r="AG215" s="24" t="inlineStr">
        <is>
          <t>not_applicable</t>
        </is>
      </c>
      <c r="AH215" s="24" t="n"/>
      <c r="AI215" s="31" t="n"/>
      <c r="AJ215" s="31" t="n"/>
      <c r="AK215" s="24" t="inlineStr">
        <is>
          <t>paper_call</t>
        </is>
      </c>
      <c r="AL215" s="26" t="n">
        <v>4</v>
      </c>
      <c r="AM215" s="24" t="inlineStr">
        <is>
          <t>RESEARCH_OBSERVATION</t>
        </is>
      </c>
      <c r="AN215" s="24" t="inlineStr">
        <is>
          <t>CALL</t>
        </is>
      </c>
      <c r="AO215" s="24" t="inlineStr">
        <is>
          <t>PAPER_CALL_LOW_EDGE</t>
        </is>
      </c>
      <c r="AP215" s="24" t="inlineStr">
        <is>
          <t>BNK FEARX</t>
        </is>
      </c>
      <c r="AQ215" s="24" t="inlineStr">
        <is>
          <t>BNK FEARX</t>
        </is>
      </c>
      <c r="AR215" s="24" t="inlineStr">
        <is>
          <t>BNK FEARX</t>
        </is>
      </c>
      <c r="AS215" s="24" t="inlineStr">
        <is>
          <t>KT Rolster</t>
        </is>
      </c>
      <c r="AT215" s="24" t="inlineStr">
        <is>
          <t>KT Rolster</t>
        </is>
      </c>
      <c r="AU215" s="24" t="inlineStr">
        <is>
          <t>KT Rolster</t>
        </is>
      </c>
      <c r="AV215" s="24" t="n"/>
      <c r="AW215" s="24" t="n"/>
      <c r="AX215" s="24" t="inlineStr">
        <is>
          <t>statistical_model</t>
        </is>
      </c>
      <c r="AY215" s="24" t="n"/>
      <c r="AZ215" s="24" t="inlineStr">
        <is>
          <t>shadow_qualified</t>
        </is>
      </c>
      <c r="BA215" s="24" t="inlineStr">
        <is>
          <t>299376ab231303b35e42a3ec79312a649605d948f3ec2ccd1bc24b379189bd2c</t>
        </is>
      </c>
      <c r="BB215" s="24" t="inlineStr">
        <is>
          <t>neutral_elo</t>
        </is>
      </c>
      <c r="BC215" s="24" t="inlineStr">
        <is>
          <t>lol-tiered-elo-v6</t>
        </is>
      </c>
      <c r="BD215" s="24" t="inlineStr">
        <is>
          <t>299376ab231303b35e42a3ec79312a649605d948f3ec2ccd1bc24b379189bd2c</t>
        </is>
      </c>
      <c r="BE215" s="24" t="inlineStr">
        <is>
          <t>1</t>
        </is>
      </c>
      <c r="BF215" s="24" t="inlineStr">
        <is>
          <t>1</t>
        </is>
      </c>
      <c r="BG215" s="24" t="inlineStr">
        <is>
          <t>lol-tiered-elo-v6</t>
        </is>
      </c>
      <c r="BH215" s="24" t="inlineStr">
        <is>
          <t>2026-10-13T22:29:28.670613Z</t>
        </is>
      </c>
      <c r="BI215" s="24" t="inlineStr">
        <is>
          <t>["same_event","same_team_same_day","same_league_same_day"]</t>
        </is>
      </c>
      <c r="BJ215" s="25" t="n"/>
      <c r="BK215" s="26" t="n">
        <v>-156</v>
      </c>
      <c r="BL215" s="27" t="n">
        <v>1.641026</v>
      </c>
      <c r="BM215" s="28" t="n">
        <v>0.609375</v>
      </c>
      <c r="BN215" s="28" t="n"/>
      <c r="BO215" s="28" t="n"/>
      <c r="BP215" s="25" t="n"/>
      <c r="BQ215" s="27" t="n"/>
      <c r="BR215" s="28" t="n"/>
      <c r="BS215" s="28" t="n"/>
      <c r="BT215" s="28" t="n"/>
      <c r="BU215" s="25" t="n"/>
      <c r="BV215" s="29" t="n"/>
      <c r="BW215" s="24" t="n"/>
      <c r="BX215" s="30" t="n"/>
      <c r="BY215" s="27" t="n"/>
      <c r="BZ215" s="24" t="n"/>
      <c r="CA215" s="31" t="n"/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  <c r="CL215" s="24" t="n"/>
      <c r="CM215" s="24" t="n"/>
      <c r="CN215" s="24" t="n"/>
      <c r="CO215" s="24" t="n"/>
      <c r="CP215" s="24" t="n"/>
      <c r="CQ215" s="24" t="n"/>
      <c r="CR215" s="24" t="n"/>
      <c r="CS215" s="24" t="inlineStr">
        <is>
          <t>False</t>
        </is>
      </c>
      <c r="CT215" s="24" t="n"/>
      <c r="CU215" s="24" t="n"/>
      <c r="CV215" s="24" t="n"/>
      <c r="CW215" s="24" t="n"/>
      <c r="CX215" s="24" t="n"/>
      <c r="CY215" s="24" t="n"/>
      <c r="CZ215" s="24" t="n"/>
      <c r="DA215" s="24" t="n"/>
      <c r="DB215" s="24" t="n"/>
      <c r="DC215" s="24" t="n"/>
      <c r="DD215" s="24" t="n"/>
      <c r="DE215" s="24" t="n"/>
      <c r="DF215" s="24" t="n"/>
      <c r="DG215" s="24" t="n"/>
      <c r="DH215" s="24" t="n"/>
      <c r="DI215" s="24" t="n"/>
      <c r="DJ215" s="24" t="n"/>
      <c r="DK215" s="24" t="n"/>
      <c r="DL215" s="24" t="n"/>
      <c r="DM215" s="24" t="n"/>
      <c r="DN215" s="24" t="n"/>
      <c r="DO215" s="24" t="n"/>
      <c r="DP215" s="24" t="n"/>
      <c r="DQ215" s="24" t="inlineStr">
        <is>
          <t>{"artifact_hash": "299376ab231303b35e42a3ec79312a649605d948f3ec2ccd1bc24b379189bd2c", "away_team": "BNK FEARX", "event_id": "156611", "event_start_utc": "2026-10-14T09:00:00Z", "features": {"away_elo": 1696.549683, "away_history_count": 147, "home_elo": 1722.551961, "home_history_count": 151}, "historical_source_observation_times_verified": false, "home_team": "KT Rolster", "inference_inputs": {"book_state": {"games_played": {"bo3:3:18156": 151, "bo3:3:18335": 147}, "inactivity_half_life_days": null, "inactivity_max_pull": null, "k": 48.0, "last_match_utc": {"bo3:3:18156": "2026-10-12T06:00:00Z", "bo3:3:18335": "2026-10-12T10:30:00Z"}, "minimum_reliable_games": null, "platt_intercept": 0.06590547113706442, "platt_slope": 0.7862898525737445, "ratings": {"bo3:3:18156": 1722.551961, "bo3:3:18335": 1696.549683},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"2026-10-13T22:29:06.680882+00:00", "team_ids": ["bo3:3:18156", "bo3:3:18335"]}, "market_type": "moneyline", "model_version": "lol-tiered-elo-v6", "observed_at_utc": "2026-10-13T22:29:06.680882+00:00", "probabilities": {"away": 0.461879, "home": 0.538121}, "replay_scope": "Exact serving book state, calibration, temperature, inactivity reference and thin-history adjustments; training provenance not certified.", "schema": "esports-elo-replay-v1", "snapshot_hash": "a5b678ed10ba67f87efc0617dea5a7e2a490c19438fca4f232d3b7502a2df687", "sport": "LOL"}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2026-10-13T22:31:06Z</dcterms:created>
  <dcterms:modified xmlns:dcterms="http://purl.org/dc/terms/" xmlns:xsi="http://www.w3.org/2001/XMLSchema-instance" xsi:type="dcterms:W3CDTF">2026-10-13T22:31:06Z</dcterms:modified>
</cp:coreProperties>
</file>