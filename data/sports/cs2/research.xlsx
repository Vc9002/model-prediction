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164" headerRowCount="1">
  <autoFilter ref="A1:DQ164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COUNTA('Picks'!$A$2:$A$164)</f>
        <v/>
      </c>
      <c r="C4" s="6">
        <f>COUNTIF('Picks'!$U$2:$U$164,"open")</f>
        <v/>
      </c>
      <c r="E4" s="6">
        <f>COUNTIF('Picks'!$U$2:$U$164,"settled")</f>
        <v/>
      </c>
      <c r="G4" s="6">
        <f>IF(COUNTIFS('Picks'!$U$2:$U$164,"settled",'Picks'!$V$2:$V$164,"win")+COUNTIFS('Picks'!$U$2:$U$164,"settled",'Picks'!$V$2:$V$164,"loss")&gt;=$L$2,"Ready","Insufficient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COUNTIF('Picks'!$BX$2:$BX$164,"&gt;0")</f>
        <v/>
      </c>
      <c r="C7" s="6">
        <f>COUNTIFS('Picks'!$BX$2:$BX$164,"&gt;0",'Picks'!$V$2:$V$164,"win")&amp;"-"&amp;COUNTIFS('Picks'!$BX$2:$BX$164,"&gt;0",'Picks'!$V$2:$V$164,"loss")</f>
        <v/>
      </c>
      <c r="E7" s="7">
        <f>IFERROR(COUNTIFS('Picks'!$BX$2:$BX$164,"&gt;0",'Picks'!$V$2:$V$164,"win")/(COUNTIFS('Picks'!$BX$2:$BX$164,"&gt;0",'Picks'!$V$2:$V$164,"win")+COUNTIFS('Picks'!$BX$2:$BX$164,"&gt;0",'Picks'!$V$2:$V$164,"loss")),0)</f>
        <v/>
      </c>
      <c r="G7" s="7">
        <f>IFERROR(SUM('Picks'!$BY$2:$BY$164)/SUM('Picks'!$BX$2:$BX$164),0)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SUM('Picks'!$BY$2:$BY$164)</f>
        <v/>
      </c>
      <c r="C10" s="9">
        <f>IFERROR(AVERAGEIF('Picks'!$AB$2:$AB$164,"&lt;&gt;",'Picks'!$AB$2:$AB$164),0)</f>
        <v/>
      </c>
      <c r="E10" s="6">
        <f>COUNTIFS('Picks'!$AM$2:$AM$164,"QUALIFIED_SHADOW_CALL",'Picks'!$U$2:$U$164,"settled")</f>
        <v/>
      </c>
      <c r="G10" s="8">
        <f>SUMIFS('Picks'!$AC$2:$AC$164,'Picks'!$AM$2:$AM$164,"QUALIFIED_SHADOW_CALL")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COUNTIFS('Picks'!$H$2:$H$164,$A14,'Picks'!$U$2:$U$164,"settled")</f>
        <v/>
      </c>
      <c r="C14" s="13">
        <f>COUNTIFS('Picks'!$H$2:$H$164,$A14,'Picks'!$U$2:$U$164,"settled",'Picks'!$V$2:$V$164,"win")</f>
        <v/>
      </c>
      <c r="D14" s="13">
        <f>COUNTIFS('Picks'!$H$2:$H$164,$A14,'Picks'!$U$2:$U$164,"settled",'Picks'!$V$2:$V$164,"loss")</f>
        <v/>
      </c>
      <c r="E14" s="14">
        <f>IFERROR(C14/(C14+D14),0)</f>
        <v/>
      </c>
      <c r="F14" s="15">
        <f>SUMIFS('Picks'!$BY$2:$BY$164,'Picks'!$H$2:$H$164,$A14)</f>
        <v/>
      </c>
      <c r="G14" s="16">
        <f>IFERROR(AVERAGEIFS('Picks'!$AB$2:$AB$164,'Picks'!$H$2:$H$164,$A14,'Picks'!$U$2:$U$164,"settled"),0)</f>
        <v/>
      </c>
    </row>
    <row r="15">
      <c r="A15" s="17" t="inlineStr">
        <is>
          <t>spread</t>
        </is>
      </c>
      <c r="B15" s="18">
        <f>COUNTIFS('Picks'!$H$2:$H$164,$A15,'Picks'!$U$2:$U$164,"settled")</f>
        <v/>
      </c>
      <c r="C15" s="18">
        <f>COUNTIFS('Picks'!$H$2:$H$164,$A15,'Picks'!$U$2:$U$164,"settled",'Picks'!$V$2:$V$164,"win")</f>
        <v/>
      </c>
      <c r="D15" s="18">
        <f>COUNTIFS('Picks'!$H$2:$H$164,$A15,'Picks'!$U$2:$U$164,"settled",'Picks'!$V$2:$V$164,"loss")</f>
        <v/>
      </c>
      <c r="E15" s="19">
        <f>IFERROR(C15/(C15+D15),0)</f>
        <v/>
      </c>
      <c r="F15" s="20">
        <f>SUMIFS('Picks'!$BY$2:$BY$164,'Picks'!$H$2:$H$164,$A15)</f>
        <v/>
      </c>
      <c r="G15" s="21">
        <f>IFERROR(AVERAGEIFS('Picks'!$AB$2:$AB$164,'Picks'!$H$2:$H$164,$A15,'Picks'!$U$2:$U$164,"settled"),0)</f>
        <v/>
      </c>
    </row>
    <row r="16">
      <c r="A16" s="12" t="inlineStr">
        <is>
          <t>total</t>
        </is>
      </c>
      <c r="B16" s="13">
        <f>COUNTIFS('Picks'!$H$2:$H$164,$A16,'Picks'!$U$2:$U$164,"settled")</f>
        <v/>
      </c>
      <c r="C16" s="13">
        <f>COUNTIFS('Picks'!$H$2:$H$164,$A16,'Picks'!$U$2:$U$164,"settled",'Picks'!$V$2:$V$164,"win")</f>
        <v/>
      </c>
      <c r="D16" s="13">
        <f>COUNTIFS('Picks'!$H$2:$H$164,$A16,'Picks'!$U$2:$U$164,"settled",'Picks'!$V$2:$V$164,"loss")</f>
        <v/>
      </c>
      <c r="E16" s="14">
        <f>IFERROR(C16/(C16+D16),0)</f>
        <v/>
      </c>
      <c r="F16" s="15">
        <f>SUMIFS('Picks'!$BY$2:$BY$164,'Picks'!$H$2:$H$164,$A16)</f>
        <v/>
      </c>
      <c r="G16" s="16">
        <f>IFERROR(AVERAGEIFS('Picks'!$AB$2:$AB$164,'Picks'!$H$2:$H$164,$A16,'Picks'!$U$2:$U$164,"settled"),0)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79c3e5d9264d4f03</t>
        </is>
      </c>
      <c r="B2" s="24" t="inlineStr">
        <is>
          <t>2026-10-01T04:44:41.110360Z</t>
        </is>
      </c>
      <c r="C2" s="24" t="inlineStr">
        <is>
          <t>2026-10-01T10:00:00Z</t>
        </is>
      </c>
      <c r="D2" s="24" t="inlineStr">
        <is>
          <t>135294</t>
        </is>
      </c>
      <c r="E2" s="24" t="inlineStr">
        <is>
          <t>CS2</t>
        </is>
      </c>
      <c r="F2" s="24" t="inlineStr">
        <is>
          <t>Krytiepacani</t>
        </is>
      </c>
      <c r="G2" s="24" t="inlineStr">
        <is>
          <t>UPGRADE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113</v>
      </c>
      <c r="M2" s="27" t="n">
        <v>2.13</v>
      </c>
      <c r="N2" s="28" t="n">
        <v>0.469484</v>
      </c>
      <c r="O2" s="28" t="n">
        <v>0.528351</v>
      </c>
      <c r="P2" s="28" t="n"/>
      <c r="Q2" s="28" t="n">
        <v>0.058867</v>
      </c>
      <c r="R2" s="26" t="n">
        <v>49</v>
      </c>
      <c r="S2" s="29" t="n">
        <v>1</v>
      </c>
      <c r="T2" s="24" t="inlineStr">
        <is>
          <t>cs2-tiered-elo-v6</t>
        </is>
      </c>
      <c r="U2" s="24" t="inlineStr">
        <is>
          <t>settled</t>
        </is>
      </c>
      <c r="V2" s="24" t="inlineStr">
        <is>
          <t>win</t>
        </is>
      </c>
      <c r="W2" s="26" t="n">
        <v>0</v>
      </c>
      <c r="X2" s="26" t="n">
        <v>1</v>
      </c>
      <c r="Y2" s="25" t="n"/>
      <c r="Z2" s="26" t="n"/>
      <c r="AA2" s="28" t="n"/>
      <c r="AB2" s="28" t="n"/>
      <c r="AC2" s="30" t="n">
        <v>1.13</v>
      </c>
      <c r="AD2" s="24" t="inlineStr">
        <is>
          <t>2026-10-06T22:56:38.501622Z</t>
        </is>
      </c>
      <c r="AE2" s="31" t="inlineStr">
        <is>
          <t>Neutral Elo baseline; executable ask 0.4700 (market_slug=aec-cs2-upg-kry-2026-10-01).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paper_call</t>
        </is>
      </c>
      <c r="AL2" s="26" t="n">
        <v>4</v>
      </c>
      <c r="AM2" s="24" t="inlineStr">
        <is>
          <t>RESEARCH_OBSERVATION</t>
        </is>
      </c>
      <c r="AN2" s="24" t="inlineStr">
        <is>
          <t>CALL</t>
        </is>
      </c>
      <c r="AO2" s="24" t="inlineStr">
        <is>
          <t>PAPER_CALL_MODEL_UNVALIDATED</t>
        </is>
      </c>
      <c r="AP2" s="24" t="inlineStr">
        <is>
          <t>Krytiepacani</t>
        </is>
      </c>
      <c r="AQ2" s="24" t="inlineStr">
        <is>
          <t>Krytiepacani</t>
        </is>
      </c>
      <c r="AR2" s="24" t="inlineStr">
        <is>
          <t>Krytiepacani</t>
        </is>
      </c>
      <c r="AS2" s="24" t="inlineStr">
        <is>
          <t>UPGRADE</t>
        </is>
      </c>
      <c r="AT2" s="24" t="inlineStr">
        <is>
          <t>UPGRADE</t>
        </is>
      </c>
      <c r="AU2" s="24" t="inlineStr">
        <is>
          <t>UPGRADE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31059ab3654d74e1bc29d73b63261a2d5c8cbd027b6b7fa7cd7110522cd87a55</t>
        </is>
      </c>
      <c r="BB2" s="24" t="inlineStr">
        <is>
          <t>neutral_elo</t>
        </is>
      </c>
      <c r="BC2" s="24" t="inlineStr">
        <is>
          <t>cs2-tiered-elo-v6</t>
        </is>
      </c>
      <c r="BD2" s="24" t="inlineStr">
        <is>
          <t>31059ab3654d74e1bc29d73b63261a2d5c8cbd027b6b7fa7cd7110522cd87a55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cs2-tiered-elo-v6</t>
        </is>
      </c>
      <c r="BH2" s="24" t="inlineStr">
        <is>
          <t>2026-10-01T04:41:09.941725Z</t>
        </is>
      </c>
      <c r="BI2" s="24" t="inlineStr">
        <is>
          <t>["same_event","same_team_same_day","same_league_same_day"]</t>
        </is>
      </c>
      <c r="BJ2" s="25" t="n"/>
      <c r="BK2" s="26" t="n">
        <v>113</v>
      </c>
      <c r="BL2" s="27" t="n">
        <v>2.13</v>
      </c>
      <c r="BM2" s="28" t="n">
        <v>0.469484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0.469484</t>
        </is>
      </c>
      <c r="DK2" s="24" t="n"/>
      <c r="DL2" s="24" t="n"/>
      <c r="DM2" s="24" t="n"/>
      <c r="DN2" s="24" t="n"/>
      <c r="DO2" s="24" t="n"/>
      <c r="DP2" s="24" t="n"/>
      <c r="DQ2" s="24" t="inlineStr">
        <is>
          <t>{"artifact_hash": "31059ab3654d74e1bc29d73b63261a2d5c8cbd027b6b7fa7cd7110522cd87a55", "away_team": "Krytiepacani", "event_id": "135294", "event_start_utc": "2026-10-01T10:00:00Z", "features": {"away_elo": 1500.0, "away_history_count": 0, "home_elo": 1538.358847, "home_history_count": 11}, "historical_source_observation_times_verified": false, "home_team": "UPGRADE", "inference_inputs": {"book_state": {"games_played": {"bo3:1:25212": 11}, "inactivity_half_life_days": null, "inactivity_max_pull": null, "k": 40.0, "last_match_utc": {"bo3:1:25212": "2026-09-25T14:45:00Z"}, "minimum_reliable_games": null, "platt_intercept": 0.08508425056760334, "platt_slope": 0.8752118688044089, "ratings": {"bo3:1:25212": 1538.358847},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"2026-10-01T04:40:45.925385+00:00", "team_ids": ["bo3:1:25212", "unknown:krytiepacani"]}, "market_type": "moneyline", "model_version": "cs2-tiered-elo-v6", "observed_at_utc": "2026-10-01T04:40:45.925385+00:00", "probabilities": {"away": 0.471649, "home": 0.528351}, "replay_scope": "Exact serving book state, calibration, temperature, inactivity reference and thin-history adjustments; training provenance not certified.", "schema": "esports-elo-replay-v1", "snapshot_hash": "0c6ee66ecd1e208f656c0e9c1fb562e7c848c94e18d382e99f3f182298274b14", "sport": "CS2"}</t>
        </is>
      </c>
    </row>
    <row r="3" ht="36" customHeight="1">
      <c r="A3" s="24" t="inlineStr">
        <is>
          <t>a819de75bda84102</t>
        </is>
      </c>
      <c r="B3" s="24" t="inlineStr">
        <is>
          <t>2026-10-01T10:14:33.153838Z</t>
        </is>
      </c>
      <c r="C3" s="24" t="inlineStr">
        <is>
          <t>2026-10-01T11:00:00Z</t>
        </is>
      </c>
      <c r="D3" s="24" t="inlineStr">
        <is>
          <t>135049</t>
        </is>
      </c>
      <c r="E3" s="24" t="inlineStr">
        <is>
          <t>CS2</t>
        </is>
      </c>
      <c r="F3" s="24" t="inlineStr">
        <is>
          <t>MORROW</t>
        </is>
      </c>
      <c r="G3" s="24" t="inlineStr">
        <is>
          <t xml:space="preserve"> Phantom Academy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100</v>
      </c>
      <c r="M3" s="27" t="n">
        <v>2</v>
      </c>
      <c r="N3" s="28" t="n">
        <v>0.5</v>
      </c>
      <c r="O3" s="28" t="n">
        <v>0.645333</v>
      </c>
      <c r="P3" s="28" t="n"/>
      <c r="Q3" s="28" t="n">
        <v>0.145333</v>
      </c>
      <c r="R3" s="26" t="n">
        <v>93</v>
      </c>
      <c r="S3" s="29" t="n">
        <v>1.75</v>
      </c>
      <c r="T3" s="24" t="inlineStr">
        <is>
          <t>cs2-tiered-elo-v6</t>
        </is>
      </c>
      <c r="U3" s="24" t="inlineStr">
        <is>
          <t>settled</t>
        </is>
      </c>
      <c r="V3" s="24" t="inlineStr">
        <is>
          <t>push</t>
        </is>
      </c>
      <c r="W3" s="26" t="n"/>
      <c r="X3" s="26" t="n"/>
      <c r="Y3" s="25" t="n"/>
      <c r="Z3" s="26" t="n"/>
      <c r="AA3" s="28" t="n"/>
      <c r="AB3" s="28" t="n"/>
      <c r="AC3" s="30" t="n">
        <v>0</v>
      </c>
      <c r="AD3" s="24" t="inlineStr">
        <is>
          <t>2026-10-06T22:56:58.505765Z</t>
        </is>
      </c>
      <c r="AE3" s="31" t="inlineStr">
        <is>
          <t>Neutral Elo baseline; executable ask 0.5000 (market_slug=aec-cs2-phtmac-mor-2026-10-01).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4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MORROW</t>
        </is>
      </c>
      <c r="AQ3" s="24" t="inlineStr">
        <is>
          <t>MORROW</t>
        </is>
      </c>
      <c r="AR3" s="24" t="inlineStr">
        <is>
          <t>MORROW</t>
        </is>
      </c>
      <c r="AS3" s="24" t="inlineStr">
        <is>
          <t xml:space="preserve"> Phantom Academy</t>
        </is>
      </c>
      <c r="AT3" s="24" t="inlineStr">
        <is>
          <t xml:space="preserve"> Phantom Academy</t>
        </is>
      </c>
      <c r="AU3" s="24" t="inlineStr">
        <is>
          <t xml:space="preserve"> Phantom Academy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0f493215d2de57d1500be25bc113a2f3586bc530246682087d89a0066d60e580</t>
        </is>
      </c>
      <c r="BB3" s="24" t="inlineStr">
        <is>
          <t>neutral_elo</t>
        </is>
      </c>
      <c r="BC3" s="24" t="inlineStr">
        <is>
          <t>cs2-tiered-elo-v6</t>
        </is>
      </c>
      <c r="BD3" s="24" t="inlineStr">
        <is>
          <t>0f493215d2de57d1500be25bc113a2f3586bc530246682087d89a0066d60e580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cs2-tiered-elo-v6</t>
        </is>
      </c>
      <c r="BH3" s="24" t="inlineStr">
        <is>
          <t>2026-10-01T10:11:13.113240Z</t>
        </is>
      </c>
      <c r="BI3" s="24" t="inlineStr">
        <is>
          <t>["same_event","same_team_same_day","same_league_same_day"]</t>
        </is>
      </c>
      <c r="BJ3" s="25" t="n"/>
      <c r="BK3" s="26" t="n">
        <v>100</v>
      </c>
      <c r="BL3" s="27" t="n">
        <v>2</v>
      </c>
      <c r="BM3" s="28" t="n">
        <v>0.5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inlineStr">
        <is>
          <t>esports market terminal (MARKET_STATE_HALTED) with prices {' Phantom Academy': 0.65, 'MORROW': 0.35}; BO3 has no confirming finished-match result either</t>
        </is>
      </c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0.5</t>
        </is>
      </c>
      <c r="DK3" s="24" t="n"/>
      <c r="DL3" s="24" t="n"/>
      <c r="DM3" s="24" t="n"/>
      <c r="DN3" s="24" t="n"/>
      <c r="DO3" s="24" t="n"/>
      <c r="DP3" s="24" t="n"/>
      <c r="DQ3" s="24" t="inlineStr">
        <is>
          <t>{"artifact_hash": "0f493215d2de57d1500be25bc113a2f3586bc530246682087d89a0066d60e580", "away_team": "MORROW", "event_id": "135049", "event_start_utc": "2026-10-01T11:00:00Z", "features": {"away_elo": 1298.371492, "away_history_count": 19, "home_elo": 1542.955421, "home_history_count": 87}, "historical_source_observation_times_verified": false, "home_team": " Phantom Academy", "inference_inputs": {"book_state": {"games_played": {"bo3:1:19191": 19, "bo3:1:22009": 87}, "inactivity_half_life_days": null, "inactivity_max_pull": null, "k": 40.0, "last_match_utc": {"bo3:1:19191": "2025-04-02T09:51:26Z", "bo3:1:22009": "2026-09-30T14:00:00Z"}, "minimum_reliable_games": null, "platt_intercept": 0.08550798065219938, "platt_slope": 0.8746707759099094, "ratings": {"bo3:1:19191": 1298.371492, "bo3:1:22009": 1542.955421},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"2026-10-01T10:10:51.265550+00:00", "team_ids": ["bo3:1:22009", "bo3:1:19191"]}, "market_type": "moneyline", "model_version": "cs2-tiered-elo-v6", "observed_at_utc": "2026-10-01T10:10:51.265550+00:00", "probabilities": {"away": 0.354667, "home": 0.645333}, "replay_scope": "Exact serving book state, calibration, temperature, inactivity reference and thin-history adjustments; training provenance not certified.", "schema": "esports-elo-replay-v1", "snapshot_hash": "b6e57e140632e5a588b9a00775d8e70df304e52fb979dddfeee910e12269f1cf", "sport": "CS2"}</t>
        </is>
      </c>
    </row>
    <row r="4" ht="36" customHeight="1">
      <c r="A4" s="24" t="inlineStr">
        <is>
          <t>cfff468833ee4f7a</t>
        </is>
      </c>
      <c r="B4" s="24" t="inlineStr">
        <is>
          <t>2026-10-05T10:51:10.458035Z</t>
        </is>
      </c>
      <c r="C4" s="24" t="inlineStr">
        <is>
          <t>2026-10-05T16:00:00Z</t>
        </is>
      </c>
      <c r="D4" s="24" t="inlineStr">
        <is>
          <t>138387</t>
        </is>
      </c>
      <c r="E4" s="24" t="inlineStr">
        <is>
          <t>CS2</t>
        </is>
      </c>
      <c r="F4" s="24" t="inlineStr">
        <is>
          <t>Team LEISURE</t>
        </is>
      </c>
      <c r="G4" s="24" t="inlineStr">
        <is>
          <t>Sissi State Punks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-178</v>
      </c>
      <c r="M4" s="27" t="n">
        <v>1.561798</v>
      </c>
      <c r="N4" s="28" t="n">
        <v>0.640288</v>
      </c>
      <c r="O4" s="28" t="n">
        <v>0.567881</v>
      </c>
      <c r="P4" s="28" t="n"/>
      <c r="Q4" s="28" t="n">
        <v>-0.072407</v>
      </c>
      <c r="R4" s="26" t="n">
        <v>0</v>
      </c>
      <c r="S4" s="29" t="n">
        <v>1</v>
      </c>
      <c r="T4" s="24" t="inlineStr">
        <is>
          <t>cs2-tiered-elo-v6</t>
        </is>
      </c>
      <c r="U4" s="24" t="inlineStr">
        <is>
          <t>settled</t>
        </is>
      </c>
      <c r="V4" s="24" t="inlineStr">
        <is>
          <t>push</t>
        </is>
      </c>
      <c r="W4" s="26" t="n"/>
      <c r="X4" s="26" t="n"/>
      <c r="Y4" s="25" t="n"/>
      <c r="Z4" s="26" t="n"/>
      <c r="AA4" s="28" t="n"/>
      <c r="AB4" s="28" t="n"/>
      <c r="AC4" s="30" t="n">
        <v>0</v>
      </c>
      <c r="AD4" s="24" t="inlineStr">
        <is>
          <t>2026-10-06T16:02:24.450943Z</t>
        </is>
      </c>
      <c r="AE4" s="31" t="inlineStr">
        <is>
          <t>Neutral Elo baseline; executable ask 0.6400 (market_slug=aec-cs2-ssp-lei-2026-10-05).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paper_call</t>
        </is>
      </c>
      <c r="AL4" s="26" t="n">
        <v>4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PAPER_CALL_LOW_EDGE</t>
        </is>
      </c>
      <c r="AP4" s="24" t="inlineStr">
        <is>
          <t>Team LEISURE</t>
        </is>
      </c>
      <c r="AQ4" s="24" t="inlineStr">
        <is>
          <t>Team LEISURE</t>
        </is>
      </c>
      <c r="AR4" s="24" t="inlineStr">
        <is>
          <t>Team LEISURE</t>
        </is>
      </c>
      <c r="AS4" s="24" t="inlineStr">
        <is>
          <t>Sissi State Punks</t>
        </is>
      </c>
      <c r="AT4" s="24" t="inlineStr">
        <is>
          <t>Sissi State Punks</t>
        </is>
      </c>
      <c r="AU4" s="24" t="inlineStr">
        <is>
          <t>Sissi State Punks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d1f97c8f95fdff8c9340cc3cbba59ea2b761deb84d6a532d24eea364894a0781</t>
        </is>
      </c>
      <c r="BB4" s="24" t="inlineStr">
        <is>
          <t>neutral_elo</t>
        </is>
      </c>
      <c r="BC4" s="24" t="inlineStr">
        <is>
          <t>cs2-tiered-elo-v6</t>
        </is>
      </c>
      <c r="BD4" s="24" t="inlineStr">
        <is>
          <t>d1f97c8f95fdff8c9340cc3cbba59ea2b761deb84d6a532d24eea364894a0781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cs2-tiered-elo-v6</t>
        </is>
      </c>
      <c r="BH4" s="24" t="inlineStr">
        <is>
          <t>2026-10-05T10:50:37.009292Z</t>
        </is>
      </c>
      <c r="BI4" s="24" t="inlineStr">
        <is>
          <t>["same_event","same_team_same_day","same_league_same_day"]</t>
        </is>
      </c>
      <c r="BJ4" s="25" t="n"/>
      <c r="BK4" s="26" t="n">
        <v>-178</v>
      </c>
      <c r="BL4" s="27" t="n">
        <v>1.561798</v>
      </c>
      <c r="BM4" s="28" t="n">
        <v>0.640288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inlineStr">
        <is>
          <t>esports market settled to a non-binary price (forfeit/postponement per market rules); BO3 has no confirming finished-match result either</t>
        </is>
      </c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False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0.640288</t>
        </is>
      </c>
      <c r="DK4" s="24" t="n"/>
      <c r="DL4" s="24" t="n"/>
      <c r="DM4" s="24" t="n"/>
      <c r="DN4" s="24" t="n"/>
      <c r="DO4" s="24" t="n"/>
      <c r="DP4" s="24" t="n"/>
      <c r="DQ4" s="24" t="inlineStr">
        <is>
          <t>{"artifact_hash": "d1f97c8f95fdff8c9340cc3cbba59ea2b761deb84d6a532d24eea364894a0781", "away_team": "Team LEISURE", "event_id": "138387", "event_start_utc": "2026-10-05T16:00:00Z", "features": {"away_elo": 1446.236359, "away_history_count": 11, "home_elo": 1362.150201, "home_history_count": 42}, "historical_source_observation_times_verified": false, "home_team": "Sissi State Punks", "inference_inputs": {"book_state": {"games_played": {"bo3:1:1049": 42, "bo3:1:22949": 11}, "inactivity_half_life_days": null, "inactivity_max_pull": null, "k": 40.0, "last_match_utc": {"bo3:1:1049": "2026-09-28T16:15:00Z", "bo3:1:22949": "2026-09-28T18:00:00Z"}, "minimum_reliable_games": null, "platt_intercept": 0.07368628430612678, "platt_slope": 0.8703494544664858, "ratings": {"bo3:1:1049": 1362.150201, "bo3:1:22949": 1446.236359},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"2026-10-05T10:49:35.451098+00:00", "team_ids": ["bo3:1:1049", "bo3:1:22949"]}, "market_type": "moneyline", "model_version": "cs2-tiered-elo-v6", "observed_at_utc": "2026-10-05T10:49:35.451098+00:00", "probabilities": {"away": 0.567881, "home": 0.432119}, "replay_scope": "Exact serving book state, calibration, temperature, inactivity reference and thin-history adjustments; training provenance not certified.", "schema": "esports-elo-replay-v1", "snapshot_hash": "a682c284ec8758845f25c34feb4c3a545ca959263cf8bcef70849fc11c5dd639", "sport": "CS2"}</t>
        </is>
      </c>
    </row>
    <row r="5" ht="36" customHeight="1">
      <c r="A5" s="24" t="inlineStr">
        <is>
          <t>8eefbe8415d54e80</t>
        </is>
      </c>
      <c r="B5" s="24" t="inlineStr">
        <is>
          <t>2026-10-05T22:26:39.927948Z</t>
        </is>
      </c>
      <c r="C5" s="24" t="inlineStr">
        <is>
          <t>2026-10-06T08:00:00Z</t>
        </is>
      </c>
      <c r="D5" s="24" t="inlineStr">
        <is>
          <t>143482</t>
        </is>
      </c>
      <c r="E5" s="24" t="inlineStr">
        <is>
          <t>CS2</t>
        </is>
      </c>
      <c r="F5" s="24" t="inlineStr">
        <is>
          <t>MORROW</t>
        </is>
      </c>
      <c r="G5" s="24" t="inlineStr">
        <is>
          <t>Just Players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150</v>
      </c>
      <c r="M5" s="27" t="n">
        <v>2.5</v>
      </c>
      <c r="N5" s="28" t="n">
        <v>0.4</v>
      </c>
      <c r="O5" s="28" t="n">
        <v>0.7151149999999999</v>
      </c>
      <c r="P5" s="28" t="n"/>
      <c r="Q5" s="28" t="n">
        <v>0.315115</v>
      </c>
      <c r="R5" s="26" t="n">
        <v>100</v>
      </c>
      <c r="S5" s="29" t="n">
        <v>2</v>
      </c>
      <c r="T5" s="24" t="inlineStr">
        <is>
          <t>cs2-tiered-elo-v6</t>
        </is>
      </c>
      <c r="U5" s="24" t="inlineStr">
        <is>
          <t>settled</t>
        </is>
      </c>
      <c r="V5" s="24" t="inlineStr">
        <is>
          <t>win</t>
        </is>
      </c>
      <c r="W5" s="26" t="n">
        <v>0</v>
      </c>
      <c r="X5" s="26" t="n">
        <v>1</v>
      </c>
      <c r="Y5" s="25" t="n"/>
      <c r="Z5" s="26" t="n">
        <v>-614</v>
      </c>
      <c r="AA5" s="28" t="n">
        <v>0.86</v>
      </c>
      <c r="AB5" s="28" t="n">
        <v>0.46</v>
      </c>
      <c r="AC5" s="30" t="n">
        <v>3</v>
      </c>
      <c r="AD5" s="24" t="inlineStr">
        <is>
          <t>2026-10-06T16:02:30.165095Z</t>
        </is>
      </c>
      <c r="AE5" s="31" t="inlineStr">
        <is>
          <t>Neutral Elo baseline; executable ask 0.4000 (market_slug=aec-cs2-jpu-mor-2026-10-06).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4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MORROW</t>
        </is>
      </c>
      <c r="AQ5" s="24" t="inlineStr">
        <is>
          <t>MORROW</t>
        </is>
      </c>
      <c r="AR5" s="24" t="inlineStr">
        <is>
          <t>MORROW</t>
        </is>
      </c>
      <c r="AS5" s="24" t="inlineStr">
        <is>
          <t>Just Players</t>
        </is>
      </c>
      <c r="AT5" s="24" t="inlineStr">
        <is>
          <t>Just Players</t>
        </is>
      </c>
      <c r="AU5" s="24" t="inlineStr">
        <is>
          <t>Just Players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ca87e4bb6f18d7d0c4fc6602e9f1a23adb26b0775673d408e6f9e727755fefdc</t>
        </is>
      </c>
      <c r="BB5" s="24" t="inlineStr">
        <is>
          <t>neutral_elo</t>
        </is>
      </c>
      <c r="BC5" s="24" t="inlineStr">
        <is>
          <t>cs2-tiered-elo-v6</t>
        </is>
      </c>
      <c r="BD5" s="24" t="inlineStr">
        <is>
          <t>ca87e4bb6f18d7d0c4fc6602e9f1a23adb26b0775673d408e6f9e727755fefdc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cs2-tiered-elo-v6</t>
        </is>
      </c>
      <c r="BH5" s="24" t="inlineStr">
        <is>
          <t>2026-10-05T22:25:44.937150Z</t>
        </is>
      </c>
      <c r="BI5" s="24" t="inlineStr">
        <is>
          <t>["same_event","same_team_same_day","same_league_same_day"]</t>
        </is>
      </c>
      <c r="BJ5" s="25" t="n"/>
      <c r="BK5" s="26" t="n">
        <v>150</v>
      </c>
      <c r="BL5" s="27" t="n">
        <v>2.5</v>
      </c>
      <c r="BM5" s="28" t="n">
        <v>0.4</v>
      </c>
      <c r="BN5" s="28" t="n"/>
      <c r="BO5" s="28" t="n"/>
      <c r="BP5" s="25" t="n"/>
      <c r="BQ5" s="27" t="n">
        <v>1.162866</v>
      </c>
      <c r="BR5" s="28" t="n">
        <v>0.86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0.4</t>
        </is>
      </c>
      <c r="DK5" s="24" t="n"/>
      <c r="DL5" s="24" t="n"/>
      <c r="DM5" s="24" t="n"/>
      <c r="DN5" s="24" t="n"/>
      <c r="DO5" s="24" t="n"/>
      <c r="DP5" s="24" t="n"/>
      <c r="DQ5" s="24" t="inlineStr">
        <is>
          <t>{"artifact_hash": "ca87e4bb6f18d7d0c4fc6602e9f1a23adb26b0775673d408e6f9e727755fefdc", "away_team": "MORROW", "event_id": "143482", "event_start_utc": "2026-10-06T08:00:00Z", "features": {"away_elo": 1298.391496, "away_history_count": 19, "home_elo": 1621.709914, "home_history_count": 78}, "historical_source_observation_times_verified": false, "home_team": "Just Players", "inference_inputs": {"book_state": {"games_played": {"bo3:1:19191": 19, "bo3:1:23107": 78}, "inactivity_half_life_days": null, "inactivity_max_pull": null, "k": 40.0, "last_match_utc": {"bo3:1:19191": "2025-04-02T09:51:26Z", "bo3:1:23107": "2026-10-05T08:00:00Z"}, "minimum_reliable_games": null, "platt_intercept": 0.07385663433556965, "platt_slope": 0.8717217233150569, "ratings": {"bo3:1:19191": 1298.391496, "bo3:1:23107": 1621.709914},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"2026-10-05T22:25:24.031333+00:00", "team_ids": ["bo3:1:23107", "bo3:1:19191"]}, "market_type": "moneyline", "model_version": "cs2-tiered-elo-v6", "observed_at_utc": "2026-10-05T22:25:24.031333+00:00", "probabilities": {"away": 0.284885, "home": 0.715115}, "replay_scope": "Exact serving book state, calibration, temperature, inactivity reference and thin-history adjustments; training provenance not certified.", "schema": "esports-elo-replay-v1", "snapshot_hash": "51e8146044af0765e016fd9341e2dff340ad35f84499b30db8b6b7ee7c92e78d", "sport": "CS2"}</t>
        </is>
      </c>
    </row>
    <row r="6" ht="36" customHeight="1">
      <c r="A6" s="24" t="inlineStr">
        <is>
          <t>ccd8164ac14d439a</t>
        </is>
      </c>
      <c r="B6" s="24" t="inlineStr">
        <is>
          <t>2026-10-06T10:55:23.619249Z</t>
        </is>
      </c>
      <c r="C6" s="24" t="inlineStr">
        <is>
          <t>2026-10-06T12:00:00Z</t>
        </is>
      </c>
      <c r="D6" s="24" t="inlineStr">
        <is>
          <t>144429</t>
        </is>
      </c>
      <c r="E6" s="24" t="inlineStr">
        <is>
          <t>CS2</t>
        </is>
      </c>
      <c r="F6" s="24" t="inlineStr">
        <is>
          <t>PARIVISION</t>
        </is>
      </c>
      <c r="G6" s="24" t="inlineStr">
        <is>
          <t>G2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-163</v>
      </c>
      <c r="M6" s="27" t="n">
        <v>1.613497</v>
      </c>
      <c r="N6" s="28" t="n">
        <v>0.619772</v>
      </c>
      <c r="O6" s="28" t="n">
        <v>0.642666</v>
      </c>
      <c r="P6" s="28" t="n"/>
      <c r="Q6" s="28" t="n">
        <v>0.022894</v>
      </c>
      <c r="R6" s="26" t="n">
        <v>31</v>
      </c>
      <c r="S6" s="29" t="n">
        <v>1</v>
      </c>
      <c r="T6" s="24" t="inlineStr">
        <is>
          <t>cs2-tiered-elo-v6</t>
        </is>
      </c>
      <c r="U6" s="24" t="inlineStr">
        <is>
          <t>settled</t>
        </is>
      </c>
      <c r="V6" s="24" t="inlineStr">
        <is>
          <t>loss</t>
        </is>
      </c>
      <c r="W6" s="26" t="n">
        <v>1</v>
      </c>
      <c r="X6" s="26" t="n">
        <v>0</v>
      </c>
      <c r="Y6" s="25" t="n"/>
      <c r="Z6" s="26" t="n"/>
      <c r="AA6" s="28" t="n"/>
      <c r="AB6" s="28" t="n"/>
      <c r="AC6" s="30" t="n">
        <v>-1</v>
      </c>
      <c r="AD6" s="24" t="inlineStr">
        <is>
          <t>2026-10-06T16:02:38.791433Z</t>
        </is>
      </c>
      <c r="AE6" s="31" t="inlineStr">
        <is>
          <t>Neutral Elo baseline; executable ask 0.6200 (market_slug=aec-cs2-g2-prv-2026-10-06).</t>
        </is>
      </c>
      <c r="AF6" s="31" t="inlineStr">
        <is>
          <t>Config-promoted esports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paper_call</t>
        </is>
      </c>
      <c r="AL6" s="26" t="n">
        <v>4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PAPER_CALL_LOW_EDGE</t>
        </is>
      </c>
      <c r="AP6" s="24" t="inlineStr">
        <is>
          <t>PARIVISION</t>
        </is>
      </c>
      <c r="AQ6" s="24" t="inlineStr">
        <is>
          <t>PARIVISION</t>
        </is>
      </c>
      <c r="AR6" s="24" t="inlineStr">
        <is>
          <t>PARIVISION</t>
        </is>
      </c>
      <c r="AS6" s="24" t="inlineStr">
        <is>
          <t>G2</t>
        </is>
      </c>
      <c r="AT6" s="24" t="inlineStr">
        <is>
          <t>G2</t>
        </is>
      </c>
      <c r="AU6" s="24" t="inlineStr">
        <is>
          <t>G2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5a569bf656936ab4a5ca4de357c910b67bb9aac0b53c54d24470a29f75ef9cc8</t>
        </is>
      </c>
      <c r="BB6" s="24" t="inlineStr">
        <is>
          <t>neutral_elo</t>
        </is>
      </c>
      <c r="BC6" s="24" t="inlineStr">
        <is>
          <t>cs2-tiered-elo-v6</t>
        </is>
      </c>
      <c r="BD6" s="24" t="inlineStr">
        <is>
          <t>5a569bf656936ab4a5ca4de357c910b67bb9aac0b53c54d24470a29f75ef9cc8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cs2-tiered-elo-v6</t>
        </is>
      </c>
      <c r="BH6" s="24" t="inlineStr">
        <is>
          <t>2026-10-06T10:51:54.484128Z</t>
        </is>
      </c>
      <c r="BI6" s="24" t="inlineStr">
        <is>
          <t>["same_event","same_team_same_day","same_league_same_day"]</t>
        </is>
      </c>
      <c r="BJ6" s="25" t="n"/>
      <c r="BK6" s="26" t="n">
        <v>-163</v>
      </c>
      <c r="BL6" s="27" t="n">
        <v>1.613497</v>
      </c>
      <c r="BM6" s="28" t="n">
        <v>0.619772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0.619772</t>
        </is>
      </c>
      <c r="DK6" s="24" t="n"/>
      <c r="DL6" s="24" t="n"/>
      <c r="DM6" s="24" t="n"/>
      <c r="DN6" s="24" t="n"/>
      <c r="DO6" s="24" t="n"/>
      <c r="DP6" s="24" t="n"/>
      <c r="DQ6" s="24" t="inlineStr">
        <is>
          <t>{"artifact_hash": "5a569bf656936ab4a5ca4de357c910b67bb9aac0b53c54d24470a29f75ef9cc8", "away_team": "PARIVISION", "event_id": "144429", "event_start_utc": "2026-10-06T12:00:00Z", "features": {"away_elo": 1933.006533, "away_history_count": 294, "home_elo": 2057.599984, "home_history_count": 231}, "historical_source_observation_times_verified": false, "home_team": "G2", "inference_inputs": {"book_state": {"games_played": {"bo3:1:793": 231, "bo3:1:8171": 294}, "inactivity_half_life_days": null, "inactivity_max_pull": null, "k": 40.0, "last_match_utc": {"bo3:1:793": "2026-10-05T09:00:00Z", "bo3:1:8171": "2026-10-05T09:00:00Z"}, "minimum_reliable_games": null, "platt_intercept": 0.07347823263603206, "platt_slope": 0.8718397660111185, "ratings": {"bo3:1:793": 2057.599984, "bo3:1:8171": 1933.006533},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"2026-10-06T10:50:53.571950+00:00", "team_ids": ["bo3:1:793", "bo3:1:8171"]}, "market_type": "moneyline", "model_version": "cs2-tiered-elo-v6", "observed_at_utc": "2026-10-06T10:50:53.571950+00:00", "probabilities": {"away": 0.357334, "home": 0.642666}, "replay_scope": "Exact serving book state, calibration, temperature, inactivity reference and thin-history adjustments; training provenance not certified.", "schema": "esports-elo-replay-v1", "snapshot_hash": "ae53c396eef0325808f786a7c451a2ac31ea0e2f437df3c75d6c5962743abea6", "sport": "CS2"}</t>
        </is>
      </c>
    </row>
    <row r="7" ht="36" customHeight="1">
      <c r="A7" s="24" t="inlineStr">
        <is>
          <t>69431a9f59ba46b7</t>
        </is>
      </c>
      <c r="B7" s="24" t="inlineStr">
        <is>
          <t>2026-10-06T10:55:23.619249Z</t>
        </is>
      </c>
      <c r="C7" s="24" t="inlineStr">
        <is>
          <t>2026-10-06T14:00:00Z</t>
        </is>
      </c>
      <c r="D7" s="24" t="inlineStr">
        <is>
          <t>144416</t>
        </is>
      </c>
      <c r="E7" s="24" t="inlineStr">
        <is>
          <t>CS2</t>
        </is>
      </c>
      <c r="F7" s="24" t="inlineStr">
        <is>
          <t>Gothic</t>
        </is>
      </c>
      <c r="G7" s="24" t="inlineStr">
        <is>
          <t>mellren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117</v>
      </c>
      <c r="M7" s="27" t="n">
        <v>2.17</v>
      </c>
      <c r="N7" s="28" t="n">
        <v>0.460829</v>
      </c>
      <c r="O7" s="28" t="n">
        <v>0.647002</v>
      </c>
      <c r="P7" s="28" t="n"/>
      <c r="Q7" s="28" t="n">
        <v>0.186173</v>
      </c>
      <c r="R7" s="26" t="n">
        <v>100</v>
      </c>
      <c r="S7" s="29" t="n">
        <v>2</v>
      </c>
      <c r="T7" s="24" t="inlineStr">
        <is>
          <t>cs2-tiered-elo-v6</t>
        </is>
      </c>
      <c r="U7" s="24" t="inlineStr">
        <is>
          <t>settled</t>
        </is>
      </c>
      <c r="V7" s="24" t="inlineStr">
        <is>
          <t>win</t>
        </is>
      </c>
      <c r="W7" s="26" t="n">
        <v>0</v>
      </c>
      <c r="X7" s="26" t="n">
        <v>1</v>
      </c>
      <c r="Y7" s="25" t="n"/>
      <c r="Z7" s="26" t="n">
        <v>117</v>
      </c>
      <c r="AA7" s="28" t="n">
        <v>0.46</v>
      </c>
      <c r="AB7" s="28" t="n">
        <v>-0.000829</v>
      </c>
      <c r="AC7" s="30" t="n">
        <v>2.34</v>
      </c>
      <c r="AD7" s="24" t="inlineStr">
        <is>
          <t>2026-10-06T22:01:13.610634Z</t>
        </is>
      </c>
      <c r="AE7" s="31" t="inlineStr">
        <is>
          <t>Neutral Elo baseline; executable ask 0.4600 (market_slug=aec-cs2-mel-goth-2026-10-06).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4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Gothic</t>
        </is>
      </c>
      <c r="AQ7" s="24" t="inlineStr">
        <is>
          <t>Gothic</t>
        </is>
      </c>
      <c r="AR7" s="24" t="inlineStr">
        <is>
          <t>Gothic</t>
        </is>
      </c>
      <c r="AS7" s="24" t="inlineStr">
        <is>
          <t>mellren</t>
        </is>
      </c>
      <c r="AT7" s="24" t="inlineStr">
        <is>
          <t>mellren</t>
        </is>
      </c>
      <c r="AU7" s="24" t="inlineStr">
        <is>
          <t>mellren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5a569bf656936ab4a5ca4de357c910b67bb9aac0b53c54d24470a29f75ef9cc8</t>
        </is>
      </c>
      <c r="BB7" s="24" t="inlineStr">
        <is>
          <t>neutral_elo</t>
        </is>
      </c>
      <c r="BC7" s="24" t="inlineStr">
        <is>
          <t>cs2-tiered-elo-v6</t>
        </is>
      </c>
      <c r="BD7" s="24" t="inlineStr">
        <is>
          <t>5a569bf656936ab4a5ca4de357c910b67bb9aac0b53c54d24470a29f75ef9cc8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cs2-tiered-elo-v6</t>
        </is>
      </c>
      <c r="BH7" s="24" t="inlineStr">
        <is>
          <t>2026-10-06T10:52:05.003313Z</t>
        </is>
      </c>
      <c r="BI7" s="24" t="inlineStr">
        <is>
          <t>["same_event","same_team_same_day","same_league_same_day"]</t>
        </is>
      </c>
      <c r="BJ7" s="25" t="n"/>
      <c r="BK7" s="26" t="n">
        <v>117</v>
      </c>
      <c r="BL7" s="27" t="n">
        <v>2.17</v>
      </c>
      <c r="BM7" s="28" t="n">
        <v>0.460829</v>
      </c>
      <c r="BN7" s="28" t="n"/>
      <c r="BO7" s="28" t="n"/>
      <c r="BP7" s="25" t="n"/>
      <c r="BQ7" s="27" t="n">
        <v>2.17</v>
      </c>
      <c r="BR7" s="28" t="n">
        <v>0.46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0.460829</t>
        </is>
      </c>
      <c r="DK7" s="24" t="n"/>
      <c r="DL7" s="24" t="n"/>
      <c r="DM7" s="24" t="n"/>
      <c r="DN7" s="24" t="n"/>
      <c r="DO7" s="24" t="n"/>
      <c r="DP7" s="24" t="n"/>
      <c r="DQ7" s="24" t="inlineStr">
        <is>
          <t>{"artifact_hash": "5a569bf656936ab4a5ca4de357c910b67bb9aac0b53c54d24470a29f75ef9cc8", "away_team": "Gothic", "event_id": "144416", "event_start_utc": "2026-10-06T14:00:00Z", "features": {"away_elo": 1473.511825, "away_history_count": 3, "home_elo": 1689.815999, "home_history_count": 46}, "historical_source_observation_times_verified": false, "home_team": "mellren", "inference_inputs": {"book_state": {"games_played": {"bo3:1:23102": 46, "bo3:1:25275": 3}, "inactivity_half_life_days": null, "inactivity_max_pull": null, "k": 40.0, "last_match_utc": {"bo3:1:23102": "2026-10-05T14:30:00Z", "bo3:1:25275": "2026-10-05T17:35:00Z"}, "minimum_reliable_games": null, "platt_intercept": 0.07347823263603206, "platt_slope": 0.8718397660111185, "ratings": {"bo3:1:23102": 1689.815999, "bo3:1:25275": 1473.511825},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"2026-10-06T10:50:53.571950+00:00", "team_ids": ["bo3:1:23102", "bo3:1:25275"]}, "market_type": "moneyline", "model_version": "cs2-tiered-elo-v6", "observed_at_utc": "2026-10-06T10:50:53.571950+00:00", "probabilities": {"away": 0.352998, "home": 0.647002}, "replay_scope": "Exact serving book state, calibration, temperature, inactivity reference and thin-history adjustments; training provenance not certified.", "schema": "esports-elo-replay-v1", "snapshot_hash": "6a5380f6e5584230e3d6f43f7515df36d937601ab08ae3540ac9c4ad730a57a7", "sport": "CS2"}</t>
        </is>
      </c>
    </row>
    <row r="8" ht="36" customHeight="1">
      <c r="A8" s="24" t="inlineStr">
        <is>
          <t>57795e473ce84dc7</t>
        </is>
      </c>
      <c r="B8" s="24" t="inlineStr">
        <is>
          <t>2026-10-06T10:55:23.619249Z</t>
        </is>
      </c>
      <c r="C8" s="24" t="inlineStr">
        <is>
          <t>2026-10-06T14:00:00Z</t>
        </is>
      </c>
      <c r="D8" s="24" t="inlineStr">
        <is>
          <t>144431</t>
        </is>
      </c>
      <c r="E8" s="24" t="inlineStr">
        <is>
          <t>CS2</t>
        </is>
      </c>
      <c r="F8" s="24" t="inlineStr">
        <is>
          <t>ex-RUSTEC</t>
        </is>
      </c>
      <c r="G8" s="24" t="inlineStr">
        <is>
          <t>Butterfly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122</v>
      </c>
      <c r="M8" s="27" t="n">
        <v>2.22</v>
      </c>
      <c r="N8" s="28" t="n">
        <v>0.45045</v>
      </c>
      <c r="O8" s="28" t="n">
        <v>0.50567</v>
      </c>
      <c r="P8" s="28" t="n"/>
      <c r="Q8" s="28" t="n">
        <v>0.05522</v>
      </c>
      <c r="R8" s="26" t="n">
        <v>48</v>
      </c>
      <c r="S8" s="29" t="n">
        <v>1</v>
      </c>
      <c r="T8" s="24" t="inlineStr">
        <is>
          <t>cs2-tiered-elo-v6</t>
        </is>
      </c>
      <c r="U8" s="24" t="inlineStr">
        <is>
          <t>settled</t>
        </is>
      </c>
      <c r="V8" s="24" t="inlineStr">
        <is>
          <t>win</t>
        </is>
      </c>
      <c r="W8" s="26" t="n">
        <v>1</v>
      </c>
      <c r="X8" s="26" t="n">
        <v>0</v>
      </c>
      <c r="Y8" s="25" t="n"/>
      <c r="Z8" s="26" t="n">
        <v>122</v>
      </c>
      <c r="AA8" s="28" t="n">
        <v>0.45</v>
      </c>
      <c r="AB8" s="28" t="n">
        <v>-0.00045</v>
      </c>
      <c r="AC8" s="30" t="n">
        <v>1.22</v>
      </c>
      <c r="AD8" s="24" t="inlineStr">
        <is>
          <t>2026-10-06T22:01:22.012777Z</t>
        </is>
      </c>
      <c r="AE8" s="31" t="inlineStr">
        <is>
          <t>Neutral Elo baseline; executable ask 0.4500 (market_slug=aec-cs2-btf-erx-2026-10-06).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paper_call</t>
        </is>
      </c>
      <c r="AL8" s="26" t="n">
        <v>4</v>
      </c>
      <c r="AM8" s="24" t="inlineStr">
        <is>
          <t>RESEARCH_OBSERVATION</t>
        </is>
      </c>
      <c r="AN8" s="24" t="inlineStr">
        <is>
          <t>CALL</t>
        </is>
      </c>
      <c r="AO8" s="24" t="inlineStr">
        <is>
          <t>PAPER_CALL_LOW_EDGE</t>
        </is>
      </c>
      <c r="AP8" s="24" t="inlineStr">
        <is>
          <t>ex-RUSTEC</t>
        </is>
      </c>
      <c r="AQ8" s="24" t="inlineStr">
        <is>
          <t>ex-RUSTEC</t>
        </is>
      </c>
      <c r="AR8" s="24" t="inlineStr">
        <is>
          <t>ex-RUSTEC</t>
        </is>
      </c>
      <c r="AS8" s="24" t="inlineStr">
        <is>
          <t>Butterfly</t>
        </is>
      </c>
      <c r="AT8" s="24" t="inlineStr">
        <is>
          <t>Butterfly</t>
        </is>
      </c>
      <c r="AU8" s="24" t="inlineStr">
        <is>
          <t>Butterfly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5a569bf656936ab4a5ca4de357c910b67bb9aac0b53c54d24470a29f75ef9cc8</t>
        </is>
      </c>
      <c r="BB8" s="24" t="inlineStr">
        <is>
          <t>neutral_elo</t>
        </is>
      </c>
      <c r="BC8" s="24" t="inlineStr">
        <is>
          <t>cs2-tiered-elo-v6</t>
        </is>
      </c>
      <c r="BD8" s="24" t="inlineStr">
        <is>
          <t>5a569bf656936ab4a5ca4de357c910b67bb9aac0b53c54d24470a29f75ef9cc8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cs2-tiered-elo-v6</t>
        </is>
      </c>
      <c r="BH8" s="24" t="inlineStr">
        <is>
          <t>2026-10-06T10:52:15.220203Z</t>
        </is>
      </c>
      <c r="BI8" s="24" t="inlineStr">
        <is>
          <t>["same_event","same_team_same_day","same_league_same_day"]</t>
        </is>
      </c>
      <c r="BJ8" s="25" t="n"/>
      <c r="BK8" s="26" t="n">
        <v>122</v>
      </c>
      <c r="BL8" s="27" t="n">
        <v>2.22</v>
      </c>
      <c r="BM8" s="28" t="n">
        <v>0.45045</v>
      </c>
      <c r="BN8" s="28" t="n"/>
      <c r="BO8" s="28" t="n"/>
      <c r="BP8" s="25" t="n"/>
      <c r="BQ8" s="27" t="n">
        <v>2.22</v>
      </c>
      <c r="BR8" s="28" t="n">
        <v>0.45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0.45045</t>
        </is>
      </c>
      <c r="DK8" s="24" t="n"/>
      <c r="DL8" s="24" t="n"/>
      <c r="DM8" s="24" t="n"/>
      <c r="DN8" s="24" t="n"/>
      <c r="DO8" s="24" t="n"/>
      <c r="DP8" s="24" t="n"/>
      <c r="DQ8" s="24" t="inlineStr">
        <is>
          <t>{"artifact_hash": "5a569bf656936ab4a5ca4de357c910b67bb9aac0b53c54d24470a29f75ef9cc8", "away_team": "ex-RUSTEC", "event_id": "144431", "event_start_utc": "2026-10-06T14:00:00Z", "features": {"away_elo": 1705.948857, "away_history_count": 58, "home_elo": 1685.847505, "home_history_count": 29}, "historical_source_observation_times_verified": false, "home_team": "Butterfly", "inference_inputs": {"book_state": {"games_played": {"bo3:1:24855": 29, "bo3:1:24857": 58}, "inactivity_half_life_days": null, "inactivity_max_pull": null, "k": 40.0, "last_match_utc": {"bo3:1:24855": "2026-10-04T14:15:00Z", "bo3:1:24857": "2026-10-04T17:00:00Z"}, "minimum_reliable_games": null, "platt_intercept": 0.07347823263603206, "platt_slope": 0.8718397660111185, "ratings": {"bo3:1:24855": 1685.847505, "bo3:1:24857": 1705.948857},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"2026-10-06T10:50:53.571950+00:00", "team_ids": ["bo3:1:24855", "bo3:1:24857"]}, "market_type": "moneyline", "model_version": "cs2-tiered-elo-v6", "observed_at_utc": "2026-10-06T10:50:53.571950+00:00", "probabilities": {"away": 0.50567, "home": 0.49433}, "replay_scope": "Exact serving book state, calibration, temperature, inactivity reference and thin-history adjustments; training provenance not certified.", "schema": "esports-elo-replay-v1", "snapshot_hash": "4142af427efe914de9bdc70d3ac90bf0dbee22a7da370f11dfe2a684e620c11e", "sport": "CS2"}</t>
        </is>
      </c>
    </row>
    <row r="9" ht="36" customHeight="1">
      <c r="A9" s="24" t="inlineStr">
        <is>
          <t>608ac87143524f38</t>
        </is>
      </c>
      <c r="B9" s="24" t="inlineStr">
        <is>
          <t>2026-10-06T10:55:23.619249Z</t>
        </is>
      </c>
      <c r="C9" s="24" t="inlineStr">
        <is>
          <t>2026-10-06T14:30:00Z</t>
        </is>
      </c>
      <c r="D9" s="24" t="inlineStr">
        <is>
          <t>144432</t>
        </is>
      </c>
      <c r="E9" s="24" t="inlineStr">
        <is>
          <t>CS2</t>
        </is>
      </c>
      <c r="F9" s="24" t="inlineStr">
        <is>
          <t>BetBoom Team</t>
        </is>
      </c>
      <c r="G9" s="24" t="inlineStr">
        <is>
          <t>9z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-138</v>
      </c>
      <c r="M9" s="27" t="n">
        <v>1.724638</v>
      </c>
      <c r="N9" s="28" t="n">
        <v>0.579832</v>
      </c>
      <c r="O9" s="28" t="n">
        <v>0.571842</v>
      </c>
      <c r="P9" s="28" t="n"/>
      <c r="Q9" s="28" t="n">
        <v>-0.007990000000000001</v>
      </c>
      <c r="R9" s="26" t="n">
        <v>16</v>
      </c>
      <c r="S9" s="29" t="n">
        <v>1</v>
      </c>
      <c r="T9" s="24" t="inlineStr">
        <is>
          <t>cs2-tiered-elo-v6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>
        <v>-138</v>
      </c>
      <c r="AA9" s="28" t="n">
        <v>0.58</v>
      </c>
      <c r="AB9" s="28" t="n">
        <v>0.000168</v>
      </c>
      <c r="AC9" s="30" t="n">
        <v>-1</v>
      </c>
      <c r="AD9" s="24" t="inlineStr">
        <is>
          <t>2026-10-06T22:01:30.300080Z</t>
        </is>
      </c>
      <c r="AE9" s="31" t="inlineStr">
        <is>
          <t>Neutral Elo baseline; executable ask 0.5800 (market_slug=aec-cs2-9z-bb-2026-10-06).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paper_call</t>
        </is>
      </c>
      <c r="AL9" s="26" t="n">
        <v>4</v>
      </c>
      <c r="AM9" s="24" t="inlineStr">
        <is>
          <t>RESEARCH_OBSERVATION</t>
        </is>
      </c>
      <c r="AN9" s="24" t="inlineStr">
        <is>
          <t>CALL</t>
        </is>
      </c>
      <c r="AO9" s="24" t="inlineStr">
        <is>
          <t>PAPER_CALL_LOW_EDGE</t>
        </is>
      </c>
      <c r="AP9" s="24" t="inlineStr">
        <is>
          <t>BetBoom Team</t>
        </is>
      </c>
      <c r="AQ9" s="24" t="inlineStr">
        <is>
          <t>BetBoom Team</t>
        </is>
      </c>
      <c r="AR9" s="24" t="inlineStr">
        <is>
          <t>BetBoom Team</t>
        </is>
      </c>
      <c r="AS9" s="24" t="inlineStr">
        <is>
          <t>9z</t>
        </is>
      </c>
      <c r="AT9" s="24" t="inlineStr">
        <is>
          <t>9z</t>
        </is>
      </c>
      <c r="AU9" s="24" t="inlineStr">
        <is>
          <t>9z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5a569bf656936ab4a5ca4de357c910b67bb9aac0b53c54d24470a29f75ef9cc8</t>
        </is>
      </c>
      <c r="BB9" s="24" t="inlineStr">
        <is>
          <t>neutral_elo</t>
        </is>
      </c>
      <c r="BC9" s="24" t="inlineStr">
        <is>
          <t>cs2-tiered-elo-v6</t>
        </is>
      </c>
      <c r="BD9" s="24" t="inlineStr">
        <is>
          <t>5a569bf656936ab4a5ca4de357c910b67bb9aac0b53c54d24470a29f75ef9cc8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cs2-tiered-elo-v6</t>
        </is>
      </c>
      <c r="BH9" s="24" t="inlineStr">
        <is>
          <t>2026-10-06T10:52:15.278163Z</t>
        </is>
      </c>
      <c r="BI9" s="24" t="inlineStr">
        <is>
          <t>["same_event","same_team_same_day","same_league_same_day"]</t>
        </is>
      </c>
      <c r="BJ9" s="25" t="n"/>
      <c r="BK9" s="26" t="n">
        <v>-138</v>
      </c>
      <c r="BL9" s="27" t="n">
        <v>1.724638</v>
      </c>
      <c r="BM9" s="28" t="n">
        <v>0.579832</v>
      </c>
      <c r="BN9" s="28" t="n"/>
      <c r="BO9" s="28" t="n"/>
      <c r="BP9" s="25" t="n"/>
      <c r="BQ9" s="27" t="n">
        <v>1.724638</v>
      </c>
      <c r="BR9" s="28" t="n">
        <v>0.58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False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0.579832</t>
        </is>
      </c>
      <c r="DK9" s="24" t="n"/>
      <c r="DL9" s="24" t="n"/>
      <c r="DM9" s="24" t="n"/>
      <c r="DN9" s="24" t="n"/>
      <c r="DO9" s="24" t="n"/>
      <c r="DP9" s="24" t="n"/>
      <c r="DQ9" s="24" t="inlineStr">
        <is>
          <t>{"artifact_hash": "5a569bf656936ab4a5ca4de357c910b67bb9aac0b53c54d24470a29f75ef9cc8", "away_team": "BetBoom Team", "event_id": "144432", "event_start_utc": "2026-10-06T14:30:00Z", "features": {"away_elo": 2010.264537, "away_history_count": 302, "home_elo": 1927.831345, "home_history_count": 274}, "historical_source_observation_times_verified": false, "home_team": "9z", "inference_inputs": {"book_state": {"games_played": {"bo3:1:324": 274, "bo3:1:7498": 302}, "inactivity_half_life_days": null, "inactivity_max_pull": null, "k": 40.0, "last_match_utc": {"bo3:1:324": "2026-10-05T12:20:00Z", "bo3:1:7498": "2026-10-05T17:15:00Z"}, "minimum_reliable_games": null, "platt_intercept": 0.07347823263603206, "platt_slope": 0.8718397660111185, "ratings": {"bo3:1:324": 1927.831345, "bo3:1:7498": 2010.264537},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"2026-10-06T10:50:53.571950+00:00", "team_ids": ["bo3:1:324", "bo3:1:7498"]}, "market_type": "moneyline", "model_version": "cs2-tiered-elo-v6", "observed_at_utc": "2026-10-06T10:50:53.571950+00:00", "probabilities": {"away": 0.571842, "home": 0.428158}, "replay_scope": "Exact serving book state, calibration, temperature, inactivity reference and thin-history adjustments; training provenance not certified.", "schema": "esports-elo-replay-v1", "snapshot_hash": "955a73bcd9b41c57dda44e4bd149f3ec85dc7429acea78391c439ab91f68c083", "sport": "CS2"}</t>
        </is>
      </c>
    </row>
    <row r="10" ht="36" customHeight="1">
      <c r="A10" s="24" t="inlineStr">
        <is>
          <t>6584b41afef94368</t>
        </is>
      </c>
      <c r="B10" s="24" t="inlineStr">
        <is>
          <t>2026-10-06T10:55:23.619249Z</t>
        </is>
      </c>
      <c r="C10" s="24" t="inlineStr">
        <is>
          <t>2026-10-06T14:30:00Z</t>
        </is>
      </c>
      <c r="D10" s="24" t="inlineStr">
        <is>
          <t>144433</t>
        </is>
      </c>
      <c r="E10" s="24" t="inlineStr">
        <is>
          <t>CS2</t>
        </is>
      </c>
      <c r="F10" s="24" t="inlineStr">
        <is>
          <t>Aurora Gaming</t>
        </is>
      </c>
      <c r="G10" s="24" t="inlineStr">
        <is>
          <t>FURIA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-122</v>
      </c>
      <c r="M10" s="27" t="n">
        <v>1.819672</v>
      </c>
      <c r="N10" s="28" t="n">
        <v>0.54955</v>
      </c>
      <c r="O10" s="28" t="n">
        <v>0.519401</v>
      </c>
      <c r="P10" s="28" t="n"/>
      <c r="Q10" s="28" t="n">
        <v>-0.030149</v>
      </c>
      <c r="R10" s="26" t="n">
        <v>5</v>
      </c>
      <c r="S10" s="29" t="n">
        <v>1</v>
      </c>
      <c r="T10" s="24" t="inlineStr">
        <is>
          <t>cs2-tiered-elo-v6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-122</v>
      </c>
      <c r="AA10" s="28" t="n">
        <v>0.55</v>
      </c>
      <c r="AB10" s="28" t="n">
        <v>0.00045</v>
      </c>
      <c r="AC10" s="30" t="n">
        <v>-1</v>
      </c>
      <c r="AD10" s="24" t="inlineStr">
        <is>
          <t>2026-10-06T22:01:38.616538Z</t>
        </is>
      </c>
      <c r="AE10" s="31" t="inlineStr">
        <is>
          <t>Neutral Elo baseline; executable ask 0.5500 (market_slug=aec-cs2-furia-aur-2026-10-06).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paper_call</t>
        </is>
      </c>
      <c r="AL10" s="26" t="n">
        <v>4</v>
      </c>
      <c r="AM10" s="24" t="inlineStr">
        <is>
          <t>RESEARCH_OBSERVATION</t>
        </is>
      </c>
      <c r="AN10" s="24" t="inlineStr">
        <is>
          <t>CALL</t>
        </is>
      </c>
      <c r="AO10" s="24" t="inlineStr">
        <is>
          <t>PAPER_CALL_LOW_EDGE</t>
        </is>
      </c>
      <c r="AP10" s="24" t="inlineStr">
        <is>
          <t>Aurora Gaming</t>
        </is>
      </c>
      <c r="AQ10" s="24" t="inlineStr">
        <is>
          <t>Aurora Gaming</t>
        </is>
      </c>
      <c r="AR10" s="24" t="inlineStr">
        <is>
          <t>Aurora Gaming</t>
        </is>
      </c>
      <c r="AS10" s="24" t="inlineStr">
        <is>
          <t>FURIA</t>
        </is>
      </c>
      <c r="AT10" s="24" t="inlineStr">
        <is>
          <t>FURIA</t>
        </is>
      </c>
      <c r="AU10" s="24" t="inlineStr">
        <is>
          <t>FURIA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5a569bf656936ab4a5ca4de357c910b67bb9aac0b53c54d24470a29f75ef9cc8</t>
        </is>
      </c>
      <c r="BB10" s="24" t="inlineStr">
        <is>
          <t>neutral_elo</t>
        </is>
      </c>
      <c r="BC10" s="24" t="inlineStr">
        <is>
          <t>cs2-tiered-elo-v6</t>
        </is>
      </c>
      <c r="BD10" s="24" t="inlineStr">
        <is>
          <t>5a569bf656936ab4a5ca4de357c910b67bb9aac0b53c54d24470a29f75ef9cc8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cs2-tiered-elo-v6</t>
        </is>
      </c>
      <c r="BH10" s="24" t="inlineStr">
        <is>
          <t>2026-10-06T10:52:25.557047Z</t>
        </is>
      </c>
      <c r="BI10" s="24" t="inlineStr">
        <is>
          <t>["same_event","same_team_same_day","same_league_same_day"]</t>
        </is>
      </c>
      <c r="BJ10" s="25" t="n"/>
      <c r="BK10" s="26" t="n">
        <v>-122</v>
      </c>
      <c r="BL10" s="27" t="n">
        <v>1.819672</v>
      </c>
      <c r="BM10" s="28" t="n">
        <v>0.54955</v>
      </c>
      <c r="BN10" s="28" t="n"/>
      <c r="BO10" s="28" t="n"/>
      <c r="BP10" s="25" t="n"/>
      <c r="BQ10" s="27" t="n">
        <v>1.819672</v>
      </c>
      <c r="BR10" s="28" t="n">
        <v>0.55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False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0.54955</t>
        </is>
      </c>
      <c r="DK10" s="24" t="n"/>
      <c r="DL10" s="24" t="n"/>
      <c r="DM10" s="24" t="n"/>
      <c r="DN10" s="24" t="n"/>
      <c r="DO10" s="24" t="n"/>
      <c r="DP10" s="24" t="n"/>
      <c r="DQ10" s="24" t="inlineStr">
        <is>
          <t>{"artifact_hash": "5a569bf656936ab4a5ca4de357c910b67bb9aac0b53c54d24470a29f75ef9cc8", "away_team": "Aurora Gaming", "event_id": "144433", "event_start_utc": "2026-10-06T14:30:00Z", "features": {"away_elo": 2107.204816, "away_history_count": 310, "home_elo": 2112.77696, "home_history_count": 241}, "historical_source_observation_times_verified": false, "home_team": "FURIA", "inference_inputs": {"book_state": {"games_played": {"bo3:1:3598": 310, "bo3:1:648": 241}, "inactivity_half_life_days": null, "inactivity_max_pull": null, "k": 40.0, "last_match_utc": {"bo3:1:3598": "2026-10-05T17:15:00Z", "bo3:1:648": "2026-10-05T09:00:00Z"}, "minimum_reliable_games": null, "platt_intercept": 0.07347823263603206, "platt_slope": 0.8718397660111185, "ratings": {"bo3:1:3598": 2107.204816, "bo3:1:648": 2112.77696},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"2026-10-06T10:50:53.571950+00:00", "team_ids": ["bo3:1:648", "bo3:1:3598"]}, "market_type": "moneyline", "model_version": "cs2-tiered-elo-v6", "observed_at_utc": "2026-10-06T10:50:53.571950+00:00", "probabilities": {"away": 0.480599, "home": 0.519401}, "replay_scope": "Exact serving book state, calibration, temperature, inactivity reference and thin-history adjustments; training provenance not certified.", "schema": "esports-elo-replay-v1", "snapshot_hash": "738385e565cd1722b1949261a847092f1453298915952f506209d7300cc30bc2", "sport": "CS2"}</t>
        </is>
      </c>
    </row>
    <row r="11" ht="36" customHeight="1">
      <c r="A11" s="24" t="inlineStr">
        <is>
          <t>13ce7f50b7ee4f12</t>
        </is>
      </c>
      <c r="B11" s="24" t="inlineStr">
        <is>
          <t>2026-10-06T16:38:56.980694Z</t>
        </is>
      </c>
      <c r="C11" s="24" t="inlineStr">
        <is>
          <t>2026-10-06T17:00:00Z</t>
        </is>
      </c>
      <c r="D11" s="24" t="inlineStr">
        <is>
          <t>140247</t>
        </is>
      </c>
      <c r="E11" s="24" t="inlineStr">
        <is>
          <t>CS2</t>
        </is>
      </c>
      <c r="F11" s="24" t="inlineStr">
        <is>
          <t>MASONIC</t>
        </is>
      </c>
      <c r="G11" s="24" t="inlineStr">
        <is>
          <t>MASQ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-203</v>
      </c>
      <c r="M11" s="27" t="n">
        <v>1.492611</v>
      </c>
      <c r="N11" s="28" t="n">
        <v>0.669967</v>
      </c>
      <c r="O11" s="28" t="n">
        <v>0.536236</v>
      </c>
      <c r="P11" s="28" t="n"/>
      <c r="Q11" s="28" t="n">
        <v>-0.133731</v>
      </c>
      <c r="R11" s="26" t="n">
        <v>0</v>
      </c>
      <c r="S11" s="29" t="n">
        <v>1</v>
      </c>
      <c r="T11" s="24" t="inlineStr">
        <is>
          <t>cs2-tiered-elo-v6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>
        <v>-203</v>
      </c>
      <c r="AA11" s="28" t="n">
        <v>0.67</v>
      </c>
      <c r="AB11" s="28" t="n">
        <v>3.3e-05</v>
      </c>
      <c r="AC11" s="30" t="n">
        <v>0.4926</v>
      </c>
      <c r="AD11" s="24" t="inlineStr">
        <is>
          <t>2026-10-06T22:01:47.269737Z</t>
        </is>
      </c>
      <c r="AE11" s="31" t="inlineStr">
        <is>
          <t>Neutral Elo baseline; executable ask 0.6700 (market_slug=aec-cs2-masq-msc-2026-10-06).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paper_call</t>
        </is>
      </c>
      <c r="AL11" s="26" t="n">
        <v>4</v>
      </c>
      <c r="AM11" s="24" t="inlineStr">
        <is>
          <t>RESEARCH_OBSERVATION</t>
        </is>
      </c>
      <c r="AN11" s="24" t="inlineStr">
        <is>
          <t>CALL</t>
        </is>
      </c>
      <c r="AO11" s="24" t="inlineStr">
        <is>
          <t>PAPER_CALL_LOW_EDGE</t>
        </is>
      </c>
      <c r="AP11" s="24" t="inlineStr">
        <is>
          <t>MASONIC</t>
        </is>
      </c>
      <c r="AQ11" s="24" t="inlineStr">
        <is>
          <t>MASONIC</t>
        </is>
      </c>
      <c r="AR11" s="24" t="inlineStr">
        <is>
          <t>MASONIC</t>
        </is>
      </c>
      <c r="AS11" s="24" t="inlineStr">
        <is>
          <t>MASQ</t>
        </is>
      </c>
      <c r="AT11" s="24" t="inlineStr">
        <is>
          <t>MASQ</t>
        </is>
      </c>
      <c r="AU11" s="24" t="inlineStr">
        <is>
          <t>MASQ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7505ee5c132fdc53de854c732ee4c17c7b05d4dfb4a3dbb5db684c9e4fbf8d75</t>
        </is>
      </c>
      <c r="BB11" s="24" t="inlineStr">
        <is>
          <t>neutral_elo</t>
        </is>
      </c>
      <c r="BC11" s="24" t="inlineStr">
        <is>
          <t>cs2-tiered-elo-v6</t>
        </is>
      </c>
      <c r="BD11" s="24" t="inlineStr">
        <is>
          <t>7505ee5c132fdc53de854c732ee4c17c7b05d4dfb4a3dbb5db684c9e4fbf8d75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cs2-tiered-elo-v6</t>
        </is>
      </c>
      <c r="BH11" s="24" t="inlineStr">
        <is>
          <t>2026-10-06T16:34:53.502060Z</t>
        </is>
      </c>
      <c r="BI11" s="24" t="inlineStr">
        <is>
          <t>["same_event","same_team_same_day","same_league_same_day"]</t>
        </is>
      </c>
      <c r="BJ11" s="25" t="n"/>
      <c r="BK11" s="26" t="n">
        <v>-203</v>
      </c>
      <c r="BL11" s="27" t="n">
        <v>1.492611</v>
      </c>
      <c r="BM11" s="28" t="n">
        <v>0.669967</v>
      </c>
      <c r="BN11" s="28" t="n"/>
      <c r="BO11" s="28" t="n"/>
      <c r="BP11" s="25" t="n"/>
      <c r="BQ11" s="27" t="n">
        <v>1.492611</v>
      </c>
      <c r="BR11" s="28" t="n">
        <v>0.67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False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0.669967</t>
        </is>
      </c>
      <c r="DK11" s="24" t="n"/>
      <c r="DL11" s="24" t="n"/>
      <c r="DM11" s="24" t="n"/>
      <c r="DN11" s="24" t="n"/>
      <c r="DO11" s="24" t="n"/>
      <c r="DP11" s="24" t="n"/>
      <c r="DQ11" s="24" t="inlineStr">
        <is>
          <t>{"artifact_hash": "7505ee5c132fdc53de854c732ee4c17c7b05d4dfb4a3dbb5db684c9e4fbf8d75", "away_team": "MASONIC", "event_id": "140247", "event_start_utc": "2026-10-06T17:00:00Z", "features": {"away_elo": 1530.593808, "away_history_count": 307, "home_elo": 1481.466139, "home_history_count": 29}, "historical_source_observation_times_verified": false, "home_team": "MASQ", "inference_inputs": {"book_state": {"games_played": {"bo3:1:1059": 307, "bo3:1:23070": 29}, "inactivity_half_life_days": null, "inactivity_max_pull": null, "k": 40.0, "last_match_utc": {"bo3:1:1059": "2026-10-06T11:00:00Z", "bo3:1:23070": "2026-10-05T18:00:00Z"}, "minimum_reliable_games": null, "platt_intercept": 0.0737093924773071, "platt_slope": 0.8704882287359372, "ratings": {"bo3:1:1059": 1530.593808, "bo3:1:23070": 1481.466139},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["bo3:1:23070", "bo3:1:1059"]}, "market_type": "moneyline", "model_version": "cs2-tiered-elo-v6", "observed_at_utc": "2026-10-06T16:34:12.705943+00:00", "probabilities": {"away": 0.536236, "home": 0.463764}, "replay_scope": "Exact serving book state, calibration, temperature, inactivity reference and thin-history adjustments; training provenance not certified.", "schema": "esports-elo-replay-v1", "snapshot_hash": "cd97210877ee153b3e396da85d79a2b3628ebbe5e6065adddaf494b423244658", "sport": "CS2"}</t>
        </is>
      </c>
    </row>
    <row r="12" ht="36" customHeight="1">
      <c r="A12" s="24" t="inlineStr">
        <is>
          <t>821d03282c074a16</t>
        </is>
      </c>
      <c r="B12" s="24" t="inlineStr">
        <is>
          <t>2026-10-06T16:38:56.980694Z</t>
        </is>
      </c>
      <c r="C12" s="24" t="inlineStr">
        <is>
          <t>2026-10-06T17:00:00Z</t>
        </is>
      </c>
      <c r="D12" s="24" t="inlineStr">
        <is>
          <t>144436</t>
        </is>
      </c>
      <c r="E12" s="24" t="inlineStr">
        <is>
          <t>CS2</t>
        </is>
      </c>
      <c r="F12" s="24" t="inlineStr">
        <is>
          <t>Natus Vincere</t>
        </is>
      </c>
      <c r="G12" s="24" t="inlineStr">
        <is>
          <t>Team Falcons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-138</v>
      </c>
      <c r="M12" s="27" t="n">
        <v>1.724638</v>
      </c>
      <c r="N12" s="28" t="n">
        <v>0.579832</v>
      </c>
      <c r="O12" s="28" t="n">
        <v>0.678605</v>
      </c>
      <c r="P12" s="28" t="n"/>
      <c r="Q12" s="28" t="n">
        <v>0.098773</v>
      </c>
      <c r="R12" s="26" t="n">
        <v>69</v>
      </c>
      <c r="S12" s="29" t="n">
        <v>1.25</v>
      </c>
      <c r="T12" s="24" t="inlineStr">
        <is>
          <t>cs2-tiered-elo-v6</t>
        </is>
      </c>
      <c r="U12" s="24" t="inlineStr">
        <is>
          <t>settled</t>
        </is>
      </c>
      <c r="V12" s="24" t="inlineStr">
        <is>
          <t>win</t>
        </is>
      </c>
      <c r="W12" s="26" t="n">
        <v>0</v>
      </c>
      <c r="X12" s="26" t="n">
        <v>1</v>
      </c>
      <c r="Y12" s="25" t="n"/>
      <c r="Z12" s="26" t="n">
        <v>-138</v>
      </c>
      <c r="AA12" s="28" t="n">
        <v>0.58</v>
      </c>
      <c r="AB12" s="28" t="n">
        <v>0.000168</v>
      </c>
      <c r="AC12" s="30" t="n">
        <v>0.9058</v>
      </c>
      <c r="AD12" s="24" t="inlineStr">
        <is>
          <t>2026-10-06T22:57:04.049771Z</t>
        </is>
      </c>
      <c r="AE12" s="31" t="inlineStr">
        <is>
          <t>Neutral Elo baseline; executable ask 0.5800 (market_slug=aec-cs2-fal-navi-2026-10-06).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4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Natus Vincere</t>
        </is>
      </c>
      <c r="AQ12" s="24" t="inlineStr">
        <is>
          <t>Natus Vincere</t>
        </is>
      </c>
      <c r="AR12" s="24" t="inlineStr">
        <is>
          <t>Natus Vincere</t>
        </is>
      </c>
      <c r="AS12" s="24" t="inlineStr">
        <is>
          <t>Team Falcons</t>
        </is>
      </c>
      <c r="AT12" s="24" t="inlineStr">
        <is>
          <t>Team Falcons</t>
        </is>
      </c>
      <c r="AU12" s="24" t="inlineStr">
        <is>
          <t>Team Falcons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7505ee5c132fdc53de854c732ee4c17c7b05d4dfb4a3dbb5db684c9e4fbf8d75</t>
        </is>
      </c>
      <c r="BB12" s="24" t="inlineStr">
        <is>
          <t>neutral_elo</t>
        </is>
      </c>
      <c r="BC12" s="24" t="inlineStr">
        <is>
          <t>cs2-tiered-elo-v6</t>
        </is>
      </c>
      <c r="BD12" s="24" t="inlineStr">
        <is>
          <t>7505ee5c132fdc53de854c732ee4c17c7b05d4dfb4a3dbb5db684c9e4fbf8d75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cs2-tiered-elo-v6</t>
        </is>
      </c>
      <c r="BH12" s="24" t="inlineStr">
        <is>
          <t>2026-10-06T16:35:04.284173Z</t>
        </is>
      </c>
      <c r="BI12" s="24" t="inlineStr">
        <is>
          <t>["same_event","same_team_same_day","same_league_same_day"]</t>
        </is>
      </c>
      <c r="BJ12" s="25" t="n"/>
      <c r="BK12" s="26" t="n">
        <v>-138</v>
      </c>
      <c r="BL12" s="27" t="n">
        <v>1.724638</v>
      </c>
      <c r="BM12" s="28" t="n">
        <v>0.579832</v>
      </c>
      <c r="BN12" s="28" t="n"/>
      <c r="BO12" s="28" t="n"/>
      <c r="BP12" s="25" t="n"/>
      <c r="BQ12" s="27" t="n">
        <v>1.724638</v>
      </c>
      <c r="BR12" s="28" t="n">
        <v>0.58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0.579832</t>
        </is>
      </c>
      <c r="DK12" s="24" t="n"/>
      <c r="DL12" s="24" t="n"/>
      <c r="DM12" s="24" t="n"/>
      <c r="DN12" s="24" t="n"/>
      <c r="DO12" s="24" t="n"/>
      <c r="DP12" s="24" t="n"/>
      <c r="DQ12" s="24" t="inlineStr">
        <is>
          <t>{"artifact_hash": "7505ee5c132fdc53de854c732ee4c17c7b05d4dfb4a3dbb5db684c9e4fbf8d75", "away_team": "Natus Vincere", "event_id": "144436", "event_start_utc": "2026-10-06T17:00:00Z", "features": {"away_elo": 2051.478982, "away_history_count": 196, "home_elo": 2213.381866, "home_history_count": 203}, "historical_source_observation_times_verified": false, "home_team": "Team Falcons", "inference_inputs": {"book_state": {"games_played": {"bo3:1:2713": 203, "bo3:1:787": 196}, "inactivity_half_life_days": null, "inactivity_max_pull": null, "k": 40.0, "last_match_utc": {"bo3:1:2713": "2026-10-05T16:30:00Z", "bo3:1:787": "2026-10-05T12:20:00Z"}, "minimum_reliable_games": null, "platt_intercept": 0.0737093924773071, "platt_slope": 0.8704882287359372, "ratings": {"bo3:1:2713": 2213.381866, "bo3:1:787": 2051.478982},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["bo3:1:2713", "bo3:1:787"]}, "market_type": "moneyline", "model_version": "cs2-tiered-elo-v6", "observed_at_utc": "2026-10-06T16:34:12.705943+00:00", "probabilities": {"away": 0.321395, "home": 0.678605}, "replay_scope": "Exact serving book state, calibration, temperature, inactivity reference and thin-history adjustments; training provenance not certified.", "schema": "esports-elo-replay-v1", "snapshot_hash": "5bd46623bcaf6eb28b2ee148172837656817f51eacec81f4b41a5524479e80ee", "sport": "CS2"}</t>
        </is>
      </c>
    </row>
    <row r="13" ht="36" customHeight="1">
      <c r="A13" s="24" t="inlineStr">
        <is>
          <t>173f5f18a1f548ff</t>
        </is>
      </c>
      <c r="B13" s="24" t="inlineStr">
        <is>
          <t>2026-10-06T16:38:56.980694Z</t>
        </is>
      </c>
      <c r="C13" s="24" t="inlineStr">
        <is>
          <t>2026-10-06T17:00:00Z</t>
        </is>
      </c>
      <c r="D13" s="24" t="inlineStr">
        <is>
          <t>144438</t>
        </is>
      </c>
      <c r="E13" s="24" t="inlineStr">
        <is>
          <t>CS2</t>
        </is>
      </c>
      <c r="F13" s="24" t="inlineStr">
        <is>
          <t>M80</t>
        </is>
      </c>
      <c r="G13" s="24" t="inlineStr">
        <is>
          <t>Legacy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-127</v>
      </c>
      <c r="M13" s="27" t="n">
        <v>1.787402</v>
      </c>
      <c r="N13" s="28" t="n">
        <v>0.5594710000000001</v>
      </c>
      <c r="O13" s="28" t="n">
        <v>0.755238</v>
      </c>
      <c r="P13" s="28" t="n"/>
      <c r="Q13" s="28" t="n">
        <v>0.195767</v>
      </c>
      <c r="R13" s="26" t="n">
        <v>100</v>
      </c>
      <c r="S13" s="29" t="n">
        <v>2</v>
      </c>
      <c r="T13" s="24" t="inlineStr">
        <is>
          <t>cs2-tiered-elo-v6</t>
        </is>
      </c>
      <c r="U13" s="24" t="inlineStr">
        <is>
          <t>settled</t>
        </is>
      </c>
      <c r="V13" s="24" t="inlineStr">
        <is>
          <t>loss</t>
        </is>
      </c>
      <c r="W13" s="26" t="n">
        <v>1</v>
      </c>
      <c r="X13" s="26" t="n">
        <v>0</v>
      </c>
      <c r="Y13" s="25" t="n"/>
      <c r="Z13" s="26" t="n"/>
      <c r="AA13" s="28" t="n"/>
      <c r="AB13" s="28" t="n"/>
      <c r="AC13" s="30" t="n">
        <v>-2</v>
      </c>
      <c r="AD13" s="24" t="inlineStr">
        <is>
          <t>2026-10-06T22:01:56.026114Z</t>
        </is>
      </c>
      <c r="AE13" s="31" t="inlineStr">
        <is>
          <t>Neutral Elo baseline; executable ask 0.5600 (market_slug=aec-cs2-lgc-m80-2026-10-06).</t>
        </is>
      </c>
      <c r="AF13" s="31" t="inlineStr">
        <is>
          <t>Config-promoted esports baseline; gates enforced at log time.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4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M80</t>
        </is>
      </c>
      <c r="AQ13" s="24" t="inlineStr">
        <is>
          <t>M80</t>
        </is>
      </c>
      <c r="AR13" s="24" t="inlineStr">
        <is>
          <t>M80</t>
        </is>
      </c>
      <c r="AS13" s="24" t="inlineStr">
        <is>
          <t>Legacy</t>
        </is>
      </c>
      <c r="AT13" s="24" t="inlineStr">
        <is>
          <t>Legacy</t>
        </is>
      </c>
      <c r="AU13" s="24" t="inlineStr">
        <is>
          <t>Legacy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7505ee5c132fdc53de854c732ee4c17c7b05d4dfb4a3dbb5db684c9e4fbf8d75</t>
        </is>
      </c>
      <c r="BB13" s="24" t="inlineStr">
        <is>
          <t>neutral_elo</t>
        </is>
      </c>
      <c r="BC13" s="24" t="inlineStr">
        <is>
          <t>cs2-tiered-elo-v6</t>
        </is>
      </c>
      <c r="BD13" s="24" t="inlineStr">
        <is>
          <t>7505ee5c132fdc53de854c732ee4c17c7b05d4dfb4a3dbb5db684c9e4fbf8d75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cs2-tiered-elo-v6</t>
        </is>
      </c>
      <c r="BH13" s="24" t="inlineStr">
        <is>
          <t>2026-10-06T16:35:04.374978Z</t>
        </is>
      </c>
      <c r="BI13" s="24" t="inlineStr">
        <is>
          <t>["same_event","same_team_same_day","same_league_same_day"]</t>
        </is>
      </c>
      <c r="BJ13" s="25" t="n"/>
      <c r="BK13" s="26" t="n">
        <v>-127</v>
      </c>
      <c r="BL13" s="27" t="n">
        <v>1.787402</v>
      </c>
      <c r="BM13" s="28" t="n">
        <v>0.5594710000000001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0.559471</t>
        </is>
      </c>
      <c r="DK13" s="24" t="n"/>
      <c r="DL13" s="24" t="n"/>
      <c r="DM13" s="24" t="n"/>
      <c r="DN13" s="24" t="n"/>
      <c r="DO13" s="24" t="n"/>
      <c r="DP13" s="24" t="n"/>
      <c r="DQ13" s="24" t="inlineStr">
        <is>
          <t>{"artifact_hash": "7505ee5c132fdc53de854c732ee4c17c7b05d4dfb4a3dbb5db684c9e4fbf8d75", "away_team": "M80", "event_id": "144438", "event_start_utc": "2026-10-06T17:00:00Z", "features": {"away_elo": 1855.619904, "away_history_count": 272, "home_elo": 2109.393105, "home_history_count": 303}, "historical_source_observation_times_verified": false, "home_team": "Legacy", "inference_inputs": {"book_state": {"games_played": {"bo3:1:7430": 272, "bo3:1:8118": 303}, "inactivity_half_life_days": null, "inactivity_max_pull": null, "k": 40.0, "last_match_utc": {"bo3:1:7430": "2026-10-05T14:00:00Z", "bo3:1:8118": "2026-10-05T11:30:00Z"}, "minimum_reliable_games": null, "platt_intercept": 0.0737093924773071, "platt_slope": 0.8704882287359372, "ratings": {"bo3:1:7430": 1855.619904, "bo3:1:8118": 2109.393105},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["bo3:1:8118", "bo3:1:7430"]}, "market_type": "moneyline", "model_version": "cs2-tiered-elo-v6", "observed_at_utc": "2026-10-06T16:34:12.705943+00:00", "probabilities": {"away": 0.244762, "home": 0.755238}, "replay_scope": "Exact serving book state, calibration, temperature, inactivity reference and thin-history adjustments; training provenance not certified.", "schema": "esports-elo-replay-v1", "snapshot_hash": "226e776810ff29d79633e38499bab034425cd42eed3043f20be9bcf41c19ca12", "sport": "CS2"}</t>
        </is>
      </c>
    </row>
    <row r="14" ht="36" customHeight="1">
      <c r="A14" s="24" t="inlineStr">
        <is>
          <t>e1c1749fa47d4aca</t>
        </is>
      </c>
      <c r="B14" s="24" t="inlineStr">
        <is>
          <t>2026-10-06T16:38:56.980694Z</t>
        </is>
      </c>
      <c r="C14" s="24" t="inlineStr">
        <is>
          <t>2026-10-06T17:00:00Z</t>
        </is>
      </c>
      <c r="D14" s="24" t="inlineStr">
        <is>
          <t>144439</t>
        </is>
      </c>
      <c r="E14" s="24" t="inlineStr">
        <is>
          <t>CS2</t>
        </is>
      </c>
      <c r="F14" s="24" t="inlineStr">
        <is>
          <t>Lavked</t>
        </is>
      </c>
      <c r="G14" s="24" t="inlineStr">
        <is>
          <t>WRAITH PCIFIC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133</v>
      </c>
      <c r="M14" s="27" t="n">
        <v>2.33</v>
      </c>
      <c r="N14" s="28" t="n">
        <v>0.429185</v>
      </c>
      <c r="O14" s="28" t="n">
        <v>0.572291</v>
      </c>
      <c r="P14" s="28" t="n"/>
      <c r="Q14" s="28" t="n">
        <v>0.143106</v>
      </c>
      <c r="R14" s="26" t="n">
        <v>92</v>
      </c>
      <c r="S14" s="29" t="n">
        <v>1.5</v>
      </c>
      <c r="T14" s="24" t="inlineStr">
        <is>
          <t>cs2-tiered-elo-v6</t>
        </is>
      </c>
      <c r="U14" s="24" t="inlineStr">
        <is>
          <t>settled</t>
        </is>
      </c>
      <c r="V14" s="24" t="inlineStr">
        <is>
          <t>loss</t>
        </is>
      </c>
      <c r="W14" s="26" t="n">
        <v>1</v>
      </c>
      <c r="X14" s="26" t="n">
        <v>0</v>
      </c>
      <c r="Y14" s="25" t="n"/>
      <c r="Z14" s="26" t="n"/>
      <c r="AA14" s="28" t="n"/>
      <c r="AB14" s="28" t="n"/>
      <c r="AC14" s="30" t="n">
        <v>-1.5</v>
      </c>
      <c r="AD14" s="24" t="inlineStr">
        <is>
          <t>2026-10-06T22:02:04.300104Z</t>
        </is>
      </c>
      <c r="AE14" s="31" t="inlineStr">
        <is>
          <t>Neutral Elo baseline; executable ask 0.4300 (market_slug=aec-cs2-pcific-lav-2026-10-06).</t>
        </is>
      </c>
      <c r="AF14" s="31" t="inlineStr">
        <is>
          <t>Config-promoted esports baseline; gates enforced at log time.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4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Lavked</t>
        </is>
      </c>
      <c r="AQ14" s="24" t="inlineStr">
        <is>
          <t>Lavked</t>
        </is>
      </c>
      <c r="AR14" s="24" t="inlineStr">
        <is>
          <t>Lavked</t>
        </is>
      </c>
      <c r="AS14" s="24" t="inlineStr">
        <is>
          <t>WRAITH PCIFIC</t>
        </is>
      </c>
      <c r="AT14" s="24" t="inlineStr">
        <is>
          <t>WRAITH PCIFIC</t>
        </is>
      </c>
      <c r="AU14" s="24" t="inlineStr">
        <is>
          <t>WRAITH PCIFIC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7505ee5c132fdc53de854c732ee4c17c7b05d4dfb4a3dbb5db684c9e4fbf8d75</t>
        </is>
      </c>
      <c r="BB14" s="24" t="inlineStr">
        <is>
          <t>neutral_elo</t>
        </is>
      </c>
      <c r="BC14" s="24" t="inlineStr">
        <is>
          <t>cs2-tiered-elo-v6</t>
        </is>
      </c>
      <c r="BD14" s="24" t="inlineStr">
        <is>
          <t>7505ee5c132fdc53de854c732ee4c17c7b05d4dfb4a3dbb5db684c9e4fbf8d75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cs2-tiered-elo-v6</t>
        </is>
      </c>
      <c r="BH14" s="24" t="inlineStr">
        <is>
          <t>2026-10-06T16:35:04.496410Z</t>
        </is>
      </c>
      <c r="BI14" s="24" t="inlineStr">
        <is>
          <t>["same_event","same_team_same_day","same_league_same_day"]</t>
        </is>
      </c>
      <c r="BJ14" s="25" t="n"/>
      <c r="BK14" s="26" t="n">
        <v>133</v>
      </c>
      <c r="BL14" s="27" t="n">
        <v>2.33</v>
      </c>
      <c r="BM14" s="28" t="n">
        <v>0.429185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0.429185</t>
        </is>
      </c>
      <c r="DK14" s="24" t="n"/>
      <c r="DL14" s="24" t="n"/>
      <c r="DM14" s="24" t="n"/>
      <c r="DN14" s="24" t="n"/>
      <c r="DO14" s="24" t="n"/>
      <c r="DP14" s="24" t="n"/>
      <c r="DQ14" s="24" t="inlineStr">
        <is>
          <t>{"artifact_hash": "7505ee5c132fdc53de854c732ee4c17c7b05d4dfb4a3dbb5db684c9e4fbf8d75", "away_team": "Lavked", "event_id": "144439", "event_start_utc": "2026-10-06T17:00:00Z", "features": {"away_elo": 1553.372901, "away_history_count": 116, "home_elo": 1607.584568, "home_history_count": 130}, "historical_source_observation_times_verified": false, "home_team": "WRAITH PCIFIC", "inference_inputs": {"book_state": {"games_played": {"bo3:1:23078": 116, "bo3:1:6255": 130}, "inactivity_half_life_days": null, "inactivity_max_pull": null, "k": 40.0, "last_match_utc": {"bo3:1:23078": "2026-10-05T11:00:00Z", "bo3:1:6255": "2026-10-05T17:30:00Z"}, "minimum_reliable_games": null, "platt_intercept": 0.0737093924773071, "platt_slope": 0.8704882287359372, "ratings": {"bo3:1:23078": 1553.372901, "bo3:1:6255": 1607.584568},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["bo3:1:6255", "bo3:1:23078"]}, "market_type": "moneyline", "model_version": "cs2-tiered-elo-v6", "observed_at_utc": "2026-10-06T16:34:12.705943+00:00", "probabilities": {"away": 0.427709, "home": 0.572291}, "replay_scope": "Exact serving book state, calibration, temperature, inactivity reference and thin-history adjustments; training provenance not certified.", "schema": "esports-elo-replay-v1", "snapshot_hash": "a6cfe5a0adfc0fd61f459e9ce56d17c321c7c55aa80285012e858487e9be8734", "sport": "CS2"}</t>
        </is>
      </c>
    </row>
    <row r="15" ht="36" customHeight="1">
      <c r="A15" s="24" t="inlineStr">
        <is>
          <t>03806c3a125340fe</t>
        </is>
      </c>
      <c r="B15" s="24" t="inlineStr">
        <is>
          <t>2026-10-06T16:38:56.980694Z</t>
        </is>
      </c>
      <c r="C15" s="24" t="inlineStr">
        <is>
          <t>2026-10-06T18:30:00Z</t>
        </is>
      </c>
      <c r="D15" s="24" t="inlineStr">
        <is>
          <t>145563</t>
        </is>
      </c>
      <c r="E15" s="24" t="inlineStr">
        <is>
          <t>CS2</t>
        </is>
      </c>
      <c r="F15" s="24" t="inlineStr">
        <is>
          <t>PENSIONERS</t>
        </is>
      </c>
      <c r="G15" s="24" t="inlineStr">
        <is>
          <t>Regnum4Games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-233</v>
      </c>
      <c r="M15" s="27" t="n">
        <v>1.429185</v>
      </c>
      <c r="N15" s="28" t="n">
        <v>0.6997</v>
      </c>
      <c r="O15" s="28" t="n">
        <v>0.545991</v>
      </c>
      <c r="P15" s="28" t="n"/>
      <c r="Q15" s="28" t="n">
        <v>-0.153709</v>
      </c>
      <c r="R15" s="26" t="n">
        <v>0</v>
      </c>
      <c r="S15" s="29" t="n">
        <v>1</v>
      </c>
      <c r="T15" s="24" t="inlineStr">
        <is>
          <t>cs2-tiered-elo-v6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1</v>
      </c>
      <c r="Y15" s="25" t="n"/>
      <c r="Z15" s="26" t="n"/>
      <c r="AA15" s="28" t="n"/>
      <c r="AB15" s="28" t="n"/>
      <c r="AC15" s="30" t="n">
        <v>0.4292</v>
      </c>
      <c r="AD15" s="24" t="inlineStr">
        <is>
          <t>2026-10-06T22:02:12.727438Z</t>
        </is>
      </c>
      <c r="AE15" s="31" t="inlineStr">
        <is>
          <t>Neutral Elo baseline; executable ask 0.7000 (market_slug=aec-cs2-r4g-pen-2026-10-06).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paper_call</t>
        </is>
      </c>
      <c r="AL15" s="26" t="n">
        <v>4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PAPER_CALL_LOW_EDGE</t>
        </is>
      </c>
      <c r="AP15" s="24" t="inlineStr">
        <is>
          <t>PENSIONERS</t>
        </is>
      </c>
      <c r="AQ15" s="24" t="inlineStr">
        <is>
          <t>PENSIONERS</t>
        </is>
      </c>
      <c r="AR15" s="24" t="inlineStr">
        <is>
          <t>PENSIONERS</t>
        </is>
      </c>
      <c r="AS15" s="24" t="inlineStr">
        <is>
          <t>Regnum4Games</t>
        </is>
      </c>
      <c r="AT15" s="24" t="inlineStr">
        <is>
          <t>Regnum4Games</t>
        </is>
      </c>
      <c r="AU15" s="24" t="inlineStr">
        <is>
          <t>Regnum4Games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7505ee5c132fdc53de854c732ee4c17c7b05d4dfb4a3dbb5db684c9e4fbf8d75</t>
        </is>
      </c>
      <c r="BB15" s="24" t="inlineStr">
        <is>
          <t>neutral_elo</t>
        </is>
      </c>
      <c r="BC15" s="24" t="inlineStr">
        <is>
          <t>cs2-tiered-elo-v6</t>
        </is>
      </c>
      <c r="BD15" s="24" t="inlineStr">
        <is>
          <t>7505ee5c132fdc53de854c732ee4c17c7b05d4dfb4a3dbb5db684c9e4fbf8d75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cs2-tiered-elo-v6</t>
        </is>
      </c>
      <c r="BH15" s="24" t="inlineStr">
        <is>
          <t>2026-10-06T16:35:14.649215Z</t>
        </is>
      </c>
      <c r="BI15" s="24" t="inlineStr">
        <is>
          <t>["same_event","same_team_same_day","same_league_same_day"]</t>
        </is>
      </c>
      <c r="BJ15" s="25" t="n"/>
      <c r="BK15" s="26" t="n">
        <v>-233</v>
      </c>
      <c r="BL15" s="27" t="n">
        <v>1.429185</v>
      </c>
      <c r="BM15" s="28" t="n">
        <v>0.6997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False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0.6997</t>
        </is>
      </c>
      <c r="DK15" s="24" t="n"/>
      <c r="DL15" s="24" t="n"/>
      <c r="DM15" s="24" t="n"/>
      <c r="DN15" s="24" t="n"/>
      <c r="DO15" s="24" t="n"/>
      <c r="DP15" s="24" t="n"/>
      <c r="DQ15" s="24" t="inlineStr">
        <is>
          <t>{"artifact_hash": "7505ee5c132fdc53de854c732ee4c17c7b05d4dfb4a3dbb5db684c9e4fbf8d75", "away_team": "PENSIONERS", "event_id": "145563", "event_start_utc": "2026-10-06T18:30:00Z", "features": {"away_elo": 1374.926278, "away_history_count": 9, "home_elo": 1438.436643, "home_history_count": 28}, "historical_source_observation_times_verified": false, "home_team": "Regnum4Games", "inference_inputs": {"book_state": {"games_played": {"bo3:1:11165": 28, "bo3:1:24546": 9}, "inactivity_half_life_days": null, "inactivity_max_pull": null, "k": 40.0, "last_match_utc": {"bo3:1:11165": "2026-09-30T18:30:00Z", "bo3:1:24546": "2026-08-25T18:40:00Z"}, "minimum_reliable_games": null, "platt_intercept": 0.0737093924773071, "platt_slope": 0.8704882287359372, "ratings": {"bo3:1:11165": 1438.436643, "bo3:1:24546": 1374.926278},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["bo3:1:11165", "bo3:1:24546"]}, "market_type": "moneyline", "model_version": "cs2-tiered-elo-v6", "observed_at_utc": "2026-10-06T16:34:12.705943+00:00", "probabilities": {"away": 0.454009, "home": 0.545991}, "replay_scope": "Exact serving book state, calibration, temperature, inactivity reference and thin-history adjustments; training provenance not certified.", "schema": "esports-elo-replay-v1", "snapshot_hash": "4b16ae20ba299fb22efc2362a41470fa01333e99b5ed7428f1bc6aa48a50f652", "sport": "CS2"}</t>
        </is>
      </c>
    </row>
    <row r="16" ht="36" customHeight="1">
      <c r="A16" s="24" t="inlineStr">
        <is>
          <t>2a2d67ab6d334e29</t>
        </is>
      </c>
      <c r="B16" s="24" t="inlineStr">
        <is>
          <t>2026-10-06T16:38:56.980694Z</t>
        </is>
      </c>
      <c r="C16" s="24" t="inlineStr">
        <is>
          <t>2026-10-06T18:30:00Z</t>
        </is>
      </c>
      <c r="D16" s="24" t="inlineStr">
        <is>
          <t>145569</t>
        </is>
      </c>
      <c r="E16" s="24" t="inlineStr">
        <is>
          <t>CS2</t>
        </is>
      </c>
      <c r="F16" s="24" t="inlineStr">
        <is>
          <t>XI Esport</t>
        </is>
      </c>
      <c r="G16" s="24" t="inlineStr">
        <is>
          <t>6666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-203</v>
      </c>
      <c r="M16" s="27" t="n">
        <v>1.492611</v>
      </c>
      <c r="N16" s="28" t="n">
        <v>0.669967</v>
      </c>
      <c r="O16" s="28" t="n">
        <v>0.548576</v>
      </c>
      <c r="P16" s="28" t="n"/>
      <c r="Q16" s="28" t="n">
        <v>-0.121391</v>
      </c>
      <c r="R16" s="26" t="n">
        <v>0</v>
      </c>
      <c r="S16" s="29" t="n">
        <v>1</v>
      </c>
      <c r="T16" s="24" t="inlineStr">
        <is>
          <t>cs2-tiered-elo-v6</t>
        </is>
      </c>
      <c r="U16" s="24" t="inlineStr">
        <is>
          <t>settled</t>
        </is>
      </c>
      <c r="V16" s="24" t="inlineStr">
        <is>
          <t>push</t>
        </is>
      </c>
      <c r="W16" s="26" t="n"/>
      <c r="X16" s="26" t="n"/>
      <c r="Y16" s="25" t="n"/>
      <c r="Z16" s="26" t="n"/>
      <c r="AA16" s="28" t="n"/>
      <c r="AB16" s="28" t="n"/>
      <c r="AC16" s="30" t="n">
        <v>0</v>
      </c>
      <c r="AD16" s="24" t="inlineStr">
        <is>
          <t>2026-10-06T22:57:22.625652Z</t>
        </is>
      </c>
      <c r="AE16" s="31" t="inlineStr">
        <is>
          <t>Neutral Elo baseline; executable ask 0.6700 (market_slug=aec-cs2-6666-xi-2026-10-06).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paper_call</t>
        </is>
      </c>
      <c r="AL16" s="26" t="n">
        <v>4</v>
      </c>
      <c r="AM16" s="24" t="inlineStr">
        <is>
          <t>RESEARCH_OBSERVATION</t>
        </is>
      </c>
      <c r="AN16" s="24" t="inlineStr">
        <is>
          <t>CALL</t>
        </is>
      </c>
      <c r="AO16" s="24" t="inlineStr">
        <is>
          <t>PAPER_CALL_LOW_EDGE</t>
        </is>
      </c>
      <c r="AP16" s="24" t="inlineStr">
        <is>
          <t>XI Esport</t>
        </is>
      </c>
      <c r="AQ16" s="24" t="inlineStr">
        <is>
          <t>XI Esport</t>
        </is>
      </c>
      <c r="AR16" s="24" t="inlineStr">
        <is>
          <t>XI Esport</t>
        </is>
      </c>
      <c r="AS16" s="24" t="inlineStr">
        <is>
          <t>6666</t>
        </is>
      </c>
      <c r="AT16" s="24" t="inlineStr">
        <is>
          <t>6666</t>
        </is>
      </c>
      <c r="AU16" s="24" t="inlineStr">
        <is>
          <t>6666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7505ee5c132fdc53de854c732ee4c17c7b05d4dfb4a3dbb5db684c9e4fbf8d75</t>
        </is>
      </c>
      <c r="BB16" s="24" t="inlineStr">
        <is>
          <t>neutral_elo</t>
        </is>
      </c>
      <c r="BC16" s="24" t="inlineStr">
        <is>
          <t>cs2-tiered-elo-v6</t>
        </is>
      </c>
      <c r="BD16" s="24" t="inlineStr">
        <is>
          <t>7505ee5c132fdc53de854c732ee4c17c7b05d4dfb4a3dbb5db684c9e4fbf8d75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cs2-tiered-elo-v6</t>
        </is>
      </c>
      <c r="BH16" s="24" t="inlineStr">
        <is>
          <t>2026-10-06T16:35:14.764581Z</t>
        </is>
      </c>
      <c r="BI16" s="24" t="inlineStr">
        <is>
          <t>["same_event","same_team_same_day","same_league_same_day"]</t>
        </is>
      </c>
      <c r="BJ16" s="25" t="n"/>
      <c r="BK16" s="26" t="n">
        <v>-203</v>
      </c>
      <c r="BL16" s="27" t="n">
        <v>1.492611</v>
      </c>
      <c r="BM16" s="28" t="n">
        <v>0.669967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inlineStr">
        <is>
          <t>esports market terminal (MARKET_STATE_EXPIRED) with prices {}; BO3 has no confirming finished-match result either</t>
        </is>
      </c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False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0.669967</t>
        </is>
      </c>
      <c r="DK16" s="24" t="n"/>
      <c r="DL16" s="24" t="n"/>
      <c r="DM16" s="24" t="n"/>
      <c r="DN16" s="24" t="n"/>
      <c r="DO16" s="24" t="n"/>
      <c r="DP16" s="24" t="n"/>
      <c r="DQ16" s="24" t="inlineStr">
        <is>
          <t>{"artifact_hash": "7505ee5c132fdc53de854c732ee4c17c7b05d4dfb4a3dbb5db684c9e4fbf8d75", "away_team": "XI Esport", "event_id": "145569", "event_start_utc": "2026-10-06T18:30:00Z", "features": {"away_elo": 1550.303508, "away_history_count": 359, "home_elo": 1590.950441, "home_history_count": 31}, "historical_source_observation_times_verified": false, "home_team": "6666", "inference_inputs": {"book_state": {"games_played": {"bo3:1:24507": 31, "bo3:1:3708": 359}, "inactivity_half_life_days": null, "inactivity_max_pull": null, "k": 40.0, "last_match_utc": {"bo3:1:24507": "2026-09-23T17:00:00Z", "bo3:1:3708": "2026-10-05T18:00:00Z"}, "minimum_reliable_games": null, "platt_intercept": 0.0737093924773071, "platt_slope": 0.8704882287359372, "ratings": {"bo3:1:24507": 1590.950441, "bo3:1:3708": 1550.303508},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["bo3:1:24507", "bo3:1:3708"]}, "market_type": "moneyline", "model_version": "cs2-tiered-elo-v6", "observed_at_utc": "2026-10-06T16:34:12.705943+00:00", "probabilities": {"away": 0.451424, "home": 0.548576}, "replay_scope": "Exact serving book state, calibration, temperature, inactivity reference and thin-history adjustments; training provenance not certified.", "schema": "esports-elo-replay-v1", "snapshot_hash": "7cc4c7a3014aed6a78048939bc2a89be9c7fa9378c88ff004239a035ad3bbded", "sport": "CS2"}</t>
        </is>
      </c>
    </row>
    <row r="17" ht="36" customHeight="1">
      <c r="A17" s="24" t="inlineStr">
        <is>
          <t>7f2086cbaad54e52</t>
        </is>
      </c>
      <c r="B17" s="24" t="inlineStr">
        <is>
          <t>2026-10-06T16:38:56.980694Z</t>
        </is>
      </c>
      <c r="C17" s="24" t="inlineStr">
        <is>
          <t>2026-10-06T18:30:00Z</t>
        </is>
      </c>
      <c r="D17" s="24" t="inlineStr">
        <is>
          <t>145571</t>
        </is>
      </c>
      <c r="E17" s="24" t="inlineStr">
        <is>
          <t>CS2</t>
        </is>
      </c>
      <c r="F17" s="24" t="inlineStr">
        <is>
          <t xml:space="preserve"> Phantom Academy</t>
        </is>
      </c>
      <c r="G17" s="24" t="inlineStr">
        <is>
          <t>Glitchtech Esports</t>
        </is>
      </c>
      <c r="H17" s="24" t="inlineStr">
        <is>
          <t>moneyline</t>
        </is>
      </c>
      <c r="I17" s="24" t="inlineStr">
        <is>
          <t>away</t>
        </is>
      </c>
      <c r="J17" s="25" t="n"/>
      <c r="K17" s="24" t="inlineStr">
        <is>
          <t>polymarket_us</t>
        </is>
      </c>
      <c r="L17" s="26" t="n">
        <v>-170</v>
      </c>
      <c r="M17" s="27" t="n">
        <v>1.588235</v>
      </c>
      <c r="N17" s="28" t="n">
        <v>0.62963</v>
      </c>
      <c r="O17" s="28" t="n">
        <v>0.621442</v>
      </c>
      <c r="P17" s="28" t="n"/>
      <c r="Q17" s="28" t="n">
        <v>-0.008188000000000001</v>
      </c>
      <c r="R17" s="26" t="n">
        <v>16</v>
      </c>
      <c r="S17" s="29" t="n">
        <v>1</v>
      </c>
      <c r="T17" s="24" t="inlineStr">
        <is>
          <t>cs2-tiered-elo-v6</t>
        </is>
      </c>
      <c r="U17" s="24" t="inlineStr">
        <is>
          <t>settled</t>
        </is>
      </c>
      <c r="V17" s="24" t="inlineStr">
        <is>
          <t>push</t>
        </is>
      </c>
      <c r="W17" s="26" t="n"/>
      <c r="X17" s="26" t="n"/>
      <c r="Y17" s="25" t="n"/>
      <c r="Z17" s="26" t="n"/>
      <c r="AA17" s="28" t="n"/>
      <c r="AB17" s="28" t="n"/>
      <c r="AC17" s="30" t="n">
        <v>0</v>
      </c>
      <c r="AD17" s="24" t="inlineStr">
        <is>
          <t>2026-10-06T22:57:37.927758Z</t>
        </is>
      </c>
      <c r="AE17" s="31" t="inlineStr">
        <is>
          <t>Neutral Elo baseline; executable ask 0.6300 (market_slug=aec-cs2-gel-phtmac-2026-10-06).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paper_call</t>
        </is>
      </c>
      <c r="AL17" s="26" t="n">
        <v>4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PAPER_CALL_LOW_EDGE</t>
        </is>
      </c>
      <c r="AP17" s="24" t="inlineStr">
        <is>
          <t xml:space="preserve"> Phantom Academy</t>
        </is>
      </c>
      <c r="AQ17" s="24" t="inlineStr">
        <is>
          <t xml:space="preserve"> Phantom Academy</t>
        </is>
      </c>
      <c r="AR17" s="24" t="inlineStr">
        <is>
          <t xml:space="preserve"> Phantom Academy</t>
        </is>
      </c>
      <c r="AS17" s="24" t="inlineStr">
        <is>
          <t>Glitchtech Esports</t>
        </is>
      </c>
      <c r="AT17" s="24" t="inlineStr">
        <is>
          <t>Glitchtech Esports</t>
        </is>
      </c>
      <c r="AU17" s="24" t="inlineStr">
        <is>
          <t>Glitchtech Esports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7505ee5c132fdc53de854c732ee4c17c7b05d4dfb4a3dbb5db684c9e4fbf8d75</t>
        </is>
      </c>
      <c r="BB17" s="24" t="inlineStr">
        <is>
          <t>neutral_elo</t>
        </is>
      </c>
      <c r="BC17" s="24" t="inlineStr">
        <is>
          <t>cs2-tiered-elo-v6</t>
        </is>
      </c>
      <c r="BD17" s="24" t="inlineStr">
        <is>
          <t>7505ee5c132fdc53de854c732ee4c17c7b05d4dfb4a3dbb5db684c9e4fbf8d75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cs2-tiered-elo-v6</t>
        </is>
      </c>
      <c r="BH17" s="24" t="inlineStr">
        <is>
          <t>2026-10-06T16:35:14.844960Z</t>
        </is>
      </c>
      <c r="BI17" s="24" t="inlineStr">
        <is>
          <t>["same_event","same_team_same_day","same_league_same_day"]</t>
        </is>
      </c>
      <c r="BJ17" s="25" t="n"/>
      <c r="BK17" s="26" t="n">
        <v>-170</v>
      </c>
      <c r="BL17" s="27" t="n">
        <v>1.588235</v>
      </c>
      <c r="BM17" s="28" t="n">
        <v>0.62963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inlineStr">
        <is>
          <t>esports market terminal (MARKET_STATE_EXPIRED) with prices {}; BO3 has no confirming finished-match result either</t>
        </is>
      </c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False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0.62963</t>
        </is>
      </c>
      <c r="DK17" s="24" t="n"/>
      <c r="DL17" s="24" t="n"/>
      <c r="DM17" s="24" t="n"/>
      <c r="DN17" s="24" t="n"/>
      <c r="DO17" s="24" t="n"/>
      <c r="DP17" s="24" t="n"/>
      <c r="DQ17" s="24" t="inlineStr">
        <is>
          <t>{"artifact_hash": "7505ee5c132fdc53de854c732ee4c17c7b05d4dfb4a3dbb5db684c9e4fbf8d75", "away_team": " Phantom Academy", "event_id": "145571", "event_start_utc": "2026-10-06T18:30:00Z", "features": {"away_elo": 1535.567369, "away_history_count": 89, "home_elo": 1366.688291, "home_history_count": 56}, "historical_source_observation_times_verified": false, "home_team": "Glitchtech Esports", "inference_inputs": {"book_state": {"games_played": {"bo3:1:1555": 56, "bo3:1:22009": 89}, "inactivity_half_life_days": null, "inactivity_max_pull": null, "k": 40.0, "last_match_utc": {"bo3:1:1555": "2026-08-27T18:45:00Z", "bo3:1:22009": "2026-10-04T11:30:00Z"}, "minimum_reliable_games": null, "platt_intercept": 0.0737093924773071, "platt_slope": 0.8704882287359372, "ratings": {"bo3:1:1555": 1366.688291, "bo3:1:22009": 1535.567369},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["bo3:1:1555", "bo3:1:22009"]}, "market_type": "moneyline", "model_version": "cs2-tiered-elo-v6", "observed_at_utc": "2026-10-06T16:34:12.705943+00:00", "probabilities": {"away": 0.621442, "home": 0.378558}, "replay_scope": "Exact serving book state, calibration, temperature, inactivity reference and thin-history adjustments; training provenance not certified.", "schema": "esports-elo-replay-v1", "snapshot_hash": "58d1724499b843f81f0cfb2745bd4a51044108bf0082c20ea0137c88d7ba844e", "sport": "CS2"}</t>
        </is>
      </c>
    </row>
    <row r="18" ht="36" customHeight="1">
      <c r="A18" s="24" t="inlineStr">
        <is>
          <t>8e83ea570c494c4f</t>
        </is>
      </c>
      <c r="B18" s="24" t="inlineStr">
        <is>
          <t>2026-10-06T16:38:56.980694Z</t>
        </is>
      </c>
      <c r="C18" s="24" t="inlineStr">
        <is>
          <t>2026-10-06T18:30:00Z</t>
        </is>
      </c>
      <c r="D18" s="24" t="inlineStr">
        <is>
          <t>145574</t>
        </is>
      </c>
      <c r="E18" s="24" t="inlineStr">
        <is>
          <t>CS2</t>
        </is>
      </c>
      <c r="F18" s="24" t="inlineStr">
        <is>
          <t>Al Ahli</t>
        </is>
      </c>
      <c r="G18" s="24" t="inlineStr">
        <is>
          <t>GamersLab Esports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-150</v>
      </c>
      <c r="M18" s="27" t="n">
        <v>1.666667</v>
      </c>
      <c r="N18" s="28" t="n">
        <v>0.6</v>
      </c>
      <c r="O18" s="28" t="n">
        <v>0.506192</v>
      </c>
      <c r="P18" s="28" t="n"/>
      <c r="Q18" s="28" t="n">
        <v>-0.093808</v>
      </c>
      <c r="R18" s="26" t="n">
        <v>0</v>
      </c>
      <c r="S18" s="29" t="n">
        <v>1</v>
      </c>
      <c r="T18" s="24" t="inlineStr">
        <is>
          <t>cs2-tiered-elo-v6</t>
        </is>
      </c>
      <c r="U18" s="24" t="inlineStr">
        <is>
          <t>settled</t>
        </is>
      </c>
      <c r="V18" s="24" t="inlineStr">
        <is>
          <t>win</t>
        </is>
      </c>
      <c r="W18" s="26" t="n">
        <v>1</v>
      </c>
      <c r="X18" s="26" t="n">
        <v>0</v>
      </c>
      <c r="Y18" s="25" t="n"/>
      <c r="Z18" s="26" t="n"/>
      <c r="AA18" s="28" t="n"/>
      <c r="AB18" s="28" t="n"/>
      <c r="AC18" s="30" t="n">
        <v>0.6667</v>
      </c>
      <c r="AD18" s="24" t="inlineStr">
        <is>
          <t>2026-10-06T22:02:21.699574Z</t>
        </is>
      </c>
      <c r="AE18" s="31" t="inlineStr">
        <is>
          <t>Neutral Elo baseline; executable ask 0.6000 (market_slug=aec-cs2-gea-aal-2026-10-06).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paper_call</t>
        </is>
      </c>
      <c r="AL18" s="26" t="n">
        <v>4</v>
      </c>
      <c r="AM18" s="24" t="inlineStr">
        <is>
          <t>RESEARCH_OBSERVATION</t>
        </is>
      </c>
      <c r="AN18" s="24" t="inlineStr">
        <is>
          <t>CALL</t>
        </is>
      </c>
      <c r="AO18" s="24" t="inlineStr">
        <is>
          <t>PAPER_CALL_LOW_EDGE</t>
        </is>
      </c>
      <c r="AP18" s="24" t="inlineStr">
        <is>
          <t>Al Ahli</t>
        </is>
      </c>
      <c r="AQ18" s="24" t="inlineStr">
        <is>
          <t>Al Ahli</t>
        </is>
      </c>
      <c r="AR18" s="24" t="inlineStr">
        <is>
          <t>Al Ahli</t>
        </is>
      </c>
      <c r="AS18" s="24" t="inlineStr">
        <is>
          <t>GamersLab Esports</t>
        </is>
      </c>
      <c r="AT18" s="24" t="inlineStr">
        <is>
          <t>GamersLab Esports</t>
        </is>
      </c>
      <c r="AU18" s="24" t="inlineStr">
        <is>
          <t>GamersLab Esports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7505ee5c132fdc53de854c732ee4c17c7b05d4dfb4a3dbb5db684c9e4fbf8d75</t>
        </is>
      </c>
      <c r="BB18" s="24" t="inlineStr">
        <is>
          <t>neutral_elo</t>
        </is>
      </c>
      <c r="BC18" s="24" t="inlineStr">
        <is>
          <t>cs2-tiered-elo-v6</t>
        </is>
      </c>
      <c r="BD18" s="24" t="inlineStr">
        <is>
          <t>7505ee5c132fdc53de854c732ee4c17c7b05d4dfb4a3dbb5db684c9e4fbf8d75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cs2-tiered-elo-v6</t>
        </is>
      </c>
      <c r="BH18" s="24" t="inlineStr">
        <is>
          <t>2026-10-06T16:35:25.061374Z</t>
        </is>
      </c>
      <c r="BI18" s="24" t="inlineStr">
        <is>
          <t>["same_event","same_team_same_day","same_league_same_day"]</t>
        </is>
      </c>
      <c r="BJ18" s="25" t="n"/>
      <c r="BK18" s="26" t="n">
        <v>-150</v>
      </c>
      <c r="BL18" s="27" t="n">
        <v>1.666667</v>
      </c>
      <c r="BM18" s="28" t="n">
        <v>0.6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False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0.6</t>
        </is>
      </c>
      <c r="DK18" s="24" t="n"/>
      <c r="DL18" s="24" t="n"/>
      <c r="DM18" s="24" t="n"/>
      <c r="DN18" s="24" t="n"/>
      <c r="DO18" s="24" t="n"/>
      <c r="DP18" s="24" t="n"/>
      <c r="DQ18" s="24" t="inlineStr">
        <is>
          <t>{"artifact_hash": "7505ee5c132fdc53de854c732ee4c17c7b05d4dfb4a3dbb5db684c9e4fbf8d75", "away_team": "Al Ahli", "event_id": "145574", "event_start_utc": "2026-10-06T18:30:00Z", "features": {"away_elo": 1476.896167, "away_history_count": 5, "home_elo": 1432.239891, "home_history_count": 6}, "historical_source_observation_times_verified": false, "home_team": "GamersLab Esports", "inference_inputs": {"book_state": {"games_played": {"bo3:1:24666": 5, "bo3:1:25032": 6}, "inactivity_half_life_days": null, "inactivity_max_pull": null, "k": 40.0, "last_match_utc": {"bo3:1:24666": "2026-09-25T17:20:00Z", "bo3:1:25032": "2026-08-08T11:30:00Z"}, "minimum_reliable_games": null, "platt_intercept": 0.0737093924773071, "platt_slope": 0.8704882287359372, "ratings": {"bo3:1:24666": 1476.896167, "bo3:1:25032": 1432.239891},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["bo3:1:25032", "bo3:1:24666"]}, "market_type": "moneyline", "model_version": "cs2-tiered-elo-v6", "observed_at_utc": "2026-10-06T16:34:12.705943+00:00", "probabilities": {"away": 0.506192, "home": 0.493808}, "replay_scope": "Exact serving book state, calibration, temperature, inactivity reference and thin-history adjustments; training provenance not certified.", "schema": "esports-elo-replay-v1", "snapshot_hash": "aefa4a031308284b1d59db1cc50f7bab6ce21451b152fbd73ae79019fca4e50c", "sport": "CS2"}</t>
        </is>
      </c>
    </row>
    <row r="19" ht="36" customHeight="1">
      <c r="A19" s="24" t="inlineStr">
        <is>
          <t>ee61117625f5432c</t>
        </is>
      </c>
      <c r="B19" s="24" t="inlineStr">
        <is>
          <t>2026-10-06T16:38:56.980694Z</t>
        </is>
      </c>
      <c r="C19" s="24" t="inlineStr">
        <is>
          <t>2026-10-06T18:30:00Z</t>
        </is>
      </c>
      <c r="D19" s="24" t="inlineStr">
        <is>
          <t>145576</t>
        </is>
      </c>
      <c r="E19" s="24" t="inlineStr">
        <is>
          <t>CS2</t>
        </is>
      </c>
      <c r="F19" s="24" t="inlineStr">
        <is>
          <t>Ryvex</t>
        </is>
      </c>
      <c r="G19" s="24" t="inlineStr">
        <is>
          <t>Dark Moon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-122</v>
      </c>
      <c r="M19" s="27" t="n">
        <v>1.819672</v>
      </c>
      <c r="N19" s="28" t="n">
        <v>0.54955</v>
      </c>
      <c r="O19" s="28" t="n">
        <v>0.500831</v>
      </c>
      <c r="P19" s="28" t="n"/>
      <c r="Q19" s="28" t="n">
        <v>-0.048719</v>
      </c>
      <c r="R19" s="26" t="n">
        <v>0</v>
      </c>
      <c r="S19" s="29" t="n">
        <v>1</v>
      </c>
      <c r="T19" s="24" t="inlineStr">
        <is>
          <t>cs2-tiered-elo-v6</t>
        </is>
      </c>
      <c r="U19" s="24" t="inlineStr">
        <is>
          <t>settled</t>
        </is>
      </c>
      <c r="V19" s="24" t="inlineStr">
        <is>
          <t>push</t>
        </is>
      </c>
      <c r="W19" s="26" t="n"/>
      <c r="X19" s="26" t="n"/>
      <c r="Y19" s="25" t="n"/>
      <c r="Z19" s="26" t="n"/>
      <c r="AA19" s="28" t="n"/>
      <c r="AB19" s="28" t="n"/>
      <c r="AC19" s="30" t="n">
        <v>0</v>
      </c>
      <c r="AD19" s="24" t="inlineStr">
        <is>
          <t>2026-10-06T22:57:56.372878Z</t>
        </is>
      </c>
      <c r="AE19" s="31" t="inlineStr">
        <is>
          <t>Neutral Elo baseline; executable ask 0.5500 (market_slug=aec-cs2-dm-ryvex-2026-10-06).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paper_call</t>
        </is>
      </c>
      <c r="AL19" s="26" t="n">
        <v>4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PAPER_CALL_LOW_EDGE</t>
        </is>
      </c>
      <c r="AP19" s="24" t="inlineStr">
        <is>
          <t>Ryvex</t>
        </is>
      </c>
      <c r="AQ19" s="24" t="inlineStr">
        <is>
          <t>Ryvex</t>
        </is>
      </c>
      <c r="AR19" s="24" t="inlineStr">
        <is>
          <t>Ryvex</t>
        </is>
      </c>
      <c r="AS19" s="24" t="inlineStr">
        <is>
          <t>Dark Moon</t>
        </is>
      </c>
      <c r="AT19" s="24" t="inlineStr">
        <is>
          <t>Dark Moon</t>
        </is>
      </c>
      <c r="AU19" s="24" t="inlineStr">
        <is>
          <t>Dark Moon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7505ee5c132fdc53de854c732ee4c17c7b05d4dfb4a3dbb5db684c9e4fbf8d75</t>
        </is>
      </c>
      <c r="BB19" s="24" t="inlineStr">
        <is>
          <t>neutral_elo</t>
        </is>
      </c>
      <c r="BC19" s="24" t="inlineStr">
        <is>
          <t>cs2-tiered-elo-v6</t>
        </is>
      </c>
      <c r="BD19" s="24" t="inlineStr">
        <is>
          <t>7505ee5c132fdc53de854c732ee4c17c7b05d4dfb4a3dbb5db684c9e4fbf8d75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cs2-tiered-elo-v6</t>
        </is>
      </c>
      <c r="BH19" s="24" t="inlineStr">
        <is>
          <t>2026-10-06T16:35:25.244293Z</t>
        </is>
      </c>
      <c r="BI19" s="24" t="inlineStr">
        <is>
          <t>["same_event","same_team_same_day","same_league_same_day"]</t>
        </is>
      </c>
      <c r="BJ19" s="25" t="n"/>
      <c r="BK19" s="26" t="n">
        <v>-122</v>
      </c>
      <c r="BL19" s="27" t="n">
        <v>1.819672</v>
      </c>
      <c r="BM19" s="28" t="n">
        <v>0.54955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inlineStr">
        <is>
          <t>esports market terminal (MARKET_STATE_EXPIRED) with prices {}; BO3 has no confirming finished-match result either</t>
        </is>
      </c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False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0.54955</t>
        </is>
      </c>
      <c r="DK19" s="24" t="n"/>
      <c r="DL19" s="24" t="n"/>
      <c r="DM19" s="24" t="n"/>
      <c r="DN19" s="24" t="n"/>
      <c r="DO19" s="24" t="n"/>
      <c r="DP19" s="24" t="n"/>
      <c r="DQ19" s="24" t="inlineStr">
        <is>
          <t>{"artifact_hash": "7505ee5c132fdc53de854c732ee4c17c7b05d4dfb4a3dbb5db684c9e4fbf8d75", "away_team": "Ryvex", "event_id": "145576", "event_start_utc": "2026-10-06T18:30:00Z", "features": {"away_elo": 1504.176198, "away_history_count": 9, "home_elo": 1485.771502, "home_history_count": 27}, "historical_source_observation_times_verified": false, "home_team": "Dark Moon", "inference_inputs": {"book_state": {"games_played": {"bo3:1:24014": 27, "bo3:1:25028": 9}, "inactivity_half_life_days": null, "inactivity_max_pull": null, "k": 40.0, "last_match_utc": {"bo3:1:24014": "2026-09-14T17:55:00Z", "bo3:1:25028": "2026-09-24T17:00:00Z"}, "minimum_reliable_games": null, "platt_intercept": 0.0737093924773071, "platt_slope": 0.8704882287359372, "ratings": {"bo3:1:24014": 1485.771502, "bo3:1:25028": 1504.176198},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["bo3:1:24014", "bo3:1:25028"]}, "market_type": "moneyline", "model_version": "cs2-tiered-elo-v6", "observed_at_utc": "2026-10-06T16:34:12.705943+00:00", "probabilities": {"away": 0.500831, "home": 0.499169}, "replay_scope": "Exact serving book state, calibration, temperature, inactivity reference and thin-history adjustments; training provenance not certified.", "schema": "esports-elo-replay-v1", "snapshot_hash": "fc33e56d836e3f8ce0d9ab1c02efe90930225d2b3b8d933b1cda660cb57a0d79", "sport": "CS2"}</t>
        </is>
      </c>
    </row>
    <row r="20" ht="36" customHeight="1">
      <c r="A20" s="24" t="inlineStr">
        <is>
          <t>bc2bab6444c94c84</t>
        </is>
      </c>
      <c r="B20" s="24" t="inlineStr">
        <is>
          <t>2026-10-06T16:38:56.980694Z</t>
        </is>
      </c>
      <c r="C20" s="24" t="inlineStr">
        <is>
          <t>2026-10-06T18:30:00Z</t>
        </is>
      </c>
      <c r="D20" s="24" t="inlineStr">
        <is>
          <t>145578</t>
        </is>
      </c>
      <c r="E20" s="24" t="inlineStr">
        <is>
          <t>CS2</t>
        </is>
      </c>
      <c r="F20" s="24" t="inlineStr">
        <is>
          <t>Fortress</t>
        </is>
      </c>
      <c r="G20" s="24" t="inlineStr">
        <is>
          <t>maybe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-233</v>
      </c>
      <c r="M20" s="27" t="n">
        <v>1.429185</v>
      </c>
      <c r="N20" s="28" t="n">
        <v>0.6997</v>
      </c>
      <c r="O20" s="28" t="n">
        <v>0.73358</v>
      </c>
      <c r="P20" s="28" t="n"/>
      <c r="Q20" s="28" t="n">
        <v>0.03388</v>
      </c>
      <c r="R20" s="26" t="n">
        <v>37</v>
      </c>
      <c r="S20" s="29" t="n">
        <v>1</v>
      </c>
      <c r="T20" s="24" t="inlineStr">
        <is>
          <t>cs2-tiered-elo-v6</t>
        </is>
      </c>
      <c r="U20" s="24" t="inlineStr">
        <is>
          <t>settled</t>
        </is>
      </c>
      <c r="V20" s="24" t="inlineStr">
        <is>
          <t>loss</t>
        </is>
      </c>
      <c r="W20" s="26" t="n">
        <v>1</v>
      </c>
      <c r="X20" s="26" t="n">
        <v>0</v>
      </c>
      <c r="Y20" s="25" t="n"/>
      <c r="Z20" s="26" t="n">
        <v>-233</v>
      </c>
      <c r="AA20" s="28" t="n">
        <v>0.7</v>
      </c>
      <c r="AB20" s="28" t="n">
        <v>0.0003</v>
      </c>
      <c r="AC20" s="30" t="n">
        <v>-1</v>
      </c>
      <c r="AD20" s="24" t="inlineStr">
        <is>
          <t>2026-10-06T22:02:30.587382Z</t>
        </is>
      </c>
      <c r="AE20" s="31" t="inlineStr">
        <is>
          <t>Neutral Elo baseline; executable ask 0.7000 (market_slug=aec-cs2-maybe-for-2026-10-06).</t>
        </is>
      </c>
      <c r="AF20" s="31" t="inlineStr">
        <is>
          <t>Config-promoted esports baseline; gates enforced at log time.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4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Fortress</t>
        </is>
      </c>
      <c r="AQ20" s="24" t="inlineStr">
        <is>
          <t>Fortress</t>
        </is>
      </c>
      <c r="AR20" s="24" t="inlineStr">
        <is>
          <t>Fortress</t>
        </is>
      </c>
      <c r="AS20" s="24" t="inlineStr">
        <is>
          <t>maybe</t>
        </is>
      </c>
      <c r="AT20" s="24" t="inlineStr">
        <is>
          <t>maybe</t>
        </is>
      </c>
      <c r="AU20" s="24" t="inlineStr">
        <is>
          <t>maybe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7505ee5c132fdc53de854c732ee4c17c7b05d4dfb4a3dbb5db684c9e4fbf8d75</t>
        </is>
      </c>
      <c r="BB20" s="24" t="inlineStr">
        <is>
          <t>neutral_elo</t>
        </is>
      </c>
      <c r="BC20" s="24" t="inlineStr">
        <is>
          <t>cs2-tiered-elo-v6</t>
        </is>
      </c>
      <c r="BD20" s="24" t="inlineStr">
        <is>
          <t>7505ee5c132fdc53de854c732ee4c17c7b05d4dfb4a3dbb5db684c9e4fbf8d75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cs2-tiered-elo-v6</t>
        </is>
      </c>
      <c r="BH20" s="24" t="inlineStr">
        <is>
          <t>2026-10-06T16:35:35.397569Z</t>
        </is>
      </c>
      <c r="BI20" s="24" t="inlineStr">
        <is>
          <t>["same_event","same_team_same_day","same_league_same_day"]</t>
        </is>
      </c>
      <c r="BJ20" s="25" t="n"/>
      <c r="BK20" s="26" t="n">
        <v>-233</v>
      </c>
      <c r="BL20" s="27" t="n">
        <v>1.429185</v>
      </c>
      <c r="BM20" s="28" t="n">
        <v>0.6997</v>
      </c>
      <c r="BN20" s="28" t="n"/>
      <c r="BO20" s="28" t="n"/>
      <c r="BP20" s="25" t="n"/>
      <c r="BQ20" s="27" t="n">
        <v>1.429185</v>
      </c>
      <c r="BR20" s="28" t="n">
        <v>0.7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0.6997</t>
        </is>
      </c>
      <c r="DK20" s="24" t="n"/>
      <c r="DL20" s="24" t="n"/>
      <c r="DM20" s="24" t="n"/>
      <c r="DN20" s="24" t="n"/>
      <c r="DO20" s="24" t="n"/>
      <c r="DP20" s="24" t="n"/>
      <c r="DQ20" s="24" t="inlineStr">
        <is>
          <t>{"artifact_hash": "7505ee5c132fdc53de854c732ee4c17c7b05d4dfb4a3dbb5db684c9e4fbf8d75", "away_team": "Fortress", "event_id": "145578", "event_start_utc": "2026-10-06T18:30:00Z", "features": {"away_elo": 1295.962102, "away_history_count": 57, "home_elo": 1543.575208, "home_history_count": 29}, "historical_source_observation_times_verified": false, "home_team": "maybe", "inference_inputs": {"book_state": {"games_played": {"bo3:1:22418": 57, "bo3:1:24681": 29}, "inactivity_half_life_days": null, "inactivity_max_pull": null, "k": 40.0, "last_match_utc": {"bo3:1:22418": "2026-09-22T17:00:00Z", "bo3:1:24681": "2026-10-06T11:15:00Z"}, "minimum_reliable_games": null, "platt_intercept": 0.0737093924773071, "platt_slope": 0.8704882287359372, "ratings": {"bo3:1:22418": 1295.962102, "bo3:1:24681": 1543.575208},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["bo3:1:24681", "bo3:1:22418"]}, "market_type": "moneyline", "model_version": "cs2-tiered-elo-v6", "observed_at_utc": "2026-10-06T16:34:12.705943+00:00", "probabilities": {"away": 0.26642, "home": 0.73358}, "replay_scope": "Exact serving book state, calibration, temperature, inactivity reference and thin-history adjustments; training provenance not certified.", "schema": "esports-elo-replay-v1", "snapshot_hash": "d5dcc2b4263a2a5e91531431b8407fb1552b68c6a8c7ee882cb4e19566081b75", "sport": "CS2"}</t>
        </is>
      </c>
    </row>
    <row r="21" ht="36" customHeight="1">
      <c r="A21" s="24" t="inlineStr">
        <is>
          <t>cd10f9f927274b7d</t>
        </is>
      </c>
      <c r="B21" s="24" t="inlineStr">
        <is>
          <t>2026-10-06T16:38:56.980694Z</t>
        </is>
      </c>
      <c r="C21" s="24" t="inlineStr">
        <is>
          <t>2026-10-06T18:30:00Z</t>
        </is>
      </c>
      <c r="D21" s="24" t="inlineStr">
        <is>
          <t>145653</t>
        </is>
      </c>
      <c r="E21" s="24" t="inlineStr">
        <is>
          <t>CS2</t>
        </is>
      </c>
      <c r="F21" s="24" t="inlineStr">
        <is>
          <t>KUUSAMO.gg</t>
        </is>
      </c>
      <c r="G21" s="24" t="inlineStr">
        <is>
          <t>TTG Esports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122</v>
      </c>
      <c r="M21" s="27" t="n">
        <v>2.22</v>
      </c>
      <c r="N21" s="28" t="n">
        <v>0.45045</v>
      </c>
      <c r="O21" s="28" t="n">
        <v>0.519198</v>
      </c>
      <c r="P21" s="28" t="n"/>
      <c r="Q21" s="28" t="n">
        <v>0.068748</v>
      </c>
      <c r="R21" s="26" t="n">
        <v>54</v>
      </c>
      <c r="S21" s="29" t="n">
        <v>1</v>
      </c>
      <c r="T21" s="24" t="inlineStr">
        <is>
          <t>cs2-tiered-elo-v6</t>
        </is>
      </c>
      <c r="U21" s="24" t="inlineStr">
        <is>
          <t>settled</t>
        </is>
      </c>
      <c r="V21" s="24" t="inlineStr">
        <is>
          <t>push</t>
        </is>
      </c>
      <c r="W21" s="26" t="n"/>
      <c r="X21" s="26" t="n"/>
      <c r="Y21" s="25" t="n"/>
      <c r="Z21" s="26" t="n"/>
      <c r="AA21" s="28" t="n"/>
      <c r="AB21" s="28" t="n"/>
      <c r="AC21" s="30" t="n">
        <v>0</v>
      </c>
      <c r="AD21" s="24" t="inlineStr">
        <is>
          <t>2026-10-06T22:58:09.834682Z</t>
        </is>
      </c>
      <c r="AE21" s="31" t="inlineStr">
        <is>
          <t>Neutral Elo baseline; executable ask 0.4500 (market_slug=aec-cs2-tet-ksm-2026-10-06).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paper_call</t>
        </is>
      </c>
      <c r="AL21" s="26" t="n">
        <v>4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PAPER_CALL_LOW_EDGE</t>
        </is>
      </c>
      <c r="AP21" s="24" t="inlineStr">
        <is>
          <t>KUUSAMO.gg</t>
        </is>
      </c>
      <c r="AQ21" s="24" t="inlineStr">
        <is>
          <t>KUUSAMO.gg</t>
        </is>
      </c>
      <c r="AR21" s="24" t="inlineStr">
        <is>
          <t>KUUSAMO.gg</t>
        </is>
      </c>
      <c r="AS21" s="24" t="inlineStr">
        <is>
          <t>TTG Esports</t>
        </is>
      </c>
      <c r="AT21" s="24" t="inlineStr">
        <is>
          <t>TTG Esports</t>
        </is>
      </c>
      <c r="AU21" s="24" t="inlineStr">
        <is>
          <t>TTG Esports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7505ee5c132fdc53de854c732ee4c17c7b05d4dfb4a3dbb5db684c9e4fbf8d75</t>
        </is>
      </c>
      <c r="BB21" s="24" t="inlineStr">
        <is>
          <t>neutral_elo</t>
        </is>
      </c>
      <c r="BC21" s="24" t="inlineStr">
        <is>
          <t>cs2-tiered-elo-v6</t>
        </is>
      </c>
      <c r="BD21" s="24" t="inlineStr">
        <is>
          <t>7505ee5c132fdc53de854c732ee4c17c7b05d4dfb4a3dbb5db684c9e4fbf8d75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cs2-tiered-elo-v6</t>
        </is>
      </c>
      <c r="BH21" s="24" t="inlineStr">
        <is>
          <t>2026-10-06T16:35:35.582982Z</t>
        </is>
      </c>
      <c r="BI21" s="24" t="inlineStr">
        <is>
          <t>["same_event","same_team_same_day","same_league_same_day"]</t>
        </is>
      </c>
      <c r="BJ21" s="25" t="n"/>
      <c r="BK21" s="26" t="n">
        <v>122</v>
      </c>
      <c r="BL21" s="27" t="n">
        <v>2.22</v>
      </c>
      <c r="BM21" s="28" t="n">
        <v>0.45045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inlineStr">
        <is>
          <t>esports market terminal (MARKET_STATE_EXPIRED) with prices {}; BO3 has no confirming finished-match result either</t>
        </is>
      </c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0.45045</t>
        </is>
      </c>
      <c r="DK21" s="24" t="n"/>
      <c r="DL21" s="24" t="n"/>
      <c r="DM21" s="24" t="n"/>
      <c r="DN21" s="24" t="n"/>
      <c r="DO21" s="24" t="n"/>
      <c r="DP21" s="24" t="n"/>
      <c r="DQ21" s="24" t="inlineStr">
        <is>
          <t>{"artifact_hash": "7505ee5c132fdc53de854c732ee4c17c7b05d4dfb4a3dbb5db684c9e4fbf8d75", "away_team": "KUUSAMO.gg", "event_id": "145653", "event_start_utc": "2026-10-06T18:30:00Z", "features": {"away_elo": 1447.980015, "away_history_count": 127, "home_elo": 1385.587782, "home_history_count": 48}, "historical_source_observation_times_verified": false, "home_team": "TTG Esports", "inference_inputs": {"book_state": {"games_played": {"bo3:1:2868": 127, "bo3:1:4949": 48}, "inactivity_half_life_days": null, "inactivity_max_pull": null, "k": 40.0, "last_match_utc": {"bo3:1:2868": "2026-09-30T10:10:00Z", "bo3:1:4949": "2024-09-05T19:10:00Z"}, "minimum_reliable_games": null, "platt_intercept": 0.0737093924773071, "platt_slope": 0.8704882287359372, "ratings": {"bo3:1:2868": 1447.980015, "bo3:1:4949": 1385.587782},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["bo3:1:4949", "bo3:1:2868"]}, "market_type": "moneyline", "model_version": "cs2-tiered-elo-v6", "observed_at_utc": "2026-10-06T16:34:12.705943+00:00", "probabilities": {"away": 0.480802, "home": 0.519198}, "replay_scope": "Exact serving book state, calibration, temperature, inactivity reference and thin-history adjustments; training provenance not certified.", "schema": "esports-elo-replay-v1", "snapshot_hash": "f5de7a4c6afda2921a2a6dbd9002d5ed99944398c8e7a599a8e6db1ebfb7cb9f", "sport": "CS2"}</t>
        </is>
      </c>
    </row>
    <row r="22" ht="36" customHeight="1">
      <c r="A22" s="24" t="inlineStr">
        <is>
          <t>430a6e60ad614bbd</t>
        </is>
      </c>
      <c r="B22" s="24" t="inlineStr">
        <is>
          <t>2026-10-06T16:38:56.980694Z</t>
        </is>
      </c>
      <c r="C22" s="24" t="inlineStr">
        <is>
          <t>2026-10-06T18:30:00Z</t>
        </is>
      </c>
      <c r="D22" s="24" t="inlineStr">
        <is>
          <t>145654</t>
        </is>
      </c>
      <c r="E22" s="24" t="inlineStr">
        <is>
          <t>CS2</t>
        </is>
      </c>
      <c r="F22" s="24" t="inlineStr">
        <is>
          <t>Tax free</t>
        </is>
      </c>
      <c r="G22" s="24" t="inlineStr">
        <is>
          <t>TEAM GELO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108</v>
      </c>
      <c r="M22" s="27" t="n">
        <v>2.08</v>
      </c>
      <c r="N22" s="28" t="n">
        <v>0.480769</v>
      </c>
      <c r="O22" s="28" t="n">
        <v>0.502352</v>
      </c>
      <c r="P22" s="28" t="n"/>
      <c r="Q22" s="28" t="n">
        <v>0.021583</v>
      </c>
      <c r="R22" s="26" t="n">
        <v>31</v>
      </c>
      <c r="S22" s="29" t="n">
        <v>1</v>
      </c>
      <c r="T22" s="24" t="inlineStr">
        <is>
          <t>cs2-tiered-elo-v6</t>
        </is>
      </c>
      <c r="U22" s="24" t="inlineStr">
        <is>
          <t>settled</t>
        </is>
      </c>
      <c r="V22" s="24" t="inlineStr">
        <is>
          <t>push</t>
        </is>
      </c>
      <c r="W22" s="26" t="n"/>
      <c r="X22" s="26" t="n"/>
      <c r="Y22" s="25" t="n"/>
      <c r="Z22" s="26" t="n"/>
      <c r="AA22" s="28" t="n"/>
      <c r="AB22" s="28" t="n"/>
      <c r="AC22" s="30" t="n">
        <v>0</v>
      </c>
      <c r="AD22" s="24" t="inlineStr">
        <is>
          <t>2026-10-06T22:58:24.362783Z</t>
        </is>
      </c>
      <c r="AE22" s="31" t="inlineStr">
        <is>
          <t>Neutral Elo baseline; executable ask 0.4800 (market_slug=aec-cs2-tg-tfa-2026-10-06).</t>
        </is>
      </c>
      <c r="AF22" s="31" t="inlineStr">
        <is>
          <t>Config-promoted esports baseline; gates enforced at log time.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paper_call</t>
        </is>
      </c>
      <c r="AL22" s="26" t="n">
        <v>4</v>
      </c>
      <c r="AM22" s="24" t="inlineStr">
        <is>
          <t>RESEARCH_OBSERVATION</t>
        </is>
      </c>
      <c r="AN22" s="24" t="inlineStr">
        <is>
          <t>CALL</t>
        </is>
      </c>
      <c r="AO22" s="24" t="inlineStr">
        <is>
          <t>PAPER_CALL_MODEL_UNVALIDATED</t>
        </is>
      </c>
      <c r="AP22" s="24" t="inlineStr">
        <is>
          <t>Tax free</t>
        </is>
      </c>
      <c r="AQ22" s="24" t="inlineStr">
        <is>
          <t>Tax free</t>
        </is>
      </c>
      <c r="AR22" s="24" t="inlineStr">
        <is>
          <t>Tax free</t>
        </is>
      </c>
      <c r="AS22" s="24" t="inlineStr">
        <is>
          <t>TEAM GELO</t>
        </is>
      </c>
      <c r="AT22" s="24" t="inlineStr">
        <is>
          <t>TEAM GELO</t>
        </is>
      </c>
      <c r="AU22" s="24" t="inlineStr">
        <is>
          <t>TEAM GELO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7505ee5c132fdc53de854c732ee4c17c7b05d4dfb4a3dbb5db684c9e4fbf8d75</t>
        </is>
      </c>
      <c r="BB22" s="24" t="inlineStr">
        <is>
          <t>neutral_elo</t>
        </is>
      </c>
      <c r="BC22" s="24" t="inlineStr">
        <is>
          <t>cs2-tiered-elo-v6</t>
        </is>
      </c>
      <c r="BD22" s="24" t="inlineStr">
        <is>
          <t>7505ee5c132fdc53de854c732ee4c17c7b05d4dfb4a3dbb5db684c9e4fbf8d75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cs2-tiered-elo-v6</t>
        </is>
      </c>
      <c r="BH22" s="24" t="inlineStr">
        <is>
          <t>2026-10-06T16:35:35.660386Z</t>
        </is>
      </c>
      <c r="BI22" s="24" t="inlineStr">
        <is>
          <t>["same_event","same_team_same_day","same_league_same_day"]</t>
        </is>
      </c>
      <c r="BJ22" s="25" t="n"/>
      <c r="BK22" s="26" t="n">
        <v>108</v>
      </c>
      <c r="BL22" s="27" t="n">
        <v>2.08</v>
      </c>
      <c r="BM22" s="28" t="n">
        <v>0.480769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inlineStr">
        <is>
          <t>esports market terminal (MARKET_STATE_EXPIRED) with prices {}; BO3 has no confirming finished-match result either</t>
        </is>
      </c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0.480769</t>
        </is>
      </c>
      <c r="DK22" s="24" t="n"/>
      <c r="DL22" s="24" t="n"/>
      <c r="DM22" s="24" t="n"/>
      <c r="DN22" s="24" t="n"/>
      <c r="DO22" s="24" t="n"/>
      <c r="DP22" s="24" t="n"/>
      <c r="DQ22" s="24" t="inlineStr">
        <is>
          <t>{"artifact_hash": "7505ee5c132fdc53de854c732ee4c17c7b05d4dfb4a3dbb5db684c9e4fbf8d75", "away_team": "Tax free", "event_id": "145654", "event_start_utc": "2026-10-06T18:30:00Z", "features": {"away_elo": 1500.0, "away_history_count": 0, "home_elo": 1478.529851, "home_history_count": 1}, "historical_source_observation_times_verified": false, "home_team": "TEAM GELO", "inference_inputs": {"book_state": {"games_played": {"bo3:1:19941": 1}, "inactivity_half_life_days": null, "inactivity_max_pull": null, "k": 40.0, "last_match_utc": {"bo3:1:19941": "2026-09-23T17:45:00Z"}, "minimum_reliable_games": null, "platt_intercept": 0.0737093924773071, "platt_slope": 0.8704882287359372, "ratings": {"bo3:1:19941": 1478.529851},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["bo3:1:19941", "unknown:taxfree"]}, "market_type": "moneyline", "model_version": "cs2-tiered-elo-v6", "observed_at_utc": "2026-10-06T16:34:12.705943+00:00", "probabilities": {"away": 0.502352, "home": 0.497648}, "replay_scope": "Exact serving book state, calibration, temperature, inactivity reference and thin-history adjustments; training provenance not certified.", "schema": "esports-elo-replay-v1", "snapshot_hash": "05627bfa4e14cb692a8d38dc0cb75666594f47c236c80082f46a69ff472de878", "sport": "CS2"}</t>
        </is>
      </c>
    </row>
    <row r="23" ht="36" customHeight="1">
      <c r="A23" s="24" t="inlineStr">
        <is>
          <t>070f4311778f4ce1</t>
        </is>
      </c>
      <c r="B23" s="24" t="inlineStr">
        <is>
          <t>2026-10-06T16:38:56.980694Z</t>
        </is>
      </c>
      <c r="C23" s="24" t="inlineStr">
        <is>
          <t>2026-10-06T18:30:00Z</t>
        </is>
      </c>
      <c r="D23" s="24" t="inlineStr">
        <is>
          <t>145655</t>
        </is>
      </c>
      <c r="E23" s="24" t="inlineStr">
        <is>
          <t>CS2</t>
        </is>
      </c>
      <c r="F23" s="24" t="inlineStr">
        <is>
          <t>wnT</t>
        </is>
      </c>
      <c r="G23" s="24" t="inlineStr">
        <is>
          <t>Diamant Esports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-117</v>
      </c>
      <c r="M23" s="27" t="n">
        <v>1.854701</v>
      </c>
      <c r="N23" s="28" t="n">
        <v>0.539171</v>
      </c>
      <c r="O23" s="28" t="n">
        <v>0.507806</v>
      </c>
      <c r="P23" s="28" t="n"/>
      <c r="Q23" s="28" t="n">
        <v>-0.031365</v>
      </c>
      <c r="R23" s="26" t="n">
        <v>4</v>
      </c>
      <c r="S23" s="29" t="n">
        <v>1</v>
      </c>
      <c r="T23" s="24" t="inlineStr">
        <is>
          <t>cs2-tiered-elo-v6</t>
        </is>
      </c>
      <c r="U23" s="24" t="inlineStr">
        <is>
          <t>settled</t>
        </is>
      </c>
      <c r="V23" s="24" t="inlineStr">
        <is>
          <t>push</t>
        </is>
      </c>
      <c r="W23" s="26" t="n"/>
      <c r="X23" s="26" t="n"/>
      <c r="Y23" s="25" t="n"/>
      <c r="Z23" s="26" t="n"/>
      <c r="AA23" s="28" t="n"/>
      <c r="AB23" s="28" t="n"/>
      <c r="AC23" s="30" t="n">
        <v>0</v>
      </c>
      <c r="AD23" s="24" t="inlineStr">
        <is>
          <t>2026-10-06T22:58:38.032704Z</t>
        </is>
      </c>
      <c r="AE23" s="31" t="inlineStr">
        <is>
          <t>Neutral Elo baseline; executable ask 0.5400 (market_slug=aec-cs2-dei-wnt-2026-10-06).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paper_call</t>
        </is>
      </c>
      <c r="AL23" s="26" t="n">
        <v>4</v>
      </c>
      <c r="AM23" s="24" t="inlineStr">
        <is>
          <t>RESEARCH_OBSERVATION</t>
        </is>
      </c>
      <c r="AN23" s="24" t="inlineStr">
        <is>
          <t>CALL</t>
        </is>
      </c>
      <c r="AO23" s="24" t="inlineStr">
        <is>
          <t>PAPER_CALL_MODEL_UNVALIDATED</t>
        </is>
      </c>
      <c r="AP23" s="24" t="inlineStr">
        <is>
          <t>wnT</t>
        </is>
      </c>
      <c r="AQ23" s="24" t="inlineStr">
        <is>
          <t>wnT</t>
        </is>
      </c>
      <c r="AR23" s="24" t="inlineStr">
        <is>
          <t>wnT</t>
        </is>
      </c>
      <c r="AS23" s="24" t="inlineStr">
        <is>
          <t>Diamant Esports</t>
        </is>
      </c>
      <c r="AT23" s="24" t="inlineStr">
        <is>
          <t>Diamant Esports</t>
        </is>
      </c>
      <c r="AU23" s="24" t="inlineStr">
        <is>
          <t>Diamant Esports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7505ee5c132fdc53de854c732ee4c17c7b05d4dfb4a3dbb5db684c9e4fbf8d75</t>
        </is>
      </c>
      <c r="BB23" s="24" t="inlineStr">
        <is>
          <t>neutral_elo</t>
        </is>
      </c>
      <c r="BC23" s="24" t="inlineStr">
        <is>
          <t>cs2-tiered-elo-v6</t>
        </is>
      </c>
      <c r="BD23" s="24" t="inlineStr">
        <is>
          <t>7505ee5c132fdc53de854c732ee4c17c7b05d4dfb4a3dbb5db684c9e4fbf8d75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cs2-tiered-elo-v6</t>
        </is>
      </c>
      <c r="BH23" s="24" t="inlineStr">
        <is>
          <t>2026-10-06T16:35:35.741588Z</t>
        </is>
      </c>
      <c r="BI23" s="24" t="inlineStr">
        <is>
          <t>["same_event","same_team_same_day","same_league_same_day"]</t>
        </is>
      </c>
      <c r="BJ23" s="25" t="n"/>
      <c r="BK23" s="26" t="n">
        <v>-117</v>
      </c>
      <c r="BL23" s="27" t="n">
        <v>1.854701</v>
      </c>
      <c r="BM23" s="28" t="n">
        <v>0.539171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inlineStr">
        <is>
          <t>esports market terminal (MARKET_STATE_EXPIRED) with prices {}; BO3 has no confirming finished-match result either</t>
        </is>
      </c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False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0.539171</t>
        </is>
      </c>
      <c r="DK23" s="24" t="n"/>
      <c r="DL23" s="24" t="n"/>
      <c r="DM23" s="24" t="n"/>
      <c r="DN23" s="24" t="n"/>
      <c r="DO23" s="24" t="n"/>
      <c r="DP23" s="24" t="n"/>
      <c r="DQ23" s="24" t="inlineStr">
        <is>
          <t>{"artifact_hash": "7505ee5c132fdc53de854c732ee4c17c7b05d4dfb4a3dbb5db684c9e4fbf8d75", "away_team": "wnT", "event_id": "145655", "event_start_utc": "2026-10-06T18:30:00Z", "features": {"away_elo": 1500.0, "away_history_count": 0, "home_elo": 1500.0, "home_history_count": 0}, "historical_source_observation_times_verified": false, "home_team": "Diamant Esports", "inference_inputs": {"book_state": {"games_played": {}, "inactivity_half_life_days": null, "inactivity_max_pull": null, "k": 40.0, "last_match_utc": {}, "minimum_reliable_games": null, "platt_intercept": 0.0737093924773071, "platt_slope": 0.8704882287359372, "ratings": {},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["unknown:diamantesports", "unknown:wnt"]}, "market_type": "moneyline", "model_version": "cs2-tiered-elo-v6", "observed_at_utc": "2026-10-06T16:34:12.705943+00:00", "probabilities": {"away": 0.492194, "home": 0.507806}, "replay_scope": "Exact serving book state, calibration, temperature, inactivity reference and thin-history adjustments; training provenance not certified.", "schema": "esports-elo-replay-v1", "snapshot_hash": "e73cc16eeee6f8b982d9d18bbc40532b8b1b51fdb0c1e36f54647a9cb3b6a1d6", "sport": "CS2"}</t>
        </is>
      </c>
    </row>
    <row r="24" ht="36" customHeight="1">
      <c r="A24" s="24" t="inlineStr">
        <is>
          <t>c6d84960cf7e4460</t>
        </is>
      </c>
      <c r="B24" s="24" t="inlineStr">
        <is>
          <t>2026-10-06T16:38:56.980694Z</t>
        </is>
      </c>
      <c r="C24" s="24" t="inlineStr">
        <is>
          <t>2026-10-06T18:30:00Z</t>
        </is>
      </c>
      <c r="D24" s="24" t="inlineStr">
        <is>
          <t>145656</t>
        </is>
      </c>
      <c r="E24" s="24" t="inlineStr">
        <is>
          <t>CS2</t>
        </is>
      </c>
      <c r="F24" s="24" t="inlineStr">
        <is>
          <t>aimers</t>
        </is>
      </c>
      <c r="G24" s="24" t="inlineStr">
        <is>
          <t>Fraternity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-113</v>
      </c>
      <c r="M24" s="27" t="n">
        <v>1.884956</v>
      </c>
      <c r="N24" s="28" t="n">
        <v>0.530516</v>
      </c>
      <c r="O24" s="28" t="n">
        <v>0.559436</v>
      </c>
      <c r="P24" s="28" t="n"/>
      <c r="Q24" s="28" t="n">
        <v>0.02892</v>
      </c>
      <c r="R24" s="26" t="n">
        <v>34</v>
      </c>
      <c r="S24" s="29" t="n">
        <v>1</v>
      </c>
      <c r="T24" s="24" t="inlineStr">
        <is>
          <t>cs2-tiered-elo-v6</t>
        </is>
      </c>
      <c r="U24" s="24" t="inlineStr">
        <is>
          <t>settled</t>
        </is>
      </c>
      <c r="V24" s="24" t="inlineStr">
        <is>
          <t>loss</t>
        </is>
      </c>
      <c r="W24" s="26" t="n">
        <v>0</v>
      </c>
      <c r="X24" s="26" t="n">
        <v>1</v>
      </c>
      <c r="Y24" s="25" t="n"/>
      <c r="Z24" s="26" t="n"/>
      <c r="AA24" s="28" t="n"/>
      <c r="AB24" s="28" t="n"/>
      <c r="AC24" s="30" t="n">
        <v>-1</v>
      </c>
      <c r="AD24" s="24" t="inlineStr">
        <is>
          <t>2026-10-06T22:02:39.943165Z</t>
        </is>
      </c>
      <c r="AE24" s="31" t="inlineStr">
        <is>
          <t>Neutral Elo baseline; executable ask 0.5300 (market_slug=aec-cs2-frt-aime-2026-10-06).</t>
        </is>
      </c>
      <c r="AF24" s="31" t="inlineStr">
        <is>
          <t>Config-promoted esports baseline; gates enforced at log time.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4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aimers</t>
        </is>
      </c>
      <c r="AQ24" s="24" t="inlineStr">
        <is>
          <t>aimers</t>
        </is>
      </c>
      <c r="AR24" s="24" t="inlineStr">
        <is>
          <t>aimers</t>
        </is>
      </c>
      <c r="AS24" s="24" t="inlineStr">
        <is>
          <t>Fraternity</t>
        </is>
      </c>
      <c r="AT24" s="24" t="inlineStr">
        <is>
          <t>Fraternity</t>
        </is>
      </c>
      <c r="AU24" s="24" t="inlineStr">
        <is>
          <t>Fraternity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7505ee5c132fdc53de854c732ee4c17c7b05d4dfb4a3dbb5db684c9e4fbf8d75</t>
        </is>
      </c>
      <c r="BB24" s="24" t="inlineStr">
        <is>
          <t>neutral_elo</t>
        </is>
      </c>
      <c r="BC24" s="24" t="inlineStr">
        <is>
          <t>cs2-tiered-elo-v6</t>
        </is>
      </c>
      <c r="BD24" s="24" t="inlineStr">
        <is>
          <t>7505ee5c132fdc53de854c732ee4c17c7b05d4dfb4a3dbb5db684c9e4fbf8d75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cs2-tiered-elo-v6</t>
        </is>
      </c>
      <c r="BH24" s="24" t="inlineStr">
        <is>
          <t>2026-10-06T16:35:45.864495Z</t>
        </is>
      </c>
      <c r="BI24" s="24" t="inlineStr">
        <is>
          <t>["same_event","same_team_same_day","same_league_same_day"]</t>
        </is>
      </c>
      <c r="BJ24" s="25" t="n"/>
      <c r="BK24" s="26" t="n">
        <v>-113</v>
      </c>
      <c r="BL24" s="27" t="n">
        <v>1.884956</v>
      </c>
      <c r="BM24" s="28" t="n">
        <v>0.530516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0.530516</t>
        </is>
      </c>
      <c r="DK24" s="24" t="n"/>
      <c r="DL24" s="24" t="n"/>
      <c r="DM24" s="24" t="n"/>
      <c r="DN24" s="24" t="n"/>
      <c r="DO24" s="24" t="n"/>
      <c r="DP24" s="24" t="n"/>
      <c r="DQ24" s="24" t="inlineStr">
        <is>
          <t>{"artifact_hash": "7505ee5c132fdc53de854c732ee4c17c7b05d4dfb4a3dbb5db684c9e4fbf8d75", "away_team": "aimers", "event_id": "145656", "event_start_utc": "2026-10-06T18:30:00Z", "features": {"away_elo": 1557.811625, "away_history_count": 94, "home_elo": 1437.607535, "home_history_count": 14}, "historical_source_observation_times_verified": false, "home_team": "Fraternity", "inference_inputs": {"book_state": {"games_played": {"bo3:1:24535": 14, "bo3:1:6014": 94}, "inactivity_half_life_days": null, "inactivity_max_pull": null, "k": 40.0, "last_match_utc": {"bo3:1:24535": "2026-09-04T17:15:00Z", "bo3:1:6014": "2024-12-14T23:00:00Z"}, "minimum_reliable_games": null, "platt_intercept": 0.0737093924773071, "platt_slope": 0.8704882287359372, "ratings": {"bo3:1:24535": 1437.607535, "bo3:1:6014": 1557.811625},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["bo3:1:24535", "bo3:1:6014"]}, "market_type": "moneyline", "model_version": "cs2-tiered-elo-v6", "observed_at_utc": "2026-10-06T16:34:12.705943+00:00", "probabilities": {"away": 0.559436, "home": 0.440564}, "replay_scope": "Exact serving book state, calibration, temperature, inactivity reference and thin-history adjustments; training provenance not certified.", "schema": "esports-elo-replay-v1", "snapshot_hash": "5799844fc17d67aae7031fa786f79a3634e87600cad955e9f38f7adaf909ffaf", "sport": "CS2"}</t>
        </is>
      </c>
    </row>
    <row r="25" ht="36" customHeight="1">
      <c r="A25" s="24" t="inlineStr">
        <is>
          <t>ba696776800243e0</t>
        </is>
      </c>
      <c r="B25" s="24" t="inlineStr">
        <is>
          <t>2026-10-06T16:38:56.980694Z</t>
        </is>
      </c>
      <c r="C25" s="24" t="inlineStr">
        <is>
          <t>2026-10-06T18:30:00Z</t>
        </is>
      </c>
      <c r="D25" s="24" t="inlineStr">
        <is>
          <t>145657</t>
        </is>
      </c>
      <c r="E25" s="24" t="inlineStr">
        <is>
          <t>CS2</t>
        </is>
      </c>
      <c r="F25" s="24" t="inlineStr">
        <is>
          <t>ZOTIX</t>
        </is>
      </c>
      <c r="G25" s="24" t="inlineStr">
        <is>
          <t>menszczysni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212</v>
      </c>
      <c r="M25" s="27" t="n">
        <v>3.12</v>
      </c>
      <c r="N25" s="28" t="n">
        <v>0.320513</v>
      </c>
      <c r="O25" s="28" t="n">
        <v>0.511929</v>
      </c>
      <c r="P25" s="28" t="n"/>
      <c r="Q25" s="28" t="n">
        <v>0.191416</v>
      </c>
      <c r="R25" s="26" t="n">
        <v>100</v>
      </c>
      <c r="S25" s="29" t="n">
        <v>2</v>
      </c>
      <c r="T25" s="24" t="inlineStr">
        <is>
          <t>cs2-tiered-elo-v6</t>
        </is>
      </c>
      <c r="U25" s="24" t="inlineStr">
        <is>
          <t>settled</t>
        </is>
      </c>
      <c r="V25" s="24" t="inlineStr">
        <is>
          <t>loss</t>
        </is>
      </c>
      <c r="W25" s="26" t="n">
        <v>1</v>
      </c>
      <c r="X25" s="26" t="n">
        <v>0</v>
      </c>
      <c r="Y25" s="25" t="n"/>
      <c r="Z25" s="26" t="n">
        <v>212</v>
      </c>
      <c r="AA25" s="28" t="n">
        <v>0.32</v>
      </c>
      <c r="AB25" s="28" t="n">
        <v>-0.000513</v>
      </c>
      <c r="AC25" s="30" t="n">
        <v>-2</v>
      </c>
      <c r="AD25" s="24" t="inlineStr">
        <is>
          <t>2026-10-07T22:00:33.009266Z</t>
        </is>
      </c>
      <c r="AE25" s="31" t="inlineStr">
        <is>
          <t>Neutral Elo baseline; executable ask 0.3200 (market_slug=aec-cs2-men-zotix-2026-10-06).</t>
        </is>
      </c>
      <c r="AF25" s="31" t="inlineStr">
        <is>
          <t>Config-promoted esports baseline; gates enforced at log time.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paper_call</t>
        </is>
      </c>
      <c r="AL25" s="26" t="n">
        <v>4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PAPER_CALL_MODEL_UNVALIDATED</t>
        </is>
      </c>
      <c r="AP25" s="24" t="inlineStr">
        <is>
          <t>ZOTIX</t>
        </is>
      </c>
      <c r="AQ25" s="24" t="inlineStr">
        <is>
          <t>ZOTIX</t>
        </is>
      </c>
      <c r="AR25" s="24" t="inlineStr">
        <is>
          <t>ZOTIX</t>
        </is>
      </c>
      <c r="AS25" s="24" t="inlineStr">
        <is>
          <t>menszczysni</t>
        </is>
      </c>
      <c r="AT25" s="24" t="inlineStr">
        <is>
          <t>menszczysni</t>
        </is>
      </c>
      <c r="AU25" s="24" t="inlineStr">
        <is>
          <t>menszczysni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7505ee5c132fdc53de854c732ee4c17c7b05d4dfb4a3dbb5db684c9e4fbf8d75</t>
        </is>
      </c>
      <c r="BB25" s="24" t="inlineStr">
        <is>
          <t>neutral_elo</t>
        </is>
      </c>
      <c r="BC25" s="24" t="inlineStr">
        <is>
          <t>cs2-tiered-elo-v6</t>
        </is>
      </c>
      <c r="BD25" s="24" t="inlineStr">
        <is>
          <t>7505ee5c132fdc53de854c732ee4c17c7b05d4dfb4a3dbb5db684c9e4fbf8d75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cs2-tiered-elo-v6</t>
        </is>
      </c>
      <c r="BH25" s="24" t="inlineStr">
        <is>
          <t>2026-10-06T16:35:45.941663Z</t>
        </is>
      </c>
      <c r="BI25" s="24" t="inlineStr">
        <is>
          <t>["same_event","same_team_same_day","same_league_same_day"]</t>
        </is>
      </c>
      <c r="BJ25" s="25" t="n"/>
      <c r="BK25" s="26" t="n">
        <v>212</v>
      </c>
      <c r="BL25" s="27" t="n">
        <v>3.12</v>
      </c>
      <c r="BM25" s="28" t="n">
        <v>0.320513</v>
      </c>
      <c r="BN25" s="28" t="n"/>
      <c r="BO25" s="28" t="n"/>
      <c r="BP25" s="25" t="n"/>
      <c r="BQ25" s="27" t="n">
        <v>3.12</v>
      </c>
      <c r="BR25" s="28" t="n">
        <v>0.32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0.320513</t>
        </is>
      </c>
      <c r="DK25" s="24" t="n"/>
      <c r="DL25" s="24" t="n"/>
      <c r="DM25" s="24" t="n"/>
      <c r="DN25" s="24" t="n"/>
      <c r="DO25" s="24" t="n"/>
      <c r="DP25" s="24" t="n"/>
      <c r="DQ25" s="24" t="inlineStr">
        <is>
          <t>{"artifact_hash": "7505ee5c132fdc53de854c732ee4c17c7b05d4dfb4a3dbb5db684c9e4fbf8d75", "away_team": "ZOTIX", "event_id": "145657", "event_start_utc": "2026-10-06T18:30:00Z", "features": {"away_elo": 1490.752325, "away_history_count": 76, "home_elo": 1500.0, "home_history_count": 0}, "historical_source_observation_times_verified": false, "home_team": "menszczysni", "inference_inputs": {"book_state": {"games_played": {"bo3:1:6277": 76}, "inactivity_half_life_days": null, "inactivity_max_pull": null, "k": 40.0, "last_match_utc": {"bo3:1:6277": "2026-09-16T17:45:00Z"}, "minimum_reliable_games": null, "platt_intercept": 0.0737093924773071, "platt_slope": 0.8704882287359372, "ratings": {"bo3:1:6277": 1490.752325},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["unknown:menszczysni", "bo3:1:6277"]}, "market_type": "moneyline", "model_version": "cs2-tiered-elo-v6", "observed_at_utc": "2026-10-06T16:34:12.705943+00:00", "probabilities": {"away": 0.488071, "home": 0.511929}, "replay_scope": "Exact serving book state, calibration, temperature, inactivity reference and thin-history adjustments; training provenance not certified.", "schema": "esports-elo-replay-v1", "snapshot_hash": "1532b4d41104cc138745771f5b85efb8f5bc866650735ddd588dcbf07ad07771", "sport": "CS2"}</t>
        </is>
      </c>
    </row>
    <row r="26" ht="36" customHeight="1">
      <c r="A26" s="24" t="inlineStr">
        <is>
          <t>df806d902fa44de9</t>
        </is>
      </c>
      <c r="B26" s="24" t="inlineStr">
        <is>
          <t>2026-10-07T05:34:23.742048Z</t>
        </is>
      </c>
      <c r="C26" s="24" t="inlineStr">
        <is>
          <t>2026-10-07T08:00:00Z</t>
        </is>
      </c>
      <c r="D26" s="24" t="inlineStr">
        <is>
          <t>141609</t>
        </is>
      </c>
      <c r="E26" s="24" t="inlineStr">
        <is>
          <t>CS2</t>
        </is>
      </c>
      <c r="F26" s="24" t="inlineStr">
        <is>
          <t>PURE</t>
        </is>
      </c>
      <c r="G26" s="24" t="inlineStr">
        <is>
          <t>OG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-213</v>
      </c>
      <c r="M26" s="27" t="n">
        <v>1.469484</v>
      </c>
      <c r="N26" s="28" t="n">
        <v>0.680511</v>
      </c>
      <c r="O26" s="28" t="n">
        <v>0.605671</v>
      </c>
      <c r="P26" s="28" t="n"/>
      <c r="Q26" s="28" t="n">
        <v>-0.07484</v>
      </c>
      <c r="R26" s="26" t="n">
        <v>0</v>
      </c>
      <c r="S26" s="29" t="n">
        <v>1</v>
      </c>
      <c r="T26" s="24" t="inlineStr">
        <is>
          <t>cs2-tiered-elo-v6</t>
        </is>
      </c>
      <c r="U26" s="24" t="inlineStr">
        <is>
          <t>settled</t>
        </is>
      </c>
      <c r="V26" s="24" t="inlineStr">
        <is>
          <t>loss</t>
        </is>
      </c>
      <c r="W26" s="26" t="n">
        <v>1</v>
      </c>
      <c r="X26" s="26" t="n">
        <v>0</v>
      </c>
      <c r="Y26" s="25" t="n"/>
      <c r="Z26" s="26" t="n">
        <v>-213</v>
      </c>
      <c r="AA26" s="28" t="n">
        <v>0.68</v>
      </c>
      <c r="AB26" s="28" t="n">
        <v>-0.000511</v>
      </c>
      <c r="AC26" s="30" t="n">
        <v>-1</v>
      </c>
      <c r="AD26" s="24" t="inlineStr">
        <is>
          <t>2026-10-07T10:03:50.922487Z</t>
        </is>
      </c>
      <c r="AE26" s="31" t="inlineStr">
        <is>
          <t>Neutral Elo baseline; executable ask 0.6800 (market_slug=aec-cs2-og-pure-2026-10-07).</t>
        </is>
      </c>
      <c r="AF26" s="31" t="inlineStr">
        <is>
          <t>Config-promoted esports baseline; gates enforced at log time.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paper_call</t>
        </is>
      </c>
      <c r="AL26" s="26" t="n">
        <v>4</v>
      </c>
      <c r="AM26" s="24" t="inlineStr">
        <is>
          <t>RESEARCH_OBSERVATION</t>
        </is>
      </c>
      <c r="AN26" s="24" t="inlineStr">
        <is>
          <t>CALL</t>
        </is>
      </c>
      <c r="AO26" s="24" t="inlineStr">
        <is>
          <t>PAPER_CALL_LOW_EDGE</t>
        </is>
      </c>
      <c r="AP26" s="24" t="inlineStr">
        <is>
          <t>PURE</t>
        </is>
      </c>
      <c r="AQ26" s="24" t="inlineStr">
        <is>
          <t>PURE</t>
        </is>
      </c>
      <c r="AR26" s="24" t="inlineStr">
        <is>
          <t>PURE</t>
        </is>
      </c>
      <c r="AS26" s="24" t="inlineStr">
        <is>
          <t>OG</t>
        </is>
      </c>
      <c r="AT26" s="24" t="inlineStr">
        <is>
          <t>OG</t>
        </is>
      </c>
      <c r="AU26" s="24" t="inlineStr">
        <is>
          <t>OG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16ad4e735b0455402d412d6c9f85894527de5712192c6b1df9d56692ea93b5e3</t>
        </is>
      </c>
      <c r="BB26" s="24" t="inlineStr">
        <is>
          <t>neutral_elo</t>
        </is>
      </c>
      <c r="BC26" s="24" t="inlineStr">
        <is>
          <t>cs2-tiered-elo-v6</t>
        </is>
      </c>
      <c r="BD26" s="24" t="inlineStr">
        <is>
          <t>16ad4e735b0455402d412d6c9f85894527de5712192c6b1df9d56692ea93b5e3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cs2-tiered-elo-v6</t>
        </is>
      </c>
      <c r="BH26" s="24" t="inlineStr">
        <is>
          <t>2026-10-07T05:29:21.160583Z</t>
        </is>
      </c>
      <c r="BI26" s="24" t="inlineStr">
        <is>
          <t>["same_event","same_team_same_day","same_league_same_day"]</t>
        </is>
      </c>
      <c r="BJ26" s="25" t="n"/>
      <c r="BK26" s="26" t="n">
        <v>-213</v>
      </c>
      <c r="BL26" s="27" t="n">
        <v>1.469484</v>
      </c>
      <c r="BM26" s="28" t="n">
        <v>0.680511</v>
      </c>
      <c r="BN26" s="28" t="n"/>
      <c r="BO26" s="28" t="n"/>
      <c r="BP26" s="25" t="n"/>
      <c r="BQ26" s="27" t="n">
        <v>1.469484</v>
      </c>
      <c r="BR26" s="28" t="n">
        <v>0.68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False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0.680511</t>
        </is>
      </c>
      <c r="DK26" s="24" t="n"/>
      <c r="DL26" s="24" t="n"/>
      <c r="DM26" s="24" t="n"/>
      <c r="DN26" s="24" t="n"/>
      <c r="DO26" s="24" t="n"/>
      <c r="DP26" s="24" t="n"/>
      <c r="DQ26" s="24" t="inlineStr">
        <is>
          <t>{"artifact_hash": "16ad4e735b0455402d412d6c9f85894527de5712192c6b1df9d56692ea93b5e3", "away_team": "PURE", "event_id": "141609", "event_start_utc": "2026-10-07T08:00:00Z", "features": {"away_elo": 1568.648123, "away_history_count": 42, "home_elo": 1701.201831, "home_history_count": 240}, "historical_source_observation_times_verified": false, "home_team": "OG", "inference_inputs": {"book_state": {"games_played": {"bo3:1:23113": 42, "bo3:1:395": 240}, "inactivity_half_life_days": null, "inactivity_max_pull": null, "k": 40.0, "last_match_utc": {"bo3:1:23113": "2026-10-02T10:00:00Z", "bo3:1:395": "2026-09-03T08:00:00Z"}, "minimum_reliable_games": null, "platt_intercept": 0.07458831223866332, "platt_slope": 0.8682480021672572, "ratings": {"bo3:1:23113": 1568.648123, "bo3:1:395": 1701.201831},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"2026-10-07T05:28:49.984604+00:00", "team_ids": ["bo3:1:395", "bo3:1:23113"]}, "market_type": "moneyline", "model_version": "cs2-tiered-elo-v6", "observed_at_utc": "2026-10-07T05:28:49.984604+00:00", "probabilities": {"away": 0.394329, "home": 0.605671}, "replay_scope": "Exact serving book state, calibration, temperature, inactivity reference and thin-history adjustments; training provenance not certified.", "schema": "esports-elo-replay-v1", "snapshot_hash": "bc8fd53d7e814dcedf5fbfeda14703b706f90a36a0bc662bad2d088fa69ae24a", "sport": "CS2"}</t>
        </is>
      </c>
    </row>
    <row r="27" ht="36" customHeight="1">
      <c r="A27" s="24" t="inlineStr">
        <is>
          <t>47d66e081e054f6b</t>
        </is>
      </c>
      <c r="B27" s="24" t="inlineStr">
        <is>
          <t>2026-10-07T05:34:23.742048Z</t>
        </is>
      </c>
      <c r="C27" s="24" t="inlineStr">
        <is>
          <t>2026-10-07T08:00:00Z</t>
        </is>
      </c>
      <c r="D27" s="24" t="inlineStr">
        <is>
          <t>141755</t>
        </is>
      </c>
      <c r="E27" s="24" t="inlineStr">
        <is>
          <t>CS2</t>
        </is>
      </c>
      <c r="F27" s="24" t="inlineStr">
        <is>
          <t>Passion Academy</t>
        </is>
      </c>
      <c r="G27" s="24" t="inlineStr">
        <is>
          <t>ENCE Prospects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150</v>
      </c>
      <c r="M27" s="27" t="n">
        <v>2.5</v>
      </c>
      <c r="N27" s="28" t="n">
        <v>0.4</v>
      </c>
      <c r="O27" s="28" t="n">
        <v>0.5092179999999999</v>
      </c>
      <c r="P27" s="28" t="n"/>
      <c r="Q27" s="28" t="n">
        <v>0.109218</v>
      </c>
      <c r="R27" s="26" t="n">
        <v>75</v>
      </c>
      <c r="S27" s="29" t="n">
        <v>1.5</v>
      </c>
      <c r="T27" s="24" t="inlineStr">
        <is>
          <t>cs2-tiered-elo-v6</t>
        </is>
      </c>
      <c r="U27" s="24" t="inlineStr">
        <is>
          <t>settled</t>
        </is>
      </c>
      <c r="V27" s="24" t="inlineStr">
        <is>
          <t>loss</t>
        </is>
      </c>
      <c r="W27" s="26" t="n">
        <v>1</v>
      </c>
      <c r="X27" s="26" t="n">
        <v>0</v>
      </c>
      <c r="Y27" s="25" t="n"/>
      <c r="Z27" s="26" t="n">
        <v>150</v>
      </c>
      <c r="AA27" s="28" t="n">
        <v>0.4</v>
      </c>
      <c r="AB27" s="28" t="n">
        <v>0</v>
      </c>
      <c r="AC27" s="30" t="n">
        <v>-1.5</v>
      </c>
      <c r="AD27" s="24" t="inlineStr">
        <is>
          <t>2026-10-11T04:35:43.940893Z</t>
        </is>
      </c>
      <c r="AE27" s="31" t="inlineStr">
        <is>
          <t>Neutral Elo baseline; executable ask 0.4000 (market_slug=aec-cs2-encep-psna-2026-10-07).</t>
        </is>
      </c>
      <c r="AF27" s="31" t="inlineStr">
        <is>
          <t>Config-promoted esports baseline; gates enforced at log time.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paper_call</t>
        </is>
      </c>
      <c r="AL27" s="26" t="n">
        <v>4</v>
      </c>
      <c r="AM27" s="24" t="inlineStr">
        <is>
          <t>RESEARCH_OBSERVATION</t>
        </is>
      </c>
      <c r="AN27" s="24" t="inlineStr">
        <is>
          <t>CALL</t>
        </is>
      </c>
      <c r="AO27" s="24" t="inlineStr">
        <is>
          <t>PAPER_CALL_LOW_EDGE</t>
        </is>
      </c>
      <c r="AP27" s="24" t="inlineStr">
        <is>
          <t>Passion Academy</t>
        </is>
      </c>
      <c r="AQ27" s="24" t="inlineStr">
        <is>
          <t>Passion Academy</t>
        </is>
      </c>
      <c r="AR27" s="24" t="inlineStr">
        <is>
          <t>Passion Academy</t>
        </is>
      </c>
      <c r="AS27" s="24" t="inlineStr">
        <is>
          <t>ENCE Prospects</t>
        </is>
      </c>
      <c r="AT27" s="24" t="inlineStr">
        <is>
          <t>ENCE Prospects</t>
        </is>
      </c>
      <c r="AU27" s="24" t="inlineStr">
        <is>
          <t>ENCE Prospects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16ad4e735b0455402d412d6c9f85894527de5712192c6b1df9d56692ea93b5e3</t>
        </is>
      </c>
      <c r="BB27" s="24" t="inlineStr">
        <is>
          <t>neutral_elo</t>
        </is>
      </c>
      <c r="BC27" s="24" t="inlineStr">
        <is>
          <t>cs2-tiered-elo-v6</t>
        </is>
      </c>
      <c r="BD27" s="24" t="inlineStr">
        <is>
          <t>16ad4e735b0455402d412d6c9f85894527de5712192c6b1df9d56692ea93b5e3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cs2-tiered-elo-v6</t>
        </is>
      </c>
      <c r="BH27" s="24" t="inlineStr">
        <is>
          <t>2026-10-07T05:29:31.560183Z</t>
        </is>
      </c>
      <c r="BI27" s="24" t="inlineStr">
        <is>
          <t>["same_event","same_team_same_day","same_league_same_day"]</t>
        </is>
      </c>
      <c r="BJ27" s="25" t="n"/>
      <c r="BK27" s="26" t="n">
        <v>150</v>
      </c>
      <c r="BL27" s="27" t="n">
        <v>2.5</v>
      </c>
      <c r="BM27" s="28" t="n">
        <v>0.4</v>
      </c>
      <c r="BN27" s="28" t="n"/>
      <c r="BO27" s="28" t="n"/>
      <c r="BP27" s="25" t="n"/>
      <c r="BQ27" s="27" t="n">
        <v>2.5</v>
      </c>
      <c r="BR27" s="28" t="n">
        <v>0.4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0.4</t>
        </is>
      </c>
      <c r="DK27" s="24" t="n"/>
      <c r="DL27" s="24" t="n"/>
      <c r="DM27" s="24" t="n"/>
      <c r="DN27" s="24" t="n"/>
      <c r="DO27" s="24" t="n"/>
      <c r="DP27" s="24" t="n"/>
      <c r="DQ27" s="24" t="inlineStr">
        <is>
          <t>{"artifact_hash": "16ad4e735b0455402d412d6c9f85894527de5712192c6b1df9d56692ea93b5e3", "away_team": "Passion Academy", "event_id": "141755", "event_start_utc": "2026-10-07T08:00:00Z", "features": {"away_elo": 1373.939511, "away_history_count": 29, "home_elo": 1367.412164, "home_history_count": 27}, "historical_source_observation_times_verified": false, "home_team": "ENCE Prospects", "inference_inputs": {"book_state": {"games_played": {"bo3:1:10680": 27, "bo3:1:22861": 29}, "inactivity_half_life_days": null, "inactivity_max_pull": null, "k": 40.0, "last_match_utc": {"bo3:1:10680": "2026-10-04T08:00:00Z", "bo3:1:22861": "2026-10-04T11:00:00Z"}, "minimum_reliable_games": null, "platt_intercept": 0.07458831223866332, "platt_slope": 0.8682480021672572, "ratings": {"bo3:1:10680": 1367.412164, "bo3:1:22861": 1373.939511},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"2026-10-07T05:28:49.984604+00:00", "team_ids": ["bo3:1:10680", "bo3:1:22861"]}, "market_type": "moneyline", "model_version": "cs2-tiered-elo-v6", "observed_at_utc": "2026-10-07T05:28:49.984604+00:00", "probabilities": {"away": 0.490782, "home": 0.509218}, "replay_scope": "Exact serving book state, calibration, temperature, inactivity reference and thin-history adjustments; training provenance not certified.", "schema": "esports-elo-replay-v1", "snapshot_hash": "d933dca88ac947e7a9558bd7a3c0840f8587d285d4685318f51731780b567679", "sport": "CS2"}</t>
        </is>
      </c>
    </row>
    <row r="28" ht="36" customHeight="1">
      <c r="A28" s="24" t="inlineStr">
        <is>
          <t>c4e39c6ef9be4a8b</t>
        </is>
      </c>
      <c r="B28" s="24" t="inlineStr">
        <is>
          <t>2026-10-07T05:34:23.742048Z</t>
        </is>
      </c>
      <c r="C28" s="24" t="inlineStr">
        <is>
          <t>2026-10-07T08:00:00Z</t>
        </is>
      </c>
      <c r="D28" s="24" t="inlineStr">
        <is>
          <t>144418</t>
        </is>
      </c>
      <c r="E28" s="24" t="inlineStr">
        <is>
          <t>CS2</t>
        </is>
      </c>
      <c r="F28" s="24" t="inlineStr">
        <is>
          <t>Passion Academy</t>
        </is>
      </c>
      <c r="G28" s="24" t="inlineStr">
        <is>
          <t>XI Esport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-194</v>
      </c>
      <c r="M28" s="27" t="n">
        <v>1.515464</v>
      </c>
      <c r="N28" s="28" t="n">
        <v>0.659864</v>
      </c>
      <c r="O28" s="28" t="n">
        <v>0.688669</v>
      </c>
      <c r="P28" s="28" t="n"/>
      <c r="Q28" s="28" t="n">
        <v>0.028805</v>
      </c>
      <c r="R28" s="26" t="n">
        <v>34</v>
      </c>
      <c r="S28" s="29" t="n">
        <v>1</v>
      </c>
      <c r="T28" s="24" t="inlineStr">
        <is>
          <t>cs2-tiered-elo-v6</t>
        </is>
      </c>
      <c r="U28" s="24" t="inlineStr">
        <is>
          <t>settled</t>
        </is>
      </c>
      <c r="V28" s="24" t="inlineStr">
        <is>
          <t>win</t>
        </is>
      </c>
      <c r="W28" s="26" t="n">
        <v>0</v>
      </c>
      <c r="X28" s="26" t="n">
        <v>1</v>
      </c>
      <c r="Y28" s="25" t="n"/>
      <c r="Z28" s="26" t="n">
        <v>-194</v>
      </c>
      <c r="AA28" s="28" t="n">
        <v>0.66</v>
      </c>
      <c r="AB28" s="28" t="n">
        <v>0.000136</v>
      </c>
      <c r="AC28" s="30" t="n">
        <v>0.5155</v>
      </c>
      <c r="AD28" s="24" t="inlineStr">
        <is>
          <t>2026-10-07T10:03:59.653889Z</t>
        </is>
      </c>
      <c r="AE28" s="31" t="inlineStr">
        <is>
          <t>Neutral Elo baseline; executable ask 0.6600 (market_slug=aec-cs2-xi-psna-2026-10-07).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4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Passion Academy</t>
        </is>
      </c>
      <c r="AQ28" s="24" t="inlineStr">
        <is>
          <t>Passion Academy</t>
        </is>
      </c>
      <c r="AR28" s="24" t="inlineStr">
        <is>
          <t>Passion Academy</t>
        </is>
      </c>
      <c r="AS28" s="24" t="inlineStr">
        <is>
          <t>XI Esport</t>
        </is>
      </c>
      <c r="AT28" s="24" t="inlineStr">
        <is>
          <t>XI Esport</t>
        </is>
      </c>
      <c r="AU28" s="24" t="inlineStr">
        <is>
          <t>XI Esport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16ad4e735b0455402d412d6c9f85894527de5712192c6b1df9d56692ea93b5e3</t>
        </is>
      </c>
      <c r="BB28" s="24" t="inlineStr">
        <is>
          <t>neutral_elo</t>
        </is>
      </c>
      <c r="BC28" s="24" t="inlineStr">
        <is>
          <t>cs2-tiered-elo-v6</t>
        </is>
      </c>
      <c r="BD28" s="24" t="inlineStr">
        <is>
          <t>16ad4e735b0455402d412d6c9f85894527de5712192c6b1df9d56692ea93b5e3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cs2-tiered-elo-v6</t>
        </is>
      </c>
      <c r="BH28" s="24" t="inlineStr">
        <is>
          <t>2026-10-07T05:29:41.697923Z</t>
        </is>
      </c>
      <c r="BI28" s="24" t="inlineStr">
        <is>
          <t>["same_event","same_team_same_day","same_league_same_day"]</t>
        </is>
      </c>
      <c r="BJ28" s="25" t="n"/>
      <c r="BK28" s="26" t="n">
        <v>-194</v>
      </c>
      <c r="BL28" s="27" t="n">
        <v>1.515464</v>
      </c>
      <c r="BM28" s="28" t="n">
        <v>0.659864</v>
      </c>
      <c r="BN28" s="28" t="n"/>
      <c r="BO28" s="28" t="n"/>
      <c r="BP28" s="25" t="n"/>
      <c r="BQ28" s="27" t="n">
        <v>1.515464</v>
      </c>
      <c r="BR28" s="28" t="n">
        <v>0.66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0.659864</t>
        </is>
      </c>
      <c r="DK28" s="24" t="n"/>
      <c r="DL28" s="24" t="n"/>
      <c r="DM28" s="24" t="n"/>
      <c r="DN28" s="24" t="n"/>
      <c r="DO28" s="24" t="n"/>
      <c r="DP28" s="24" t="n"/>
      <c r="DQ28" s="24" t="inlineStr">
        <is>
          <t>{"artifact_hash": "16ad4e735b0455402d412d6c9f85894527de5712192c6b1df9d56692ea93b5e3", "away_team": "Passion Academy", "event_id": "144418", "event_start_utc": "2026-10-07T08:00:00Z", "features": {"away_elo": 1373.939511, "away_history_count": 29, "home_elo": 1550.289616, "home_history_count": 359}, "historical_source_observation_times_verified": false, "home_team": "XI Esport", "inference_inputs": {"book_state": {"games_played": {"bo3:1:22861": 29, "bo3:1:3708": 359}, "inactivity_half_life_days": null, "inactivity_max_pull": null, "k": 40.0, "last_match_utc": {"bo3:1:22861": "2026-10-04T11:00:00Z", "bo3:1:3708": "2026-10-05T18:00:00Z"}, "minimum_reliable_games": null, "platt_intercept": 0.07458831223866332, "platt_slope": 0.8682480021672572, "ratings": {"bo3:1:22861": 1373.939511, "bo3:1:3708": 1550.289616},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"2026-10-07T05:28:49.984604+00:00", "team_ids": ["bo3:1:3708", "bo3:1:22861"]}, "market_type": "moneyline", "model_version": "cs2-tiered-elo-v6", "observed_at_utc": "2026-10-07T05:28:49.984604+00:00", "probabilities": {"away": 0.311331, "home": 0.688669}, "replay_scope": "Exact serving book state, calibration, temperature, inactivity reference and thin-history adjustments; training provenance not certified.", "schema": "esports-elo-replay-v1", "snapshot_hash": "4770d0cff1355af3a0392327dfd0723c54a814a285acc2257b4037777c39f53a", "sport": "CS2"}</t>
        </is>
      </c>
    </row>
    <row r="29" ht="36" customHeight="1">
      <c r="A29" s="24" t="inlineStr">
        <is>
          <t>b78c45a66c384897</t>
        </is>
      </c>
      <c r="B29" s="24" t="inlineStr">
        <is>
          <t>2026-10-07T05:34:23.742048Z</t>
        </is>
      </c>
      <c r="C29" s="24" t="inlineStr">
        <is>
          <t>2026-10-07T08:00:00Z</t>
        </is>
      </c>
      <c r="D29" s="24" t="inlineStr">
        <is>
          <t>146201</t>
        </is>
      </c>
      <c r="E29" s="24" t="inlineStr">
        <is>
          <t>CS2</t>
        </is>
      </c>
      <c r="F29" s="24" t="inlineStr">
        <is>
          <t>Gothic</t>
        </is>
      </c>
      <c r="G29" s="24" t="inlineStr">
        <is>
          <t>LPH Gaming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-170</v>
      </c>
      <c r="M29" s="27" t="n">
        <v>1.588235</v>
      </c>
      <c r="N29" s="28" t="n">
        <v>0.62963</v>
      </c>
      <c r="O29" s="28" t="n">
        <v>0.590655</v>
      </c>
      <c r="P29" s="28" t="n"/>
      <c r="Q29" s="28" t="n">
        <v>-0.038975</v>
      </c>
      <c r="R29" s="26" t="n">
        <v>1</v>
      </c>
      <c r="S29" s="29" t="n">
        <v>1</v>
      </c>
      <c r="T29" s="24" t="inlineStr">
        <is>
          <t>cs2-tiered-elo-v6</t>
        </is>
      </c>
      <c r="U29" s="24" t="inlineStr">
        <is>
          <t>settled</t>
        </is>
      </c>
      <c r="V29" s="24" t="inlineStr">
        <is>
          <t>loss</t>
        </is>
      </c>
      <c r="W29" s="26" t="n">
        <v>1</v>
      </c>
      <c r="X29" s="26" t="n">
        <v>0</v>
      </c>
      <c r="Y29" s="25" t="n"/>
      <c r="Z29" s="26" t="n">
        <v>-170</v>
      </c>
      <c r="AA29" s="28" t="n">
        <v>0.63</v>
      </c>
      <c r="AB29" s="28" t="n">
        <v>0.00037</v>
      </c>
      <c r="AC29" s="30" t="n">
        <v>-1</v>
      </c>
      <c r="AD29" s="24" t="inlineStr">
        <is>
          <t>2026-10-07T16:02:21.115781Z</t>
        </is>
      </c>
      <c r="AE29" s="31" t="inlineStr">
        <is>
          <t>Neutral Elo baseline; executable ask 0.6300 (market_slug=aec-cs2-lph-goth-2026-10-07).</t>
        </is>
      </c>
      <c r="AF29" s="31" t="inlineStr">
        <is>
          <t>Config-promoted esports baseline; gates enforced at log time.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paper_call</t>
        </is>
      </c>
      <c r="AL29" s="26" t="n">
        <v>4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PAPER_CALL_LOW_EDGE</t>
        </is>
      </c>
      <c r="AP29" s="24" t="inlineStr">
        <is>
          <t>Gothic</t>
        </is>
      </c>
      <c r="AQ29" s="24" t="inlineStr">
        <is>
          <t>Gothic</t>
        </is>
      </c>
      <c r="AR29" s="24" t="inlineStr">
        <is>
          <t>Gothic</t>
        </is>
      </c>
      <c r="AS29" s="24" t="inlineStr">
        <is>
          <t>LPH Gaming</t>
        </is>
      </c>
      <c r="AT29" s="24" t="inlineStr">
        <is>
          <t>LPH Gaming</t>
        </is>
      </c>
      <c r="AU29" s="24" t="inlineStr">
        <is>
          <t>LPH Gaming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16ad4e735b0455402d412d6c9f85894527de5712192c6b1df9d56692ea93b5e3</t>
        </is>
      </c>
      <c r="BB29" s="24" t="inlineStr">
        <is>
          <t>neutral_elo</t>
        </is>
      </c>
      <c r="BC29" s="24" t="inlineStr">
        <is>
          <t>cs2-tiered-elo-v6</t>
        </is>
      </c>
      <c r="BD29" s="24" t="inlineStr">
        <is>
          <t>16ad4e735b0455402d412d6c9f85894527de5712192c6b1df9d56692ea93b5e3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cs2-tiered-elo-v6</t>
        </is>
      </c>
      <c r="BH29" s="24" t="inlineStr">
        <is>
          <t>2026-10-07T05:29:51.841843Z</t>
        </is>
      </c>
      <c r="BI29" s="24" t="inlineStr">
        <is>
          <t>["same_event","same_team_same_day","same_league_same_day"]</t>
        </is>
      </c>
      <c r="BJ29" s="25" t="n"/>
      <c r="BK29" s="26" t="n">
        <v>-170</v>
      </c>
      <c r="BL29" s="27" t="n">
        <v>1.588235</v>
      </c>
      <c r="BM29" s="28" t="n">
        <v>0.62963</v>
      </c>
      <c r="BN29" s="28" t="n"/>
      <c r="BO29" s="28" t="n"/>
      <c r="BP29" s="25" t="n"/>
      <c r="BQ29" s="27" t="n">
        <v>1.588235</v>
      </c>
      <c r="BR29" s="28" t="n">
        <v>0.63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False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0.62963</t>
        </is>
      </c>
      <c r="DK29" s="24" t="n"/>
      <c r="DL29" s="24" t="n"/>
      <c r="DM29" s="24" t="n"/>
      <c r="DN29" s="24" t="n"/>
      <c r="DO29" s="24" t="n"/>
      <c r="DP29" s="24" t="n"/>
      <c r="DQ29" s="24" t="inlineStr">
        <is>
          <t>{"artifact_hash": "16ad4e735b0455402d412d6c9f85894527de5712192c6b1df9d56692ea93b5e3", "away_team": "Gothic", "event_id": "146201", "event_start_utc": "2026-10-07T08:00:00Z", "features": {"away_elo": 1462.487539, "away_history_count": 4, "home_elo": 1573.324432, "home_history_count": 125}, "historical_source_observation_times_verified": false, "home_team": "LPH Gaming", "inference_inputs": {"book_state": {"games_played": {"bo3:1:20582": 125, "bo3:1:25275": 4}, "inactivity_half_life_days": null, "inactivity_max_pull": null, "k": 40.0, "last_match_utc": {"bo3:1:20582": "2026-10-06T14:10:00Z", "bo3:1:25275": "2026-10-06T17:15:00Z"}, "minimum_reliable_games": null, "platt_intercept": 0.07458831223866332, "platt_slope": 0.8682480021672572, "ratings": {"bo3:1:20582": 1573.324432, "bo3:1:25275": 1462.487539},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"2026-10-07T05:28:49.984604+00:00", "team_ids": ["bo3:1:20582", "bo3:1:25275"]}, "market_type": "moneyline", "model_version": "cs2-tiered-elo-v6", "observed_at_utc": "2026-10-07T05:28:49.984604+00:00", "probabilities": {"away": 0.409345, "home": 0.590655}, "replay_scope": "Exact serving book state, calibration, temperature, inactivity reference and thin-history adjustments; training provenance not certified.", "schema": "esports-elo-replay-v1", "snapshot_hash": "1e11e30cd910c2289484a11c1cde3e09d2108d64c22fa297f356b78e6e67044c", "sport": "CS2"}</t>
        </is>
      </c>
    </row>
    <row r="30" ht="36" customHeight="1">
      <c r="A30" s="24" t="inlineStr">
        <is>
          <t>e374e96c5dd84acf</t>
        </is>
      </c>
      <c r="B30" s="24" t="inlineStr">
        <is>
          <t>2026-10-07T05:34:23.742048Z</t>
        </is>
      </c>
      <c r="C30" s="24" t="inlineStr">
        <is>
          <t>2026-10-07T08:00:00Z</t>
        </is>
      </c>
      <c r="D30" s="24" t="inlineStr">
        <is>
          <t>146288</t>
        </is>
      </c>
      <c r="E30" s="24" t="inlineStr">
        <is>
          <t>CS2</t>
        </is>
      </c>
      <c r="F30" s="24" t="inlineStr">
        <is>
          <t>Leo Team</t>
        </is>
      </c>
      <c r="G30" s="24" t="inlineStr">
        <is>
          <t>Walczaki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-144</v>
      </c>
      <c r="M30" s="27" t="n">
        <v>1.694444</v>
      </c>
      <c r="N30" s="28" t="n">
        <v>0.590164</v>
      </c>
      <c r="O30" s="28" t="n">
        <v>0.562957</v>
      </c>
      <c r="P30" s="28" t="n"/>
      <c r="Q30" s="28" t="n">
        <v>-0.027207</v>
      </c>
      <c r="R30" s="26" t="n">
        <v>6</v>
      </c>
      <c r="S30" s="29" t="n">
        <v>1</v>
      </c>
      <c r="T30" s="24" t="inlineStr">
        <is>
          <t>cs2-tiered-elo-v6</t>
        </is>
      </c>
      <c r="U30" s="24" t="inlineStr">
        <is>
          <t>settled</t>
        </is>
      </c>
      <c r="V30" s="24" t="inlineStr">
        <is>
          <t>push</t>
        </is>
      </c>
      <c r="W30" s="26" t="n"/>
      <c r="X30" s="26" t="n"/>
      <c r="Y30" s="25" t="n"/>
      <c r="Z30" s="26" t="n"/>
      <c r="AA30" s="28" t="n"/>
      <c r="AB30" s="28" t="n"/>
      <c r="AC30" s="30" t="n">
        <v>0</v>
      </c>
      <c r="AD30" s="24" t="inlineStr">
        <is>
          <t>2026-10-07T10:04:25.389200Z</t>
        </is>
      </c>
      <c r="AE30" s="31" t="inlineStr">
        <is>
          <t>Neutral Elo baseline; executable ask 0.5900 (market_slug=aec-cs2-wal-leo-2026-10-07).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paper_call</t>
        </is>
      </c>
      <c r="AL30" s="26" t="n">
        <v>4</v>
      </c>
      <c r="AM30" s="24" t="inlineStr">
        <is>
          <t>RESEARCH_OBSERVATION</t>
        </is>
      </c>
      <c r="AN30" s="24" t="inlineStr">
        <is>
          <t>CALL</t>
        </is>
      </c>
      <c r="AO30" s="24" t="inlineStr">
        <is>
          <t>PAPER_CALL_MODEL_UNVALIDATED</t>
        </is>
      </c>
      <c r="AP30" s="24" t="inlineStr">
        <is>
          <t>Leo Team</t>
        </is>
      </c>
      <c r="AQ30" s="24" t="inlineStr">
        <is>
          <t>Leo Team</t>
        </is>
      </c>
      <c r="AR30" s="24" t="inlineStr">
        <is>
          <t>Leo Team</t>
        </is>
      </c>
      <c r="AS30" s="24" t="inlineStr">
        <is>
          <t>Walczaki</t>
        </is>
      </c>
      <c r="AT30" s="24" t="inlineStr">
        <is>
          <t>Walczaki</t>
        </is>
      </c>
      <c r="AU30" s="24" t="inlineStr">
        <is>
          <t>Walczaki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16ad4e735b0455402d412d6c9f85894527de5712192c6b1df9d56692ea93b5e3</t>
        </is>
      </c>
      <c r="BB30" s="24" t="inlineStr">
        <is>
          <t>neutral_elo</t>
        </is>
      </c>
      <c r="BC30" s="24" t="inlineStr">
        <is>
          <t>cs2-tiered-elo-v6</t>
        </is>
      </c>
      <c r="BD30" s="24" t="inlineStr">
        <is>
          <t>16ad4e735b0455402d412d6c9f85894527de5712192c6b1df9d56692ea93b5e3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cs2-tiered-elo-v6</t>
        </is>
      </c>
      <c r="BH30" s="24" t="inlineStr">
        <is>
          <t>2026-10-07T05:29:51.904959Z</t>
        </is>
      </c>
      <c r="BI30" s="24" t="inlineStr">
        <is>
          <t>["same_event","same_team_same_day","same_league_same_day"]</t>
        </is>
      </c>
      <c r="BJ30" s="25" t="n"/>
      <c r="BK30" s="26" t="n">
        <v>-144</v>
      </c>
      <c r="BL30" s="27" t="n">
        <v>1.694444</v>
      </c>
      <c r="BM30" s="28" t="n">
        <v>0.590164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inlineStr">
        <is>
          <t>esports market terminal (MARKET_STATE_EXPIRED) with prices {}; BO3 has no confirming finished-match result either</t>
        </is>
      </c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0.590164</t>
        </is>
      </c>
      <c r="DK30" s="24" t="n"/>
      <c r="DL30" s="24" t="n"/>
      <c r="DM30" s="24" t="n"/>
      <c r="DN30" s="24" t="n"/>
      <c r="DO30" s="24" t="n"/>
      <c r="DP30" s="24" t="n"/>
      <c r="DQ30" s="24" t="inlineStr">
        <is>
          <t>{"artifact_hash": "16ad4e735b0455402d412d6c9f85894527de5712192c6b1df9d56692ea93b5e3", "away_team": "Leo Team", "event_id": "146288", "event_start_utc": "2026-10-07T08:00:00Z", "features": {"away_elo": 1500.0, "away_history_count": 0, "home_elo": 1641.593377, "home_history_count": 61}, "historical_source_observation_times_verified": false, "home_team": "Walczaki", "inference_inputs": {"book_state": {"games_played": {"bo3:1:23286": 61}, "inactivity_half_life_days": null, "inactivity_max_pull": null, "k": 40.0, "last_match_utc": {"bo3:1:23286": "2026-09-02T18:20:00Z"}, "minimum_reliable_games": null, "platt_intercept": 0.07458831223866332, "platt_slope": 0.8682480021672572, "ratings": {"bo3:1:23286": 1641.593377},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"2026-10-07T05:28:49.984604+00:00", "team_ids": ["bo3:1:23286", "unknown:leoteam"]}, "market_type": "moneyline", "model_version": "cs2-tiered-elo-v6", "observed_at_utc": "2026-10-07T05:28:49.984604+00:00", "probabilities": {"away": 0.437043, "home": 0.562957}, "replay_scope": "Exact serving book state, calibration, temperature, inactivity reference and thin-history adjustments; training provenance not certified.", "schema": "esports-elo-replay-v1", "snapshot_hash": "16d8f6efb0e30ca5325f3021fab317d43a166fea1193b6565eba5b28def8ae39", "sport": "CS2"}</t>
        </is>
      </c>
    </row>
    <row r="31" ht="36" customHeight="1">
      <c r="A31" s="24" t="inlineStr">
        <is>
          <t>bb588c8ba9384083</t>
        </is>
      </c>
      <c r="B31" s="24" t="inlineStr">
        <is>
          <t>2026-10-07T05:34:23.742048Z</t>
        </is>
      </c>
      <c r="C31" s="24" t="inlineStr">
        <is>
          <t>2026-10-07T09:15:00Z</t>
        </is>
      </c>
      <c r="D31" s="24" t="inlineStr">
        <is>
          <t>141729</t>
        </is>
      </c>
      <c r="E31" s="24" t="inlineStr">
        <is>
          <t>CS2</t>
        </is>
      </c>
      <c r="F31" s="24" t="inlineStr">
        <is>
          <t>Falcons Force</t>
        </is>
      </c>
      <c r="G31" s="24" t="inlineStr">
        <is>
          <t>G2 Ares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-138</v>
      </c>
      <c r="M31" s="27" t="n">
        <v>1.724638</v>
      </c>
      <c r="N31" s="28" t="n">
        <v>0.579832</v>
      </c>
      <c r="O31" s="28" t="n">
        <v>0.54287</v>
      </c>
      <c r="P31" s="28" t="n"/>
      <c r="Q31" s="28" t="n">
        <v>-0.036962</v>
      </c>
      <c r="R31" s="26" t="n">
        <v>2</v>
      </c>
      <c r="S31" s="29" t="n">
        <v>1</v>
      </c>
      <c r="T31" s="24" t="inlineStr">
        <is>
          <t>cs2-tiered-elo-v6</t>
        </is>
      </c>
      <c r="U31" s="24" t="inlineStr">
        <is>
          <t>settled</t>
        </is>
      </c>
      <c r="V31" s="24" t="inlineStr">
        <is>
          <t>win</t>
        </is>
      </c>
      <c r="W31" s="26" t="n">
        <v>0</v>
      </c>
      <c r="X31" s="26" t="n">
        <v>1</v>
      </c>
      <c r="Y31" s="25" t="n"/>
      <c r="Z31" s="26" t="n">
        <v>-150</v>
      </c>
      <c r="AA31" s="28" t="n">
        <v>0.6</v>
      </c>
      <c r="AB31" s="28" t="n">
        <v>0.020168</v>
      </c>
      <c r="AC31" s="30" t="n">
        <v>0.7246</v>
      </c>
      <c r="AD31" s="24" t="inlineStr">
        <is>
          <t>2026-10-07T10:04:30.675614Z</t>
        </is>
      </c>
      <c r="AE31" s="31" t="inlineStr">
        <is>
          <t>Neutral Elo baseline; executable ask 0.5800 (market_slug=aec-cs2-g2a-falf-2026-10-07).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paper_call</t>
        </is>
      </c>
      <c r="AL31" s="26" t="n">
        <v>4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PAPER_CALL_LOW_EDGE</t>
        </is>
      </c>
      <c r="AP31" s="24" t="inlineStr">
        <is>
          <t>Falcons Force</t>
        </is>
      </c>
      <c r="AQ31" s="24" t="inlineStr">
        <is>
          <t>Falcons Force</t>
        </is>
      </c>
      <c r="AR31" s="24" t="inlineStr">
        <is>
          <t>Falcons Force</t>
        </is>
      </c>
      <c r="AS31" s="24" t="inlineStr">
        <is>
          <t>G2 Ares</t>
        </is>
      </c>
      <c r="AT31" s="24" t="inlineStr">
        <is>
          <t>G2 Ares</t>
        </is>
      </c>
      <c r="AU31" s="24" t="inlineStr">
        <is>
          <t>G2 Ares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16ad4e735b0455402d412d6c9f85894527de5712192c6b1df9d56692ea93b5e3</t>
        </is>
      </c>
      <c r="BB31" s="24" t="inlineStr">
        <is>
          <t>neutral_elo</t>
        </is>
      </c>
      <c r="BC31" s="24" t="inlineStr">
        <is>
          <t>cs2-tiered-elo-v6</t>
        </is>
      </c>
      <c r="BD31" s="24" t="inlineStr">
        <is>
          <t>16ad4e735b0455402d412d6c9f85894527de5712192c6b1df9d56692ea93b5e3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cs2-tiered-elo-v6</t>
        </is>
      </c>
      <c r="BH31" s="24" t="inlineStr">
        <is>
          <t>2026-10-07T05:30:13.149808Z</t>
        </is>
      </c>
      <c r="BI31" s="24" t="inlineStr">
        <is>
          <t>["same_event","same_team_same_day","same_league_same_day"]</t>
        </is>
      </c>
      <c r="BJ31" s="25" t="n"/>
      <c r="BK31" s="26" t="n">
        <v>-138</v>
      </c>
      <c r="BL31" s="27" t="n">
        <v>1.724638</v>
      </c>
      <c r="BM31" s="28" t="n">
        <v>0.579832</v>
      </c>
      <c r="BN31" s="28" t="n"/>
      <c r="BO31" s="28" t="n"/>
      <c r="BP31" s="25" t="n"/>
      <c r="BQ31" s="27" t="n">
        <v>1.666667</v>
      </c>
      <c r="BR31" s="28" t="n">
        <v>0.6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False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0.579832</t>
        </is>
      </c>
      <c r="DK31" s="24" t="n"/>
      <c r="DL31" s="24" t="n"/>
      <c r="DM31" s="24" t="n"/>
      <c r="DN31" s="24" t="n"/>
      <c r="DO31" s="24" t="n"/>
      <c r="DP31" s="24" t="n"/>
      <c r="DQ31" s="24" t="inlineStr">
        <is>
          <t>{"artifact_hash": "16ad4e735b0455402d412d6c9f85894527de5712192c6b1df9d56692ea93b5e3", "away_team": "Falcons Force", "event_id": "141729", "event_start_utc": "2026-10-07T09:15:00Z", "features": {"away_elo": 1517.162455, "away_history_count": 116, "home_elo": 1545.732836, "home_history_count": 275}, "historical_source_observation_times_verified": false, "home_team": "G2 Ares", "inference_inputs": {"book_state": {"games_played": {"bo3:1:10994": 275, "bo3:1:21012": 116}, "inactivity_half_life_days": null, "inactivity_max_pull": null, "k": 40.0, "last_match_utc": {"bo3:1:10994": "2026-09-27T15:00:00Z", "bo3:1:21012": "2026-10-01T13:00:00Z"}, "minimum_reliable_games": null, "platt_intercept": 0.07458831223866332, "platt_slope": 0.8682480021672572, "ratings": {"bo3:1:10994": 1545.732836, "bo3:1:21012": 1517.162455},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"2026-10-07T05:28:49.984604+00:00", "team_ids": ["bo3:1:10994", "bo3:1:21012"]}, "market_type": "moneyline", "model_version": "cs2-tiered-elo-v6", "observed_at_utc": "2026-10-07T05:28:49.984604+00:00", "probabilities": {"away": 0.45713, "home": 0.54287}, "replay_scope": "Exact serving book state, calibration, temperature, inactivity reference and thin-history adjustments; training provenance not certified.", "schema": "esports-elo-replay-v1", "snapshot_hash": "459421276b55878c146cd848c2a6a4045673cb5354fb172fb184af9a4cef712a", "sport": "CS2"}</t>
        </is>
      </c>
    </row>
    <row r="32" ht="36" customHeight="1">
      <c r="A32" s="24" t="inlineStr">
        <is>
          <t>09227cc76c424021</t>
        </is>
      </c>
      <c r="B32" s="24" t="inlineStr">
        <is>
          <t>2026-10-07T10:27:31.375268Z</t>
        </is>
      </c>
      <c r="C32" s="24" t="inlineStr">
        <is>
          <t>2026-10-07T11:45:00Z</t>
        </is>
      </c>
      <c r="D32" s="24" t="inlineStr">
        <is>
          <t>141828</t>
        </is>
      </c>
      <c r="E32" s="24" t="inlineStr">
        <is>
          <t>CS2</t>
        </is>
      </c>
      <c r="F32" s="24" t="inlineStr">
        <is>
          <t>PURE</t>
        </is>
      </c>
      <c r="G32" s="24" t="inlineStr">
        <is>
          <t>G2 Ares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-117</v>
      </c>
      <c r="M32" s="27" t="n">
        <v>1.854701</v>
      </c>
      <c r="N32" s="28" t="n">
        <v>0.539171</v>
      </c>
      <c r="O32" s="28" t="n">
        <v>0.506732</v>
      </c>
      <c r="P32" s="28" t="n"/>
      <c r="Q32" s="28" t="n">
        <v>-0.032439</v>
      </c>
      <c r="R32" s="26" t="n">
        <v>4</v>
      </c>
      <c r="S32" s="29" t="n">
        <v>1</v>
      </c>
      <c r="T32" s="24" t="inlineStr">
        <is>
          <t>cs2-tiered-elo-v6</t>
        </is>
      </c>
      <c r="U32" s="24" t="inlineStr">
        <is>
          <t>settled</t>
        </is>
      </c>
      <c r="V32" s="24" t="inlineStr">
        <is>
          <t>win</t>
        </is>
      </c>
      <c r="W32" s="26" t="n">
        <v>1</v>
      </c>
      <c r="X32" s="26" t="n">
        <v>0</v>
      </c>
      <c r="Y32" s="25" t="n"/>
      <c r="Z32" s="26" t="n">
        <v>-127</v>
      </c>
      <c r="AA32" s="28" t="n">
        <v>0.5600000000000001</v>
      </c>
      <c r="AB32" s="28" t="n">
        <v>0.020829</v>
      </c>
      <c r="AC32" s="30" t="n">
        <v>0.8547</v>
      </c>
      <c r="AD32" s="24" t="inlineStr">
        <is>
          <t>2026-10-07T16:02:29.432408Z</t>
        </is>
      </c>
      <c r="AE32" s="31" t="inlineStr">
        <is>
          <t>Neutral Elo baseline; executable ask 0.5400 (market_slug=aec-cs2-g2a-pure-2026-10-07).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paper_call</t>
        </is>
      </c>
      <c r="AL32" s="26" t="n">
        <v>4</v>
      </c>
      <c r="AM32" s="24" t="inlineStr">
        <is>
          <t>RESEARCH_OBSERVATION</t>
        </is>
      </c>
      <c r="AN32" s="24" t="inlineStr">
        <is>
          <t>CALL</t>
        </is>
      </c>
      <c r="AO32" s="24" t="inlineStr">
        <is>
          <t>PAPER_CALL_LOW_EDGE</t>
        </is>
      </c>
      <c r="AP32" s="24" t="inlineStr">
        <is>
          <t>PURE</t>
        </is>
      </c>
      <c r="AQ32" s="24" t="inlineStr">
        <is>
          <t>PURE</t>
        </is>
      </c>
      <c r="AR32" s="24" t="inlineStr">
        <is>
          <t>PURE</t>
        </is>
      </c>
      <c r="AS32" s="24" t="inlineStr">
        <is>
          <t>G2 Ares</t>
        </is>
      </c>
      <c r="AT32" s="24" t="inlineStr">
        <is>
          <t>G2 Ares</t>
        </is>
      </c>
      <c r="AU32" s="24" t="inlineStr">
        <is>
          <t>G2 Ares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8e3e0ed97d5a78c596f8682afe79ee7cad6310b30f8f71e9dd0a1686a2064ff4</t>
        </is>
      </c>
      <c r="BB32" s="24" t="inlineStr">
        <is>
          <t>neutral_elo</t>
        </is>
      </c>
      <c r="BC32" s="24" t="inlineStr">
        <is>
          <t>cs2-tiered-elo-v6</t>
        </is>
      </c>
      <c r="BD32" s="24" t="inlineStr">
        <is>
          <t>8e3e0ed97d5a78c596f8682afe79ee7cad6310b30f8f71e9dd0a1686a2064ff4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cs2-tiered-elo-v6</t>
        </is>
      </c>
      <c r="BH32" s="24" t="inlineStr">
        <is>
          <t>2026-10-07T10:23:41.143255Z</t>
        </is>
      </c>
      <c r="BI32" s="24" t="inlineStr">
        <is>
          <t>["same_event","same_team_same_day","same_league_same_day"]</t>
        </is>
      </c>
      <c r="BJ32" s="25" t="n"/>
      <c r="BK32" s="26" t="n">
        <v>-117</v>
      </c>
      <c r="BL32" s="27" t="n">
        <v>1.854701</v>
      </c>
      <c r="BM32" s="28" t="n">
        <v>0.539171</v>
      </c>
      <c r="BN32" s="28" t="n"/>
      <c r="BO32" s="28" t="n"/>
      <c r="BP32" s="25" t="n"/>
      <c r="BQ32" s="27" t="n">
        <v>1.787402</v>
      </c>
      <c r="BR32" s="28" t="n">
        <v>0.5600000000000001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False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0.539171</t>
        </is>
      </c>
      <c r="DK32" s="24" t="n"/>
      <c r="DL32" s="24" t="n"/>
      <c r="DM32" s="24" t="n"/>
      <c r="DN32" s="24" t="n"/>
      <c r="DO32" s="24" t="n"/>
      <c r="DP32" s="24" t="n"/>
      <c r="DQ32" s="24" t="inlineStr">
        <is>
          <t>{"artifact_hash": "8e3e0ed97d5a78c596f8682afe79ee7cad6310b30f8f71e9dd0a1686a2064ff4", "away_team": "PURE", "event_id": "141828", "event_start_utc": "2026-10-07T11:45:00Z", "features": {"away_elo": 1608.816094, "away_history_count": 44, "home_elo": 1587.659113, "home_history_count": 277}, "historical_source_observation_times_verified": false, "home_team": "G2 Ares", "inference_inputs": {"book_state": {"games_played": {"bo3:1:10994": 277, "bo3:1:23113": 44}, "inactivity_half_life_days": null, "inactivity_max_pull": null, "k": 40.0, "last_match_utc": {"bo3:1:10994": "2026-10-07T09:15:00Z", "bo3:1:23113": "2026-10-07T09:15:00Z"}, "minimum_reliable_games": null, "platt_intercept": 0.07356619284924003, "platt_slope": 0.8653341483834134, "ratings": {"bo3:1:10994": 1587.659113, "bo3:1:23113": 1608.816094},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["bo3:1:10994", "bo3:1:23113"]}, "market_type": "moneyline", "model_version": "cs2-tiered-elo-v6", "observed_at_utc": "2026-10-07T10:23:09.494602+00:00", "probabilities": {"away": 0.506732, "home": 0.493268}, "replay_scope": "Exact serving book state, calibration, temperature, inactivity reference and thin-history adjustments; training provenance not certified.", "schema": "esports-elo-replay-v1", "snapshot_hash": "8cc100d2466cdc4fb2c4b34b1694f230989ed177e4e8e74ddb831e79422dfc6e", "sport": "CS2"}</t>
        </is>
      </c>
    </row>
    <row r="33" ht="36" customHeight="1">
      <c r="A33" s="24" t="inlineStr">
        <is>
          <t>a386b3636940400b</t>
        </is>
      </c>
      <c r="B33" s="24" t="inlineStr">
        <is>
          <t>2026-10-07T10:27:31.375268Z</t>
        </is>
      </c>
      <c r="C33" s="24" t="inlineStr">
        <is>
          <t>2026-10-07T12:00:00Z</t>
        </is>
      </c>
      <c r="D33" s="24" t="inlineStr">
        <is>
          <t>141829</t>
        </is>
      </c>
      <c r="E33" s="24" t="inlineStr">
        <is>
          <t>CS2</t>
        </is>
      </c>
      <c r="F33" s="24" t="inlineStr">
        <is>
          <t>Sashi Esport</t>
        </is>
      </c>
      <c r="G33" s="24" t="inlineStr">
        <is>
          <t>Acend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-156</v>
      </c>
      <c r="M33" s="27" t="n">
        <v>1.641026</v>
      </c>
      <c r="N33" s="28" t="n">
        <v>0.609375</v>
      </c>
      <c r="O33" s="28" t="n">
        <v>0.566128</v>
      </c>
      <c r="P33" s="28" t="n"/>
      <c r="Q33" s="28" t="n">
        <v>-0.043247</v>
      </c>
      <c r="R33" s="26" t="n">
        <v>0</v>
      </c>
      <c r="S33" s="29" t="n">
        <v>1</v>
      </c>
      <c r="T33" s="24" t="inlineStr">
        <is>
          <t>cs2-tiered-elo-v6</t>
        </is>
      </c>
      <c r="U33" s="24" t="inlineStr">
        <is>
          <t>settled</t>
        </is>
      </c>
      <c r="V33" s="24" t="inlineStr">
        <is>
          <t>push</t>
        </is>
      </c>
      <c r="W33" s="26" t="n"/>
      <c r="X33" s="26" t="n"/>
      <c r="Y33" s="25" t="n"/>
      <c r="Z33" s="26" t="n"/>
      <c r="AA33" s="28" t="n"/>
      <c r="AB33" s="28" t="n"/>
      <c r="AC33" s="30" t="n">
        <v>0</v>
      </c>
      <c r="AD33" s="24" t="inlineStr">
        <is>
          <t>2026-10-07T16:02:51.478286Z</t>
        </is>
      </c>
      <c r="AE33" s="31" t="inlineStr">
        <is>
          <t>Neutral Elo baseline; executable ask 0.6100 (market_slug=aec-cs2-ace-sashi-2026-10-07).</t>
        </is>
      </c>
      <c r="AF33" s="31" t="inlineStr">
        <is>
          <t>Config-promoted esports baseline; gates enforced at log time.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paper_call</t>
        </is>
      </c>
      <c r="AL33" s="26" t="n">
        <v>4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PAPER_CALL_LOW_EDGE</t>
        </is>
      </c>
      <c r="AP33" s="24" t="inlineStr">
        <is>
          <t>Sashi Esport</t>
        </is>
      </c>
      <c r="AQ33" s="24" t="inlineStr">
        <is>
          <t>Sashi Esport</t>
        </is>
      </c>
      <c r="AR33" s="24" t="inlineStr">
        <is>
          <t>Sashi Esport</t>
        </is>
      </c>
      <c r="AS33" s="24" t="inlineStr">
        <is>
          <t>Acend</t>
        </is>
      </c>
      <c r="AT33" s="24" t="inlineStr">
        <is>
          <t>Acend</t>
        </is>
      </c>
      <c r="AU33" s="24" t="inlineStr">
        <is>
          <t>Acend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8e3e0ed97d5a78c596f8682afe79ee7cad6310b30f8f71e9dd0a1686a2064ff4</t>
        </is>
      </c>
      <c r="BB33" s="24" t="inlineStr">
        <is>
          <t>neutral_elo</t>
        </is>
      </c>
      <c r="BC33" s="24" t="inlineStr">
        <is>
          <t>cs2-tiered-elo-v6</t>
        </is>
      </c>
      <c r="BD33" s="24" t="inlineStr">
        <is>
          <t>8e3e0ed97d5a78c596f8682afe79ee7cad6310b30f8f71e9dd0a1686a2064ff4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cs2-tiered-elo-v6</t>
        </is>
      </c>
      <c r="BH33" s="24" t="inlineStr">
        <is>
          <t>2026-10-07T10:23:51.261148Z</t>
        </is>
      </c>
      <c r="BI33" s="24" t="inlineStr">
        <is>
          <t>["same_event","same_team_same_day","same_league_same_day"]</t>
        </is>
      </c>
      <c r="BJ33" s="25" t="n"/>
      <c r="BK33" s="26" t="n">
        <v>-156</v>
      </c>
      <c r="BL33" s="27" t="n">
        <v>1.641026</v>
      </c>
      <c r="BM33" s="28" t="n">
        <v>0.609375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inlineStr">
        <is>
          <t>esports market terminal (MARKET_STATE_EXPIRED) with prices {'Acend': 0.55, 'Sashi Esport': 0.45}; BO3 has no confirming finished-match result either</t>
        </is>
      </c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False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0.609375</t>
        </is>
      </c>
      <c r="DK33" s="24" t="n"/>
      <c r="DL33" s="24" t="n"/>
      <c r="DM33" s="24" t="n"/>
      <c r="DN33" s="24" t="n"/>
      <c r="DO33" s="24" t="n"/>
      <c r="DP33" s="24" t="n"/>
      <c r="DQ33" s="24" t="inlineStr">
        <is>
          <t>{"artifact_hash": "8e3e0ed97d5a78c596f8682afe79ee7cad6310b30f8f71e9dd0a1686a2064ff4", "away_team": "Sashi Esport", "event_id": "141829", "event_start_utc": "2026-10-07T12:00:00Z", "features": {"away_elo": 1643.818604, "away_history_count": 452, "home_elo": 1703.379817, "home_history_count": 118}, "historical_source_observation_times_verified": false, "home_team": "Acend", "inference_inputs": {"book_state": {"games_played": {"bo3:1:21980": 118, "bo3:1:3081": 452}, "inactivity_half_life_days": null, "inactivity_max_pull": null, "k": 40.0, "last_match_utc": {"bo3:1:21980": "2026-09-27T11:00:00Z", "bo3:1:3081": "2026-10-02T16:35:00Z"}, "minimum_reliable_games": null, "platt_intercept": 0.07356619284924003, "platt_slope": 0.8653341483834134, "ratings": {"bo3:1:21980": 1703.379817, "bo3:1:3081": 1643.818604},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["bo3:1:21980", "bo3:1:3081"]}, "market_type": "moneyline", "model_version": "cs2-tiered-elo-v6", "observed_at_utc": "2026-10-07T10:23:09.494602+00:00", "probabilities": {"away": 0.433872, "home": 0.566128}, "replay_scope": "Exact serving book state, calibration, temperature, inactivity reference and thin-history adjustments; training provenance not certified.", "schema": "esports-elo-replay-v1", "snapshot_hash": "f6456986bd6355733f645c24ddc8802aa0b65aa50cb491810067f9a172d2e209", "sport": "CS2"}</t>
        </is>
      </c>
    </row>
    <row r="34" ht="36" customHeight="1">
      <c r="A34" s="24" t="inlineStr">
        <is>
          <t>4079e1ccdea4458c</t>
        </is>
      </c>
      <c r="B34" s="24" t="inlineStr">
        <is>
          <t>2026-10-07T10:27:31.375268Z</t>
        </is>
      </c>
      <c r="C34" s="24" t="inlineStr">
        <is>
          <t>2026-10-07T13:00:00Z</t>
        </is>
      </c>
      <c r="D34" s="24" t="inlineStr">
        <is>
          <t>141877</t>
        </is>
      </c>
      <c r="E34" s="24" t="inlineStr">
        <is>
          <t>CS2</t>
        </is>
      </c>
      <c r="F34" s="24" t="inlineStr">
        <is>
          <t>Orion Wanderers</t>
        </is>
      </c>
      <c r="G34" s="24" t="inlineStr">
        <is>
          <t>SINQU</t>
        </is>
      </c>
      <c r="H34" s="24" t="inlineStr">
        <is>
          <t>moneyline</t>
        </is>
      </c>
      <c r="I34" s="24" t="inlineStr">
        <is>
          <t>away</t>
        </is>
      </c>
      <c r="J34" s="25" t="n"/>
      <c r="K34" s="24" t="inlineStr">
        <is>
          <t>polymarket_us</t>
        </is>
      </c>
      <c r="L34" s="26" t="n">
        <v>223</v>
      </c>
      <c r="M34" s="27" t="n">
        <v>3.23</v>
      </c>
      <c r="N34" s="28" t="n">
        <v>0.309598</v>
      </c>
      <c r="O34" s="28" t="n">
        <v>0.615885</v>
      </c>
      <c r="P34" s="28" t="n"/>
      <c r="Q34" s="28" t="n">
        <v>0.306287</v>
      </c>
      <c r="R34" s="26" t="n">
        <v>100</v>
      </c>
      <c r="S34" s="29" t="n">
        <v>2</v>
      </c>
      <c r="T34" s="24" t="inlineStr">
        <is>
          <t>cs2-tiered-elo-v6</t>
        </is>
      </c>
      <c r="U34" s="24" t="inlineStr">
        <is>
          <t>settled</t>
        </is>
      </c>
      <c r="V34" s="24" t="inlineStr">
        <is>
          <t>loss</t>
        </is>
      </c>
      <c r="W34" s="26" t="n">
        <v>0</v>
      </c>
      <c r="X34" s="26" t="n">
        <v>1</v>
      </c>
      <c r="Y34" s="25" t="n"/>
      <c r="Z34" s="26" t="n">
        <v>-122</v>
      </c>
      <c r="AA34" s="28" t="n">
        <v>0.55</v>
      </c>
      <c r="AB34" s="28" t="n">
        <v>0.240402</v>
      </c>
      <c r="AC34" s="30" t="n">
        <v>-2</v>
      </c>
      <c r="AD34" s="24" t="inlineStr">
        <is>
          <t>2026-10-07T16:02:58.152965Z</t>
        </is>
      </c>
      <c r="AE34" s="31" t="inlineStr">
        <is>
          <t>Neutral Elo baseline; executable ask 0.3100 (market_slug=aec-cs2-sinqu-ow-2026-10-07).</t>
        </is>
      </c>
      <c r="AF34" s="31" t="inlineStr">
        <is>
          <t>Config-promoted esports baseline; gates enforced at log time.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4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Orion Wanderers</t>
        </is>
      </c>
      <c r="AQ34" s="24" t="inlineStr">
        <is>
          <t>Orion Wanderers</t>
        </is>
      </c>
      <c r="AR34" s="24" t="inlineStr">
        <is>
          <t>Orion Wanderers</t>
        </is>
      </c>
      <c r="AS34" s="24" t="inlineStr">
        <is>
          <t>SINQU</t>
        </is>
      </c>
      <c r="AT34" s="24" t="inlineStr">
        <is>
          <t>SINQU</t>
        </is>
      </c>
      <c r="AU34" s="24" t="inlineStr">
        <is>
          <t>SINQU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8e3e0ed97d5a78c596f8682afe79ee7cad6310b30f8f71e9dd0a1686a2064ff4</t>
        </is>
      </c>
      <c r="BB34" s="24" t="inlineStr">
        <is>
          <t>neutral_elo</t>
        </is>
      </c>
      <c r="BC34" s="24" t="inlineStr">
        <is>
          <t>cs2-tiered-elo-v6</t>
        </is>
      </c>
      <c r="BD34" s="24" t="inlineStr">
        <is>
          <t>8e3e0ed97d5a78c596f8682afe79ee7cad6310b30f8f71e9dd0a1686a2064ff4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cs2-tiered-elo-v6</t>
        </is>
      </c>
      <c r="BH34" s="24" t="inlineStr">
        <is>
          <t>2026-10-07T10:24:01.457755Z</t>
        </is>
      </c>
      <c r="BI34" s="24" t="inlineStr">
        <is>
          <t>["same_event","same_team_same_day","same_league_same_day"]</t>
        </is>
      </c>
      <c r="BJ34" s="25" t="n"/>
      <c r="BK34" s="26" t="n">
        <v>223</v>
      </c>
      <c r="BL34" s="27" t="n">
        <v>3.23</v>
      </c>
      <c r="BM34" s="28" t="n">
        <v>0.309598</v>
      </c>
      <c r="BN34" s="28" t="n"/>
      <c r="BO34" s="28" t="n"/>
      <c r="BP34" s="25" t="n"/>
      <c r="BQ34" s="27" t="n">
        <v>1.819672</v>
      </c>
      <c r="BR34" s="28" t="n">
        <v>0.55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0.309598</t>
        </is>
      </c>
      <c r="DK34" s="24" t="n"/>
      <c r="DL34" s="24" t="n"/>
      <c r="DM34" s="24" t="n"/>
      <c r="DN34" s="24" t="n"/>
      <c r="DO34" s="24" t="n"/>
      <c r="DP34" s="24" t="n"/>
      <c r="DQ34" s="24" t="inlineStr">
        <is>
          <t>{"artifact_hash": "8e3e0ed97d5a78c596f8682afe79ee7cad6310b30f8f71e9dd0a1686a2064ff4", "away_team": "Orion Wanderers", "event_id": "141877", "event_start_utc": "2026-10-07T13:00:00Z", "features": {"away_elo": 1446.03246, "away_history_count": 4, "home_elo": 1268.176697, "home_history_count": 55}, "historical_source_observation_times_verified": false, "home_team": "SINQU", "inference_inputs": {"book_state": {"games_played": {"bo3:1:22190": 55, "bo3:1:25059": 4}, "inactivity_half_life_days": null, "inactivity_max_pull": null, "k": 40.0, "last_match_utc": {"bo3:1:22190": "2026-10-07T09:15:00Z", "bo3:1:25059": "2026-10-07T09:15:00Z"}, "minimum_reliable_games": null, "platt_intercept": 0.07356619284924003, "platt_slope": 0.8653341483834134, "ratings": {"bo3:1:22190": 1268.176697, "bo3:1:25059": 1446.03246},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["bo3:1:22190", "bo3:1:25059"]}, "market_type": "moneyline", "model_version": "cs2-tiered-elo-v6", "observed_at_utc": "2026-10-07T10:23:09.494602+00:00", "probabilities": {"away": 0.615885, "home": 0.384115}, "replay_scope": "Exact serving book state, calibration, temperature, inactivity reference and thin-history adjustments; training provenance not certified.", "schema": "esports-elo-replay-v1", "snapshot_hash": "43eff0cd609e4a311a7dbf09d945eff2baad8362d760cc49a24d4bf79c85d03d", "sport": "CS2"}</t>
        </is>
      </c>
    </row>
    <row r="35" ht="36" customHeight="1">
      <c r="A35" s="24" t="inlineStr">
        <is>
          <t>3302201152d44257</t>
        </is>
      </c>
      <c r="B35" s="24" t="inlineStr">
        <is>
          <t>2026-10-07T10:27:31.375268Z</t>
        </is>
      </c>
      <c r="C35" s="24" t="inlineStr">
        <is>
          <t>2026-10-07T13:00:00Z</t>
        </is>
      </c>
      <c r="D35" s="24" t="inlineStr">
        <is>
          <t>141879</t>
        </is>
      </c>
      <c r="E35" s="24" t="inlineStr">
        <is>
          <t>CS2</t>
        </is>
      </c>
      <c r="F35" s="24" t="inlineStr">
        <is>
          <t>Falcons Force</t>
        </is>
      </c>
      <c r="G35" s="24" t="inlineStr">
        <is>
          <t>PURE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-170</v>
      </c>
      <c r="M35" s="27" t="n">
        <v>1.588235</v>
      </c>
      <c r="N35" s="28" t="n">
        <v>0.62963</v>
      </c>
      <c r="O35" s="28" t="n">
        <v>0.622076</v>
      </c>
      <c r="P35" s="28" t="n"/>
      <c r="Q35" s="28" t="n">
        <v>-0.007554</v>
      </c>
      <c r="R35" s="26" t="n">
        <v>16</v>
      </c>
      <c r="S35" s="29" t="n">
        <v>1</v>
      </c>
      <c r="T35" s="24" t="inlineStr">
        <is>
          <t>cs2-tiered-elo-v6</t>
        </is>
      </c>
      <c r="U35" s="24" t="inlineStr">
        <is>
          <t>settled</t>
        </is>
      </c>
      <c r="V35" s="24" t="inlineStr">
        <is>
          <t>win</t>
        </is>
      </c>
      <c r="W35" s="26" t="n">
        <v>0</v>
      </c>
      <c r="X35" s="26" t="n">
        <v>1</v>
      </c>
      <c r="Y35" s="25" t="n"/>
      <c r="Z35" s="26" t="n">
        <v>-170</v>
      </c>
      <c r="AA35" s="28" t="n">
        <v>0.63</v>
      </c>
      <c r="AB35" s="28" t="n">
        <v>0.00037</v>
      </c>
      <c r="AC35" s="30" t="n">
        <v>0.5881999999999999</v>
      </c>
      <c r="AD35" s="24" t="inlineStr">
        <is>
          <t>2026-10-07T16:03:07.966269Z</t>
        </is>
      </c>
      <c r="AE35" s="31" t="inlineStr">
        <is>
          <t>Neutral Elo baseline; executable ask 0.6300 (market_slug=aec-cs2-pure-falf-2026-10-07).</t>
        </is>
      </c>
      <c r="AF35" s="31" t="inlineStr">
        <is>
          <t>Config-promoted esports baseline; gates enforced at log time.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paper_call</t>
        </is>
      </c>
      <c r="AL35" s="26" t="n">
        <v>4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PAPER_CALL_LOW_EDGE</t>
        </is>
      </c>
      <c r="AP35" s="24" t="inlineStr">
        <is>
          <t>Falcons Force</t>
        </is>
      </c>
      <c r="AQ35" s="24" t="inlineStr">
        <is>
          <t>Falcons Force</t>
        </is>
      </c>
      <c r="AR35" s="24" t="inlineStr">
        <is>
          <t>Falcons Force</t>
        </is>
      </c>
      <c r="AS35" s="24" t="inlineStr">
        <is>
          <t>PURE</t>
        </is>
      </c>
      <c r="AT35" s="24" t="inlineStr">
        <is>
          <t>PURE</t>
        </is>
      </c>
      <c r="AU35" s="24" t="inlineStr">
        <is>
          <t>PURE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8e3e0ed97d5a78c596f8682afe79ee7cad6310b30f8f71e9dd0a1686a2064ff4</t>
        </is>
      </c>
      <c r="BB35" s="24" t="inlineStr">
        <is>
          <t>neutral_elo</t>
        </is>
      </c>
      <c r="BC35" s="24" t="inlineStr">
        <is>
          <t>cs2-tiered-elo-v6</t>
        </is>
      </c>
      <c r="BD35" s="24" t="inlineStr">
        <is>
          <t>8e3e0ed97d5a78c596f8682afe79ee7cad6310b30f8f71e9dd0a1686a2064ff4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cs2-tiered-elo-v6</t>
        </is>
      </c>
      <c r="BH35" s="24" t="inlineStr">
        <is>
          <t>2026-10-07T10:24:01.518244Z</t>
        </is>
      </c>
      <c r="BI35" s="24" t="inlineStr">
        <is>
          <t>["same_event","same_team_same_day","same_league_same_day"]</t>
        </is>
      </c>
      <c r="BJ35" s="25" t="n"/>
      <c r="BK35" s="26" t="n">
        <v>-170</v>
      </c>
      <c r="BL35" s="27" t="n">
        <v>1.588235</v>
      </c>
      <c r="BM35" s="28" t="n">
        <v>0.62963</v>
      </c>
      <c r="BN35" s="28" t="n"/>
      <c r="BO35" s="28" t="n"/>
      <c r="BP35" s="25" t="n"/>
      <c r="BQ35" s="27" t="n">
        <v>1.588235</v>
      </c>
      <c r="BR35" s="28" t="n">
        <v>0.63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False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0.62963</t>
        </is>
      </c>
      <c r="DK35" s="24" t="n"/>
      <c r="DL35" s="24" t="n"/>
      <c r="DM35" s="24" t="n"/>
      <c r="DN35" s="24" t="n"/>
      <c r="DO35" s="24" t="n"/>
      <c r="DP35" s="24" t="n"/>
      <c r="DQ35" s="24" t="inlineStr">
        <is>
          <t>{"artifact_hash": "8e3e0ed97d5a78c596f8682afe79ee7cad6310b30f8f71e9dd0a1686a2064ff4", "away_team": "Falcons Force", "event_id": "141879", "event_start_utc": "2026-10-07T13:00:00Z", "features": {"away_elo": 1505.481837, "away_history_count": 118, "home_elo": 1608.816094, "home_history_count": 44}, "historical_source_observation_times_verified": false, "home_team": "PURE", "inference_inputs": {"book_state": {"games_played": {"bo3:1:21012": 118, "bo3:1:23113": 44}, "inactivity_half_life_days": null, "inactivity_max_pull": null, "k": 40.0, "last_match_utc": {"bo3:1:21012": "2026-10-07T09:15:00Z", "bo3:1:23113": "2026-10-07T09:15:00Z"}, "minimum_reliable_games": null, "platt_intercept": 0.07356619284924003, "platt_slope": 0.8653341483834134, "ratings": {"bo3:1:21012": 1505.481837, "bo3:1:23113": 1608.816094},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["bo3:1:23113", "bo3:1:21012"]}, "market_type": "moneyline", "model_version": "cs2-tiered-elo-v6", "observed_at_utc": "2026-10-07T10:23:09.494602+00:00", "probabilities": {"away": 0.377924, "home": 0.622076}, "replay_scope": "Exact serving book state, calibration, temperature, inactivity reference and thin-history adjustments; training provenance not certified.", "schema": "esports-elo-replay-v1", "snapshot_hash": "c1e5b92ad7ca9f1ea9c49d4a9cf4eb3223f38eb4ffdf842fe131ca148d46b096", "sport": "CS2"}</t>
        </is>
      </c>
    </row>
    <row r="36" ht="36" customHeight="1">
      <c r="A36" s="24" t="inlineStr">
        <is>
          <t>5b58ad8750204a7f</t>
        </is>
      </c>
      <c r="B36" s="24" t="inlineStr">
        <is>
          <t>2026-10-07T10:27:31.375268Z</t>
        </is>
      </c>
      <c r="C36" s="24" t="inlineStr">
        <is>
          <t>2026-10-07T13:00:00Z</t>
        </is>
      </c>
      <c r="D36" s="24" t="inlineStr">
        <is>
          <t>141881</t>
        </is>
      </c>
      <c r="E36" s="24" t="inlineStr">
        <is>
          <t>CS2</t>
        </is>
      </c>
      <c r="F36" s="24" t="inlineStr">
        <is>
          <t>OG</t>
        </is>
      </c>
      <c r="G36" s="24" t="inlineStr">
        <is>
          <t>G2 Ares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-233</v>
      </c>
      <c r="M36" s="27" t="n">
        <v>1.429185</v>
      </c>
      <c r="N36" s="28" t="n">
        <v>0.6997</v>
      </c>
      <c r="O36" s="28" t="n">
        <v>0.579971</v>
      </c>
      <c r="P36" s="28" t="n"/>
      <c r="Q36" s="28" t="n">
        <v>-0.119729</v>
      </c>
      <c r="R36" s="26" t="n">
        <v>0</v>
      </c>
      <c r="S36" s="29" t="n">
        <v>1</v>
      </c>
      <c r="T36" s="24" t="inlineStr">
        <is>
          <t>cs2-tiered-elo-v6</t>
        </is>
      </c>
      <c r="U36" s="24" t="inlineStr">
        <is>
          <t>settled</t>
        </is>
      </c>
      <c r="V36" s="24" t="inlineStr">
        <is>
          <t>win</t>
        </is>
      </c>
      <c r="W36" s="26" t="n">
        <v>1</v>
      </c>
      <c r="X36" s="26" t="n">
        <v>0</v>
      </c>
      <c r="Y36" s="25" t="n"/>
      <c r="Z36" s="26" t="n">
        <v>-223</v>
      </c>
      <c r="AA36" s="28" t="n">
        <v>0.6899999999999999</v>
      </c>
      <c r="AB36" s="28" t="n">
        <v>-0.0097</v>
      </c>
      <c r="AC36" s="30" t="n">
        <v>0.4292</v>
      </c>
      <c r="AD36" s="24" t="inlineStr">
        <is>
          <t>2026-10-07T16:03:32.751476Z</t>
        </is>
      </c>
      <c r="AE36" s="31" t="inlineStr">
        <is>
          <t>Neutral Elo baseline; executable ask 0.7000 (market_slug=aec-cs2-g2a-og-2026-10-07).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paper_call</t>
        </is>
      </c>
      <c r="AL36" s="26" t="n">
        <v>4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PAPER_CALL_LOW_EDGE</t>
        </is>
      </c>
      <c r="AP36" s="24" t="inlineStr">
        <is>
          <t>OG</t>
        </is>
      </c>
      <c r="AQ36" s="24" t="inlineStr">
        <is>
          <t>OG</t>
        </is>
      </c>
      <c r="AR36" s="24" t="inlineStr">
        <is>
          <t>OG</t>
        </is>
      </c>
      <c r="AS36" s="24" t="inlineStr">
        <is>
          <t>G2 Ares</t>
        </is>
      </c>
      <c r="AT36" s="24" t="inlineStr">
        <is>
          <t>G2 Ares</t>
        </is>
      </c>
      <c r="AU36" s="24" t="inlineStr">
        <is>
          <t>G2 Ares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8e3e0ed97d5a78c596f8682afe79ee7cad6310b30f8f71e9dd0a1686a2064ff4</t>
        </is>
      </c>
      <c r="BB36" s="24" t="inlineStr">
        <is>
          <t>neutral_elo</t>
        </is>
      </c>
      <c r="BC36" s="24" t="inlineStr">
        <is>
          <t>cs2-tiered-elo-v6</t>
        </is>
      </c>
      <c r="BD36" s="24" t="inlineStr">
        <is>
          <t>8e3e0ed97d5a78c596f8682afe79ee7cad6310b30f8f71e9dd0a1686a2064ff4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cs2-tiered-elo-v6</t>
        </is>
      </c>
      <c r="BH36" s="24" t="inlineStr">
        <is>
          <t>2026-10-07T10:24:01.574290Z</t>
        </is>
      </c>
      <c r="BI36" s="24" t="inlineStr">
        <is>
          <t>["same_event","same_team_same_day","same_league_same_day"]</t>
        </is>
      </c>
      <c r="BJ36" s="25" t="n"/>
      <c r="BK36" s="26" t="n">
        <v>-233</v>
      </c>
      <c r="BL36" s="27" t="n">
        <v>1.429185</v>
      </c>
      <c r="BM36" s="28" t="n">
        <v>0.6997</v>
      </c>
      <c r="BN36" s="28" t="n"/>
      <c r="BO36" s="28" t="n"/>
      <c r="BP36" s="25" t="n"/>
      <c r="BQ36" s="27" t="n">
        <v>1.44843</v>
      </c>
      <c r="BR36" s="28" t="n">
        <v>0.6899999999999999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False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0.6997</t>
        </is>
      </c>
      <c r="DK36" s="24" t="n"/>
      <c r="DL36" s="24" t="n"/>
      <c r="DM36" s="24" t="n"/>
      <c r="DN36" s="24" t="n"/>
      <c r="DO36" s="24" t="n"/>
      <c r="DP36" s="24" t="n"/>
      <c r="DQ36" s="24" t="inlineStr">
        <is>
          <t>{"artifact_hash": "8e3e0ed97d5a78c596f8682afe79ee7cad6310b30f8f71e9dd0a1686a2064ff4", "away_team": "OG", "event_id": "141881", "event_start_utc": "2026-10-07T13:00:00Z", "features": {"away_elo": 1678.900013, "away_history_count": 242, "home_elo": 1587.659113, "home_history_count": 277}, "historical_source_observation_times_verified": false, "home_team": "G2 Ares", "inference_inputs": {"book_state": {"games_played": {"bo3:1:10994": 277, "bo3:1:395": 242}, "inactivity_half_life_days": null, "inactivity_max_pull": null, "k": 40.0, "last_match_utc": {"bo3:1:10994": "2026-10-07T09:15:00Z", "bo3:1:395": "2026-10-07T09:15:00Z"}, "minimum_reliable_games": null, "platt_intercept": 0.07356619284924003, "platt_slope": 0.8653341483834134, "ratings": {"bo3:1:10994": 1587.659113, "bo3:1:395": 1678.900013},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["bo3:1:10994", "bo3:1:395"]}, "market_type": "moneyline", "model_version": "cs2-tiered-elo-v6", "observed_at_utc": "2026-10-07T10:23:09.494602+00:00", "probabilities": {"away": 0.579971, "home": 0.420029}, "replay_scope": "Exact serving book state, calibration, temperature, inactivity reference and thin-history adjustments; training provenance not certified.", "schema": "esports-elo-replay-v1", "snapshot_hash": "9316771c66740cb15b8bc26ab63afb2b7a844f5ac7635983580799fdf3f73e7f", "sport": "CS2"}</t>
        </is>
      </c>
    </row>
    <row r="37" ht="36" customHeight="1">
      <c r="A37" s="24" t="inlineStr">
        <is>
          <t>49db828e92ff4170</t>
        </is>
      </c>
      <c r="B37" s="24" t="inlineStr">
        <is>
          <t>2026-10-07T10:27:31.375268Z</t>
        </is>
      </c>
      <c r="C37" s="24" t="inlineStr">
        <is>
          <t>2026-10-07T13:00:00Z</t>
        </is>
      </c>
      <c r="D37" s="24" t="inlineStr">
        <is>
          <t>144514</t>
        </is>
      </c>
      <c r="E37" s="24" t="inlineStr">
        <is>
          <t>CS2</t>
        </is>
      </c>
      <c r="F37" s="24" t="inlineStr">
        <is>
          <t>Kaleido Gaming</t>
        </is>
      </c>
      <c r="G37" s="24" t="inlineStr">
        <is>
          <t>Not A Squad Esports</t>
        </is>
      </c>
      <c r="H37" s="24" t="inlineStr">
        <is>
          <t>moneyline</t>
        </is>
      </c>
      <c r="I37" s="24" t="inlineStr">
        <is>
          <t>away</t>
        </is>
      </c>
      <c r="J37" s="25" t="n"/>
      <c r="K37" s="24" t="inlineStr">
        <is>
          <t>polymarket_us</t>
        </is>
      </c>
      <c r="L37" s="26" t="n">
        <v>-186</v>
      </c>
      <c r="M37" s="27" t="n">
        <v>1.537634</v>
      </c>
      <c r="N37" s="28" t="n">
        <v>0.65035</v>
      </c>
      <c r="O37" s="28" t="n">
        <v>0.556942</v>
      </c>
      <c r="P37" s="28" t="n"/>
      <c r="Q37" s="28" t="n">
        <v>-0.093408</v>
      </c>
      <c r="R37" s="26" t="n">
        <v>0</v>
      </c>
      <c r="S37" s="29" t="n">
        <v>1</v>
      </c>
      <c r="T37" s="24" t="inlineStr">
        <is>
          <t>cs2-tiered-elo-v6</t>
        </is>
      </c>
      <c r="U37" s="24" t="inlineStr">
        <is>
          <t>settled</t>
        </is>
      </c>
      <c r="V37" s="24" t="inlineStr">
        <is>
          <t>win</t>
        </is>
      </c>
      <c r="W37" s="26" t="n">
        <v>1</v>
      </c>
      <c r="X37" s="26" t="n">
        <v>0</v>
      </c>
      <c r="Y37" s="25" t="n"/>
      <c r="Z37" s="26" t="n">
        <v>-400</v>
      </c>
      <c r="AA37" s="28" t="n">
        <v>0.8</v>
      </c>
      <c r="AB37" s="28" t="n">
        <v>0.14965</v>
      </c>
      <c r="AC37" s="30" t="n">
        <v>0.5376</v>
      </c>
      <c r="AD37" s="24" t="inlineStr">
        <is>
          <t>2026-10-07T16:03:43.764051Z</t>
        </is>
      </c>
      <c r="AE37" s="31" t="inlineStr">
        <is>
          <t>Neutral Elo baseline; executable ask 0.6500 (market_slug=aec-cs2-nase-kg-2026-10-07).</t>
        </is>
      </c>
      <c r="AF37" s="31" t="inlineStr">
        <is>
          <t>Config-promoted esports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paper_call</t>
        </is>
      </c>
      <c r="AL37" s="26" t="n">
        <v>4</v>
      </c>
      <c r="AM37" s="24" t="inlineStr">
        <is>
          <t>RESEARCH_OBSERVATION</t>
        </is>
      </c>
      <c r="AN37" s="24" t="inlineStr">
        <is>
          <t>CALL</t>
        </is>
      </c>
      <c r="AO37" s="24" t="inlineStr">
        <is>
          <t>PAPER_CALL_LOW_EDGE</t>
        </is>
      </c>
      <c r="AP37" s="24" t="inlineStr">
        <is>
          <t>Kaleido Gaming</t>
        </is>
      </c>
      <c r="AQ37" s="24" t="inlineStr">
        <is>
          <t>Kaleido Gaming</t>
        </is>
      </c>
      <c r="AR37" s="24" t="inlineStr">
        <is>
          <t>Kaleido Gaming</t>
        </is>
      </c>
      <c r="AS37" s="24" t="inlineStr">
        <is>
          <t>Not A Squad Esports</t>
        </is>
      </c>
      <c r="AT37" s="24" t="inlineStr">
        <is>
          <t>Not A Squad Esports</t>
        </is>
      </c>
      <c r="AU37" s="24" t="inlineStr">
        <is>
          <t>Not A Squad Esports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8e3e0ed97d5a78c596f8682afe79ee7cad6310b30f8f71e9dd0a1686a2064ff4</t>
        </is>
      </c>
      <c r="BB37" s="24" t="inlineStr">
        <is>
          <t>neutral_elo</t>
        </is>
      </c>
      <c r="BC37" s="24" t="inlineStr">
        <is>
          <t>cs2-tiered-elo-v6</t>
        </is>
      </c>
      <c r="BD37" s="24" t="inlineStr">
        <is>
          <t>8e3e0ed97d5a78c596f8682afe79ee7cad6310b30f8f71e9dd0a1686a2064ff4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cs2-tiered-elo-v6</t>
        </is>
      </c>
      <c r="BH37" s="24" t="inlineStr">
        <is>
          <t>2026-10-07T10:24:11.955439Z</t>
        </is>
      </c>
      <c r="BI37" s="24" t="inlineStr">
        <is>
          <t>["same_event","same_team_same_day","same_league_same_day"]</t>
        </is>
      </c>
      <c r="BJ37" s="25" t="n"/>
      <c r="BK37" s="26" t="n">
        <v>-186</v>
      </c>
      <c r="BL37" s="27" t="n">
        <v>1.537634</v>
      </c>
      <c r="BM37" s="28" t="n">
        <v>0.65035</v>
      </c>
      <c r="BN37" s="28" t="n"/>
      <c r="BO37" s="28" t="n"/>
      <c r="BP37" s="25" t="n"/>
      <c r="BQ37" s="27" t="n">
        <v>1.25</v>
      </c>
      <c r="BR37" s="28" t="n">
        <v>0.8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False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0.65035</t>
        </is>
      </c>
      <c r="DK37" s="24" t="n"/>
      <c r="DL37" s="24" t="n"/>
      <c r="DM37" s="24" t="n"/>
      <c r="DN37" s="24" t="n"/>
      <c r="DO37" s="24" t="n"/>
      <c r="DP37" s="24" t="n"/>
      <c r="DQ37" s="24" t="inlineStr">
        <is>
          <t>{"artifact_hash": "8e3e0ed97d5a78c596f8682afe79ee7cad6310b30f8f71e9dd0a1686a2064ff4", "away_team": "Kaleido Gaming", "event_id": "144514", "event_start_utc": "2026-10-07T13:00:00Z", "features": {"away_elo": 1558.590447, "away_history_count": 49, "home_elo": 1471.203783, "home_history_count": 7}, "historical_source_observation_times_verified": false, "home_team": "Not A Squad Esports", "inference_inputs": {"book_state": {"games_played": {"bo3:1:21032": 49, "bo3:1:25197": 7}, "inactivity_half_life_days": null, "inactivity_max_pull": null, "k": 40.0, "last_match_utc": {"bo3:1:21032": "2026-09-26T13:00:00Z", "bo3:1:25197": "2026-09-23T13:00:00Z"}, "minimum_reliable_games": null, "platt_intercept": 0.07356619284924003, "platt_slope": 0.8653341483834134, "ratings": {"bo3:1:21032": 1558.590447, "bo3:1:25197": 1471.203783},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["bo3:1:25197", "bo3:1:21032"]}, "market_type": "moneyline", "model_version": "cs2-tiered-elo-v6", "observed_at_utc": "2026-10-07T10:23:09.494602+00:00", "probabilities": {"away": 0.556942, "home": 0.443058}, "replay_scope": "Exact serving book state, calibration, temperature, inactivity reference and thin-history adjustments; training provenance not certified.", "schema": "esports-elo-replay-v1", "snapshot_hash": "b43db68984790896c9b08f89e515c89413e674e26617a0fd1e882ef1018f1166", "sport": "CS2"}</t>
        </is>
      </c>
    </row>
    <row r="38" ht="36" customHeight="1">
      <c r="A38" s="24" t="inlineStr">
        <is>
          <t>b255755aeecd42f5</t>
        </is>
      </c>
      <c r="B38" s="24" t="inlineStr">
        <is>
          <t>2026-10-07T10:27:31.375268Z</t>
        </is>
      </c>
      <c r="C38" s="24" t="inlineStr">
        <is>
          <t>2026-10-07T13:00:00Z</t>
        </is>
      </c>
      <c r="D38" s="24" t="inlineStr">
        <is>
          <t>144521</t>
        </is>
      </c>
      <c r="E38" s="24" t="inlineStr">
        <is>
          <t>CS2</t>
        </is>
      </c>
      <c r="F38" s="24" t="inlineStr">
        <is>
          <t>TEAM XDM</t>
        </is>
      </c>
      <c r="G38" s="24" t="inlineStr">
        <is>
          <t>THE UNIT</t>
        </is>
      </c>
      <c r="H38" s="24" t="inlineStr">
        <is>
          <t>moneyline</t>
        </is>
      </c>
      <c r="I38" s="24" t="inlineStr">
        <is>
          <t>away</t>
        </is>
      </c>
      <c r="J38" s="25" t="n"/>
      <c r="K38" s="24" t="inlineStr">
        <is>
          <t>polymarket_us</t>
        </is>
      </c>
      <c r="L38" s="26" t="n">
        <v>-233</v>
      </c>
      <c r="M38" s="27" t="n">
        <v>1.429185</v>
      </c>
      <c r="N38" s="28" t="n">
        <v>0.6997</v>
      </c>
      <c r="O38" s="28" t="n">
        <v>0.532319</v>
      </c>
      <c r="P38" s="28" t="n"/>
      <c r="Q38" s="28" t="n">
        <v>-0.167381</v>
      </c>
      <c r="R38" s="26" t="n">
        <v>0</v>
      </c>
      <c r="S38" s="29" t="n">
        <v>1</v>
      </c>
      <c r="T38" s="24" t="inlineStr">
        <is>
          <t>cs2-tiered-elo-v6</t>
        </is>
      </c>
      <c r="U38" s="24" t="inlineStr">
        <is>
          <t>settled</t>
        </is>
      </c>
      <c r="V38" s="24" t="inlineStr">
        <is>
          <t>push</t>
        </is>
      </c>
      <c r="W38" s="26" t="n"/>
      <c r="X38" s="26" t="n"/>
      <c r="Y38" s="25" t="n"/>
      <c r="Z38" s="26" t="n"/>
      <c r="AA38" s="28" t="n"/>
      <c r="AB38" s="28" t="n"/>
      <c r="AC38" s="30" t="n">
        <v>0</v>
      </c>
      <c r="AD38" s="24" t="inlineStr">
        <is>
          <t>2026-10-07T16:04:02.367648Z</t>
        </is>
      </c>
      <c r="AE38" s="31" t="inlineStr">
        <is>
          <t>Neutral Elo baseline; executable ask 0.7000 (market_slug=aec-cs2-tu-xdm-2026-10-07).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paper_call</t>
        </is>
      </c>
      <c r="AL38" s="26" t="n">
        <v>4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PAPER_CALL_MODEL_UNVALIDATED</t>
        </is>
      </c>
      <c r="AP38" s="24" t="inlineStr">
        <is>
          <t>TEAM XDM</t>
        </is>
      </c>
      <c r="AQ38" s="24" t="inlineStr">
        <is>
          <t>TEAM XDM</t>
        </is>
      </c>
      <c r="AR38" s="24" t="inlineStr">
        <is>
          <t>TEAM XDM</t>
        </is>
      </c>
      <c r="AS38" s="24" t="inlineStr">
        <is>
          <t>THE UNIT</t>
        </is>
      </c>
      <c r="AT38" s="24" t="inlineStr">
        <is>
          <t>THE UNIT</t>
        </is>
      </c>
      <c r="AU38" s="24" t="inlineStr">
        <is>
          <t>THE UNIT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8e3e0ed97d5a78c596f8682afe79ee7cad6310b30f8f71e9dd0a1686a2064ff4</t>
        </is>
      </c>
      <c r="BB38" s="24" t="inlineStr">
        <is>
          <t>neutral_elo</t>
        </is>
      </c>
      <c r="BC38" s="24" t="inlineStr">
        <is>
          <t>cs2-tiered-elo-v6</t>
        </is>
      </c>
      <c r="BD38" s="24" t="inlineStr">
        <is>
          <t>8e3e0ed97d5a78c596f8682afe79ee7cad6310b30f8f71e9dd0a1686a2064ff4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cs2-tiered-elo-v6</t>
        </is>
      </c>
      <c r="BH38" s="24" t="inlineStr">
        <is>
          <t>2026-10-07T10:24:22.256598Z</t>
        </is>
      </c>
      <c r="BI38" s="24" t="inlineStr">
        <is>
          <t>["same_event","same_team_same_day","same_league_same_day"]</t>
        </is>
      </c>
      <c r="BJ38" s="25" t="n"/>
      <c r="BK38" s="26" t="n">
        <v>-233</v>
      </c>
      <c r="BL38" s="27" t="n">
        <v>1.429185</v>
      </c>
      <c r="BM38" s="28" t="n">
        <v>0.6997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inlineStr">
        <is>
          <t>esports market terminal (MARKET_STATE_EXPIRED) with prices {'THE UNIT': 0.48, 'TEAM XDM': 0.52}; BO3 has no confirming finished-match result either</t>
        </is>
      </c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False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0.6997</t>
        </is>
      </c>
      <c r="DK38" s="24" t="n"/>
      <c r="DL38" s="24" t="n"/>
      <c r="DM38" s="24" t="n"/>
      <c r="DN38" s="24" t="n"/>
      <c r="DO38" s="24" t="n"/>
      <c r="DP38" s="24" t="n"/>
      <c r="DQ38" s="24" t="inlineStr">
        <is>
          <t>{"artifact_hash": "8e3e0ed97d5a78c596f8682afe79ee7cad6310b30f8f71e9dd0a1686a2064ff4", "away_team": "TEAM XDM", "event_id": "144521", "event_start_utc": "2026-10-07T13:00:00Z", "features": {"away_elo": 1500.0, "away_history_count": 0, "home_elo": 1422.943725, "home_history_count": 18}, "historical_source_observation_times_verified": false, "home_team": "THE UNIT", "inference_inputs": {"book_state": {"games_played": {"bo3:1:22879": 18}, "inactivity_half_life_days": null, "inactivity_max_pull": null, "k": 40.0, "last_match_utc": {"bo3:1:22879": "2026-10-06T10:45:00Z"}, "minimum_reliable_games": null, "platt_intercept": 0.07356619284924003, "platt_slope": 0.8653341483834134, "ratings": {"bo3:1:22879": 1422.943725},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["bo3:1:22879", "unknown:teamxdm"]}, "market_type": "moneyline", "model_version": "cs2-tiered-elo-v6", "observed_at_utc": "2026-10-07T10:23:09.494602+00:00", "probabilities": {"away": 0.532319, "home": 0.467681}, "replay_scope": "Exact serving book state, calibration, temperature, inactivity reference and thin-history adjustments; training provenance not certified.", "schema": "esports-elo-replay-v1", "snapshot_hash": "3d3697223c9b217df047c9b390a9c764538017d140404fb5edb629d96ec1acdf", "sport": "CS2"}</t>
        </is>
      </c>
    </row>
    <row r="39" ht="36" customHeight="1">
      <c r="A39" s="24" t="inlineStr">
        <is>
          <t>463dc454c4b74207</t>
        </is>
      </c>
      <c r="B39" s="24" t="inlineStr">
        <is>
          <t>2026-10-07T10:27:31.375268Z</t>
        </is>
      </c>
      <c r="C39" s="24" t="inlineStr">
        <is>
          <t>2026-10-07T13:00:00Z</t>
        </is>
      </c>
      <c r="D39" s="24" t="inlineStr">
        <is>
          <t>145776</t>
        </is>
      </c>
      <c r="E39" s="24" t="inlineStr">
        <is>
          <t>CS2</t>
        </is>
      </c>
      <c r="F39" s="24" t="inlineStr">
        <is>
          <t>MOUZ NXT</t>
        </is>
      </c>
      <c r="G39" s="24" t="inlineStr">
        <is>
          <t>ENCE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-178</v>
      </c>
      <c r="M39" s="27" t="n">
        <v>1.561798</v>
      </c>
      <c r="N39" s="28" t="n">
        <v>0.640288</v>
      </c>
      <c r="O39" s="28" t="n">
        <v>0.6972699999999999</v>
      </c>
      <c r="P39" s="28" t="n"/>
      <c r="Q39" s="28" t="n">
        <v>0.056982</v>
      </c>
      <c r="R39" s="26" t="n">
        <v>48</v>
      </c>
      <c r="S39" s="29" t="n">
        <v>1</v>
      </c>
      <c r="T39" s="24" t="inlineStr">
        <is>
          <t>cs2-tiered-elo-v6</t>
        </is>
      </c>
      <c r="U39" s="24" t="inlineStr">
        <is>
          <t>settled</t>
        </is>
      </c>
      <c r="V39" s="24" t="inlineStr">
        <is>
          <t>loss</t>
        </is>
      </c>
      <c r="W39" s="26" t="n">
        <v>1</v>
      </c>
      <c r="X39" s="26" t="n">
        <v>0</v>
      </c>
      <c r="Y39" s="25" t="n"/>
      <c r="Z39" s="26" t="n">
        <v>-178</v>
      </c>
      <c r="AA39" s="28" t="n">
        <v>0.64</v>
      </c>
      <c r="AB39" s="28" t="n">
        <v>-0.000288</v>
      </c>
      <c r="AC39" s="30" t="n">
        <v>-1</v>
      </c>
      <c r="AD39" s="24" t="inlineStr">
        <is>
          <t>2026-10-07T16:04:07.584356Z</t>
        </is>
      </c>
      <c r="AE39" s="31" t="inlineStr">
        <is>
          <t>Neutral Elo baseline; executable ask 0.6400 (market_slug=aec-cs2-ence-mouzn-2026-10-07).</t>
        </is>
      </c>
      <c r="AF39" s="31" t="inlineStr">
        <is>
          <t>Config-promoted esports baseline; gates enforced at log time.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4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MOUZ NXT</t>
        </is>
      </c>
      <c r="AQ39" s="24" t="inlineStr">
        <is>
          <t>MOUZ NXT</t>
        </is>
      </c>
      <c r="AR39" s="24" t="inlineStr">
        <is>
          <t>MOUZ NXT</t>
        </is>
      </c>
      <c r="AS39" s="24" t="inlineStr">
        <is>
          <t>ENCE</t>
        </is>
      </c>
      <c r="AT39" s="24" t="inlineStr">
        <is>
          <t>ENCE</t>
        </is>
      </c>
      <c r="AU39" s="24" t="inlineStr">
        <is>
          <t>ENCE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8e3e0ed97d5a78c596f8682afe79ee7cad6310b30f8f71e9dd0a1686a2064ff4</t>
        </is>
      </c>
      <c r="BB39" s="24" t="inlineStr">
        <is>
          <t>neutral_elo</t>
        </is>
      </c>
      <c r="BC39" s="24" t="inlineStr">
        <is>
          <t>cs2-tiered-elo-v6</t>
        </is>
      </c>
      <c r="BD39" s="24" t="inlineStr">
        <is>
          <t>8e3e0ed97d5a78c596f8682afe79ee7cad6310b30f8f71e9dd0a1686a2064ff4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cs2-tiered-elo-v6</t>
        </is>
      </c>
      <c r="BH39" s="24" t="inlineStr">
        <is>
          <t>2026-10-07T10:24:32.565608Z</t>
        </is>
      </c>
      <c r="BI39" s="24" t="inlineStr">
        <is>
          <t>["same_event","same_team_same_day","same_league_same_day"]</t>
        </is>
      </c>
      <c r="BJ39" s="25" t="n"/>
      <c r="BK39" s="26" t="n">
        <v>-178</v>
      </c>
      <c r="BL39" s="27" t="n">
        <v>1.561798</v>
      </c>
      <c r="BM39" s="28" t="n">
        <v>0.640288</v>
      </c>
      <c r="BN39" s="28" t="n"/>
      <c r="BO39" s="28" t="n"/>
      <c r="BP39" s="25" t="n"/>
      <c r="BQ39" s="27" t="n">
        <v>1.561798</v>
      </c>
      <c r="BR39" s="28" t="n">
        <v>0.64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0.640288</t>
        </is>
      </c>
      <c r="DK39" s="24" t="n"/>
      <c r="DL39" s="24" t="n"/>
      <c r="DM39" s="24" t="n"/>
      <c r="DN39" s="24" t="n"/>
      <c r="DO39" s="24" t="n"/>
      <c r="DP39" s="24" t="n"/>
      <c r="DQ39" s="24" t="inlineStr">
        <is>
          <t>{"artifact_hash": "8e3e0ed97d5a78c596f8682afe79ee7cad6310b30f8f71e9dd0a1686a2064ff4", "away_team": "MOUZ NXT", "event_id": "145776", "event_start_utc": "2026-10-07T13:00:00Z", "features": {"away_elo": 1466.159341, "away_history_count": 420, "home_elo": 1658.686118, "home_history_count": 297}, "historical_source_observation_times_verified": false, "home_team": "ENCE", "inference_inputs": {"book_state": {"games_played": {"bo3:1:1455": 420, "bo3:1:754": 297}, "inactivity_half_life_days": null, "inactivity_max_pull": null, "k": 40.0, "last_match_utc": {"bo3:1:1455": "2026-10-06T14:10:00Z", "bo3:1:754": "2026-09-30T16:35:00Z"}, "minimum_reliable_games": null, "platt_intercept": 0.07356619284924003, "platt_slope": 0.8653341483834134, "ratings": {"bo3:1:1455": 1466.159341, "bo3:1:754": 1658.686118},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["bo3:1:754", "bo3:1:1455"]}, "market_type": "moneyline", "model_version": "cs2-tiered-elo-v6", "observed_at_utc": "2026-10-07T10:23:09.494602+00:00", "probabilities": {"away": 0.30273, "home": 0.69727}, "replay_scope": "Exact serving book state, calibration, temperature, inactivity reference and thin-history adjustments; training provenance not certified.", "schema": "esports-elo-replay-v1", "snapshot_hash": "10d904e77c1d7bc676a505d780296f8b8df0fc4f35a7f774a30cb07fc3a2f2c9", "sport": "CS2"}</t>
        </is>
      </c>
    </row>
    <row r="40" ht="36" customHeight="1">
      <c r="A40" s="24" t="inlineStr">
        <is>
          <t>fa51ba816d374cbd</t>
        </is>
      </c>
      <c r="B40" s="24" t="inlineStr">
        <is>
          <t>2026-10-07T10:27:31.375268Z</t>
        </is>
      </c>
      <c r="C40" s="24" t="inlineStr">
        <is>
          <t>2026-10-07T13:00:00Z</t>
        </is>
      </c>
      <c r="D40" s="24" t="inlineStr">
        <is>
          <t>145784</t>
        </is>
      </c>
      <c r="E40" s="24" t="inlineStr">
        <is>
          <t>CS2</t>
        </is>
      </c>
      <c r="F40" s="24" t="inlineStr">
        <is>
          <t>los kogutos</t>
        </is>
      </c>
      <c r="G40" s="24" t="inlineStr">
        <is>
          <t>HyperSpirit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-138</v>
      </c>
      <c r="M40" s="27" t="n">
        <v>1.724638</v>
      </c>
      <c r="N40" s="28" t="n">
        <v>0.579832</v>
      </c>
      <c r="O40" s="28" t="n">
        <v>0.557554</v>
      </c>
      <c r="P40" s="28" t="n"/>
      <c r="Q40" s="28" t="n">
        <v>-0.022278</v>
      </c>
      <c r="R40" s="26" t="n">
        <v>9</v>
      </c>
      <c r="S40" s="29" t="n">
        <v>1</v>
      </c>
      <c r="T40" s="24" t="inlineStr">
        <is>
          <t>cs2-tiered-elo-v6</t>
        </is>
      </c>
      <c r="U40" s="24" t="inlineStr">
        <is>
          <t>settled</t>
        </is>
      </c>
      <c r="V40" s="24" t="inlineStr">
        <is>
          <t>loss</t>
        </is>
      </c>
      <c r="W40" s="26" t="n">
        <v>0</v>
      </c>
      <c r="X40" s="26" t="n">
        <v>1</v>
      </c>
      <c r="Y40" s="25" t="n"/>
      <c r="Z40" s="26" t="n">
        <v>-1011</v>
      </c>
      <c r="AA40" s="28" t="n">
        <v>0.91</v>
      </c>
      <c r="AB40" s="28" t="n">
        <v>0.330168</v>
      </c>
      <c r="AC40" s="30" t="n">
        <v>-1</v>
      </c>
      <c r="AD40" s="24" t="inlineStr">
        <is>
          <t>2026-10-07T16:04:15.910964Z</t>
        </is>
      </c>
      <c r="AE40" s="31" t="inlineStr">
        <is>
          <t>Neutral Elo baseline; executable ask 0.5800 (market_slug=aec-cs2-hs-lk-2026-10-07).</t>
        </is>
      </c>
      <c r="AF40" s="31" t="inlineStr">
        <is>
          <t>Config-promoted esports baseline; gates enforced at log time.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paper_call</t>
        </is>
      </c>
      <c r="AL40" s="26" t="n">
        <v>4</v>
      </c>
      <c r="AM40" s="24" t="inlineStr">
        <is>
          <t>RESEARCH_OBSERVATION</t>
        </is>
      </c>
      <c r="AN40" s="24" t="inlineStr">
        <is>
          <t>CALL</t>
        </is>
      </c>
      <c r="AO40" s="24" t="inlineStr">
        <is>
          <t>PAPER_CALL_LOW_EDGE</t>
        </is>
      </c>
      <c r="AP40" s="24" t="inlineStr">
        <is>
          <t>los kogutos</t>
        </is>
      </c>
      <c r="AQ40" s="24" t="inlineStr">
        <is>
          <t>los kogutos</t>
        </is>
      </c>
      <c r="AR40" s="24" t="inlineStr">
        <is>
          <t>los kogutos</t>
        </is>
      </c>
      <c r="AS40" s="24" t="inlineStr">
        <is>
          <t>HyperSpirit</t>
        </is>
      </c>
      <c r="AT40" s="24" t="inlineStr">
        <is>
          <t>HyperSpirit</t>
        </is>
      </c>
      <c r="AU40" s="24" t="inlineStr">
        <is>
          <t>HyperSpirit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8e3e0ed97d5a78c596f8682afe79ee7cad6310b30f8f71e9dd0a1686a2064ff4</t>
        </is>
      </c>
      <c r="BB40" s="24" t="inlineStr">
        <is>
          <t>neutral_elo</t>
        </is>
      </c>
      <c r="BC40" s="24" t="inlineStr">
        <is>
          <t>cs2-tiered-elo-v6</t>
        </is>
      </c>
      <c r="BD40" s="24" t="inlineStr">
        <is>
          <t>8e3e0ed97d5a78c596f8682afe79ee7cad6310b30f8f71e9dd0a1686a2064ff4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cs2-tiered-elo-v6</t>
        </is>
      </c>
      <c r="BH40" s="24" t="inlineStr">
        <is>
          <t>2026-10-07T10:24:43.003275Z</t>
        </is>
      </c>
      <c r="BI40" s="24" t="inlineStr">
        <is>
          <t>["same_event","same_team_same_day","same_league_same_day"]</t>
        </is>
      </c>
      <c r="BJ40" s="25" t="n"/>
      <c r="BK40" s="26" t="n">
        <v>-138</v>
      </c>
      <c r="BL40" s="27" t="n">
        <v>1.724638</v>
      </c>
      <c r="BM40" s="28" t="n">
        <v>0.579832</v>
      </c>
      <c r="BN40" s="28" t="n"/>
      <c r="BO40" s="28" t="n"/>
      <c r="BP40" s="25" t="n"/>
      <c r="BQ40" s="27" t="n">
        <v>1.098912</v>
      </c>
      <c r="BR40" s="28" t="n">
        <v>0.91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False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0.579832</t>
        </is>
      </c>
      <c r="DK40" s="24" t="n"/>
      <c r="DL40" s="24" t="n"/>
      <c r="DM40" s="24" t="n"/>
      <c r="DN40" s="24" t="n"/>
      <c r="DO40" s="24" t="n"/>
      <c r="DP40" s="24" t="n"/>
      <c r="DQ40" s="24" t="inlineStr">
        <is>
          <t>{"artifact_hash": "8e3e0ed97d5a78c596f8682afe79ee7cad6310b30f8f71e9dd0a1686a2064ff4", "away_team": "los kogutos", "event_id": "145784", "event_start_utc": "2026-10-07T13:00:00Z", "features": {"away_elo": 1608.157317, "away_history_count": 182, "home_elo": 1501.265572, "home_history_count": 237}, "historical_source_observation_times_verified": false, "home_team": "HyperSpirit", "inference_inputs": {"book_state": {"games_played": {"bo3:1:1093": 182, "bo3:1:9651": 237}, "inactivity_half_life_days": null, "inactivity_max_pull": null, "k": 40.0, "last_match_utc": {"bo3:1:1093": "2026-08-12T15:00:00Z", "bo3:1:9651": "2026-09-30T10:15:00Z"}, "minimum_reliable_games": null, "platt_intercept": 0.07356619284924003, "platt_slope": 0.8653341483834134, "ratings": {"bo3:1:1093": 1608.157317, "bo3:1:9651": 1501.265572},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["bo3:1:9651", "bo3:1:1093"]}, "market_type": "moneyline", "model_version": "cs2-tiered-elo-v6", "observed_at_utc": "2026-10-07T10:23:09.494602+00:00", "probabilities": {"away": 0.557554, "home": 0.442446}, "replay_scope": "Exact serving book state, calibration, temperature, inactivity reference and thin-history adjustments; training provenance not certified.", "schema": "esports-elo-replay-v1", "snapshot_hash": "610e598427f89c21d7192b8e8a88697cd90875d179acc1262075e6bfeb5ee63b", "sport": "CS2"}</t>
        </is>
      </c>
    </row>
    <row r="41" ht="36" customHeight="1">
      <c r="A41" s="24" t="inlineStr">
        <is>
          <t>9cfa239503cf457c</t>
        </is>
      </c>
      <c r="B41" s="24" t="inlineStr">
        <is>
          <t>2026-10-07T10:27:31.375268Z</t>
        </is>
      </c>
      <c r="C41" s="24" t="inlineStr">
        <is>
          <t>2026-10-07T13:00:00Z</t>
        </is>
      </c>
      <c r="D41" s="24" t="inlineStr">
        <is>
          <t>145789</t>
        </is>
      </c>
      <c r="E41" s="24" t="inlineStr">
        <is>
          <t>CS2</t>
        </is>
      </c>
      <c r="F41" s="24" t="inlineStr">
        <is>
          <t>Vexar</t>
        </is>
      </c>
      <c r="G41" s="24" t="inlineStr">
        <is>
          <t>Saint Sinners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203</v>
      </c>
      <c r="M41" s="27" t="n">
        <v>3.03</v>
      </c>
      <c r="N41" s="28" t="n">
        <v>0.330033</v>
      </c>
      <c r="O41" s="28" t="n">
        <v>0.662991</v>
      </c>
      <c r="P41" s="28" t="n"/>
      <c r="Q41" s="28" t="n">
        <v>0.332958</v>
      </c>
      <c r="R41" s="26" t="n">
        <v>100</v>
      </c>
      <c r="S41" s="29" t="n">
        <v>2</v>
      </c>
      <c r="T41" s="24" t="inlineStr">
        <is>
          <t>cs2-tiered-elo-v6</t>
        </is>
      </c>
      <c r="U41" s="24" t="inlineStr">
        <is>
          <t>settled</t>
        </is>
      </c>
      <c r="V41" s="24" t="inlineStr">
        <is>
          <t>loss</t>
        </is>
      </c>
      <c r="W41" s="26" t="n">
        <v>0</v>
      </c>
      <c r="X41" s="26" t="n">
        <v>1</v>
      </c>
      <c r="Y41" s="25" t="n"/>
      <c r="Z41" s="26" t="n">
        <v>-1011</v>
      </c>
      <c r="AA41" s="28" t="n">
        <v>0.91</v>
      </c>
      <c r="AB41" s="28" t="n">
        <v>0.579967</v>
      </c>
      <c r="AC41" s="30" t="n">
        <v>-2</v>
      </c>
      <c r="AD41" s="24" t="inlineStr">
        <is>
          <t>2026-10-07T16:04:24.237919Z</t>
        </is>
      </c>
      <c r="AE41" s="31" t="inlineStr">
        <is>
          <t>Neutral Elo baseline; executable ask 0.3300 (market_slug=aec-cs2-ssins-vexar-2026-10-07).</t>
        </is>
      </c>
      <c r="AF41" s="31" t="inlineStr">
        <is>
          <t>Config-promoted esports baseline; gates enforced at log time.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4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Vexar</t>
        </is>
      </c>
      <c r="AQ41" s="24" t="inlineStr">
        <is>
          <t>Vexar</t>
        </is>
      </c>
      <c r="AR41" s="24" t="inlineStr">
        <is>
          <t>Vexar</t>
        </is>
      </c>
      <c r="AS41" s="24" t="inlineStr">
        <is>
          <t>Saint Sinners</t>
        </is>
      </c>
      <c r="AT41" s="24" t="inlineStr">
        <is>
          <t>Saint Sinners</t>
        </is>
      </c>
      <c r="AU41" s="24" t="inlineStr">
        <is>
          <t>Saint Sinners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8e3e0ed97d5a78c596f8682afe79ee7cad6310b30f8f71e9dd0a1686a2064ff4</t>
        </is>
      </c>
      <c r="BB41" s="24" t="inlineStr">
        <is>
          <t>neutral_elo</t>
        </is>
      </c>
      <c r="BC41" s="24" t="inlineStr">
        <is>
          <t>cs2-tiered-elo-v6</t>
        </is>
      </c>
      <c r="BD41" s="24" t="inlineStr">
        <is>
          <t>8e3e0ed97d5a78c596f8682afe79ee7cad6310b30f8f71e9dd0a1686a2064ff4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cs2-tiered-elo-v6</t>
        </is>
      </c>
      <c r="BH41" s="24" t="inlineStr">
        <is>
          <t>2026-10-07T10:24:53.237022Z</t>
        </is>
      </c>
      <c r="BI41" s="24" t="inlineStr">
        <is>
          <t>["same_event","same_team_same_day","same_league_same_day"]</t>
        </is>
      </c>
      <c r="BJ41" s="25" t="n"/>
      <c r="BK41" s="26" t="n">
        <v>203</v>
      </c>
      <c r="BL41" s="27" t="n">
        <v>3.03</v>
      </c>
      <c r="BM41" s="28" t="n">
        <v>0.330033</v>
      </c>
      <c r="BN41" s="28" t="n"/>
      <c r="BO41" s="28" t="n"/>
      <c r="BP41" s="25" t="n"/>
      <c r="BQ41" s="27" t="n">
        <v>1.098912</v>
      </c>
      <c r="BR41" s="28" t="n">
        <v>0.91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0.330033</t>
        </is>
      </c>
      <c r="DK41" s="24" t="n"/>
      <c r="DL41" s="24" t="n"/>
      <c r="DM41" s="24" t="n"/>
      <c r="DN41" s="24" t="n"/>
      <c r="DO41" s="24" t="n"/>
      <c r="DP41" s="24" t="n"/>
      <c r="DQ41" s="24" t="inlineStr">
        <is>
          <t>{"artifact_hash": "8e3e0ed97d5a78c596f8682afe79ee7cad6310b30f8f71e9dd0a1686a2064ff4", "away_team": "Vexar", "event_id": "145789", "event_start_utc": "2026-10-07T13:00:00Z", "features": {"away_elo": 1646.176901, "away_history_count": 54, "home_elo": 1453.373888, "home_history_count": 13}, "historical_source_observation_times_verified": false, "home_team": "Saint Sinners", "inference_inputs": {"book_state": {"games_played": {"bo3:1:10088": 54, "bo3:1:25223": 13}, "inactivity_half_life_days": null, "inactivity_max_pull": null, "k": 40.0, "last_match_utc": {"bo3:1:10088": "2026-09-26T08:25:00Z", "bo3:1:25223": "2026-09-27T11:15:00Z"}, "minimum_reliable_games": null, "platt_intercept": 0.07356619284924003, "platt_slope": 0.8653341483834134, "ratings": {"bo3:1:10088": 1646.176901, "bo3:1:25223": 1453.373888},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["bo3:1:25223", "bo3:1:10088"]}, "market_type": "moneyline", "model_version": "cs2-tiered-elo-v6", "observed_at_utc": "2026-10-07T10:23:09.494602+00:00", "probabilities": {"away": 0.662991, "home": 0.337009}, "replay_scope": "Exact serving book state, calibration, temperature, inactivity reference and thin-history adjustments; training provenance not certified.", "schema": "esports-elo-replay-v1", "snapshot_hash": "bc0833166d36f6fb98cf798d567897b990d2c752bd58bbad068d9357dd69d351", "sport": "CS2"}</t>
        </is>
      </c>
    </row>
    <row r="42" ht="36" customHeight="1">
      <c r="A42" s="24" t="inlineStr">
        <is>
          <t>1f06570c0c8e4f34</t>
        </is>
      </c>
      <c r="B42" s="24" t="inlineStr">
        <is>
          <t>2026-10-07T10:27:31.375268Z</t>
        </is>
      </c>
      <c r="C42" s="24" t="inlineStr">
        <is>
          <t>2026-10-07T14:00:00Z</t>
        </is>
      </c>
      <c r="D42" s="24" t="inlineStr">
        <is>
          <t>145660</t>
        </is>
      </c>
      <c r="E42" s="24" t="inlineStr">
        <is>
          <t>CS2</t>
        </is>
      </c>
      <c r="F42" s="24" t="inlineStr">
        <is>
          <t>megoshort</t>
        </is>
      </c>
      <c r="G42" s="24" t="inlineStr">
        <is>
          <t>Azuolas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122</v>
      </c>
      <c r="M42" s="27" t="n">
        <v>2.22</v>
      </c>
      <c r="N42" s="28" t="n">
        <v>0.45045</v>
      </c>
      <c r="O42" s="28" t="n">
        <v>0.5752890000000001</v>
      </c>
      <c r="P42" s="28" t="n"/>
      <c r="Q42" s="28" t="n">
        <v>0.124839</v>
      </c>
      <c r="R42" s="26" t="n">
        <v>82</v>
      </c>
      <c r="S42" s="29" t="n">
        <v>1.5</v>
      </c>
      <c r="T42" s="24" t="inlineStr">
        <is>
          <t>cs2-tiered-elo-v6</t>
        </is>
      </c>
      <c r="U42" s="24" t="inlineStr">
        <is>
          <t>settled</t>
        </is>
      </c>
      <c r="V42" s="24" t="inlineStr">
        <is>
          <t>win</t>
        </is>
      </c>
      <c r="W42" s="26" t="n">
        <v>1</v>
      </c>
      <c r="X42" s="26" t="n">
        <v>0</v>
      </c>
      <c r="Y42" s="25" t="n"/>
      <c r="Z42" s="26" t="n">
        <v>178</v>
      </c>
      <c r="AA42" s="28" t="n">
        <v>0.36</v>
      </c>
      <c r="AB42" s="28" t="n">
        <v>-0.09045</v>
      </c>
      <c r="AC42" s="30" t="n">
        <v>1.83</v>
      </c>
      <c r="AD42" s="24" t="inlineStr">
        <is>
          <t>2026-10-07T22:00:41.345685Z</t>
        </is>
      </c>
      <c r="AE42" s="31" t="inlineStr">
        <is>
          <t>Neutral Elo baseline; executable ask 0.4500 (market_slug=aec-cs2-azu-mego-2026-10-07).</t>
        </is>
      </c>
      <c r="AF42" s="31" t="inlineStr">
        <is>
          <t>Config-promoted esports baseline; gates enforced at log time.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4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megoshort</t>
        </is>
      </c>
      <c r="AQ42" s="24" t="inlineStr">
        <is>
          <t>megoshort</t>
        </is>
      </c>
      <c r="AR42" s="24" t="inlineStr">
        <is>
          <t>megoshort</t>
        </is>
      </c>
      <c r="AS42" s="24" t="inlineStr">
        <is>
          <t>Azuolas</t>
        </is>
      </c>
      <c r="AT42" s="24" t="inlineStr">
        <is>
          <t>Azuolas</t>
        </is>
      </c>
      <c r="AU42" s="24" t="inlineStr">
        <is>
          <t>Azuolas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8e3e0ed97d5a78c596f8682afe79ee7cad6310b30f8f71e9dd0a1686a2064ff4</t>
        </is>
      </c>
      <c r="BB42" s="24" t="inlineStr">
        <is>
          <t>neutral_elo</t>
        </is>
      </c>
      <c r="BC42" s="24" t="inlineStr">
        <is>
          <t>cs2-tiered-elo-v6</t>
        </is>
      </c>
      <c r="BD42" s="24" t="inlineStr">
        <is>
          <t>8e3e0ed97d5a78c596f8682afe79ee7cad6310b30f8f71e9dd0a1686a2064ff4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cs2-tiered-elo-v6</t>
        </is>
      </c>
      <c r="BH42" s="24" t="inlineStr">
        <is>
          <t>2026-10-07T10:25:03.442229Z</t>
        </is>
      </c>
      <c r="BI42" s="24" t="inlineStr">
        <is>
          <t>["same_event","same_team_same_day","same_league_same_day"]</t>
        </is>
      </c>
      <c r="BJ42" s="25" t="n"/>
      <c r="BK42" s="26" t="n">
        <v>122</v>
      </c>
      <c r="BL42" s="27" t="n">
        <v>2.22</v>
      </c>
      <c r="BM42" s="28" t="n">
        <v>0.45045</v>
      </c>
      <c r="BN42" s="28" t="n"/>
      <c r="BO42" s="28" t="n"/>
      <c r="BP42" s="25" t="n"/>
      <c r="BQ42" s="27" t="n">
        <v>2.78</v>
      </c>
      <c r="BR42" s="28" t="n">
        <v>0.36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0.45045</t>
        </is>
      </c>
      <c r="DK42" s="24" t="n"/>
      <c r="DL42" s="24" t="n"/>
      <c r="DM42" s="24" t="n"/>
      <c r="DN42" s="24" t="n"/>
      <c r="DO42" s="24" t="n"/>
      <c r="DP42" s="24" t="n"/>
      <c r="DQ42" s="24" t="inlineStr">
        <is>
          <t>{"artifact_hash": "8e3e0ed97d5a78c596f8682afe79ee7cad6310b30f8f71e9dd0a1686a2064ff4", "away_team": "megoshort", "event_id": "145660", "event_start_utc": "2026-10-07T14:00:00Z", "features": {"away_elo": 1512.92608, "away_history_count": 178, "home_elo": 1422.509791, "home_history_count": 17}, "historical_source_observation_times_verified": false, "home_team": "Azuolas", "inference_inputs": {"book_state": {"games_played": {"bo3:1:1226": 178, "bo3:1:25247": 17}, "inactivity_half_life_days": null, "inactivity_max_pull": null, "k": 40.0, "last_match_utc": {"bo3:1:1226": "2026-10-04T14:15:00Z", "bo3:1:25247": "2026-10-02T11:00:00Z"}, "minimum_reliable_games": null, "platt_intercept": 0.07356619284924003, "platt_slope": 0.8653341483834134, "ratings": {"bo3:1:1226": 1512.92608, "bo3:1:25247": 1422.509791},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["bo3:1:25247", "bo3:1:1226"]}, "market_type": "moneyline", "model_version": "cs2-tiered-elo-v6", "observed_at_utc": "2026-10-07T10:23:09.494602+00:00", "probabilities": {"away": 0.575289, "home": 0.424711}, "replay_scope": "Exact serving book state, calibration, temperature, inactivity reference and thin-history adjustments; training provenance not certified.", "schema": "esports-elo-replay-v1", "snapshot_hash": "b42f1cd0d70f19b33aabbbb19c6980a6a443908ff758f9996f8097a39dbb912e", "sport": "CS2"}</t>
        </is>
      </c>
    </row>
    <row r="43" ht="36" customHeight="1">
      <c r="A43" s="24" t="inlineStr">
        <is>
          <t>2e30635561424e31</t>
        </is>
      </c>
      <c r="B43" s="24" t="inlineStr">
        <is>
          <t>2026-10-07T10:27:31.375268Z</t>
        </is>
      </c>
      <c r="C43" s="24" t="inlineStr">
        <is>
          <t>2026-10-07T14:00:00Z</t>
        </is>
      </c>
      <c r="D43" s="24" t="inlineStr">
        <is>
          <t>146292</t>
        </is>
      </c>
      <c r="E43" s="24" t="inlineStr">
        <is>
          <t>CS2</t>
        </is>
      </c>
      <c r="F43" s="24" t="inlineStr">
        <is>
          <t>Noir Verse</t>
        </is>
      </c>
      <c r="G43" s="24" t="inlineStr">
        <is>
          <t>Omega</t>
        </is>
      </c>
      <c r="H43" s="24" t="inlineStr">
        <is>
          <t>moneyline</t>
        </is>
      </c>
      <c r="I43" s="24" t="inlineStr">
        <is>
          <t>away</t>
        </is>
      </c>
      <c r="J43" s="25" t="n"/>
      <c r="K43" s="24" t="inlineStr">
        <is>
          <t>polymarket_us</t>
        </is>
      </c>
      <c r="L43" s="26" t="n">
        <v>-150</v>
      </c>
      <c r="M43" s="27" t="n">
        <v>1.666667</v>
      </c>
      <c r="N43" s="28" t="n">
        <v>0.6</v>
      </c>
      <c r="O43" s="28" t="n">
        <v>0.534839</v>
      </c>
      <c r="P43" s="28" t="n"/>
      <c r="Q43" s="28" t="n">
        <v>-0.065161</v>
      </c>
      <c r="R43" s="26" t="n">
        <v>0</v>
      </c>
      <c r="S43" s="29" t="n">
        <v>1</v>
      </c>
      <c r="T43" s="24" t="inlineStr">
        <is>
          <t>cs2-tiered-elo-v6</t>
        </is>
      </c>
      <c r="U43" s="24" t="inlineStr">
        <is>
          <t>settled</t>
        </is>
      </c>
      <c r="V43" s="24" t="inlineStr">
        <is>
          <t>win</t>
        </is>
      </c>
      <c r="W43" s="26" t="n">
        <v>1</v>
      </c>
      <c r="X43" s="26" t="n">
        <v>0</v>
      </c>
      <c r="Y43" s="25" t="n"/>
      <c r="Z43" s="26" t="n">
        <v>-1011</v>
      </c>
      <c r="AA43" s="28" t="n">
        <v>0.91</v>
      </c>
      <c r="AB43" s="28" t="n">
        <v>0.31</v>
      </c>
      <c r="AC43" s="30" t="n">
        <v>0.6667</v>
      </c>
      <c r="AD43" s="24" t="inlineStr">
        <is>
          <t>2026-10-07T22:00:48.938463Z</t>
        </is>
      </c>
      <c r="AE43" s="31" t="inlineStr">
        <is>
          <t>Neutral Elo baseline; executable ask 0.6000 (market_slug=aec-cs2-omg-nvo-2026-10-07).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paper_call</t>
        </is>
      </c>
      <c r="AL43" s="26" t="n">
        <v>4</v>
      </c>
      <c r="AM43" s="24" t="inlineStr">
        <is>
          <t>RESEARCH_OBSERVATION</t>
        </is>
      </c>
      <c r="AN43" s="24" t="inlineStr">
        <is>
          <t>CALL</t>
        </is>
      </c>
      <c r="AO43" s="24" t="inlineStr">
        <is>
          <t>PAPER_CALL_LOW_EDGE</t>
        </is>
      </c>
      <c r="AP43" s="24" t="inlineStr">
        <is>
          <t>Noir Verse</t>
        </is>
      </c>
      <c r="AQ43" s="24" t="inlineStr">
        <is>
          <t>Noir Verse</t>
        </is>
      </c>
      <c r="AR43" s="24" t="inlineStr">
        <is>
          <t>Noir Verse</t>
        </is>
      </c>
      <c r="AS43" s="24" t="inlineStr">
        <is>
          <t>Omega</t>
        </is>
      </c>
      <c r="AT43" s="24" t="inlineStr">
        <is>
          <t>Omega</t>
        </is>
      </c>
      <c r="AU43" s="24" t="inlineStr">
        <is>
          <t>Omega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8e3e0ed97d5a78c596f8682afe79ee7cad6310b30f8f71e9dd0a1686a2064ff4</t>
        </is>
      </c>
      <c r="BB43" s="24" t="inlineStr">
        <is>
          <t>neutral_elo</t>
        </is>
      </c>
      <c r="BC43" s="24" t="inlineStr">
        <is>
          <t>cs2-tiered-elo-v6</t>
        </is>
      </c>
      <c r="BD43" s="24" t="inlineStr">
        <is>
          <t>8e3e0ed97d5a78c596f8682afe79ee7cad6310b30f8f71e9dd0a1686a2064ff4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cs2-tiered-elo-v6</t>
        </is>
      </c>
      <c r="BH43" s="24" t="inlineStr">
        <is>
          <t>2026-10-07T10:25:03.493495Z</t>
        </is>
      </c>
      <c r="BI43" s="24" t="inlineStr">
        <is>
          <t>["same_event","same_team_same_day","same_league_same_day"]</t>
        </is>
      </c>
      <c r="BJ43" s="25" t="n"/>
      <c r="BK43" s="26" t="n">
        <v>-150</v>
      </c>
      <c r="BL43" s="27" t="n">
        <v>1.666667</v>
      </c>
      <c r="BM43" s="28" t="n">
        <v>0.6</v>
      </c>
      <c r="BN43" s="28" t="n"/>
      <c r="BO43" s="28" t="n"/>
      <c r="BP43" s="25" t="n"/>
      <c r="BQ43" s="27" t="n">
        <v>1.098912</v>
      </c>
      <c r="BR43" s="28" t="n">
        <v>0.91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False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0.6</t>
        </is>
      </c>
      <c r="DK43" s="24" t="n"/>
      <c r="DL43" s="24" t="n"/>
      <c r="DM43" s="24" t="n"/>
      <c r="DN43" s="24" t="n"/>
      <c r="DO43" s="24" t="n"/>
      <c r="DP43" s="24" t="n"/>
      <c r="DQ43" s="24" t="inlineStr">
        <is>
          <t>{"artifact_hash": "8e3e0ed97d5a78c596f8682afe79ee7cad6310b30f8f71e9dd0a1686a2064ff4", "away_team": "Noir Verse", "event_id": "146292", "event_start_utc": "2026-10-07T14:00:00Z", "features": {"away_elo": 1618.179994, "away_history_count": 54, "home_elo": 1576.993413, "home_history_count": 89}, "historical_source_observation_times_verified": false, "home_team": "Omega", "inference_inputs": {"book_state": {"games_played": {"bo3:1:22014": 89, "bo3:1:24506": 54}, "inactivity_half_life_days": null, "inactivity_max_pull": null, "k": 40.0, "last_match_utc": {"bo3:1:22014": "2026-09-25T14:35:00Z", "bo3:1:24506": "2026-10-06T11:15:00Z"}, "minimum_reliable_games": null, "platt_intercept": 0.07356619284924003, "platt_slope": 0.8653341483834134, "ratings": {"bo3:1:22014": 1576.993413, "bo3:1:24506": 1618.179994},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["bo3:1:22014", "bo3:1:24506"]}, "market_type": "moneyline", "model_version": "cs2-tiered-elo-v6", "observed_at_utc": "2026-10-07T10:23:09.494602+00:00", "probabilities": {"away": 0.534839, "home": 0.465161}, "replay_scope": "Exact serving book state, calibration, temperature, inactivity reference and thin-history adjustments; training provenance not certified.", "schema": "esports-elo-replay-v1", "snapshot_hash": "569f96097066e582cd00efcfaa7ce511d502642c264e0728ad4249dd9528b57b", "sport": "CS2"}</t>
        </is>
      </c>
    </row>
    <row r="44" ht="36" customHeight="1">
      <c r="A44" s="24" t="inlineStr">
        <is>
          <t>1009c9b9822e40cf</t>
        </is>
      </c>
      <c r="B44" s="24" t="inlineStr">
        <is>
          <t>2026-10-07T10:27:31.375268Z</t>
        </is>
      </c>
      <c r="C44" s="24" t="inlineStr">
        <is>
          <t>2026-10-07T14:30:00Z</t>
        </is>
      </c>
      <c r="D44" s="24" t="inlineStr">
        <is>
          <t>146340</t>
        </is>
      </c>
      <c r="E44" s="24" t="inlineStr">
        <is>
          <t>CS2</t>
        </is>
      </c>
      <c r="F44" s="24" t="inlineStr">
        <is>
          <t>Natus Vincere</t>
        </is>
      </c>
      <c r="G44" s="24" t="inlineStr">
        <is>
          <t>PARIVISION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-186</v>
      </c>
      <c r="M44" s="27" t="n">
        <v>1.537634</v>
      </c>
      <c r="N44" s="28" t="n">
        <v>0.65035</v>
      </c>
      <c r="O44" s="28" t="n">
        <v>0.55009</v>
      </c>
      <c r="P44" s="28" t="n"/>
      <c r="Q44" s="28" t="n">
        <v>-0.10026</v>
      </c>
      <c r="R44" s="26" t="n">
        <v>0</v>
      </c>
      <c r="S44" s="29" t="n">
        <v>1</v>
      </c>
      <c r="T44" s="24" t="inlineStr">
        <is>
          <t>cs2-tiered-elo-v6</t>
        </is>
      </c>
      <c r="U44" s="24" t="inlineStr">
        <is>
          <t>settled</t>
        </is>
      </c>
      <c r="V44" s="24" t="inlineStr">
        <is>
          <t>loss</t>
        </is>
      </c>
      <c r="W44" s="26" t="n">
        <v>0</v>
      </c>
      <c r="X44" s="26" t="n">
        <v>1</v>
      </c>
      <c r="Y44" s="25" t="n"/>
      <c r="Z44" s="26" t="n">
        <v>-203</v>
      </c>
      <c r="AA44" s="28" t="n">
        <v>0.67</v>
      </c>
      <c r="AB44" s="28" t="n">
        <v>0.01965</v>
      </c>
      <c r="AC44" s="30" t="n">
        <v>-1</v>
      </c>
      <c r="AD44" s="24" t="inlineStr">
        <is>
          <t>2026-10-07T22:00:56.345410Z</t>
        </is>
      </c>
      <c r="AE44" s="31" t="inlineStr">
        <is>
          <t>Neutral Elo baseline; executable ask 0.6500 (market_slug=aec-cs2-prv-navi-2026-10-07).</t>
        </is>
      </c>
      <c r="AF44" s="31" t="inlineStr">
        <is>
          <t>Config-promoted esports baseline; gates enforced at log time.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paper_call</t>
        </is>
      </c>
      <c r="AL44" s="26" t="n">
        <v>4</v>
      </c>
      <c r="AM44" s="24" t="inlineStr">
        <is>
          <t>RESEARCH_OBSERVATION</t>
        </is>
      </c>
      <c r="AN44" s="24" t="inlineStr">
        <is>
          <t>CALL</t>
        </is>
      </c>
      <c r="AO44" s="24" t="inlineStr">
        <is>
          <t>PAPER_CALL_LOW_EDGE</t>
        </is>
      </c>
      <c r="AP44" s="24" t="inlineStr">
        <is>
          <t>Natus Vincere</t>
        </is>
      </c>
      <c r="AQ44" s="24" t="inlineStr">
        <is>
          <t>Natus Vincere</t>
        </is>
      </c>
      <c r="AR44" s="24" t="inlineStr">
        <is>
          <t>Natus Vincere</t>
        </is>
      </c>
      <c r="AS44" s="24" t="inlineStr">
        <is>
          <t>PARIVISION</t>
        </is>
      </c>
      <c r="AT44" s="24" t="inlineStr">
        <is>
          <t>PARIVISION</t>
        </is>
      </c>
      <c r="AU44" s="24" t="inlineStr">
        <is>
          <t>PARIVISION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8e3e0ed97d5a78c596f8682afe79ee7cad6310b30f8f71e9dd0a1686a2064ff4</t>
        </is>
      </c>
      <c r="BB44" s="24" t="inlineStr">
        <is>
          <t>neutral_elo</t>
        </is>
      </c>
      <c r="BC44" s="24" t="inlineStr">
        <is>
          <t>cs2-tiered-elo-v6</t>
        </is>
      </c>
      <c r="BD44" s="24" t="inlineStr">
        <is>
          <t>8e3e0ed97d5a78c596f8682afe79ee7cad6310b30f8f71e9dd0a1686a2064ff4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cs2-tiered-elo-v6</t>
        </is>
      </c>
      <c r="BH44" s="24" t="inlineStr">
        <is>
          <t>2026-10-07T10:25:03.542568Z</t>
        </is>
      </c>
      <c r="BI44" s="24" t="inlineStr">
        <is>
          <t>["same_event","same_team_same_day","same_league_same_day"]</t>
        </is>
      </c>
      <c r="BJ44" s="25" t="n"/>
      <c r="BK44" s="26" t="n">
        <v>-186</v>
      </c>
      <c r="BL44" s="27" t="n">
        <v>1.537634</v>
      </c>
      <c r="BM44" s="28" t="n">
        <v>0.65035</v>
      </c>
      <c r="BN44" s="28" t="n"/>
      <c r="BO44" s="28" t="n"/>
      <c r="BP44" s="25" t="n"/>
      <c r="BQ44" s="27" t="n">
        <v>1.492611</v>
      </c>
      <c r="BR44" s="28" t="n">
        <v>0.67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False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0.65035</t>
        </is>
      </c>
      <c r="DK44" s="24" t="n"/>
      <c r="DL44" s="24" t="n"/>
      <c r="DM44" s="24" t="n"/>
      <c r="DN44" s="24" t="n"/>
      <c r="DO44" s="24" t="n"/>
      <c r="DP44" s="24" t="n"/>
      <c r="DQ44" s="24" t="inlineStr">
        <is>
          <t>{"artifact_hash": "8e3e0ed97d5a78c596f8682afe79ee7cad6310b30f8f71e9dd0a1686a2064ff4", "away_team": "Natus Vincere", "event_id": "146340", "event_start_utc": "2026-10-07T14:30:00Z", "features": {"away_elo": 2034.564966, "away_history_count": 197, "home_elo": 1973.088386, "home_history_count": 295}, "historical_source_observation_times_verified": false, "home_team": "PARIVISION", "inference_inputs": {"book_state": {"games_played": {"bo3:1:787": 197, "bo3:1:8171": 295}, "inactivity_half_life_days": null, "inactivity_max_pull": null, "k": 40.0, "last_match_utc": {"bo3:1:787": "2026-10-06T19:05:00Z", "bo3:1:8171": "2026-10-06T12:00:00Z"}, "minimum_reliable_games": null, "platt_intercept": 0.07356619284924003, "platt_slope": 0.8653341483834134, "ratings": {"bo3:1:787": 2034.564966, "bo3:1:8171": 1973.088386},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["bo3:1:8171", "bo3:1:787"]}, "market_type": "moneyline", "model_version": "cs2-tiered-elo-v6", "observed_at_utc": "2026-10-07T10:23:09.494602+00:00", "probabilities": {"away": 0.55009, "home": 0.44991}, "replay_scope": "Exact serving book state, calibration, temperature, inactivity reference and thin-history adjustments; training provenance not certified.", "schema": "esports-elo-replay-v1", "snapshot_hash": "ddc290a5ad1d51aa06ce93baf29053e0ead4e55f9adf3507796ea644c804bced", "sport": "CS2"}</t>
        </is>
      </c>
    </row>
    <row r="45" ht="36" customHeight="1">
      <c r="A45" s="24" t="inlineStr">
        <is>
          <t>abb1f870ecdc4a32</t>
        </is>
      </c>
      <c r="B45" s="24" t="inlineStr">
        <is>
          <t>2026-10-07T10:27:31.375268Z</t>
        </is>
      </c>
      <c r="C45" s="24" t="inlineStr">
        <is>
          <t>2026-10-07T15:00:00Z</t>
        </is>
      </c>
      <c r="D45" s="24" t="inlineStr">
        <is>
          <t>142078</t>
        </is>
      </c>
      <c r="E45" s="24" t="inlineStr">
        <is>
          <t>CS2</t>
        </is>
      </c>
      <c r="F45" s="24" t="inlineStr">
        <is>
          <t>Lazer Cats</t>
        </is>
      </c>
      <c r="G45" s="24" t="inlineStr">
        <is>
          <t>Rebels Gaming</t>
        </is>
      </c>
      <c r="H45" s="24" t="inlineStr">
        <is>
          <t>moneyline</t>
        </is>
      </c>
      <c r="I45" s="24" t="inlineStr">
        <is>
          <t>away</t>
        </is>
      </c>
      <c r="J45" s="25" t="n"/>
      <c r="K45" s="24" t="inlineStr">
        <is>
          <t>polymarket_us</t>
        </is>
      </c>
      <c r="L45" s="26" t="n">
        <v>122</v>
      </c>
      <c r="M45" s="27" t="n">
        <v>2.22</v>
      </c>
      <c r="N45" s="28" t="n">
        <v>0.45045</v>
      </c>
      <c r="O45" s="28" t="n">
        <v>0.507099</v>
      </c>
      <c r="P45" s="28" t="n"/>
      <c r="Q45" s="28" t="n">
        <v>0.056649</v>
      </c>
      <c r="R45" s="26" t="n">
        <v>48</v>
      </c>
      <c r="S45" s="29" t="n">
        <v>1</v>
      </c>
      <c r="T45" s="24" t="inlineStr">
        <is>
          <t>cs2-tiered-elo-v6</t>
        </is>
      </c>
      <c r="U45" s="24" t="inlineStr">
        <is>
          <t>settled</t>
        </is>
      </c>
      <c r="V45" s="24" t="inlineStr">
        <is>
          <t>win</t>
        </is>
      </c>
      <c r="W45" s="26" t="n">
        <v>1</v>
      </c>
      <c r="X45" s="26" t="n">
        <v>0</v>
      </c>
      <c r="Y45" s="25" t="n"/>
      <c r="Z45" s="26" t="n">
        <v>122</v>
      </c>
      <c r="AA45" s="28" t="n">
        <v>0.45</v>
      </c>
      <c r="AB45" s="28" t="n">
        <v>-0.00045</v>
      </c>
      <c r="AC45" s="30" t="n">
        <v>1.22</v>
      </c>
      <c r="AD45" s="24" t="inlineStr">
        <is>
          <t>2026-10-07T16:04:33.331547Z</t>
        </is>
      </c>
      <c r="AE45" s="31" t="inlineStr">
        <is>
          <t>Neutral Elo baseline; executable ask 0.4500 (market_slug=aec-cs2-rbls-lc-2026-10-07).</t>
        </is>
      </c>
      <c r="AF45" s="31" t="inlineStr">
        <is>
          <t>Config-promoted esports baseline; gates enforced at log time.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paper_call</t>
        </is>
      </c>
      <c r="AL45" s="26" t="n">
        <v>4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PAPER_CALL_LOW_EDGE</t>
        </is>
      </c>
      <c r="AP45" s="24" t="inlineStr">
        <is>
          <t>Lazer Cats</t>
        </is>
      </c>
      <c r="AQ45" s="24" t="inlineStr">
        <is>
          <t>Lazer Cats</t>
        </is>
      </c>
      <c r="AR45" s="24" t="inlineStr">
        <is>
          <t>Lazer Cats</t>
        </is>
      </c>
      <c r="AS45" s="24" t="inlineStr">
        <is>
          <t>Rebels Gaming</t>
        </is>
      </c>
      <c r="AT45" s="24" t="inlineStr">
        <is>
          <t>Rebels Gaming</t>
        </is>
      </c>
      <c r="AU45" s="24" t="inlineStr">
        <is>
          <t>Rebels Gaming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8e3e0ed97d5a78c596f8682afe79ee7cad6310b30f8f71e9dd0a1686a2064ff4</t>
        </is>
      </c>
      <c r="BB45" s="24" t="inlineStr">
        <is>
          <t>neutral_elo</t>
        </is>
      </c>
      <c r="BC45" s="24" t="inlineStr">
        <is>
          <t>cs2-tiered-elo-v6</t>
        </is>
      </c>
      <c r="BD45" s="24" t="inlineStr">
        <is>
          <t>8e3e0ed97d5a78c596f8682afe79ee7cad6310b30f8f71e9dd0a1686a2064ff4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cs2-tiered-elo-v6</t>
        </is>
      </c>
      <c r="BH45" s="24" t="inlineStr">
        <is>
          <t>2026-10-07T10:25:13.658255Z</t>
        </is>
      </c>
      <c r="BI45" s="24" t="inlineStr">
        <is>
          <t>["same_event","same_team_same_day","same_league_same_day"]</t>
        </is>
      </c>
      <c r="BJ45" s="25" t="n"/>
      <c r="BK45" s="26" t="n">
        <v>122</v>
      </c>
      <c r="BL45" s="27" t="n">
        <v>2.22</v>
      </c>
      <c r="BM45" s="28" t="n">
        <v>0.45045</v>
      </c>
      <c r="BN45" s="28" t="n"/>
      <c r="BO45" s="28" t="n"/>
      <c r="BP45" s="25" t="n"/>
      <c r="BQ45" s="27" t="n">
        <v>2.22</v>
      </c>
      <c r="BR45" s="28" t="n">
        <v>0.45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0.45045</t>
        </is>
      </c>
      <c r="DK45" s="24" t="n"/>
      <c r="DL45" s="24" t="n"/>
      <c r="DM45" s="24" t="n"/>
      <c r="DN45" s="24" t="n"/>
      <c r="DO45" s="24" t="n"/>
      <c r="DP45" s="24" t="n"/>
      <c r="DQ45" s="24" t="inlineStr">
        <is>
          <t>{"artifact_hash": "8e3e0ed97d5a78c596f8682afe79ee7cad6310b30f8f71e9dd0a1686a2064ff4", "away_team": "Lazer Cats", "event_id": "142078", "event_start_utc": "2026-10-07T15:00:00Z", "features": {"away_elo": 1618.439959, "away_history_count": 222, "home_elo": 1601.486711, "home_history_count": 215}, "historical_source_observation_times_verified": false, "home_team": "Rebels Gaming", "inference_inputs": {"book_state": {"games_played": {"bo3:1:5391": 222, "bo3:1:9932": 215}, "inactivity_half_life_days": null, "inactivity_max_pull": null, "k": 40.0, "last_match_utc": {"bo3:1:5391": "2026-10-03T17:55:00Z", "bo3:1:9932": "2026-09-27T17:10:00Z"}, "minimum_reliable_games": null, "platt_intercept": 0.07356619284924003, "platt_slope": 0.8653341483834134, "ratings": {"bo3:1:5391": 1618.439959, "bo3:1:9932": 1601.486711},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["bo3:1:9932", "bo3:1:5391"]}, "market_type": "moneyline", "model_version": "cs2-tiered-elo-v6", "observed_at_utc": "2026-10-07T10:23:09.494602+00:00", "probabilities": {"away": 0.507099, "home": 0.492901}, "replay_scope": "Exact serving book state, calibration, temperature, inactivity reference and thin-history adjustments; training provenance not certified.", "schema": "esports-elo-replay-v1", "snapshot_hash": "6a42e17c3d3ca4150af97ed3c217759ef0b2846a6889c78ad2dcfead842f99fc", "sport": "CS2"}</t>
        </is>
      </c>
    </row>
    <row r="46" ht="36" customHeight="1">
      <c r="A46" s="24" t="inlineStr">
        <is>
          <t>7fb2a74392c5492c</t>
        </is>
      </c>
      <c r="B46" s="24" t="inlineStr">
        <is>
          <t>2026-10-07T10:27:31.375268Z</t>
        </is>
      </c>
      <c r="C46" s="24" t="inlineStr">
        <is>
          <t>2026-10-07T15:00:00Z</t>
        </is>
      </c>
      <c r="D46" s="24" t="inlineStr">
        <is>
          <t>142085</t>
        </is>
      </c>
      <c r="E46" s="24" t="inlineStr">
        <is>
          <t>CS2</t>
        </is>
      </c>
      <c r="F46" s="24" t="inlineStr">
        <is>
          <t>Phantom</t>
        </is>
      </c>
      <c r="G46" s="24" t="inlineStr">
        <is>
          <t>fnatic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-170</v>
      </c>
      <c r="M46" s="27" t="n">
        <v>1.588235</v>
      </c>
      <c r="N46" s="28" t="n">
        <v>0.62963</v>
      </c>
      <c r="O46" s="28" t="n">
        <v>0.670727</v>
      </c>
      <c r="P46" s="28" t="n"/>
      <c r="Q46" s="28" t="n">
        <v>0.041097</v>
      </c>
      <c r="R46" s="26" t="n">
        <v>41</v>
      </c>
      <c r="S46" s="29" t="n">
        <v>1</v>
      </c>
      <c r="T46" s="24" t="inlineStr">
        <is>
          <t>cs2-tiered-elo-v6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>
        <v>-186</v>
      </c>
      <c r="AA46" s="28" t="n">
        <v>0.65</v>
      </c>
      <c r="AB46" s="28" t="n">
        <v>0.02037</v>
      </c>
      <c r="AC46" s="30" t="n">
        <v>0.5881999999999999</v>
      </c>
      <c r="AD46" s="24" t="inlineStr">
        <is>
          <t>2026-10-07T22:01:03.639435Z</t>
        </is>
      </c>
      <c r="AE46" s="31" t="inlineStr">
        <is>
          <t>Neutral Elo baseline; executable ask 0.6300 (market_slug=aec-cs2-fnc-pha-2026-10-07).</t>
        </is>
      </c>
      <c r="AF46" s="31" t="inlineStr">
        <is>
          <t>Config-promoted esports baseline; gates enforced at log time.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4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Phantom</t>
        </is>
      </c>
      <c r="AQ46" s="24" t="inlineStr">
        <is>
          <t>Phantom</t>
        </is>
      </c>
      <c r="AR46" s="24" t="inlineStr">
        <is>
          <t>Phantom</t>
        </is>
      </c>
      <c r="AS46" s="24" t="inlineStr">
        <is>
          <t>fnatic</t>
        </is>
      </c>
      <c r="AT46" s="24" t="inlineStr">
        <is>
          <t>fnatic</t>
        </is>
      </c>
      <c r="AU46" s="24" t="inlineStr">
        <is>
          <t>fnatic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8e3e0ed97d5a78c596f8682afe79ee7cad6310b30f8f71e9dd0a1686a2064ff4</t>
        </is>
      </c>
      <c r="BB46" s="24" t="inlineStr">
        <is>
          <t>neutral_elo</t>
        </is>
      </c>
      <c r="BC46" s="24" t="inlineStr">
        <is>
          <t>cs2-tiered-elo-v6</t>
        </is>
      </c>
      <c r="BD46" s="24" t="inlineStr">
        <is>
          <t>8e3e0ed97d5a78c596f8682afe79ee7cad6310b30f8f71e9dd0a1686a2064ff4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cs2-tiered-elo-v6</t>
        </is>
      </c>
      <c r="BH46" s="24" t="inlineStr">
        <is>
          <t>2026-10-07T10:25:24.076222Z</t>
        </is>
      </c>
      <c r="BI46" s="24" t="inlineStr">
        <is>
          <t>["same_event","same_team_same_day","same_league_same_day"]</t>
        </is>
      </c>
      <c r="BJ46" s="25" t="n"/>
      <c r="BK46" s="26" t="n">
        <v>-170</v>
      </c>
      <c r="BL46" s="27" t="n">
        <v>1.588235</v>
      </c>
      <c r="BM46" s="28" t="n">
        <v>0.62963</v>
      </c>
      <c r="BN46" s="28" t="n"/>
      <c r="BO46" s="28" t="n"/>
      <c r="BP46" s="25" t="n"/>
      <c r="BQ46" s="27" t="n">
        <v>1.537634</v>
      </c>
      <c r="BR46" s="28" t="n">
        <v>0.65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0.62963</t>
        </is>
      </c>
      <c r="DK46" s="24" t="n"/>
      <c r="DL46" s="24" t="n"/>
      <c r="DM46" s="24" t="n"/>
      <c r="DN46" s="24" t="n"/>
      <c r="DO46" s="24" t="n"/>
      <c r="DP46" s="24" t="n"/>
      <c r="DQ46" s="24" t="inlineStr">
        <is>
          <t>{"artifact_hash": "8e3e0ed97d5a78c596f8682afe79ee7cad6310b30f8f71e9dd0a1686a2064ff4", "away_team": "Phantom", "event_id": "142085", "event_start_utc": "2026-10-07T15:00:00Z", "features": {"away_elo": 1715.84317, "away_history_count": 198, "home_elo": 1858.566348, "home_history_count": 319}, "historical_source_observation_times_verified": false, "home_team": "fnatic", "inference_inputs": {"book_state": {"games_played": {"bo3:1:19204": 198, "bo3:1:786": 319}, "inactivity_half_life_days": null, "inactivity_max_pull": null, "k": 40.0, "last_match_utc": {"bo3:1:19204": "2026-09-24T17:45:00Z", "bo3:1:786": "2026-10-03T17:20:00Z"}, "minimum_reliable_games": null, "platt_intercept": 0.07356619284924003, "platt_slope": 0.8653341483834134, "ratings": {"bo3:1:19204": 1715.84317, "bo3:1:786": 1858.566348},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["bo3:1:786", "bo3:1:19204"]}, "market_type": "moneyline", "model_version": "cs2-tiered-elo-v6", "observed_at_utc": "2026-10-07T10:23:09.494602+00:00", "probabilities": {"away": 0.329273, "home": 0.670727}, "replay_scope": "Exact serving book state, calibration, temperature, inactivity reference and thin-history adjustments; training provenance not certified.", "schema": "esports-elo-replay-v1", "snapshot_hash": "1d9aaf4cb344bdafbd581bfe7f3104eb38111b68a49557bd97497e35bcb0e4b6", "sport": "CS2"}</t>
        </is>
      </c>
    </row>
    <row r="47" ht="36" customHeight="1">
      <c r="A47" s="24" t="inlineStr">
        <is>
          <t>d8772c1c9dec442f</t>
        </is>
      </c>
      <c r="B47" s="24" t="inlineStr">
        <is>
          <t>2026-10-07T10:27:31.375268Z</t>
        </is>
      </c>
      <c r="C47" s="24" t="inlineStr">
        <is>
          <t>2026-10-07T16:15:00Z</t>
        </is>
      </c>
      <c r="D47" s="24" t="inlineStr">
        <is>
          <t>142194</t>
        </is>
      </c>
      <c r="E47" s="24" t="inlineStr">
        <is>
          <t>CS2</t>
        </is>
      </c>
      <c r="F47" s="24" t="inlineStr">
        <is>
          <t>Lazer Cats</t>
        </is>
      </c>
      <c r="G47" s="24" t="inlineStr">
        <is>
          <t>Sangal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-213</v>
      </c>
      <c r="M47" s="27" t="n">
        <v>1.469484</v>
      </c>
      <c r="N47" s="28" t="n">
        <v>0.680511</v>
      </c>
      <c r="O47" s="28" t="n">
        <v>0.692838</v>
      </c>
      <c r="P47" s="28" t="n"/>
      <c r="Q47" s="28" t="n">
        <v>0.012327</v>
      </c>
      <c r="R47" s="26" t="n">
        <v>26</v>
      </c>
      <c r="S47" s="29" t="n">
        <v>1</v>
      </c>
      <c r="T47" s="24" t="inlineStr">
        <is>
          <t>cs2-tiered-elo-v6</t>
        </is>
      </c>
      <c r="U47" s="24" t="inlineStr">
        <is>
          <t>settled</t>
        </is>
      </c>
      <c r="V47" s="24" t="inlineStr">
        <is>
          <t>win</t>
        </is>
      </c>
      <c r="W47" s="26" t="n">
        <v>0</v>
      </c>
      <c r="X47" s="26" t="n">
        <v>1</v>
      </c>
      <c r="Y47" s="25" t="n"/>
      <c r="Z47" s="26" t="n">
        <v>-213</v>
      </c>
      <c r="AA47" s="28" t="n">
        <v>0.68</v>
      </c>
      <c r="AB47" s="28" t="n">
        <v>-0.000511</v>
      </c>
      <c r="AC47" s="30" t="n">
        <v>0.4695</v>
      </c>
      <c r="AD47" s="24" t="inlineStr">
        <is>
          <t>2026-10-07T22:01:11.637836Z</t>
        </is>
      </c>
      <c r="AE47" s="31" t="inlineStr">
        <is>
          <t>Neutral Elo baseline; executable ask 0.6800 (market_slug=aec-cs2-sang-lc-2026-10-07).</t>
        </is>
      </c>
      <c r="AF47" s="31" t="inlineStr">
        <is>
          <t>Config-promoted esports baseline; gates enforced at log time.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paper_call</t>
        </is>
      </c>
      <c r="AL47" s="26" t="n">
        <v>4</v>
      </c>
      <c r="AM47" s="24" t="inlineStr">
        <is>
          <t>RESEARCH_OBSERVATION</t>
        </is>
      </c>
      <c r="AN47" s="24" t="inlineStr">
        <is>
          <t>CALL</t>
        </is>
      </c>
      <c r="AO47" s="24" t="inlineStr">
        <is>
          <t>PAPER_CALL_LOW_EDGE</t>
        </is>
      </c>
      <c r="AP47" s="24" t="inlineStr">
        <is>
          <t>Lazer Cats</t>
        </is>
      </c>
      <c r="AQ47" s="24" t="inlineStr">
        <is>
          <t>Lazer Cats</t>
        </is>
      </c>
      <c r="AR47" s="24" t="inlineStr">
        <is>
          <t>Lazer Cats</t>
        </is>
      </c>
      <c r="AS47" s="24" t="inlineStr">
        <is>
          <t>Sangal</t>
        </is>
      </c>
      <c r="AT47" s="24" t="inlineStr">
        <is>
          <t>Sangal</t>
        </is>
      </c>
      <c r="AU47" s="24" t="inlineStr">
        <is>
          <t>Sangal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8e3e0ed97d5a78c596f8682afe79ee7cad6310b30f8f71e9dd0a1686a2064ff4</t>
        </is>
      </c>
      <c r="BB47" s="24" t="inlineStr">
        <is>
          <t>neutral_elo</t>
        </is>
      </c>
      <c r="BC47" s="24" t="inlineStr">
        <is>
          <t>cs2-tiered-elo-v6</t>
        </is>
      </c>
      <c r="BD47" s="24" t="inlineStr">
        <is>
          <t>8e3e0ed97d5a78c596f8682afe79ee7cad6310b30f8f71e9dd0a1686a2064ff4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cs2-tiered-elo-v6</t>
        </is>
      </c>
      <c r="BH47" s="24" t="inlineStr">
        <is>
          <t>2026-10-07T10:25:24.452541Z</t>
        </is>
      </c>
      <c r="BI47" s="24" t="inlineStr">
        <is>
          <t>["same_event","same_team_same_day","same_league_same_day"]</t>
        </is>
      </c>
      <c r="BJ47" s="25" t="n"/>
      <c r="BK47" s="26" t="n">
        <v>-213</v>
      </c>
      <c r="BL47" s="27" t="n">
        <v>1.469484</v>
      </c>
      <c r="BM47" s="28" t="n">
        <v>0.680511</v>
      </c>
      <c r="BN47" s="28" t="n"/>
      <c r="BO47" s="28" t="n"/>
      <c r="BP47" s="25" t="n"/>
      <c r="BQ47" s="27" t="n">
        <v>1.469484</v>
      </c>
      <c r="BR47" s="28" t="n">
        <v>0.68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0.680511</t>
        </is>
      </c>
      <c r="DK47" s="24" t="n"/>
      <c r="DL47" s="24" t="n"/>
      <c r="DM47" s="24" t="n"/>
      <c r="DN47" s="24" t="n"/>
      <c r="DO47" s="24" t="n"/>
      <c r="DP47" s="24" t="n"/>
      <c r="DQ47" s="24" t="inlineStr">
        <is>
          <t>{"artifact_hash": "8e3e0ed97d5a78c596f8682afe79ee7cad6310b30f8f71e9dd0a1686a2064ff4", "away_team": "Lazer Cats", "event_id": "142194", "event_start_utc": "2026-10-07T16:15:00Z", "features": {"away_elo": 1618.439959, "away_history_count": 222, "home_elo": 1803.470065, "home_history_count": 297}, "historical_source_observation_times_verified": false, "home_team": "Sangal", "inference_inputs": {"book_state": {"games_played": {"bo3:1:36": 297, "bo3:1:5391": 222}, "inactivity_half_life_days": null, "inactivity_max_pull": null, "k": 40.0, "last_match_utc": {"bo3:1:36": "2026-10-03T09:00:00Z", "bo3:1:5391": "2026-10-03T17:55:00Z"}, "minimum_reliable_games": null, "platt_intercept": 0.07356619284924003, "platt_slope": 0.8653341483834134, "ratings": {"bo3:1:36": 1803.470065, "bo3:1:5391": 1618.439959},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["bo3:1:36", "bo3:1:5391"]}, "market_type": "moneyline", "model_version": "cs2-tiered-elo-v6", "observed_at_utc": "2026-10-07T10:23:09.494602+00:00", "probabilities": {"away": 0.307162, "home": 0.692838}, "replay_scope": "Exact serving book state, calibration, temperature, inactivity reference and thin-history adjustments; training provenance not certified.", "schema": "esports-elo-replay-v1", "snapshot_hash": "e75aaeb4b20dc2175e292a12b97f90f671cd8e25b79b8776cb54635f37b6f37a", "sport": "CS2"}</t>
        </is>
      </c>
    </row>
    <row r="48" ht="36" customHeight="1">
      <c r="A48" s="24" t="inlineStr">
        <is>
          <t>6aad433fe72343b4</t>
        </is>
      </c>
      <c r="B48" s="24" t="inlineStr">
        <is>
          <t>2026-10-07T10:27:31.375268Z</t>
        </is>
      </c>
      <c r="C48" s="24" t="inlineStr">
        <is>
          <t>2026-10-07T16:15:00Z</t>
        </is>
      </c>
      <c r="D48" s="24" t="inlineStr">
        <is>
          <t>142195</t>
        </is>
      </c>
      <c r="E48" s="24" t="inlineStr">
        <is>
          <t>CS2</t>
        </is>
      </c>
      <c r="F48" s="24" t="inlineStr">
        <is>
          <t>NAVI Junior</t>
        </is>
      </c>
      <c r="G48" s="24" t="inlineStr">
        <is>
          <t>Rebels Gaming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-150</v>
      </c>
      <c r="M48" s="27" t="n">
        <v>1.666667</v>
      </c>
      <c r="N48" s="28" t="n">
        <v>0.6</v>
      </c>
      <c r="O48" s="28" t="n">
        <v>0.547389</v>
      </c>
      <c r="P48" s="28" t="n"/>
      <c r="Q48" s="28" t="n">
        <v>-0.052611</v>
      </c>
      <c r="R48" s="26" t="n">
        <v>0</v>
      </c>
      <c r="S48" s="29" t="n">
        <v>1</v>
      </c>
      <c r="T48" s="24" t="inlineStr">
        <is>
          <t>cs2-tiered-elo-v6</t>
        </is>
      </c>
      <c r="U48" s="24" t="inlineStr">
        <is>
          <t>settled</t>
        </is>
      </c>
      <c r="V48" s="24" t="inlineStr">
        <is>
          <t>win</t>
        </is>
      </c>
      <c r="W48" s="26" t="n">
        <v>0</v>
      </c>
      <c r="X48" s="26" t="n">
        <v>1</v>
      </c>
      <c r="Y48" s="25" t="n"/>
      <c r="Z48" s="26" t="n">
        <v>-144</v>
      </c>
      <c r="AA48" s="28" t="n">
        <v>0.59</v>
      </c>
      <c r="AB48" s="28" t="n">
        <v>-0.01</v>
      </c>
      <c r="AC48" s="30" t="n">
        <v>0.6667</v>
      </c>
      <c r="AD48" s="24" t="inlineStr">
        <is>
          <t>2026-10-07T22:01:19.150983Z</t>
        </is>
      </c>
      <c r="AE48" s="31" t="inlineStr">
        <is>
          <t>Neutral Elo baseline; executable ask 0.6000 (market_slug=aec-cs2-rbls-navij-2026-10-07).</t>
        </is>
      </c>
      <c r="AF48" s="31" t="inlineStr">
        <is>
          <t>Config-promoted esports baseline; gates enforced at log time.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paper_call</t>
        </is>
      </c>
      <c r="AL48" s="26" t="n">
        <v>4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PAPER_CALL_LOW_EDGE</t>
        </is>
      </c>
      <c r="AP48" s="24" t="inlineStr">
        <is>
          <t>NAVI Junior</t>
        </is>
      </c>
      <c r="AQ48" s="24" t="inlineStr">
        <is>
          <t>NAVI Junior</t>
        </is>
      </c>
      <c r="AR48" s="24" t="inlineStr">
        <is>
          <t>NAVI Junior</t>
        </is>
      </c>
      <c r="AS48" s="24" t="inlineStr">
        <is>
          <t>Rebels Gaming</t>
        </is>
      </c>
      <c r="AT48" s="24" t="inlineStr">
        <is>
          <t>Rebels Gaming</t>
        </is>
      </c>
      <c r="AU48" s="24" t="inlineStr">
        <is>
          <t>Rebels Gaming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8e3e0ed97d5a78c596f8682afe79ee7cad6310b30f8f71e9dd0a1686a2064ff4</t>
        </is>
      </c>
      <c r="BB48" s="24" t="inlineStr">
        <is>
          <t>neutral_elo</t>
        </is>
      </c>
      <c r="BC48" s="24" t="inlineStr">
        <is>
          <t>cs2-tiered-elo-v6</t>
        </is>
      </c>
      <c r="BD48" s="24" t="inlineStr">
        <is>
          <t>8e3e0ed97d5a78c596f8682afe79ee7cad6310b30f8f71e9dd0a1686a2064ff4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cs2-tiered-elo-v6</t>
        </is>
      </c>
      <c r="BH48" s="24" t="inlineStr">
        <is>
          <t>2026-10-07T10:25:24.513345Z</t>
        </is>
      </c>
      <c r="BI48" s="24" t="inlineStr">
        <is>
          <t>["same_event","same_team_same_day","same_league_same_day"]</t>
        </is>
      </c>
      <c r="BJ48" s="25" t="n"/>
      <c r="BK48" s="26" t="n">
        <v>-150</v>
      </c>
      <c r="BL48" s="27" t="n">
        <v>1.666667</v>
      </c>
      <c r="BM48" s="28" t="n">
        <v>0.6</v>
      </c>
      <c r="BN48" s="28" t="n"/>
      <c r="BO48" s="28" t="n"/>
      <c r="BP48" s="25" t="n"/>
      <c r="BQ48" s="27" t="n">
        <v>1.694444</v>
      </c>
      <c r="BR48" s="28" t="n">
        <v>0.59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False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0.6</t>
        </is>
      </c>
      <c r="DK48" s="24" t="n"/>
      <c r="DL48" s="24" t="n"/>
      <c r="DM48" s="24" t="n"/>
      <c r="DN48" s="24" t="n"/>
      <c r="DO48" s="24" t="n"/>
      <c r="DP48" s="24" t="n"/>
      <c r="DQ48" s="24" t="inlineStr">
        <is>
          <t>{"artifact_hash": "8e3e0ed97d5a78c596f8682afe79ee7cad6310b30f8f71e9dd0a1686a2064ff4", "away_team": "NAVI Junior", "event_id": "142195", "event_start_utc": "2026-10-07T16:15:00Z", "features": {"away_elo": 1565.68222, "away_history_count": 333, "home_elo": 1601.486711, "home_history_count": 215}, "historical_source_observation_times_verified": false, "home_team": "Rebels Gaming", "inference_inputs": {"book_state": {"games_played": {"bo3:1:441": 333, "bo3:1:9932": 215}, "inactivity_half_life_days": null, "inactivity_max_pull": null, "k": 40.0, "last_match_utc": {"bo3:1:441": "2026-10-02T10:00:00Z", "bo3:1:9932": "2026-09-27T17:10:00Z"}, "minimum_reliable_games": null, "platt_intercept": 0.07356619284924003, "platt_slope": 0.8653341483834134, "ratings": {"bo3:1:441": 1565.68222, "bo3:1:9932": 1601.486711},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["bo3:1:9932", "bo3:1:441"]}, "market_type": "moneyline", "model_version": "cs2-tiered-elo-v6", "observed_at_utc": "2026-10-07T10:23:09.494602+00:00", "probabilities": {"away": 0.452611, "home": 0.547389}, "replay_scope": "Exact serving book state, calibration, temperature, inactivity reference and thin-history adjustments; training provenance not certified.", "schema": "esports-elo-replay-v1", "snapshot_hash": "2cc9046c2c2facd1479435ac24ffa5700e691ac7c9be3a33d0f4ffa68572096f", "sport": "CS2"}</t>
        </is>
      </c>
    </row>
    <row r="49" ht="36" customHeight="1">
      <c r="A49" s="24" t="inlineStr">
        <is>
          <t>3c5e9a75330c4d39</t>
        </is>
      </c>
      <c r="B49" s="24" t="inlineStr">
        <is>
          <t>2026-10-07T16:35:57.916443Z</t>
        </is>
      </c>
      <c r="C49" s="24" t="inlineStr">
        <is>
          <t>2026-10-07T17:00:00Z</t>
        </is>
      </c>
      <c r="D49" s="24" t="inlineStr">
        <is>
          <t>145661</t>
        </is>
      </c>
      <c r="E49" s="24" t="inlineStr">
        <is>
          <t>CS2</t>
        </is>
      </c>
      <c r="F49" s="24" t="inlineStr">
        <is>
          <t>Fire Flux Esports</t>
        </is>
      </c>
      <c r="G49" s="24" t="inlineStr">
        <is>
          <t>Noir Verse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113</v>
      </c>
      <c r="M49" s="27" t="n">
        <v>2.13</v>
      </c>
      <c r="N49" s="28" t="n">
        <v>0.469484</v>
      </c>
      <c r="O49" s="28" t="n">
        <v>0.56745</v>
      </c>
      <c r="P49" s="28" t="n"/>
      <c r="Q49" s="28" t="n">
        <v>0.097966</v>
      </c>
      <c r="R49" s="26" t="n">
        <v>69</v>
      </c>
      <c r="S49" s="29" t="n">
        <v>1.25</v>
      </c>
      <c r="T49" s="24" t="inlineStr">
        <is>
          <t>cs2-tiered-elo-v6</t>
        </is>
      </c>
      <c r="U49" s="24" t="inlineStr">
        <is>
          <t>settled</t>
        </is>
      </c>
      <c r="V49" s="24" t="inlineStr">
        <is>
          <t>loss</t>
        </is>
      </c>
      <c r="W49" s="26" t="n">
        <v>1</v>
      </c>
      <c r="X49" s="26" t="n">
        <v>0</v>
      </c>
      <c r="Y49" s="25" t="n"/>
      <c r="Z49" s="26" t="n">
        <v>-194</v>
      </c>
      <c r="AA49" s="28" t="n">
        <v>0.66</v>
      </c>
      <c r="AB49" s="28" t="n">
        <v>0.190516</v>
      </c>
      <c r="AC49" s="30" t="n">
        <v>-1.25</v>
      </c>
      <c r="AD49" s="24" t="inlineStr">
        <is>
          <t>2026-10-07T22:01:26.320967Z</t>
        </is>
      </c>
      <c r="AE49" s="31" t="inlineStr">
        <is>
          <t>Neutral Elo baseline; executable ask 0.4700 (market_slug=aec-cs2-nvo-ff-2026-10-07).</t>
        </is>
      </c>
      <c r="AF49" s="31" t="inlineStr">
        <is>
          <t>Config-promoted esports baseline; gates enforced at log time.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paper_call</t>
        </is>
      </c>
      <c r="AL49" s="26" t="n">
        <v>4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PAPER_CALL_MODEL_UNVALIDATED</t>
        </is>
      </c>
      <c r="AP49" s="24" t="inlineStr">
        <is>
          <t>Fire Flux Esports</t>
        </is>
      </c>
      <c r="AQ49" s="24" t="inlineStr">
        <is>
          <t>Fire Flux Esports</t>
        </is>
      </c>
      <c r="AR49" s="24" t="inlineStr">
        <is>
          <t>Fire Flux Esports</t>
        </is>
      </c>
      <c r="AS49" s="24" t="inlineStr">
        <is>
          <t>Noir Verse</t>
        </is>
      </c>
      <c r="AT49" s="24" t="inlineStr">
        <is>
          <t>Noir Verse</t>
        </is>
      </c>
      <c r="AU49" s="24" t="inlineStr">
        <is>
          <t>Noir Verse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810cc52468393686a21ace378247f4fffa00829a0d0007883e29883e70533f54</t>
        </is>
      </c>
      <c r="BB49" s="24" t="inlineStr">
        <is>
          <t>neutral_elo</t>
        </is>
      </c>
      <c r="BC49" s="24" t="inlineStr">
        <is>
          <t>cs2-tiered-elo-v6</t>
        </is>
      </c>
      <c r="BD49" s="24" t="inlineStr">
        <is>
          <t>810cc52468393686a21ace378247f4fffa00829a0d0007883e29883e70533f54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cs2-tiered-elo-v6</t>
        </is>
      </c>
      <c r="BH49" s="24" t="inlineStr">
        <is>
          <t>2026-10-07T16:32:55.046647Z</t>
        </is>
      </c>
      <c r="BI49" s="24" t="inlineStr">
        <is>
          <t>["same_event","same_team_same_day","same_league_same_day"]</t>
        </is>
      </c>
      <c r="BJ49" s="25" t="n"/>
      <c r="BK49" s="26" t="n">
        <v>113</v>
      </c>
      <c r="BL49" s="27" t="n">
        <v>2.13</v>
      </c>
      <c r="BM49" s="28" t="n">
        <v>0.469484</v>
      </c>
      <c r="BN49" s="28" t="n"/>
      <c r="BO49" s="28" t="n"/>
      <c r="BP49" s="25" t="n"/>
      <c r="BQ49" s="27" t="n">
        <v>1.515464</v>
      </c>
      <c r="BR49" s="28" t="n">
        <v>0.66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0.469484</t>
        </is>
      </c>
      <c r="DK49" s="24" t="n"/>
      <c r="DL49" s="24" t="n"/>
      <c r="DM49" s="24" t="n"/>
      <c r="DN49" s="24" t="n"/>
      <c r="DO49" s="24" t="n"/>
      <c r="DP49" s="24" t="n"/>
      <c r="DQ49" s="24" t="inlineStr">
        <is>
          <t>{"artifact_hash": "810cc52468393686a21ace378247f4fffa00829a0d0007883e29883e70533f54", "away_team": "Fire Flux Esports", "event_id": "145661", "event_start_utc": "2026-10-07T17:00:00Z", "features": {"away_elo": 1500.0, "away_history_count": 0, "home_elo": 1618.048028, "home_history_count": 54}, "historical_source_observation_times_verified": false, "home_team": "Noir Verse", "inference_inputs": {"book_state": {"games_played": {"bo3:1:24506": 54}, "inactivity_half_life_days": null, "inactivity_max_pull": null, "k": 40.0, "last_match_utc": {"bo3:1:24506": "2026-10-06T11:15:00Z"}, "minimum_reliable_games": null, "platt_intercept": 0.07257546383213952, "platt_slope": 0.8636289221595141, "ratings": {"bo3:1:24506": 1618.048028},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["bo3:1:24506", "unknown:firefluxesports"]}, "market_type": "moneyline", "model_version": "cs2-tiered-elo-v6", "observed_at_utc": "2026-10-07T16:32:25.646272+00:00", "probabilities": {"away": 0.43255, "home": 0.56745}, "replay_scope": "Exact serving book state, calibration, temperature, inactivity reference and thin-history adjustments; training provenance not certified.", "schema": "esports-elo-replay-v1", "snapshot_hash": "cee7e427ab1e5b476f748ff10e34a151f3675604a0cdb60cc876a2f8fe6d83e1", "sport": "CS2"}</t>
        </is>
      </c>
    </row>
    <row r="50" ht="36" customHeight="1">
      <c r="A50" s="24" t="inlineStr">
        <is>
          <t>c295a206b6a54faa</t>
        </is>
      </c>
      <c r="B50" s="24" t="inlineStr">
        <is>
          <t>2026-10-07T16:35:57.916443Z</t>
        </is>
      </c>
      <c r="C50" s="24" t="inlineStr">
        <is>
          <t>2026-10-07T17:00:00Z</t>
        </is>
      </c>
      <c r="D50" s="24" t="inlineStr">
        <is>
          <t>146258</t>
        </is>
      </c>
      <c r="E50" s="24" t="inlineStr">
        <is>
          <t>CS2</t>
        </is>
      </c>
      <c r="F50" s="24" t="inlineStr">
        <is>
          <t>ex-RUSTEC</t>
        </is>
      </c>
      <c r="G50" s="24" t="inlineStr">
        <is>
          <t>Iberian Soul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-133</v>
      </c>
      <c r="M50" s="27" t="n">
        <v>1.75188</v>
      </c>
      <c r="N50" s="28" t="n">
        <v>0.570815</v>
      </c>
      <c r="O50" s="28" t="n">
        <v>0.5370780000000001</v>
      </c>
      <c r="P50" s="28" t="n"/>
      <c r="Q50" s="28" t="n">
        <v>-0.033737</v>
      </c>
      <c r="R50" s="26" t="n">
        <v>3</v>
      </c>
      <c r="S50" s="29" t="n">
        <v>1</v>
      </c>
      <c r="T50" s="24" t="inlineStr">
        <is>
          <t>cs2-tiered-elo-v6</t>
        </is>
      </c>
      <c r="U50" s="24" t="inlineStr">
        <is>
          <t>settled</t>
        </is>
      </c>
      <c r="V50" s="24" t="inlineStr">
        <is>
          <t>win</t>
        </is>
      </c>
      <c r="W50" s="26" t="n">
        <v>0</v>
      </c>
      <c r="X50" s="26" t="n">
        <v>1</v>
      </c>
      <c r="Y50" s="25" t="n"/>
      <c r="Z50" s="26" t="n">
        <v>-156</v>
      </c>
      <c r="AA50" s="28" t="n">
        <v>0.61</v>
      </c>
      <c r="AB50" s="28" t="n">
        <v>0.039185</v>
      </c>
      <c r="AC50" s="30" t="n">
        <v>0.7519</v>
      </c>
      <c r="AD50" s="24" t="inlineStr">
        <is>
          <t>2026-10-07T22:01:33.762094Z</t>
        </is>
      </c>
      <c r="AE50" s="31" t="inlineStr">
        <is>
          <t>Neutral Elo baseline; executable ask 0.5700 (market_slug=aec-cs2-is-erx-2026-10-07).</t>
        </is>
      </c>
      <c r="AF50" s="31" t="inlineStr">
        <is>
          <t>Config-promoted esports baseline; gates enforced at log time.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paper_call</t>
        </is>
      </c>
      <c r="AL50" s="26" t="n">
        <v>4</v>
      </c>
      <c r="AM50" s="24" t="inlineStr">
        <is>
          <t>RESEARCH_OBSERVATION</t>
        </is>
      </c>
      <c r="AN50" s="24" t="inlineStr">
        <is>
          <t>CALL</t>
        </is>
      </c>
      <c r="AO50" s="24" t="inlineStr">
        <is>
          <t>PAPER_CALL_LOW_EDGE</t>
        </is>
      </c>
      <c r="AP50" s="24" t="inlineStr">
        <is>
          <t>ex-RUSTEC</t>
        </is>
      </c>
      <c r="AQ50" s="24" t="inlineStr">
        <is>
          <t>ex-RUSTEC</t>
        </is>
      </c>
      <c r="AR50" s="24" t="inlineStr">
        <is>
          <t>ex-RUSTEC</t>
        </is>
      </c>
      <c r="AS50" s="24" t="inlineStr">
        <is>
          <t>Iberian Soul</t>
        </is>
      </c>
      <c r="AT50" s="24" t="inlineStr">
        <is>
          <t>Iberian Soul</t>
        </is>
      </c>
      <c r="AU50" s="24" t="inlineStr">
        <is>
          <t>Iberian Soul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810cc52468393686a21ace378247f4fffa00829a0d0007883e29883e70533f54</t>
        </is>
      </c>
      <c r="BB50" s="24" t="inlineStr">
        <is>
          <t>neutral_elo</t>
        </is>
      </c>
      <c r="BC50" s="24" t="inlineStr">
        <is>
          <t>cs2-tiered-elo-v6</t>
        </is>
      </c>
      <c r="BD50" s="24" t="inlineStr">
        <is>
          <t>810cc52468393686a21ace378247f4fffa00829a0d0007883e29883e70533f54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cs2-tiered-elo-v6</t>
        </is>
      </c>
      <c r="BH50" s="24" t="inlineStr">
        <is>
          <t>2026-10-07T16:33:05.273915Z</t>
        </is>
      </c>
      <c r="BI50" s="24" t="inlineStr">
        <is>
          <t>["same_event","same_team_same_day","same_league_same_day"]</t>
        </is>
      </c>
      <c r="BJ50" s="25" t="n"/>
      <c r="BK50" s="26" t="n">
        <v>-133</v>
      </c>
      <c r="BL50" s="27" t="n">
        <v>1.75188</v>
      </c>
      <c r="BM50" s="28" t="n">
        <v>0.570815</v>
      </c>
      <c r="BN50" s="28" t="n"/>
      <c r="BO50" s="28" t="n"/>
      <c r="BP50" s="25" t="n"/>
      <c r="BQ50" s="27" t="n">
        <v>1.641026</v>
      </c>
      <c r="BR50" s="28" t="n">
        <v>0.61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False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0.570815</t>
        </is>
      </c>
      <c r="DK50" s="24" t="n"/>
      <c r="DL50" s="24" t="n"/>
      <c r="DM50" s="24" t="n"/>
      <c r="DN50" s="24" t="n"/>
      <c r="DO50" s="24" t="n"/>
      <c r="DP50" s="24" t="n"/>
      <c r="DQ50" s="24" t="inlineStr">
        <is>
          <t>{"artifact_hash": "810cc52468393686a21ace378247f4fffa00829a0d0007883e29883e70533f54", "away_team": "ex-RUSTEC", "event_id": "146258", "event_start_utc": "2026-10-07T17:00:00Z", "features": {"away_elo": 1730.363966, "away_history_count": 59, "home_elo": 1772.318564, "home_history_count": 121}, "historical_source_observation_times_verified": false, "home_team": "Iberian Soul", "inference_inputs": {"book_state": {"games_played": {"bo3:1:19100": 121, "bo3:1:24857": 59}, "inactivity_half_life_days": null, "inactivity_max_pull": null, "k": 40.0, "last_match_utc": {"bo3:1:19100": "2026-09-27T13:15:00Z", "bo3:1:24857": "2026-10-06T14:00:00Z"}, "minimum_reliable_games": null, "platt_intercept": 0.07257546383213952, "platt_slope": 0.8636289221595141, "ratings": {"bo3:1:19100": 1772.318564, "bo3:1:24857": 1730.363966},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["bo3:1:19100", "bo3:1:24857"]}, "market_type": "moneyline", "model_version": "cs2-tiered-elo-v6", "observed_at_utc": "2026-10-07T16:32:25.646272+00:00", "probabilities": {"away": 0.462922, "home": 0.537078}, "replay_scope": "Exact serving book state, calibration, temperature, inactivity reference and thin-history adjustments; training provenance not certified.", "schema": "esports-elo-replay-v1", "snapshot_hash": "1fd6cac15f85868d1d0e681b78722225dbb7652f2cf2bfe7a3fd4d1dbbc7bc31", "sport": "CS2"}</t>
        </is>
      </c>
    </row>
    <row r="51" ht="36" customHeight="1">
      <c r="A51" s="24" t="inlineStr">
        <is>
          <t>1fa708e8a2694da6</t>
        </is>
      </c>
      <c r="B51" s="24" t="inlineStr">
        <is>
          <t>2026-10-07T16:35:57.916443Z</t>
        </is>
      </c>
      <c r="C51" s="24" t="inlineStr">
        <is>
          <t>2026-10-07T17:00:00Z</t>
        </is>
      </c>
      <c r="D51" s="24" t="inlineStr">
        <is>
          <t>147408</t>
        </is>
      </c>
      <c r="E51" s="24" t="inlineStr">
        <is>
          <t>CS2</t>
        </is>
      </c>
      <c r="F51" s="24" t="inlineStr">
        <is>
          <t>The Last Resort</t>
        </is>
      </c>
      <c r="G51" s="24" t="inlineStr">
        <is>
          <t>Saint Sinners</t>
        </is>
      </c>
      <c r="H51" s="24" t="inlineStr">
        <is>
          <t>moneyline</t>
        </is>
      </c>
      <c r="I51" s="24" t="inlineStr">
        <is>
          <t>away</t>
        </is>
      </c>
      <c r="J51" s="25" t="n"/>
      <c r="K51" s="24" t="inlineStr">
        <is>
          <t>polymarket_us</t>
        </is>
      </c>
      <c r="L51" s="26" t="n">
        <v>-150</v>
      </c>
      <c r="M51" s="27" t="n">
        <v>1.666667</v>
      </c>
      <c r="N51" s="28" t="n">
        <v>0.6</v>
      </c>
      <c r="O51" s="28" t="n">
        <v>0.525628</v>
      </c>
      <c r="P51" s="28" t="n"/>
      <c r="Q51" s="28" t="n">
        <v>-0.07437199999999999</v>
      </c>
      <c r="R51" s="26" t="n">
        <v>0</v>
      </c>
      <c r="S51" s="29" t="n">
        <v>1</v>
      </c>
      <c r="T51" s="24" t="inlineStr">
        <is>
          <t>cs2-tiered-elo-v6</t>
        </is>
      </c>
      <c r="U51" s="24" t="inlineStr">
        <is>
          <t>settled</t>
        </is>
      </c>
      <c r="V51" s="24" t="inlineStr">
        <is>
          <t>loss</t>
        </is>
      </c>
      <c r="W51" s="26" t="n">
        <v>0</v>
      </c>
      <c r="X51" s="26" t="n">
        <v>1</v>
      </c>
      <c r="Y51" s="25" t="n"/>
      <c r="Z51" s="26" t="n"/>
      <c r="AA51" s="28" t="n"/>
      <c r="AB51" s="28" t="n"/>
      <c r="AC51" s="30" t="n">
        <v>-1</v>
      </c>
      <c r="AD51" s="24" t="inlineStr">
        <is>
          <t>2026-10-07T22:01:41.381780Z</t>
        </is>
      </c>
      <c r="AE51" s="31" t="inlineStr">
        <is>
          <t>Neutral Elo baseline; executable ask 0.6000 (market_slug=aec-cs2-ssins-tlr-2026-10-07).</t>
        </is>
      </c>
      <c r="AF51" s="31" t="inlineStr">
        <is>
          <t>Config-promoted esports baseline; gates enforced at log time.</t>
        </is>
      </c>
      <c r="AG51" s="24" t="inlineStr">
        <is>
          <t>review_required</t>
        </is>
      </c>
      <c r="AH51" s="24" t="n"/>
      <c r="AI51" s="31" t="n"/>
      <c r="AJ51" s="31" t="n"/>
      <c r="AK51" s="24" t="inlineStr">
        <is>
          <t>paper_call</t>
        </is>
      </c>
      <c r="AL51" s="26" t="n">
        <v>4</v>
      </c>
      <c r="AM51" s="24" t="inlineStr">
        <is>
          <t>RESEARCH_OBSERVATION</t>
        </is>
      </c>
      <c r="AN51" s="24" t="inlineStr">
        <is>
          <t>CALL</t>
        </is>
      </c>
      <c r="AO51" s="24" t="inlineStr">
        <is>
          <t>PAPER_CALL_LOW_EDGE</t>
        </is>
      </c>
      <c r="AP51" s="24" t="inlineStr">
        <is>
          <t>The Last Resort</t>
        </is>
      </c>
      <c r="AQ51" s="24" t="inlineStr">
        <is>
          <t>The Last Resort</t>
        </is>
      </c>
      <c r="AR51" s="24" t="inlineStr">
        <is>
          <t>The Last Resort</t>
        </is>
      </c>
      <c r="AS51" s="24" t="inlineStr">
        <is>
          <t>Saint Sinners</t>
        </is>
      </c>
      <c r="AT51" s="24" t="inlineStr">
        <is>
          <t>Saint Sinners</t>
        </is>
      </c>
      <c r="AU51" s="24" t="inlineStr">
        <is>
          <t>Saint Sinners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810cc52468393686a21ace378247f4fffa00829a0d0007883e29883e70533f54</t>
        </is>
      </c>
      <c r="BB51" s="24" t="inlineStr">
        <is>
          <t>neutral_elo</t>
        </is>
      </c>
      <c r="BC51" s="24" t="inlineStr">
        <is>
          <t>cs2-tiered-elo-v6</t>
        </is>
      </c>
      <c r="BD51" s="24" t="inlineStr">
        <is>
          <t>810cc52468393686a21ace378247f4fffa00829a0d0007883e29883e70533f54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cs2-tiered-elo-v6</t>
        </is>
      </c>
      <c r="BH51" s="24" t="inlineStr">
        <is>
          <t>2026-10-07T16:33:16.119636Z</t>
        </is>
      </c>
      <c r="BI51" s="24" t="inlineStr">
        <is>
          <t>["same_event","same_team_same_day","same_league_same_day"]</t>
        </is>
      </c>
      <c r="BJ51" s="25" t="n"/>
      <c r="BK51" s="26" t="n">
        <v>-150</v>
      </c>
      <c r="BL51" s="27" t="n">
        <v>1.666667</v>
      </c>
      <c r="BM51" s="28" t="n">
        <v>0.6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False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0.6</t>
        </is>
      </c>
      <c r="DK51" s="24" t="n"/>
      <c r="DL51" s="24" t="n"/>
      <c r="DM51" s="24" t="n"/>
      <c r="DN51" s="24" t="n"/>
      <c r="DO51" s="24" t="n"/>
      <c r="DP51" s="24" t="n"/>
      <c r="DQ51" s="24" t="inlineStr">
        <is>
          <t>{"artifact_hash": "810cc52468393686a21ace378247f4fffa00829a0d0007883e29883e70533f54", "away_team": "The Last Resort", "event_id": "147408", "event_start_utc": "2026-10-07T17:00:00Z", "features": {"away_elo": 1529.646699, "away_history_count": 145, "home_elo": 1490.644221, "home_history_count": 14}, "historical_source_observation_times_verified": false, "home_team": "Saint Sinners", "inference_inputs": {"book_state": {"games_played": {"bo3:1:25223": 14, "bo3:1:2740": 145}, "inactivity_half_life_days": null, "inactivity_max_pull": null, "k": 40.0, "last_match_utc": {"bo3:1:25223": "2026-10-07T13:00:00Z", "bo3:1:2740": "2026-10-07T13:10:00Z"}, "minimum_reliable_games": null, "platt_intercept": 0.07257546383213952, "platt_slope": 0.8636289221595141, "ratings": {"bo3:1:25223": 1490.644221, "bo3:1:2740": 1529.646699},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["bo3:1:25223", "bo3:1:2740"]}, "market_type": "moneyline", "model_version": "cs2-tiered-elo-v6", "observed_at_utc": "2026-10-07T16:32:25.646272+00:00", "probabilities": {"away": 0.525628, "home": 0.474372}, "replay_scope": "Exact serving book state, calibration, temperature, inactivity reference and thin-history adjustments; training provenance not certified.", "schema": "esports-elo-replay-v1", "snapshot_hash": "9bbfa94562ddcc921aff861432a10b5c8d698992be54df0dcf1b29da2e9bcd5d", "sport": "CS2"}</t>
        </is>
      </c>
    </row>
    <row r="52" ht="36" customHeight="1">
      <c r="A52" s="24" t="inlineStr">
        <is>
          <t>2376babecf6042e4</t>
        </is>
      </c>
      <c r="B52" s="24" t="inlineStr">
        <is>
          <t>2026-10-07T16:35:57.916443Z</t>
        </is>
      </c>
      <c r="C52" s="24" t="inlineStr">
        <is>
          <t>2026-10-07T17:30:00Z</t>
        </is>
      </c>
      <c r="D52" s="24" t="inlineStr">
        <is>
          <t>142325</t>
        </is>
      </c>
      <c r="E52" s="24" t="inlineStr">
        <is>
          <t>CS2</t>
        </is>
      </c>
      <c r="F52" s="24" t="inlineStr">
        <is>
          <t>NAVI Junior</t>
        </is>
      </c>
      <c r="G52" s="24" t="inlineStr">
        <is>
          <t>FC Famalicão Esports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-194</v>
      </c>
      <c r="M52" s="27" t="n">
        <v>1.515464</v>
      </c>
      <c r="N52" s="28" t="n">
        <v>0.659864</v>
      </c>
      <c r="O52" s="28" t="n">
        <v>0.544608</v>
      </c>
      <c r="P52" s="28" t="n"/>
      <c r="Q52" s="28" t="n">
        <v>-0.115256</v>
      </c>
      <c r="R52" s="26" t="n">
        <v>0</v>
      </c>
      <c r="S52" s="29" t="n">
        <v>1</v>
      </c>
      <c r="T52" s="24" t="inlineStr">
        <is>
          <t>cs2-tiered-elo-v6</t>
        </is>
      </c>
      <c r="U52" s="24" t="inlineStr">
        <is>
          <t>settled</t>
        </is>
      </c>
      <c r="V52" s="24" t="inlineStr">
        <is>
          <t>win</t>
        </is>
      </c>
      <c r="W52" s="26" t="n">
        <v>1</v>
      </c>
      <c r="X52" s="26" t="n">
        <v>0</v>
      </c>
      <c r="Y52" s="25" t="n"/>
      <c r="Z52" s="26" t="n">
        <v>-150</v>
      </c>
      <c r="AA52" s="28" t="n">
        <v>0.6</v>
      </c>
      <c r="AB52" s="28" t="n">
        <v>-0.059864</v>
      </c>
      <c r="AC52" s="30" t="n">
        <v>0.5155</v>
      </c>
      <c r="AD52" s="24" t="inlineStr">
        <is>
          <t>2026-10-07T22:01:49.049183Z</t>
        </is>
      </c>
      <c r="AE52" s="31" t="inlineStr">
        <is>
          <t>Neutral Elo baseline; executable ask 0.6600 (market_slug=aec-cs2-fcf-navij-2026-10-07).</t>
        </is>
      </c>
      <c r="AF52" s="31" t="inlineStr">
        <is>
          <t>Config-promoted esports baseline; gates enforced at log time.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paper_call</t>
        </is>
      </c>
      <c r="AL52" s="26" t="n">
        <v>4</v>
      </c>
      <c r="AM52" s="24" t="inlineStr">
        <is>
          <t>RESEARCH_OBSERVATION</t>
        </is>
      </c>
      <c r="AN52" s="24" t="inlineStr">
        <is>
          <t>CALL</t>
        </is>
      </c>
      <c r="AO52" s="24" t="inlineStr">
        <is>
          <t>PAPER_CALL_MODEL_UNVALIDATED</t>
        </is>
      </c>
      <c r="AP52" s="24" t="inlineStr">
        <is>
          <t>NAVI Junior</t>
        </is>
      </c>
      <c r="AQ52" s="24" t="inlineStr">
        <is>
          <t>NAVI Junior</t>
        </is>
      </c>
      <c r="AR52" s="24" t="inlineStr">
        <is>
          <t>NAVI Junior</t>
        </is>
      </c>
      <c r="AS52" s="24" t="inlineStr">
        <is>
          <t>FC Famalicão Esports</t>
        </is>
      </c>
      <c r="AT52" s="24" t="inlineStr">
        <is>
          <t>FC Famalicão Esports</t>
        </is>
      </c>
      <c r="AU52" s="24" t="inlineStr">
        <is>
          <t>FC Famalicão Esports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810cc52468393686a21ace378247f4fffa00829a0d0007883e29883e70533f54</t>
        </is>
      </c>
      <c r="BB52" s="24" t="inlineStr">
        <is>
          <t>neutral_elo</t>
        </is>
      </c>
      <c r="BC52" s="24" t="inlineStr">
        <is>
          <t>cs2-tiered-elo-v6</t>
        </is>
      </c>
      <c r="BD52" s="24" t="inlineStr">
        <is>
          <t>810cc52468393686a21ace378247f4fffa00829a0d0007883e29883e70533f54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cs2-tiered-elo-v6</t>
        </is>
      </c>
      <c r="BH52" s="24" t="inlineStr">
        <is>
          <t>2026-10-07T16:33:37.497937Z</t>
        </is>
      </c>
      <c r="BI52" s="24" t="inlineStr">
        <is>
          <t>["same_event","same_team_same_day","same_league_same_day"]</t>
        </is>
      </c>
      <c r="BJ52" s="25" t="n"/>
      <c r="BK52" s="26" t="n">
        <v>-194</v>
      </c>
      <c r="BL52" s="27" t="n">
        <v>1.515464</v>
      </c>
      <c r="BM52" s="28" t="n">
        <v>0.659864</v>
      </c>
      <c r="BN52" s="28" t="n"/>
      <c r="BO52" s="28" t="n"/>
      <c r="BP52" s="25" t="n"/>
      <c r="BQ52" s="27" t="n">
        <v>1.666667</v>
      </c>
      <c r="BR52" s="28" t="n">
        <v>0.6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False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0.659864</t>
        </is>
      </c>
      <c r="DK52" s="24" t="n"/>
      <c r="DL52" s="24" t="n"/>
      <c r="DM52" s="24" t="n"/>
      <c r="DN52" s="24" t="n"/>
      <c r="DO52" s="24" t="n"/>
      <c r="DP52" s="24" t="n"/>
      <c r="DQ52" s="24" t="inlineStr">
        <is>
          <t>{"artifact_hash": "810cc52468393686a21ace378247f4fffa00829a0d0007883e29883e70533f54", "away_team": "NAVI Junior", "event_id": "142325", "event_start_utc": "2026-10-07T17:30:00Z", "features": {"away_elo": 1600.277625, "away_history_count": 334, "home_elo": 1500.0, "home_history_count": 0}, "historical_source_observation_times_verified": false, "home_team": "FC Famalic\u00e3o Esports", "inference_inputs": {"book_state": {"games_played": {"bo3:1:441": 334}, "inactivity_half_life_days": null, "inactivity_max_pull": null, "k": 40.0, "last_match_utc": {"bo3:1:441": "2026-10-07T15:00:00Z"}, "minimum_reliable_games": null, "platt_intercept": 0.07257546383213952, "platt_slope": 0.8636289221595141, "ratings": {"bo3:1:441": 1600.277625},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["unknown:fcfamalicaoesports", "bo3:1:441"]}, "market_type": "moneyline", "model_version": "cs2-tiered-elo-v6", "observed_at_utc": "2026-10-07T16:32:25.646272+00:00", "probabilities": {"away": 0.544608, "home": 0.455392}, "replay_scope": "Exact serving book state, calibration, temperature, inactivity reference and thin-history adjustments; training provenance not certified.", "schema": "esports-elo-replay-v1", "snapshot_hash": "a6bce4dccac1e9c02cc43073fa8a88f35a8c4f94f8c83d5697c730676364300b", "sport": "CS2"}</t>
        </is>
      </c>
    </row>
    <row r="53" ht="36" customHeight="1">
      <c r="A53" s="24" t="inlineStr">
        <is>
          <t>8118a1332a164029</t>
        </is>
      </c>
      <c r="B53" s="24" t="inlineStr">
        <is>
          <t>2026-10-07T16:35:57.916443Z</t>
        </is>
      </c>
      <c r="C53" s="24" t="inlineStr">
        <is>
          <t>2026-10-07T17:30:00Z</t>
        </is>
      </c>
      <c r="D53" s="24" t="inlineStr">
        <is>
          <t>142327</t>
        </is>
      </c>
      <c r="E53" s="24" t="inlineStr">
        <is>
          <t>CS2</t>
        </is>
      </c>
      <c r="F53" s="24" t="inlineStr">
        <is>
          <t>Rebels Gaming</t>
        </is>
      </c>
      <c r="G53" s="24" t="inlineStr">
        <is>
          <t>Sangal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-203</v>
      </c>
      <c r="M53" s="27" t="n">
        <v>1.492611</v>
      </c>
      <c r="N53" s="28" t="n">
        <v>0.669967</v>
      </c>
      <c r="O53" s="28" t="n">
        <v>0.736366</v>
      </c>
      <c r="P53" s="28" t="n"/>
      <c r="Q53" s="28" t="n">
        <v>0.066399</v>
      </c>
      <c r="R53" s="26" t="n">
        <v>53</v>
      </c>
      <c r="S53" s="29" t="n">
        <v>1</v>
      </c>
      <c r="T53" s="24" t="inlineStr">
        <is>
          <t>cs2-tiered-elo-v6</t>
        </is>
      </c>
      <c r="U53" s="24" t="inlineStr">
        <is>
          <t>settled</t>
        </is>
      </c>
      <c r="V53" s="24" t="inlineStr">
        <is>
          <t>win</t>
        </is>
      </c>
      <c r="W53" s="26" t="n">
        <v>0</v>
      </c>
      <c r="X53" s="26" t="n">
        <v>1</v>
      </c>
      <c r="Y53" s="25" t="n"/>
      <c r="Z53" s="26" t="n">
        <v>-567</v>
      </c>
      <c r="AA53" s="28" t="n">
        <v>0.85</v>
      </c>
      <c r="AB53" s="28" t="n">
        <v>0.180033</v>
      </c>
      <c r="AC53" s="30" t="n">
        <v>0.4926</v>
      </c>
      <c r="AD53" s="24" t="inlineStr">
        <is>
          <t>2026-10-07T22:01:56.360489Z</t>
        </is>
      </c>
      <c r="AE53" s="31" t="inlineStr">
        <is>
          <t>Neutral Elo baseline; executable ask 0.6700 (market_slug=aec-cs2-sang-rbls-2026-10-07).</t>
        </is>
      </c>
      <c r="AF53" s="31" t="inlineStr">
        <is>
          <t>Config-promoted esports baseline; gates enforced at log time.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4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Rebels Gaming</t>
        </is>
      </c>
      <c r="AQ53" s="24" t="inlineStr">
        <is>
          <t>Rebels Gaming</t>
        </is>
      </c>
      <c r="AR53" s="24" t="inlineStr">
        <is>
          <t>Rebels Gaming</t>
        </is>
      </c>
      <c r="AS53" s="24" t="inlineStr">
        <is>
          <t>Sangal</t>
        </is>
      </c>
      <c r="AT53" s="24" t="inlineStr">
        <is>
          <t>Sangal</t>
        </is>
      </c>
      <c r="AU53" s="24" t="inlineStr">
        <is>
          <t>Sangal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810cc52468393686a21ace378247f4fffa00829a0d0007883e29883e70533f54</t>
        </is>
      </c>
      <c r="BB53" s="24" t="inlineStr">
        <is>
          <t>neutral_elo</t>
        </is>
      </c>
      <c r="BC53" s="24" t="inlineStr">
        <is>
          <t>cs2-tiered-elo-v6</t>
        </is>
      </c>
      <c r="BD53" s="24" t="inlineStr">
        <is>
          <t>810cc52468393686a21ace378247f4fffa00829a0d0007883e29883e70533f54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cs2-tiered-elo-v6</t>
        </is>
      </c>
      <c r="BH53" s="24" t="inlineStr">
        <is>
          <t>2026-10-07T16:33:37.580169Z</t>
        </is>
      </c>
      <c r="BI53" s="24" t="inlineStr">
        <is>
          <t>["same_event","same_team_same_day","same_league_same_day"]</t>
        </is>
      </c>
      <c r="BJ53" s="25" t="n"/>
      <c r="BK53" s="26" t="n">
        <v>-203</v>
      </c>
      <c r="BL53" s="27" t="n">
        <v>1.492611</v>
      </c>
      <c r="BM53" s="28" t="n">
        <v>0.669967</v>
      </c>
      <c r="BN53" s="28" t="n"/>
      <c r="BO53" s="28" t="n"/>
      <c r="BP53" s="25" t="n"/>
      <c r="BQ53" s="27" t="n">
        <v>1.176367</v>
      </c>
      <c r="BR53" s="28" t="n">
        <v>0.85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0.669967</t>
        </is>
      </c>
      <c r="DK53" s="24" t="n"/>
      <c r="DL53" s="24" t="n"/>
      <c r="DM53" s="24" t="n"/>
      <c r="DN53" s="24" t="n"/>
      <c r="DO53" s="24" t="n"/>
      <c r="DP53" s="24" t="n"/>
      <c r="DQ53" s="24" t="inlineStr">
        <is>
          <t>{"artifact_hash": "810cc52468393686a21ace378247f4fffa00829a0d0007883e29883e70533f54", "away_team": "Rebels Gaming", "event_id": "142327", "event_start_utc": "2026-10-07T17:30:00Z", "features": {"away_elo": 1578.005691, "away_history_count": 216, "home_elo": 1807.332232, "home_history_count": 298}, "historical_source_observation_times_verified": false, "home_team": "Sangal", "inference_inputs": {"book_state": {"games_played": {"bo3:1:36": 298, "bo3:1:9932": 216}, "inactivity_half_life_days": null, "inactivity_max_pull": null, "k": 40.0, "last_match_utc": {"bo3:1:36": "2026-10-07T15:10:00Z", "bo3:1:9932": "2026-10-07T15:10:00Z"}, "minimum_reliable_games": null, "platt_intercept": 0.07257546383213952, "platt_slope": 0.8636289221595141, "ratings": {"bo3:1:36": 1807.332232, "bo3:1:9932": 1578.005691},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["bo3:1:36", "bo3:1:9932"]}, "market_type": "moneyline", "model_version": "cs2-tiered-elo-v6", "observed_at_utc": "2026-10-07T16:32:25.646272+00:00", "probabilities": {"away": 0.263634, "home": 0.736366}, "replay_scope": "Exact serving book state, calibration, temperature, inactivity reference and thin-history adjustments; training provenance not certified.", "schema": "esports-elo-replay-v1", "snapshot_hash": "7907b316aa6db6e32ab752dc46d1a0ef8c4eb42a505940ade3e19d8a739c1bb3", "sport": "CS2"}</t>
        </is>
      </c>
    </row>
    <row r="54" ht="36" customHeight="1">
      <c r="A54" s="24" t="inlineStr">
        <is>
          <t>090c337777534257</t>
        </is>
      </c>
      <c r="B54" s="24" t="inlineStr">
        <is>
          <t>2026-10-07T16:35:57.916443Z</t>
        </is>
      </c>
      <c r="C54" s="24" t="inlineStr">
        <is>
          <t>2026-10-07T18:00:00Z</t>
        </is>
      </c>
      <c r="D54" s="24" t="inlineStr">
        <is>
          <t>138701</t>
        </is>
      </c>
      <c r="E54" s="24" t="inlineStr">
        <is>
          <t>CS2</t>
        </is>
      </c>
      <c r="F54" s="24" t="inlineStr">
        <is>
          <t>XI Esport</t>
        </is>
      </c>
      <c r="G54" s="24" t="inlineStr">
        <is>
          <t>struggletony</t>
        </is>
      </c>
      <c r="H54" s="24" t="inlineStr">
        <is>
          <t>moneyline</t>
        </is>
      </c>
      <c r="I54" s="24" t="inlineStr">
        <is>
          <t>away</t>
        </is>
      </c>
      <c r="J54" s="25" t="n"/>
      <c r="K54" s="24" t="inlineStr">
        <is>
          <t>polymarket_us</t>
        </is>
      </c>
      <c r="L54" s="26" t="n">
        <v>-150</v>
      </c>
      <c r="M54" s="27" t="n">
        <v>1.666667</v>
      </c>
      <c r="N54" s="28" t="n">
        <v>0.6</v>
      </c>
      <c r="O54" s="28" t="n">
        <v>0.584218</v>
      </c>
      <c r="P54" s="28" t="n"/>
      <c r="Q54" s="28" t="n">
        <v>-0.015782</v>
      </c>
      <c r="R54" s="26" t="n">
        <v>12</v>
      </c>
      <c r="S54" s="29" t="n">
        <v>1</v>
      </c>
      <c r="T54" s="24" t="inlineStr">
        <is>
          <t>cs2-tiered-elo-v6</t>
        </is>
      </c>
      <c r="U54" s="24" t="inlineStr">
        <is>
          <t>settled</t>
        </is>
      </c>
      <c r="V54" s="24" t="inlineStr">
        <is>
          <t>win</t>
        </is>
      </c>
      <c r="W54" s="26" t="n">
        <v>1</v>
      </c>
      <c r="X54" s="26" t="n">
        <v>0</v>
      </c>
      <c r="Y54" s="25" t="n"/>
      <c r="Z54" s="26" t="n">
        <v>-1011</v>
      </c>
      <c r="AA54" s="28" t="n">
        <v>0.91</v>
      </c>
      <c r="AB54" s="28" t="n">
        <v>0.31</v>
      </c>
      <c r="AC54" s="30" t="n">
        <v>0.6667</v>
      </c>
      <c r="AD54" s="24" t="inlineStr">
        <is>
          <t>2026-10-07T22:02:03.771808Z</t>
        </is>
      </c>
      <c r="AE54" s="31" t="inlineStr">
        <is>
          <t>Neutral Elo baseline; executable ask 0.6000 (market_slug=aec-cs2-st0ny-xi-2026-10-05).</t>
        </is>
      </c>
      <c r="AF54" s="31" t="inlineStr">
        <is>
          <t>Config-promoted esports baseline; gates enforced at log time.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paper_call</t>
        </is>
      </c>
      <c r="AL54" s="26" t="n">
        <v>4</v>
      </c>
      <c r="AM54" s="24" t="inlineStr">
        <is>
          <t>RESEARCH_OBSERVATION</t>
        </is>
      </c>
      <c r="AN54" s="24" t="inlineStr">
        <is>
          <t>CALL</t>
        </is>
      </c>
      <c r="AO54" s="24" t="inlineStr">
        <is>
          <t>PAPER_CALL_LOW_EDGE</t>
        </is>
      </c>
      <c r="AP54" s="24" t="inlineStr">
        <is>
          <t>XI Esport</t>
        </is>
      </c>
      <c r="AQ54" s="24" t="inlineStr">
        <is>
          <t>XI Esport</t>
        </is>
      </c>
      <c r="AR54" s="24" t="inlineStr">
        <is>
          <t>XI Esport</t>
        </is>
      </c>
      <c r="AS54" s="24" t="inlineStr">
        <is>
          <t>struggletony</t>
        </is>
      </c>
      <c r="AT54" s="24" t="inlineStr">
        <is>
          <t>struggletony</t>
        </is>
      </c>
      <c r="AU54" s="24" t="inlineStr">
        <is>
          <t>struggletony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810cc52468393686a21ace378247f4fffa00829a0d0007883e29883e70533f54</t>
        </is>
      </c>
      <c r="BB54" s="24" t="inlineStr">
        <is>
          <t>neutral_elo</t>
        </is>
      </c>
      <c r="BC54" s="24" t="inlineStr">
        <is>
          <t>cs2-tiered-elo-v6</t>
        </is>
      </c>
      <c r="BD54" s="24" t="inlineStr">
        <is>
          <t>810cc52468393686a21ace378247f4fffa00829a0d0007883e29883e70533f54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cs2-tiered-elo-v6</t>
        </is>
      </c>
      <c r="BH54" s="24" t="inlineStr">
        <is>
          <t>2026-10-07T16:33:37.669698Z</t>
        </is>
      </c>
      <c r="BI54" s="24" t="inlineStr">
        <is>
          <t>["same_event","same_team_same_day","same_league_same_day"]</t>
        </is>
      </c>
      <c r="BJ54" s="25" t="n"/>
      <c r="BK54" s="26" t="n">
        <v>-150</v>
      </c>
      <c r="BL54" s="27" t="n">
        <v>1.666667</v>
      </c>
      <c r="BM54" s="28" t="n">
        <v>0.6</v>
      </c>
      <c r="BN54" s="28" t="n"/>
      <c r="BO54" s="28" t="n"/>
      <c r="BP54" s="25" t="n"/>
      <c r="BQ54" s="27" t="n">
        <v>1.098912</v>
      </c>
      <c r="BR54" s="28" t="n">
        <v>0.91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False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0.6</t>
        </is>
      </c>
      <c r="DK54" s="24" t="n"/>
      <c r="DL54" s="24" t="n"/>
      <c r="DM54" s="24" t="n"/>
      <c r="DN54" s="24" t="n"/>
      <c r="DO54" s="24" t="n"/>
      <c r="DP54" s="24" t="n"/>
      <c r="DQ54" s="24" t="inlineStr">
        <is>
          <t>{"artifact_hash": "810cc52468393686a21ace378247f4fffa00829a0d0007883e29883e70533f54", "away_team": "XI Esport", "event_id": "138701", "event_start_utc": "2026-10-07T18:00:00Z", "features": {"away_elo": 1563.359247, "away_history_count": 360, "home_elo": 1465.138623, "home_history_count": 20}, "historical_source_observation_times_verified": false, "home_team": "struggletony", "inference_inputs": {"book_state": {"games_played": {"bo3:1:3708": 360, "bo3:1:870": 20}, "inactivity_half_life_days": null, "inactivity_max_pull": null, "k": 40.0, "last_match_utc": {"bo3:1:3708": "2026-10-07T08:00:00Z", "bo3:1:870": "2026-09-28T18:20:00Z"}, "minimum_reliable_games": null, "platt_intercept": 0.07257546383213952, "platt_slope": 0.8636289221595141, "ratings": {"bo3:1:3708": 1563.359247, "bo3:1:870": 1465.138623},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["bo3:1:870", "bo3:1:3708"]}, "market_type": "moneyline", "model_version": "cs2-tiered-elo-v6", "observed_at_utc": "2026-10-07T16:32:25.646272+00:00", "probabilities": {"away": 0.584218, "home": 0.415782}, "replay_scope": "Exact serving book state, calibration, temperature, inactivity reference and thin-history adjustments; training provenance not certified.", "schema": "esports-elo-replay-v1", "snapshot_hash": "f776a6a440a4bd9f7a33800dd5afaba25fe0041ed8239f5585e716114463f74f", "sport": "CS2"}</t>
        </is>
      </c>
    </row>
    <row r="55" ht="36" customHeight="1">
      <c r="A55" s="24" t="inlineStr">
        <is>
          <t>60f16b4c9e4142c9</t>
        </is>
      </c>
      <c r="B55" s="24" t="inlineStr">
        <is>
          <t>2026-10-07T16:35:57.916443Z</t>
        </is>
      </c>
      <c r="C55" s="24" t="inlineStr">
        <is>
          <t>2026-10-07T18:00:00Z</t>
        </is>
      </c>
      <c r="D55" s="24" t="inlineStr">
        <is>
          <t>142347</t>
        </is>
      </c>
      <c r="E55" s="24" t="inlineStr">
        <is>
          <t>CS2</t>
        </is>
      </c>
      <c r="F55" s="24" t="inlineStr">
        <is>
          <t>Metizport</t>
        </is>
      </c>
      <c r="G55" s="24" t="inlineStr">
        <is>
          <t>K27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-213</v>
      </c>
      <c r="M55" s="27" t="n">
        <v>1.469484</v>
      </c>
      <c r="N55" s="28" t="n">
        <v>0.680511</v>
      </c>
      <c r="O55" s="28" t="n">
        <v>0.549256</v>
      </c>
      <c r="P55" s="28" t="n"/>
      <c r="Q55" s="28" t="n">
        <v>-0.131255</v>
      </c>
      <c r="R55" s="26" t="n">
        <v>0</v>
      </c>
      <c r="S55" s="29" t="n">
        <v>1</v>
      </c>
      <c r="T55" s="24" t="inlineStr">
        <is>
          <t>cs2-tiered-elo-v6</t>
        </is>
      </c>
      <c r="U55" s="24" t="inlineStr">
        <is>
          <t>settled</t>
        </is>
      </c>
      <c r="V55" s="24" t="inlineStr">
        <is>
          <t>win</t>
        </is>
      </c>
      <c r="W55" s="26" t="n">
        <v>0</v>
      </c>
      <c r="X55" s="26" t="n">
        <v>1</v>
      </c>
      <c r="Y55" s="25" t="n"/>
      <c r="Z55" s="26" t="n">
        <v>-203</v>
      </c>
      <c r="AA55" s="28" t="n">
        <v>0.67</v>
      </c>
      <c r="AB55" s="28" t="n">
        <v>-0.010511</v>
      </c>
      <c r="AC55" s="30" t="n">
        <v>0.4695</v>
      </c>
      <c r="AD55" s="24" t="inlineStr">
        <is>
          <t>2026-10-07T22:02:11.719390Z</t>
        </is>
      </c>
      <c r="AE55" s="31" t="inlineStr">
        <is>
          <t>Neutral Elo baseline; executable ask 0.6800 (market_slug=aec-cs2-k27-mzp-2026-10-07).</t>
        </is>
      </c>
      <c r="AF55" s="31" t="inlineStr">
        <is>
          <t>Config-promoted esports baseline; gates enforced at log time.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paper_call</t>
        </is>
      </c>
      <c r="AL55" s="26" t="n">
        <v>4</v>
      </c>
      <c r="AM55" s="24" t="inlineStr">
        <is>
          <t>RESEARCH_OBSERVATION</t>
        </is>
      </c>
      <c r="AN55" s="24" t="inlineStr">
        <is>
          <t>CALL</t>
        </is>
      </c>
      <c r="AO55" s="24" t="inlineStr">
        <is>
          <t>PAPER_CALL_LOW_EDGE</t>
        </is>
      </c>
      <c r="AP55" s="24" t="inlineStr">
        <is>
          <t>Metizport</t>
        </is>
      </c>
      <c r="AQ55" s="24" t="inlineStr">
        <is>
          <t>Metizport</t>
        </is>
      </c>
      <c r="AR55" s="24" t="inlineStr">
        <is>
          <t>Metizport</t>
        </is>
      </c>
      <c r="AS55" s="24" t="inlineStr">
        <is>
          <t>K27</t>
        </is>
      </c>
      <c r="AT55" s="24" t="inlineStr">
        <is>
          <t>K27</t>
        </is>
      </c>
      <c r="AU55" s="24" t="inlineStr">
        <is>
          <t>K27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810cc52468393686a21ace378247f4fffa00829a0d0007883e29883e70533f54</t>
        </is>
      </c>
      <c r="BB55" s="24" t="inlineStr">
        <is>
          <t>neutral_elo</t>
        </is>
      </c>
      <c r="BC55" s="24" t="inlineStr">
        <is>
          <t>cs2-tiered-elo-v6</t>
        </is>
      </c>
      <c r="BD55" s="24" t="inlineStr">
        <is>
          <t>810cc52468393686a21ace378247f4fffa00829a0d0007883e29883e70533f54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cs2-tiered-elo-v6</t>
        </is>
      </c>
      <c r="BH55" s="24" t="inlineStr">
        <is>
          <t>2026-10-07T16:33:37.755207Z</t>
        </is>
      </c>
      <c r="BI55" s="24" t="inlineStr">
        <is>
          <t>["same_event","same_team_same_day","same_league_same_day"]</t>
        </is>
      </c>
      <c r="BJ55" s="25" t="n"/>
      <c r="BK55" s="26" t="n">
        <v>-213</v>
      </c>
      <c r="BL55" s="27" t="n">
        <v>1.469484</v>
      </c>
      <c r="BM55" s="28" t="n">
        <v>0.680511</v>
      </c>
      <c r="BN55" s="28" t="n"/>
      <c r="BO55" s="28" t="n"/>
      <c r="BP55" s="25" t="n"/>
      <c r="BQ55" s="27" t="n">
        <v>1.492611</v>
      </c>
      <c r="BR55" s="28" t="n">
        <v>0.67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False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0.680511</t>
        </is>
      </c>
      <c r="DK55" s="24" t="n"/>
      <c r="DL55" s="24" t="n"/>
      <c r="DM55" s="24" t="n"/>
      <c r="DN55" s="24" t="n"/>
      <c r="DO55" s="24" t="n"/>
      <c r="DP55" s="24" t="n"/>
      <c r="DQ55" s="24" t="inlineStr">
        <is>
          <t>{"artifact_hash": "810cc52468393686a21ace378247f4fffa00829a0d0007883e29883e70533f54", "away_team": "Metizport", "event_id": "142347", "event_start_utc": "2026-10-07T18:00:00Z", "features": {"away_elo": 1808.14498, "away_history_count": 290, "home_elo": 1843.541921, "home_history_count": 342}, "historical_source_observation_times_verified": false, "home_team": "K27", "inference_inputs": {"book_state": {"games_played": {"bo3:1:10718": 342, "bo3:1:1578": 290}, "inactivity_half_life_days": null, "inactivity_max_pull": null, "k": 40.0, "last_match_utc": {"bo3:1:10718": "2026-09-27T14:00:00Z", "bo3:1:1578": "2026-09-27T14:10:00Z"}, "minimum_reliable_games": null, "platt_intercept": 0.07257546383213952, "platt_slope": 0.8636289221595141, "ratings": {"bo3:1:10718": 1843.541921, "bo3:1:1578": 1808.14498},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["bo3:1:10718", "bo3:1:1578"]}, "market_type": "moneyline", "model_version": "cs2-tiered-elo-v6", "observed_at_utc": "2026-10-07T16:32:25.646272+00:00", "probabilities": {"away": 0.450744, "home": 0.549256}, "replay_scope": "Exact serving book state, calibration, temperature, inactivity reference and thin-history adjustments; training provenance not certified.", "schema": "esports-elo-replay-v1", "snapshot_hash": "3bb8d4d121b980db4d3623f1b10f43b1a3cc76d4190076ec6dbc0c707dc83dce", "sport": "CS2"}</t>
        </is>
      </c>
    </row>
    <row r="56" ht="36" customHeight="1">
      <c r="A56" s="24" t="inlineStr">
        <is>
          <t>f3b0cbc1d3864e68</t>
        </is>
      </c>
      <c r="B56" s="24" t="inlineStr">
        <is>
          <t>2026-10-07T16:35:57.916443Z</t>
        </is>
      </c>
      <c r="C56" s="24" t="inlineStr">
        <is>
          <t>2026-10-07T18:00:00Z</t>
        </is>
      </c>
      <c r="D56" s="24" t="inlineStr">
        <is>
          <t>142353</t>
        </is>
      </c>
      <c r="E56" s="24" t="inlineStr">
        <is>
          <t>CS2</t>
        </is>
      </c>
      <c r="F56" s="24" t="inlineStr">
        <is>
          <t>Reveal</t>
        </is>
      </c>
      <c r="G56" s="24" t="inlineStr">
        <is>
          <t>BIG Academy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-233</v>
      </c>
      <c r="M56" s="27" t="n">
        <v>1.429185</v>
      </c>
      <c r="N56" s="28" t="n">
        <v>0.6997</v>
      </c>
      <c r="O56" s="28" t="n">
        <v>0.55538</v>
      </c>
      <c r="P56" s="28" t="n"/>
      <c r="Q56" s="28" t="n">
        <v>-0.14432</v>
      </c>
      <c r="R56" s="26" t="n">
        <v>0</v>
      </c>
      <c r="S56" s="29" t="n">
        <v>1</v>
      </c>
      <c r="T56" s="24" t="inlineStr">
        <is>
          <t>cs2-tiered-elo-v6</t>
        </is>
      </c>
      <c r="U56" s="24" t="inlineStr">
        <is>
          <t>settled</t>
        </is>
      </c>
      <c r="V56" s="24" t="inlineStr">
        <is>
          <t>win</t>
        </is>
      </c>
      <c r="W56" s="26" t="n">
        <v>0</v>
      </c>
      <c r="X56" s="26" t="n">
        <v>1</v>
      </c>
      <c r="Y56" s="25" t="n"/>
      <c r="Z56" s="26" t="n">
        <v>-233</v>
      </c>
      <c r="AA56" s="28" t="n">
        <v>0.7</v>
      </c>
      <c r="AB56" s="28" t="n">
        <v>0.0003</v>
      </c>
      <c r="AC56" s="30" t="n">
        <v>0.4292</v>
      </c>
      <c r="AD56" s="24" t="inlineStr">
        <is>
          <t>2026-10-07T22:02:19.605173Z</t>
        </is>
      </c>
      <c r="AE56" s="31" t="inlineStr">
        <is>
          <t>Neutral Elo baseline; executable ask 0.7000 (market_slug=aec-cs2-biga-reve-2026-10-07).</t>
        </is>
      </c>
      <c r="AF56" s="31" t="inlineStr">
        <is>
          <t>Config-promoted esports baseline; gates enforced at log time.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paper_call</t>
        </is>
      </c>
      <c r="AL56" s="26" t="n">
        <v>4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PAPER_CALL_LOW_EDGE</t>
        </is>
      </c>
      <c r="AP56" s="24" t="inlineStr">
        <is>
          <t>Reveal</t>
        </is>
      </c>
      <c r="AQ56" s="24" t="inlineStr">
        <is>
          <t>Reveal</t>
        </is>
      </c>
      <c r="AR56" s="24" t="inlineStr">
        <is>
          <t>Reveal</t>
        </is>
      </c>
      <c r="AS56" s="24" t="inlineStr">
        <is>
          <t>BIG Academy</t>
        </is>
      </c>
      <c r="AT56" s="24" t="inlineStr">
        <is>
          <t>BIG Academy</t>
        </is>
      </c>
      <c r="AU56" s="24" t="inlineStr">
        <is>
          <t>BIG Academy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810cc52468393686a21ace378247f4fffa00829a0d0007883e29883e70533f54</t>
        </is>
      </c>
      <c r="BB56" s="24" t="inlineStr">
        <is>
          <t>neutral_elo</t>
        </is>
      </c>
      <c r="BC56" s="24" t="inlineStr">
        <is>
          <t>cs2-tiered-elo-v6</t>
        </is>
      </c>
      <c r="BD56" s="24" t="inlineStr">
        <is>
          <t>810cc52468393686a21ace378247f4fffa00829a0d0007883e29883e70533f54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cs2-tiered-elo-v6</t>
        </is>
      </c>
      <c r="BH56" s="24" t="inlineStr">
        <is>
          <t>2026-10-07T16:33:48.022481Z</t>
        </is>
      </c>
      <c r="BI56" s="24" t="inlineStr">
        <is>
          <t>["same_event","same_team_same_day","same_league_same_day"]</t>
        </is>
      </c>
      <c r="BJ56" s="25" t="n"/>
      <c r="BK56" s="26" t="n">
        <v>-233</v>
      </c>
      <c r="BL56" s="27" t="n">
        <v>1.429185</v>
      </c>
      <c r="BM56" s="28" t="n">
        <v>0.6997</v>
      </c>
      <c r="BN56" s="28" t="n"/>
      <c r="BO56" s="28" t="n"/>
      <c r="BP56" s="25" t="n"/>
      <c r="BQ56" s="27" t="n">
        <v>1.429185</v>
      </c>
      <c r="BR56" s="28" t="n">
        <v>0.7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False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0.6997</t>
        </is>
      </c>
      <c r="DK56" s="24" t="n"/>
      <c r="DL56" s="24" t="n"/>
      <c r="DM56" s="24" t="n"/>
      <c r="DN56" s="24" t="n"/>
      <c r="DO56" s="24" t="n"/>
      <c r="DP56" s="24" t="n"/>
      <c r="DQ56" s="24" t="inlineStr">
        <is>
          <t>{"artifact_hash": "810cc52468393686a21ace378247f4fffa00829a0d0007883e29883e70533f54", "away_team": "Reveal", "event_id": "142353", "event_start_utc": "2026-10-07T18:00:00Z", "features": {"away_elo": 1507.145481, "away_history_count": 36, "home_elo": 1547.932201, "home_history_count": 187}, "historical_source_observation_times_verified": false, "home_team": "BIG Academy", "inference_inputs": {"book_state": {"games_played": {"bo3:1:330": 187, "bo3:1:5147": 36}, "inactivity_half_life_days": null, "inactivity_max_pull": null, "k": 40.0, "last_match_utc": {"bo3:1:330": "2026-09-30T11:10:00Z", "bo3:1:5147": "2026-09-30T16:20:00Z"}, "minimum_reliable_games": null, "platt_intercept": 0.07257546383213952, "platt_slope": 0.8636289221595141, "ratings": {"bo3:1:330": 1547.932201, "bo3:1:5147": 1507.145481},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["bo3:1:330", "bo3:1:5147"]}, "market_type": "moneyline", "model_version": "cs2-tiered-elo-v6", "observed_at_utc": "2026-10-07T16:32:25.646272+00:00", "probabilities": {"away": 0.44462, "home": 0.55538}, "replay_scope": "Exact serving book state, calibration, temperature, inactivity reference and thin-history adjustments; training provenance not certified.", "schema": "esports-elo-replay-v1", "snapshot_hash": "34cd05c5dbe80bc44085438a03b3b7cf2634585666e9554c21e96d9a551557b3", "sport": "CS2"}</t>
        </is>
      </c>
    </row>
    <row r="57" ht="36" customHeight="1">
      <c r="A57" s="24" t="inlineStr">
        <is>
          <t>e91af6fa228a4503</t>
        </is>
      </c>
      <c r="B57" s="24" t="inlineStr">
        <is>
          <t>2026-10-07T16:35:57.916443Z</t>
        </is>
      </c>
      <c r="C57" s="24" t="inlineStr">
        <is>
          <t>2026-10-07T18:45:00Z</t>
        </is>
      </c>
      <c r="D57" s="24" t="inlineStr">
        <is>
          <t>142457</t>
        </is>
      </c>
      <c r="E57" s="24" t="inlineStr">
        <is>
          <t>CS2</t>
        </is>
      </c>
      <c r="F57" s="24" t="inlineStr">
        <is>
          <t>NAVI Junior</t>
        </is>
      </c>
      <c r="G57" s="24" t="inlineStr">
        <is>
          <t>Lazer Cats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-156</v>
      </c>
      <c r="M57" s="27" t="n">
        <v>1.641026</v>
      </c>
      <c r="N57" s="28" t="n">
        <v>0.609375</v>
      </c>
      <c r="O57" s="28" t="n">
        <v>0.558935</v>
      </c>
      <c r="P57" s="28" t="n"/>
      <c r="Q57" s="28" t="n">
        <v>-0.05044</v>
      </c>
      <c r="R57" s="26" t="n">
        <v>0</v>
      </c>
      <c r="S57" s="29" t="n">
        <v>1</v>
      </c>
      <c r="T57" s="24" t="inlineStr">
        <is>
          <t>cs2-tiered-elo-v6</t>
        </is>
      </c>
      <c r="U57" s="24" t="inlineStr">
        <is>
          <t>settled</t>
        </is>
      </c>
      <c r="V57" s="24" t="inlineStr">
        <is>
          <t>loss</t>
        </is>
      </c>
      <c r="W57" s="26" t="n">
        <v>1</v>
      </c>
      <c r="X57" s="26" t="n">
        <v>0</v>
      </c>
      <c r="Y57" s="25" t="n"/>
      <c r="Z57" s="26" t="n">
        <v>-456</v>
      </c>
      <c r="AA57" s="28" t="n">
        <v>0.82</v>
      </c>
      <c r="AB57" s="28" t="n">
        <v>0.210625</v>
      </c>
      <c r="AC57" s="30" t="n">
        <v>-1</v>
      </c>
      <c r="AD57" s="24" t="inlineStr">
        <is>
          <t>2026-10-07T22:02:27.609627Z</t>
        </is>
      </c>
      <c r="AE57" s="31" t="inlineStr">
        <is>
          <t>Neutral Elo baseline; executable ask 0.6100 (market_slug=aec-cs2-lc-navij-2026-10-07).</t>
        </is>
      </c>
      <c r="AF57" s="31" t="inlineStr">
        <is>
          <t>Config-promoted esports baseline; gates enforced at log time.</t>
        </is>
      </c>
      <c r="AG57" s="24" t="inlineStr">
        <is>
          <t>review_required</t>
        </is>
      </c>
      <c r="AH57" s="24" t="n"/>
      <c r="AI57" s="31" t="n"/>
      <c r="AJ57" s="31" t="n"/>
      <c r="AK57" s="24" t="inlineStr">
        <is>
          <t>paper_call</t>
        </is>
      </c>
      <c r="AL57" s="26" t="n">
        <v>4</v>
      </c>
      <c r="AM57" s="24" t="inlineStr">
        <is>
          <t>RESEARCH_OBSERVATION</t>
        </is>
      </c>
      <c r="AN57" s="24" t="inlineStr">
        <is>
          <t>CALL</t>
        </is>
      </c>
      <c r="AO57" s="24" t="inlineStr">
        <is>
          <t>PAPER_CALL_LOW_EDGE</t>
        </is>
      </c>
      <c r="AP57" s="24" t="inlineStr">
        <is>
          <t>NAVI Junior</t>
        </is>
      </c>
      <c r="AQ57" s="24" t="inlineStr">
        <is>
          <t>NAVI Junior</t>
        </is>
      </c>
      <c r="AR57" s="24" t="inlineStr">
        <is>
          <t>NAVI Junior</t>
        </is>
      </c>
      <c r="AS57" s="24" t="inlineStr">
        <is>
          <t>Lazer Cats</t>
        </is>
      </c>
      <c r="AT57" s="24" t="inlineStr">
        <is>
          <t>Lazer Cats</t>
        </is>
      </c>
      <c r="AU57" s="24" t="inlineStr">
        <is>
          <t>Lazer Cats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810cc52468393686a21ace378247f4fffa00829a0d0007883e29883e70533f54</t>
        </is>
      </c>
      <c r="BB57" s="24" t="inlineStr">
        <is>
          <t>neutral_elo</t>
        </is>
      </c>
      <c r="BC57" s="24" t="inlineStr">
        <is>
          <t>cs2-tiered-elo-v6</t>
        </is>
      </c>
      <c r="BD57" s="24" t="inlineStr">
        <is>
          <t>810cc52468393686a21ace378247f4fffa00829a0d0007883e29883e70533f54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cs2-tiered-elo-v6</t>
        </is>
      </c>
      <c r="BH57" s="24" t="inlineStr">
        <is>
          <t>2026-10-07T16:33:48.393381Z</t>
        </is>
      </c>
      <c r="BI57" s="24" t="inlineStr">
        <is>
          <t>["same_event","same_team_same_day","same_league_same_day"]</t>
        </is>
      </c>
      <c r="BJ57" s="25" t="n"/>
      <c r="BK57" s="26" t="n">
        <v>-156</v>
      </c>
      <c r="BL57" s="27" t="n">
        <v>1.641026</v>
      </c>
      <c r="BM57" s="28" t="n">
        <v>0.609375</v>
      </c>
      <c r="BN57" s="28" t="n"/>
      <c r="BO57" s="28" t="n"/>
      <c r="BP57" s="25" t="n"/>
      <c r="BQ57" s="27" t="n">
        <v>1.219298</v>
      </c>
      <c r="BR57" s="28" t="n">
        <v>0.82</v>
      </c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False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0.609375</t>
        </is>
      </c>
      <c r="DK57" s="24" t="n"/>
      <c r="DL57" s="24" t="n"/>
      <c r="DM57" s="24" t="n"/>
      <c r="DN57" s="24" t="n"/>
      <c r="DO57" s="24" t="n"/>
      <c r="DP57" s="24" t="n"/>
      <c r="DQ57" s="24" t="inlineStr">
        <is>
          <t>{"artifact_hash": "810cc52468393686a21ace378247f4fffa00829a0d0007883e29883e70533f54", "away_team": "NAVI Junior", "event_id": "142457", "event_start_utc": "2026-10-07T18:45:00Z", "features": {"away_elo": 1600.277625, "away_history_count": 334, "home_elo": 1641.910385, "home_history_count": 223}, "historical_source_observation_times_verified": false, "home_team": "Lazer Cats", "inference_inputs": {"book_state": {"games_played": {"bo3:1:441": 334, "bo3:1:5391": 223}, "inactivity_half_life_days": null, "inactivity_max_pull": null, "k": 40.0, "last_match_utc": {"bo3:1:441": "2026-10-07T15:00:00Z", "bo3:1:5391": "2026-10-07T15:10:00Z"}, "minimum_reliable_games": null, "platt_intercept": 0.07257546383213952, "platt_slope": 0.8636289221595141, "ratings": {"bo3:1:441": 1600.277625, "bo3:1:5391": 1641.910385},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["bo3:1:5391", "bo3:1:441"]}, "market_type": "moneyline", "model_version": "cs2-tiered-elo-v6", "observed_at_utc": "2026-10-07T16:32:25.646272+00:00", "probabilities": {"away": 0.441065, "home": 0.558935}, "replay_scope": "Exact serving book state, calibration, temperature, inactivity reference and thin-history adjustments; training provenance not certified.", "schema": "esports-elo-replay-v1", "snapshot_hash": "70ffb208a512aa0d6a93fad2a0e821a9c399b6ff8f6c79c20534e882e60190d0", "sport": "CS2"}</t>
        </is>
      </c>
    </row>
    <row r="58" ht="36" customHeight="1">
      <c r="A58" s="24" t="inlineStr">
        <is>
          <t>57f395f6d01b440c</t>
        </is>
      </c>
      <c r="B58" s="24" t="inlineStr">
        <is>
          <t>2026-10-07T16:35:57.916443Z</t>
        </is>
      </c>
      <c r="C58" s="24" t="inlineStr">
        <is>
          <t>2026-10-07T21:00:00Z</t>
        </is>
      </c>
      <c r="D58" s="24" t="inlineStr">
        <is>
          <t>144443</t>
        </is>
      </c>
      <c r="E58" s="24" t="inlineStr">
        <is>
          <t>CS2</t>
        </is>
      </c>
      <c r="F58" s="24" t="inlineStr">
        <is>
          <t>ALKA GAMING</t>
        </is>
      </c>
      <c r="G58" s="24" t="inlineStr">
        <is>
          <t>BESTIA Academy</t>
        </is>
      </c>
      <c r="H58" s="24" t="inlineStr">
        <is>
          <t>moneyline</t>
        </is>
      </c>
      <c r="I58" s="24" t="inlineStr">
        <is>
          <t>home</t>
        </is>
      </c>
      <c r="J58" s="25" t="n"/>
      <c r="K58" s="24" t="inlineStr">
        <is>
          <t>polymarket_us</t>
        </is>
      </c>
      <c r="L58" s="26" t="n">
        <v>186</v>
      </c>
      <c r="M58" s="27" t="n">
        <v>2.86</v>
      </c>
      <c r="N58" s="28" t="n">
        <v>0.34965</v>
      </c>
      <c r="O58" s="28" t="n">
        <v>0.509682</v>
      </c>
      <c r="P58" s="28" t="n"/>
      <c r="Q58" s="28" t="n">
        <v>0.160032</v>
      </c>
      <c r="R58" s="26" t="n">
        <v>100</v>
      </c>
      <c r="S58" s="29" t="n">
        <v>1.75</v>
      </c>
      <c r="T58" s="24" t="inlineStr">
        <is>
          <t>cs2-tiered-elo-v6</t>
        </is>
      </c>
      <c r="U58" s="24" t="inlineStr">
        <is>
          <t>settled</t>
        </is>
      </c>
      <c r="V58" s="24" t="inlineStr">
        <is>
          <t>loss</t>
        </is>
      </c>
      <c r="W58" s="26" t="n">
        <v>1</v>
      </c>
      <c r="X58" s="26" t="n">
        <v>0</v>
      </c>
      <c r="Y58" s="25" t="n"/>
      <c r="Z58" s="26" t="n">
        <v>186</v>
      </c>
      <c r="AA58" s="28" t="n">
        <v>0.35</v>
      </c>
      <c r="AB58" s="28" t="n">
        <v>0.00035</v>
      </c>
      <c r="AC58" s="30" t="n">
        <v>-1.75</v>
      </c>
      <c r="AD58" s="24" t="inlineStr">
        <is>
          <t>2026-10-08T03:21:57.733935Z</t>
        </is>
      </c>
      <c r="AE58" s="31" t="inlineStr">
        <is>
          <t>Neutral Elo baseline; executable ask 0.3500 (market_slug=aec-cs2-bsta-alka-2026-10-07).</t>
        </is>
      </c>
      <c r="AF58" s="31" t="inlineStr">
        <is>
          <t>Config-promoted esports baseline; gates enforced at log time.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paper_call</t>
        </is>
      </c>
      <c r="AL58" s="26" t="n">
        <v>4</v>
      </c>
      <c r="AM58" s="24" t="inlineStr">
        <is>
          <t>RESEARCH_OBSERVATION</t>
        </is>
      </c>
      <c r="AN58" s="24" t="inlineStr">
        <is>
          <t>CALL</t>
        </is>
      </c>
      <c r="AO58" s="24" t="inlineStr">
        <is>
          <t>PAPER_CALL_LOW_EDGE</t>
        </is>
      </c>
      <c r="AP58" s="24" t="inlineStr">
        <is>
          <t>ALKA GAMING</t>
        </is>
      </c>
      <c r="AQ58" s="24" t="inlineStr">
        <is>
          <t>ALKA GAMING</t>
        </is>
      </c>
      <c r="AR58" s="24" t="inlineStr">
        <is>
          <t>ALKA GAMING</t>
        </is>
      </c>
      <c r="AS58" s="24" t="inlineStr">
        <is>
          <t>BESTIA Academy</t>
        </is>
      </c>
      <c r="AT58" s="24" t="inlineStr">
        <is>
          <t>BESTIA Academy</t>
        </is>
      </c>
      <c r="AU58" s="24" t="inlineStr">
        <is>
          <t>BESTIA Academy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810cc52468393686a21ace378247f4fffa00829a0d0007883e29883e70533f54</t>
        </is>
      </c>
      <c r="BB58" s="24" t="inlineStr">
        <is>
          <t>neutral_elo</t>
        </is>
      </c>
      <c r="BC58" s="24" t="inlineStr">
        <is>
          <t>cs2-tiered-elo-v6</t>
        </is>
      </c>
      <c r="BD58" s="24" t="inlineStr">
        <is>
          <t>810cc52468393686a21ace378247f4fffa00829a0d0007883e29883e70533f54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cs2-tiered-elo-v6</t>
        </is>
      </c>
      <c r="BH58" s="24" t="inlineStr">
        <is>
          <t>2026-10-07T16:34:09.870877Z</t>
        </is>
      </c>
      <c r="BI58" s="24" t="inlineStr">
        <is>
          <t>["same_event","same_team_same_day","same_league_same_day"]</t>
        </is>
      </c>
      <c r="BJ58" s="25" t="n"/>
      <c r="BK58" s="26" t="n">
        <v>186</v>
      </c>
      <c r="BL58" s="27" t="n">
        <v>2.86</v>
      </c>
      <c r="BM58" s="28" t="n">
        <v>0.34965</v>
      </c>
      <c r="BN58" s="28" t="n"/>
      <c r="BO58" s="28" t="n"/>
      <c r="BP58" s="25" t="n"/>
      <c r="BQ58" s="27" t="n">
        <v>2.86</v>
      </c>
      <c r="BR58" s="28" t="n">
        <v>0.35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0.34965</t>
        </is>
      </c>
      <c r="DK58" s="24" t="n"/>
      <c r="DL58" s="24" t="n"/>
      <c r="DM58" s="24" t="n"/>
      <c r="DN58" s="24" t="n"/>
      <c r="DO58" s="24" t="n"/>
      <c r="DP58" s="24" t="n"/>
      <c r="DQ58" s="24" t="inlineStr">
        <is>
          <t>{"artifact_hash": "810cc52468393686a21ace378247f4fffa00829a0d0007883e29883e70533f54", "away_team": "ALKA GAMING", "event_id": "144443", "event_start_utc": "2026-10-07T21:00:00Z", "features": {"away_elo": 1588.29643, "away_history_count": 92, "home_elo": 1581.138445, "home_history_count": 133}, "historical_source_observation_times_verified": false, "home_team": "BESTIA Academy", "inference_inputs": {"book_state": {"games_played": {"bo3:1:18461": 133, "bo3:1:23043": 92}, "inactivity_half_life_days": null, "inactivity_max_pull": null, "k": 40.0, "last_match_utc": {"bo3:1:18461": "2026-10-03T19:00:00Z", "bo3:1:23043": "2026-10-01T19:20:00Z"}, "minimum_reliable_games": null, "platt_intercept": 0.07257546383213952, "platt_slope": 0.8636289221595141, "ratings": {"bo3:1:18461": 1581.138445, "bo3:1:23043": 1588.29643},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["bo3:1:18461", "bo3:1:23043"]}, "market_type": "moneyline", "model_version": "cs2-tiered-elo-v6", "observed_at_utc": "2026-10-07T16:32:25.646272+00:00", "probabilities": {"away": 0.490318, "home": 0.509682}, "replay_scope": "Exact serving book state, calibration, temperature, inactivity reference and thin-history adjustments; training provenance not certified.", "schema": "esports-elo-replay-v1", "snapshot_hash": "5595d99d463332e23595d2d44dea933d9c00f7ea48fee8f92deabda381507e97", "sport": "CS2"}</t>
        </is>
      </c>
    </row>
    <row r="59" ht="36" customHeight="1">
      <c r="A59" s="24" t="inlineStr">
        <is>
          <t>e6ae38ecb07b4f97</t>
        </is>
      </c>
      <c r="B59" s="24" t="inlineStr">
        <is>
          <t>2026-10-07T16:35:57.916443Z</t>
        </is>
      </c>
      <c r="C59" s="24" t="inlineStr">
        <is>
          <t>2026-10-07T21:00:00Z</t>
        </is>
      </c>
      <c r="D59" s="24" t="inlineStr">
        <is>
          <t>144447</t>
        </is>
      </c>
      <c r="E59" s="24" t="inlineStr">
        <is>
          <t>CS2</t>
        </is>
      </c>
      <c r="F59" s="24" t="inlineStr">
        <is>
          <t>MEIA NOITE</t>
        </is>
      </c>
      <c r="G59" s="24" t="inlineStr">
        <is>
          <t>Isurus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-203</v>
      </c>
      <c r="M59" s="27" t="n">
        <v>1.492611</v>
      </c>
      <c r="N59" s="28" t="n">
        <v>0.669967</v>
      </c>
      <c r="O59" s="28" t="n">
        <v>0.550278</v>
      </c>
      <c r="P59" s="28" t="n"/>
      <c r="Q59" s="28" t="n">
        <v>-0.119689</v>
      </c>
      <c r="R59" s="26" t="n">
        <v>0</v>
      </c>
      <c r="S59" s="29" t="n">
        <v>1</v>
      </c>
      <c r="T59" s="24" t="inlineStr">
        <is>
          <t>cs2-tiered-elo-v6</t>
        </is>
      </c>
      <c r="U59" s="24" t="inlineStr">
        <is>
          <t>settled</t>
        </is>
      </c>
      <c r="V59" s="24" t="inlineStr">
        <is>
          <t>push</t>
        </is>
      </c>
      <c r="W59" s="26" t="n"/>
      <c r="X59" s="26" t="n"/>
      <c r="Y59" s="25" t="n"/>
      <c r="Z59" s="26" t="n"/>
      <c r="AA59" s="28" t="n"/>
      <c r="AB59" s="28" t="n"/>
      <c r="AC59" s="30" t="n">
        <v>0</v>
      </c>
      <c r="AD59" s="24" t="inlineStr">
        <is>
          <t>2026-10-07T22:02:45.625831Z</t>
        </is>
      </c>
      <c r="AE59" s="31" t="inlineStr">
        <is>
          <t>Neutral Elo baseline; executable ask 0.6700 (market_slug=aec-cs2-isg-mne-2026-10-07).</t>
        </is>
      </c>
      <c r="AF59" s="31" t="inlineStr">
        <is>
          <t>Config-promoted esports baseline; gates enforced at log time.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paper_call</t>
        </is>
      </c>
      <c r="AL59" s="26" t="n">
        <v>4</v>
      </c>
      <c r="AM59" s="24" t="inlineStr">
        <is>
          <t>RESEARCH_OBSERVATION</t>
        </is>
      </c>
      <c r="AN59" s="24" t="inlineStr">
        <is>
          <t>CALL</t>
        </is>
      </c>
      <c r="AO59" s="24" t="inlineStr">
        <is>
          <t>PAPER_CALL_LOW_EDGE</t>
        </is>
      </c>
      <c r="AP59" s="24" t="inlineStr">
        <is>
          <t>MEIA NOITE</t>
        </is>
      </c>
      <c r="AQ59" s="24" t="inlineStr">
        <is>
          <t>MEIA NOITE</t>
        </is>
      </c>
      <c r="AR59" s="24" t="inlineStr">
        <is>
          <t>MEIA NOITE</t>
        </is>
      </c>
      <c r="AS59" s="24" t="inlineStr">
        <is>
          <t>Isurus</t>
        </is>
      </c>
      <c r="AT59" s="24" t="inlineStr">
        <is>
          <t>Isurus</t>
        </is>
      </c>
      <c r="AU59" s="24" t="inlineStr">
        <is>
          <t>Isurus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810cc52468393686a21ace378247f4fffa00829a0d0007883e29883e70533f54</t>
        </is>
      </c>
      <c r="BB59" s="24" t="inlineStr">
        <is>
          <t>neutral_elo</t>
        </is>
      </c>
      <c r="BC59" s="24" t="inlineStr">
        <is>
          <t>cs2-tiered-elo-v6</t>
        </is>
      </c>
      <c r="BD59" s="24" t="inlineStr">
        <is>
          <t>810cc52468393686a21ace378247f4fffa00829a0d0007883e29883e70533f54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cs2-tiered-elo-v6</t>
        </is>
      </c>
      <c r="BH59" s="24" t="inlineStr">
        <is>
          <t>2026-10-07T16:34:10.121248Z</t>
        </is>
      </c>
      <c r="BI59" s="24" t="inlineStr">
        <is>
          <t>["same_event","same_team_same_day","same_league_same_day"]</t>
        </is>
      </c>
      <c r="BJ59" s="25" t="n"/>
      <c r="BK59" s="26" t="n">
        <v>-203</v>
      </c>
      <c r="BL59" s="27" t="n">
        <v>1.492611</v>
      </c>
      <c r="BM59" s="28" t="n">
        <v>0.669967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inlineStr">
        <is>
          <t>esports market terminal (MARKET_STATE_EXPIRED) with prices {'Isurus': 0.63, 'MEIA NOITE': 0.37}; BO3 has no confirming finished-match result either</t>
        </is>
      </c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False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0.669967</t>
        </is>
      </c>
      <c r="DK59" s="24" t="n"/>
      <c r="DL59" s="24" t="n"/>
      <c r="DM59" s="24" t="n"/>
      <c r="DN59" s="24" t="n"/>
      <c r="DO59" s="24" t="n"/>
      <c r="DP59" s="24" t="n"/>
      <c r="DQ59" s="24" t="inlineStr">
        <is>
          <t>{"artifact_hash": "810cc52468393686a21ace378247f4fffa00829a0d0007883e29883e70533f54", "away_team": "MEIA NOITE", "event_id": "144447", "event_start_utc": "2026-10-07T21:00:00Z", "features": {"away_elo": 1527.586152, "away_history_count": 32, "home_elo": 1561.950636, "home_history_count": 82}, "historical_source_observation_times_verified": false, "home_team": "Isurus", "inference_inputs": {"book_state": {"games_played": {"bo3:1:25011": 32, "bo3:1:591": 82}, "inactivity_half_life_days": null, "inactivity_max_pull": null, "k": 40.0, "last_match_utc": {"bo3:1:25011": "2026-09-30T22:30:00Z", "bo3:1:591": "2026-10-02T19:00:00Z"}, "minimum_reliable_games": null, "platt_intercept": 0.07257546383213952, "platt_slope": 0.8636289221595141, "ratings": {"bo3:1:25011": 1527.586152, "bo3:1:591": 1561.950636},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["bo3:1:591", "bo3:1:25011"]}, "market_type": "moneyline", "model_version": "cs2-tiered-elo-v6", "observed_at_utc": "2026-10-07T16:32:25.646272+00:00", "probabilities": {"away": 0.449722, "home": 0.550278}, "replay_scope": "Exact serving book state, calibration, temperature, inactivity reference and thin-history adjustments; training provenance not certified.", "schema": "esports-elo-replay-v1", "snapshot_hash": "bcf1aa88a036410b1a9096dd242b85e65f6ccecb8e5bb3efe165a8c55f25bd93", "sport": "CS2"}</t>
        </is>
      </c>
    </row>
    <row r="60" ht="36" customHeight="1">
      <c r="A60" s="24" t="inlineStr">
        <is>
          <t>92d99de75b744ef9</t>
        </is>
      </c>
      <c r="B60" s="24" t="inlineStr">
        <is>
          <t>2026-10-07T16:35:57.916443Z</t>
        </is>
      </c>
      <c r="C60" s="24" t="inlineStr">
        <is>
          <t>2026-10-07T21:00:00Z</t>
        </is>
      </c>
      <c r="D60" s="24" t="inlineStr">
        <is>
          <t>144449</t>
        </is>
      </c>
      <c r="E60" s="24" t="inlineStr">
        <is>
          <t>CS2</t>
        </is>
      </c>
      <c r="F60" s="24" t="inlineStr">
        <is>
          <t>Yawara Esports</t>
        </is>
      </c>
      <c r="G60" s="24" t="inlineStr">
        <is>
          <t>Low Cortisol</t>
        </is>
      </c>
      <c r="H60" s="24" t="inlineStr">
        <is>
          <t>moneyline</t>
        </is>
      </c>
      <c r="I60" s="24" t="inlineStr">
        <is>
          <t>away</t>
        </is>
      </c>
      <c r="J60" s="25" t="n"/>
      <c r="K60" s="24" t="inlineStr">
        <is>
          <t>polymarket_us</t>
        </is>
      </c>
      <c r="L60" s="26" t="n">
        <v>104</v>
      </c>
      <c r="M60" s="27" t="n">
        <v>2.04</v>
      </c>
      <c r="N60" s="28" t="n">
        <v>0.490196</v>
      </c>
      <c r="O60" s="28" t="n">
        <v>0.556581</v>
      </c>
      <c r="P60" s="28" t="n"/>
      <c r="Q60" s="28" t="n">
        <v>0.066385</v>
      </c>
      <c r="R60" s="26" t="n">
        <v>53</v>
      </c>
      <c r="S60" s="29" t="n">
        <v>1</v>
      </c>
      <c r="T60" s="24" t="inlineStr">
        <is>
          <t>cs2-tiered-elo-v6</t>
        </is>
      </c>
      <c r="U60" s="24" t="inlineStr">
        <is>
          <t>settled</t>
        </is>
      </c>
      <c r="V60" s="24" t="inlineStr">
        <is>
          <t>push</t>
        </is>
      </c>
      <c r="W60" s="26" t="n"/>
      <c r="X60" s="26" t="n"/>
      <c r="Y60" s="25" t="n"/>
      <c r="Z60" s="26" t="n"/>
      <c r="AA60" s="28" t="n"/>
      <c r="AB60" s="28" t="n"/>
      <c r="AC60" s="30" t="n">
        <v>0</v>
      </c>
      <c r="AD60" s="24" t="inlineStr">
        <is>
          <t>2026-10-07T22:03:00.492434Z</t>
        </is>
      </c>
      <c r="AE60" s="31" t="inlineStr">
        <is>
          <t>Neutral Elo baseline; executable ask 0.4900 (market_slug=aec-cs2-lco-yaw-2026-10-07).</t>
        </is>
      </c>
      <c r="AF60" s="31" t="inlineStr">
        <is>
          <t>Config-promoted esports baseline; gates enforced at log time.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4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>Yawara Esports</t>
        </is>
      </c>
      <c r="AQ60" s="24" t="inlineStr">
        <is>
          <t>Yawara Esports</t>
        </is>
      </c>
      <c r="AR60" s="24" t="inlineStr">
        <is>
          <t>Yawara Esports</t>
        </is>
      </c>
      <c r="AS60" s="24" t="inlineStr">
        <is>
          <t>Low Cortisol</t>
        </is>
      </c>
      <c r="AT60" s="24" t="inlineStr">
        <is>
          <t>Low Cortisol</t>
        </is>
      </c>
      <c r="AU60" s="24" t="inlineStr">
        <is>
          <t>Low Cortisol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810cc52468393686a21ace378247f4fffa00829a0d0007883e29883e70533f54</t>
        </is>
      </c>
      <c r="BB60" s="24" t="inlineStr">
        <is>
          <t>neutral_elo</t>
        </is>
      </c>
      <c r="BC60" s="24" t="inlineStr">
        <is>
          <t>cs2-tiered-elo-v6</t>
        </is>
      </c>
      <c r="BD60" s="24" t="inlineStr">
        <is>
          <t>810cc52468393686a21ace378247f4fffa00829a0d0007883e29883e70533f54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cs2-tiered-elo-v6</t>
        </is>
      </c>
      <c r="BH60" s="24" t="inlineStr">
        <is>
          <t>2026-10-07T16:34:20.470362Z</t>
        </is>
      </c>
      <c r="BI60" s="24" t="inlineStr">
        <is>
          <t>["same_event","same_team_same_day","same_league_same_day"]</t>
        </is>
      </c>
      <c r="BJ60" s="25" t="n"/>
      <c r="BK60" s="26" t="n">
        <v>104</v>
      </c>
      <c r="BL60" s="27" t="n">
        <v>2.04</v>
      </c>
      <c r="BM60" s="28" t="n">
        <v>0.490196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inlineStr">
        <is>
          <t>esports market terminal (MARKET_STATE_EXPIRED) with prices {'Low Cortisol': 0.55, 'Yawara Esports': 0.45}; BO3 has no confirming finished-match result either</t>
        </is>
      </c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True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0.490196</t>
        </is>
      </c>
      <c r="DK60" s="24" t="n"/>
      <c r="DL60" s="24" t="n"/>
      <c r="DM60" s="24" t="n"/>
      <c r="DN60" s="24" t="n"/>
      <c r="DO60" s="24" t="n"/>
      <c r="DP60" s="24" t="n"/>
      <c r="DQ60" s="24" t="inlineStr">
        <is>
          <t>{"artifact_hash": "810cc52468393686a21ace378247f4fffa00829a0d0007883e29883e70533f54", "away_team": "Yawara Esports", "event_id": "144449", "event_start_utc": "2026-10-07T21:00:00Z", "features": {"away_elo": 1594.194995, "away_history_count": 288, "home_elo": 1483.564236, "home_history_count": 3}, "historical_source_observation_times_verified": false, "home_team": "Low Cortisol", "inference_inputs": {"book_state": {"games_played": {"bo3:1:23288": 3, "bo3:1:3625": 288}, "inactivity_half_life_days": null, "inactivity_max_pull": null, "k": 40.0, "last_match_utc": {"bo3:1:23288": "2026-04-29T09:00:00Z", "bo3:1:3625": "2026-10-03T13:00:00Z"}, "minimum_reliable_games": null, "platt_intercept": 0.07257546383213952, "platt_slope": 0.8636289221595141, "ratings": {"bo3:1:23288": 1483.564236, "bo3:1:3625": 1594.194995},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["bo3:1:23288", "bo3:1:3625"]}, "market_type": "moneyline", "model_version": "cs2-tiered-elo-v6", "observed_at_utc": "2026-10-07T16:32:25.646272+00:00", "probabilities": {"away": 0.556581, "home": 0.443419}, "replay_scope": "Exact serving book state, calibration, temperature, inactivity reference and thin-history adjustments; training provenance not certified.", "schema": "esports-elo-replay-v1", "snapshot_hash": "613618f757acbf1c5da2d5c3e7aff0cce8f6115962fe151a91c905678631069e", "sport": "CS2"}</t>
        </is>
      </c>
    </row>
    <row r="61" ht="36" customHeight="1">
      <c r="A61" s="24" t="inlineStr">
        <is>
          <t>afccdefc119142b1</t>
        </is>
      </c>
      <c r="B61" s="24" t="inlineStr">
        <is>
          <t>2026-10-07T22:30:13.146970Z</t>
        </is>
      </c>
      <c r="C61" s="24" t="inlineStr">
        <is>
          <t>2026-10-08T01:00:00Z</t>
        </is>
      </c>
      <c r="D61" s="24" t="inlineStr">
        <is>
          <t>144494</t>
        </is>
      </c>
      <c r="E61" s="24" t="inlineStr">
        <is>
          <t>CS2</t>
        </is>
      </c>
      <c r="F61" s="24" t="inlineStr">
        <is>
          <t>Club 333</t>
        </is>
      </c>
      <c r="G61" s="24" t="inlineStr">
        <is>
          <t>Zomblers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-194</v>
      </c>
      <c r="M61" s="27" t="n">
        <v>1.515464</v>
      </c>
      <c r="N61" s="28" t="n">
        <v>0.659864</v>
      </c>
      <c r="O61" s="28" t="n">
        <v>0.583178</v>
      </c>
      <c r="P61" s="28" t="n"/>
      <c r="Q61" s="28" t="n">
        <v>-0.076686</v>
      </c>
      <c r="R61" s="26" t="n">
        <v>0</v>
      </c>
      <c r="S61" s="29" t="n">
        <v>1</v>
      </c>
      <c r="T61" s="24" t="inlineStr">
        <is>
          <t>cs2-tiered-elo-v6</t>
        </is>
      </c>
      <c r="U61" s="24" t="inlineStr">
        <is>
          <t>settled</t>
        </is>
      </c>
      <c r="V61" s="24" t="inlineStr">
        <is>
          <t>win</t>
        </is>
      </c>
      <c r="W61" s="26" t="n">
        <v>0</v>
      </c>
      <c r="X61" s="26" t="n">
        <v>1</v>
      </c>
      <c r="Y61" s="25" t="n"/>
      <c r="Z61" s="26" t="n">
        <v>-156</v>
      </c>
      <c r="AA61" s="28" t="n">
        <v>0.61</v>
      </c>
      <c r="AB61" s="28" t="n">
        <v>-0.049864</v>
      </c>
      <c r="AC61" s="30" t="n">
        <v>0.5155</v>
      </c>
      <c r="AD61" s="24" t="inlineStr">
        <is>
          <t>2026-10-11T04:35:50.748378Z</t>
        </is>
      </c>
      <c r="AE61" s="31" t="inlineStr">
        <is>
          <t>Neutral Elo baseline; executable ask 0.6600 (market_slug=aec-cs2-zomb-c333-2026-10-08).</t>
        </is>
      </c>
      <c r="AF61" s="31" t="inlineStr">
        <is>
          <t>Config-promoted esports baseline; gates enforced at log time.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paper_call</t>
        </is>
      </c>
      <c r="AL61" s="26" t="n">
        <v>4</v>
      </c>
      <c r="AM61" s="24" t="inlineStr">
        <is>
          <t>RESEARCH_OBSERVATION</t>
        </is>
      </c>
      <c r="AN61" s="24" t="inlineStr">
        <is>
          <t>CALL</t>
        </is>
      </c>
      <c r="AO61" s="24" t="inlineStr">
        <is>
          <t>PAPER_CALL_LOW_EDGE</t>
        </is>
      </c>
      <c r="AP61" s="24" t="inlineStr">
        <is>
          <t>Club 333</t>
        </is>
      </c>
      <c r="AQ61" s="24" t="inlineStr">
        <is>
          <t>Club 333</t>
        </is>
      </c>
      <c r="AR61" s="24" t="inlineStr">
        <is>
          <t>Club 333</t>
        </is>
      </c>
      <c r="AS61" s="24" t="inlineStr">
        <is>
          <t>Zomblers</t>
        </is>
      </c>
      <c r="AT61" s="24" t="inlineStr">
        <is>
          <t>Zomblers</t>
        </is>
      </c>
      <c r="AU61" s="24" t="inlineStr">
        <is>
          <t>Zomblers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0511575560e01784c42c9ecdaca848c119a64f23f18bcc58f47ae07b5673b629</t>
        </is>
      </c>
      <c r="BB61" s="24" t="inlineStr">
        <is>
          <t>neutral_elo</t>
        </is>
      </c>
      <c r="BC61" s="24" t="inlineStr">
        <is>
          <t>cs2-tiered-elo-v6</t>
        </is>
      </c>
      <c r="BD61" s="24" t="inlineStr">
        <is>
          <t>0511575560e01784c42c9ecdaca848c119a64f23f18bcc58f47ae07b5673b629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cs2-tiered-elo-v6</t>
        </is>
      </c>
      <c r="BH61" s="24" t="inlineStr">
        <is>
          <t>2026-10-07T22:27:42.204657Z</t>
        </is>
      </c>
      <c r="BI61" s="24" t="inlineStr">
        <is>
          <t>["same_event","same_team_same_day","same_league_same_day"]</t>
        </is>
      </c>
      <c r="BJ61" s="25" t="n"/>
      <c r="BK61" s="26" t="n">
        <v>-194</v>
      </c>
      <c r="BL61" s="27" t="n">
        <v>1.515464</v>
      </c>
      <c r="BM61" s="28" t="n">
        <v>0.659864</v>
      </c>
      <c r="BN61" s="28" t="n"/>
      <c r="BO61" s="28" t="n"/>
      <c r="BP61" s="25" t="n"/>
      <c r="BQ61" s="27" t="n">
        <v>1.641026</v>
      </c>
      <c r="BR61" s="28" t="n">
        <v>0.61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False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0.659864</t>
        </is>
      </c>
      <c r="DK61" s="24" t="n"/>
      <c r="DL61" s="24" t="n"/>
      <c r="DM61" s="24" t="n"/>
      <c r="DN61" s="24" t="n"/>
      <c r="DO61" s="24" t="n"/>
      <c r="DP61" s="24" t="n"/>
      <c r="DQ61" s="24" t="inlineStr">
        <is>
          <t>{"artifact_hash": "0511575560e01784c42c9ecdaca848c119a64f23f18bcc58f47ae07b5673b629", "away_team": "Club 333", "event_id": "144494", "event_start_utc": "2026-10-08T01:00:00Z", "features": {"away_elo": 1407.708607, "away_history_count": 10, "home_elo": 1480.46431, "home_history_count": 134}, "historical_source_observation_times_verified": false, "home_team": "Zomblers", "inference_inputs": {"book_state": {"games_played": {"bo3:1:22924": 10, "bo3:1:5745": 134}, "inactivity_half_life_days": null, "inactivity_max_pull": null, "k": 40.0, "last_match_utc": {"bo3:1:22924": "2026-09-25T01:10:00Z", "bo3:1:5745": "2026-09-24T01:10:00Z"}, "minimum_reliable_games": null, "platt_intercept": 0.07026680453993422, "platt_slope": 0.8707326445728196, "ratings": {"bo3:1:22924": 1407.708607, "bo3:1:5745": 1480.46431},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["bo3:1:5745", "bo3:1:22924"]}, "market_type": "moneyline", "model_version": "cs2-tiered-elo-v6", "observed_at_utc": "2026-10-07T22:27:21.848441+00:00", "probabilities": {"away": 0.416822, "home": 0.583178}, "replay_scope": "Exact serving book state, calibration, temperature, inactivity reference and thin-history adjustments; training provenance not certified.", "schema": "esports-elo-replay-v1", "snapshot_hash": "717942e4079820efa379f61fb4c118eb5fd1fcccc654d8b09e9cfe4b2ada1855", "sport": "CS2"}</t>
        </is>
      </c>
    </row>
    <row r="62" ht="36" customHeight="1">
      <c r="A62" s="24" t="inlineStr">
        <is>
          <t>23b90b09691242d9</t>
        </is>
      </c>
      <c r="B62" s="24" t="inlineStr">
        <is>
          <t>2026-10-07T22:30:13.146970Z</t>
        </is>
      </c>
      <c r="C62" s="24" t="inlineStr">
        <is>
          <t>2026-10-08T01:00:00Z</t>
        </is>
      </c>
      <c r="D62" s="24" t="inlineStr">
        <is>
          <t>144496</t>
        </is>
      </c>
      <c r="E62" s="24" t="inlineStr">
        <is>
          <t>CS2</t>
        </is>
      </c>
      <c r="F62" s="24" t="inlineStr">
        <is>
          <t>FarmVille</t>
        </is>
      </c>
      <c r="G62" s="24" t="inlineStr">
        <is>
          <t>Villainous</t>
        </is>
      </c>
      <c r="H62" s="24" t="inlineStr">
        <is>
          <t>moneyline</t>
        </is>
      </c>
      <c r="I62" s="24" t="inlineStr">
        <is>
          <t>away</t>
        </is>
      </c>
      <c r="J62" s="25" t="n"/>
      <c r="K62" s="24" t="inlineStr">
        <is>
          <t>polymarket_us</t>
        </is>
      </c>
      <c r="L62" s="26" t="n">
        <v>-104</v>
      </c>
      <c r="M62" s="27" t="n">
        <v>1.961538</v>
      </c>
      <c r="N62" s="28" t="n">
        <v>0.509804</v>
      </c>
      <c r="O62" s="28" t="n">
        <v>0.551287</v>
      </c>
      <c r="P62" s="28" t="n"/>
      <c r="Q62" s="28" t="n">
        <v>0.041483</v>
      </c>
      <c r="R62" s="26" t="n">
        <v>41</v>
      </c>
      <c r="S62" s="29" t="n">
        <v>1</v>
      </c>
      <c r="T62" s="24" t="inlineStr">
        <is>
          <t>cs2-tiered-elo-v6</t>
        </is>
      </c>
      <c r="U62" s="24" t="inlineStr">
        <is>
          <t>settled</t>
        </is>
      </c>
      <c r="V62" s="24" t="inlineStr">
        <is>
          <t>win</t>
        </is>
      </c>
      <c r="W62" s="26" t="n">
        <v>1</v>
      </c>
      <c r="X62" s="26" t="n">
        <v>0</v>
      </c>
      <c r="Y62" s="25" t="n"/>
      <c r="Z62" s="26" t="n">
        <v>-194</v>
      </c>
      <c r="AA62" s="28" t="n">
        <v>0.66</v>
      </c>
      <c r="AB62" s="28" t="n">
        <v>0.150196</v>
      </c>
      <c r="AC62" s="30" t="n">
        <v>0.9615</v>
      </c>
      <c r="AD62" s="24" t="inlineStr">
        <is>
          <t>2026-10-11T04:35:53.168830Z</t>
        </is>
      </c>
      <c r="AE62" s="31" t="inlineStr">
        <is>
          <t>Neutral Elo baseline; executable ask 0.5100 (market_slug=aec-cs2-vil-fv-2026-10-08).</t>
        </is>
      </c>
      <c r="AF62" s="31" t="inlineStr">
        <is>
          <t>Config-promoted esports baseline; gates enforced at log time.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4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FarmVille</t>
        </is>
      </c>
      <c r="AQ62" s="24" t="inlineStr">
        <is>
          <t>FarmVille</t>
        </is>
      </c>
      <c r="AR62" s="24" t="inlineStr">
        <is>
          <t>FarmVille</t>
        </is>
      </c>
      <c r="AS62" s="24" t="inlineStr">
        <is>
          <t>Villainous</t>
        </is>
      </c>
      <c r="AT62" s="24" t="inlineStr">
        <is>
          <t>Villainous</t>
        </is>
      </c>
      <c r="AU62" s="24" t="inlineStr">
        <is>
          <t>Villainous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0511575560e01784c42c9ecdaca848c119a64f23f18bcc58f47ae07b5673b629</t>
        </is>
      </c>
      <c r="BB62" s="24" t="inlineStr">
        <is>
          <t>neutral_elo</t>
        </is>
      </c>
      <c r="BC62" s="24" t="inlineStr">
        <is>
          <t>cs2-tiered-elo-v6</t>
        </is>
      </c>
      <c r="BD62" s="24" t="inlineStr">
        <is>
          <t>0511575560e01784c42c9ecdaca848c119a64f23f18bcc58f47ae07b5673b629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cs2-tiered-elo-v6</t>
        </is>
      </c>
      <c r="BH62" s="24" t="inlineStr">
        <is>
          <t>2026-10-07T22:28:03.141383Z</t>
        </is>
      </c>
      <c r="BI62" s="24" t="inlineStr">
        <is>
          <t>["same_event","same_team_same_day","same_league_same_day"]</t>
        </is>
      </c>
      <c r="BJ62" s="25" t="n"/>
      <c r="BK62" s="26" t="n">
        <v>-104</v>
      </c>
      <c r="BL62" s="27" t="n">
        <v>1.961538</v>
      </c>
      <c r="BM62" s="28" t="n">
        <v>0.509804</v>
      </c>
      <c r="BN62" s="28" t="n"/>
      <c r="BO62" s="28" t="n"/>
      <c r="BP62" s="25" t="n"/>
      <c r="BQ62" s="27" t="n">
        <v>1.515464</v>
      </c>
      <c r="BR62" s="28" t="n">
        <v>0.66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True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0.509804</t>
        </is>
      </c>
      <c r="DK62" s="24" t="n"/>
      <c r="DL62" s="24" t="n"/>
      <c r="DM62" s="24" t="n"/>
      <c r="DN62" s="24" t="n"/>
      <c r="DO62" s="24" t="n"/>
      <c r="DP62" s="24" t="n"/>
      <c r="DQ62" s="24" t="inlineStr">
        <is>
          <t>{"artifact_hash": "0511575560e01784c42c9ecdaca848c119a64f23f18bcc58f47ae07b5673b629", "away_team": "FarmVille", "event_id": "144496", "event_start_utc": "2026-10-08T01:00:00Z", "features": {"away_elo": 1568.672247, "away_history_count": 52, "home_elo": 1500.407909, "home_history_count": 67}, "historical_source_observation_times_verified": false, "home_team": "Villainous", "inference_inputs": {"book_state": {"games_played": {"bo3:1:1475": 67, "bo3:1:22120": 52}, "inactivity_half_life_days": null, "inactivity_max_pull": null, "k": 40.0, "last_match_utc": {"bo3:1:1475": "2026-09-26T01:10:00Z", "bo3:1:22120": "2026-09-28T01:10:00Z"}, "minimum_reliable_games": null, "platt_intercept": 0.07026680453993422, "platt_slope": 0.8707326445728196, "ratings": {"bo3:1:1475": 1500.407909, "bo3:1:22120": 1568.672247},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["bo3:1:1475", "bo3:1:22120"]}, "market_type": "moneyline", "model_version": "cs2-tiered-elo-v6", "observed_at_utc": "2026-10-07T22:27:21.848441+00:00", "probabilities": {"away": 0.551287, "home": 0.448713}, "replay_scope": "Exact serving book state, calibration, temperature, inactivity reference and thin-history adjustments; training provenance not certified.", "schema": "esports-elo-replay-v1", "snapshot_hash": "3b1595a29615b224879ab6b19353d5465a59cf4ace5f3d3550c531703ff9da82", "sport": "CS2"}</t>
        </is>
      </c>
    </row>
    <row r="63" ht="36" customHeight="1">
      <c r="A63" s="24" t="inlineStr">
        <is>
          <t>14b249396e624917</t>
        </is>
      </c>
      <c r="B63" s="24" t="inlineStr">
        <is>
          <t>2026-10-07T22:30:13.146970Z</t>
        </is>
      </c>
      <c r="C63" s="24" t="inlineStr">
        <is>
          <t>2026-10-08T01:00:00Z</t>
        </is>
      </c>
      <c r="D63" s="24" t="inlineStr">
        <is>
          <t>144498</t>
        </is>
      </c>
      <c r="E63" s="24" t="inlineStr">
        <is>
          <t>CS2</t>
        </is>
      </c>
      <c r="F63" s="24" t="inlineStr">
        <is>
          <t>Detonate</t>
        </is>
      </c>
      <c r="G63" s="24" t="inlineStr">
        <is>
          <t>EMPIRE</t>
        </is>
      </c>
      <c r="H63" s="24" t="inlineStr">
        <is>
          <t>moneyline</t>
        </is>
      </c>
      <c r="I63" s="24" t="inlineStr">
        <is>
          <t>away</t>
        </is>
      </c>
      <c r="J63" s="25" t="n"/>
      <c r="K63" s="24" t="inlineStr">
        <is>
          <t>polymarket_us</t>
        </is>
      </c>
      <c r="L63" s="26" t="n">
        <v>122</v>
      </c>
      <c r="M63" s="27" t="n">
        <v>2.22</v>
      </c>
      <c r="N63" s="28" t="n">
        <v>0.45045</v>
      </c>
      <c r="O63" s="28" t="n">
        <v>0.533176</v>
      </c>
      <c r="P63" s="28" t="n"/>
      <c r="Q63" s="28" t="n">
        <v>0.08272599999999999</v>
      </c>
      <c r="R63" s="26" t="n">
        <v>61</v>
      </c>
      <c r="S63" s="29" t="n">
        <v>1.25</v>
      </c>
      <c r="T63" s="24" t="inlineStr">
        <is>
          <t>cs2-tiered-elo-v6</t>
        </is>
      </c>
      <c r="U63" s="24" t="inlineStr">
        <is>
          <t>settled</t>
        </is>
      </c>
      <c r="V63" s="24" t="inlineStr">
        <is>
          <t>win</t>
        </is>
      </c>
      <c r="W63" s="26" t="n">
        <v>1</v>
      </c>
      <c r="X63" s="26" t="n">
        <v>0</v>
      </c>
      <c r="Y63" s="25" t="n"/>
      <c r="Z63" s="26" t="n">
        <v>122</v>
      </c>
      <c r="AA63" s="28" t="n">
        <v>0.45</v>
      </c>
      <c r="AB63" s="28" t="n">
        <v>-0.00045</v>
      </c>
      <c r="AC63" s="30" t="n">
        <v>1.525</v>
      </c>
      <c r="AD63" s="24" t="inlineStr">
        <is>
          <t>2026-10-08T03:22:03.275970Z</t>
        </is>
      </c>
      <c r="AE63" s="31" t="inlineStr">
        <is>
          <t>Neutral Elo baseline; executable ask 0.4500 (market_slug=aec-cs2-emp-dtn-2026-10-08).</t>
        </is>
      </c>
      <c r="AF63" s="31" t="inlineStr">
        <is>
          <t>Config-promoted esports baseline; gates enforced at log time.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4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Detonate</t>
        </is>
      </c>
      <c r="AQ63" s="24" t="inlineStr">
        <is>
          <t>Detonate</t>
        </is>
      </c>
      <c r="AR63" s="24" t="inlineStr">
        <is>
          <t>Detonate</t>
        </is>
      </c>
      <c r="AS63" s="24" t="inlineStr">
        <is>
          <t>EMPIRE</t>
        </is>
      </c>
      <c r="AT63" s="24" t="inlineStr">
        <is>
          <t>EMPIRE</t>
        </is>
      </c>
      <c r="AU63" s="24" t="inlineStr">
        <is>
          <t>EMPIRE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0511575560e01784c42c9ecdaca848c119a64f23f18bcc58f47ae07b5673b629</t>
        </is>
      </c>
      <c r="BB63" s="24" t="inlineStr">
        <is>
          <t>neutral_elo</t>
        </is>
      </c>
      <c r="BC63" s="24" t="inlineStr">
        <is>
          <t>cs2-tiered-elo-v6</t>
        </is>
      </c>
      <c r="BD63" s="24" t="inlineStr">
        <is>
          <t>0511575560e01784c42c9ecdaca848c119a64f23f18bcc58f47ae07b5673b629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cs2-tiered-elo-v6</t>
        </is>
      </c>
      <c r="BH63" s="24" t="inlineStr">
        <is>
          <t>2026-10-07T22:28:03.333364Z</t>
        </is>
      </c>
      <c r="BI63" s="24" t="inlineStr">
        <is>
          <t>["same_event","same_team_same_day","same_league_same_day"]</t>
        </is>
      </c>
      <c r="BJ63" s="25" t="n"/>
      <c r="BK63" s="26" t="n">
        <v>122</v>
      </c>
      <c r="BL63" s="27" t="n">
        <v>2.22</v>
      </c>
      <c r="BM63" s="28" t="n">
        <v>0.45045</v>
      </c>
      <c r="BN63" s="28" t="n"/>
      <c r="BO63" s="28" t="n"/>
      <c r="BP63" s="25" t="n"/>
      <c r="BQ63" s="27" t="n">
        <v>2.22</v>
      </c>
      <c r="BR63" s="28" t="n">
        <v>0.45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True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0.45045</t>
        </is>
      </c>
      <c r="DK63" s="24" t="n"/>
      <c r="DL63" s="24" t="n"/>
      <c r="DM63" s="24" t="n"/>
      <c r="DN63" s="24" t="n"/>
      <c r="DO63" s="24" t="n"/>
      <c r="DP63" s="24" t="n"/>
      <c r="DQ63" s="24" t="inlineStr">
        <is>
          <t>{"artifact_hash": "0511575560e01784c42c9ecdaca848c119a64f23f18bcc58f47ae07b5673b629", "away_team": "Detonate", "event_id": "144498", "event_start_utc": "2026-10-08T01:00:00Z", "features": {"away_elo": 1552.358423, "away_history_count": 75, "home_elo": 1502.890094, "home_history_count": 18}, "historical_source_observation_times_verified": false, "home_team": "EMPIRE", "inference_inputs": {"book_state": {"games_played": {"bo3:1:1618": 75, "bo3:1:331": 18}, "inactivity_half_life_days": null, "inactivity_max_pull": null, "k": 40.0, "last_match_utc": {"bo3:1:1618": "2026-09-27T01:10:00Z", "bo3:1:331": "2026-09-05T03:20:00Z"}, "minimum_reliable_games": null, "platt_intercept": 0.07026680453993422, "platt_slope": 0.8707326445728196, "ratings": {"bo3:1:1618": 1552.358423, "bo3:1:331": 1502.890094},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["bo3:1:331", "bo3:1:1618"]}, "market_type": "moneyline", "model_version": "cs2-tiered-elo-v6", "observed_at_utc": "2026-10-07T22:27:21.848441+00:00", "probabilities": {"away": 0.533176, "home": 0.466824}, "replay_scope": "Exact serving book state, calibration, temperature, inactivity reference and thin-history adjustments; training provenance not certified.", "schema": "esports-elo-replay-v1", "snapshot_hash": "7165769c37298d8f956c0ed9fbe9bbd9f7c1329f65683924100056761bab76ae", "sport": "CS2"}</t>
        </is>
      </c>
    </row>
    <row r="64" ht="36" customHeight="1">
      <c r="A64" s="24" t="inlineStr">
        <is>
          <t>26e36667dd634574</t>
        </is>
      </c>
      <c r="B64" s="24" t="inlineStr">
        <is>
          <t>2026-10-07T22:30:13.146970Z</t>
        </is>
      </c>
      <c r="C64" s="24" t="inlineStr">
        <is>
          <t>2026-10-08T08:00:00Z</t>
        </is>
      </c>
      <c r="D64" s="24" t="inlineStr">
        <is>
          <t>146271</t>
        </is>
      </c>
      <c r="E64" s="24" t="inlineStr">
        <is>
          <t>CS2</t>
        </is>
      </c>
      <c r="F64" s="24" t="inlineStr">
        <is>
          <t>ex-Zero Tenacity</t>
        </is>
      </c>
      <c r="G64" s="24" t="inlineStr">
        <is>
          <t>Acend</t>
        </is>
      </c>
      <c r="H64" s="24" t="inlineStr">
        <is>
          <t>moneyline</t>
        </is>
      </c>
      <c r="I64" s="24" t="inlineStr">
        <is>
          <t>away</t>
        </is>
      </c>
      <c r="J64" s="25" t="n"/>
      <c r="K64" s="24" t="inlineStr">
        <is>
          <t>polymarket_us</t>
        </is>
      </c>
      <c r="L64" s="26" t="n">
        <v>-156</v>
      </c>
      <c r="M64" s="27" t="n">
        <v>1.641026</v>
      </c>
      <c r="N64" s="28" t="n">
        <v>0.609375</v>
      </c>
      <c r="O64" s="28" t="n">
        <v>0.581152</v>
      </c>
      <c r="P64" s="28" t="n"/>
      <c r="Q64" s="28" t="n">
        <v>-0.028223</v>
      </c>
      <c r="R64" s="26" t="n">
        <v>6</v>
      </c>
      <c r="S64" s="29" t="n">
        <v>1</v>
      </c>
      <c r="T64" s="24" t="inlineStr">
        <is>
          <t>cs2-tiered-elo-v6</t>
        </is>
      </c>
      <c r="U64" s="24" t="inlineStr">
        <is>
          <t>settled</t>
        </is>
      </c>
      <c r="V64" s="24" t="inlineStr">
        <is>
          <t>loss</t>
        </is>
      </c>
      <c r="W64" s="26" t="n">
        <v>0</v>
      </c>
      <c r="X64" s="26" t="n">
        <v>1</v>
      </c>
      <c r="Y64" s="25" t="n"/>
      <c r="Z64" s="26" t="n">
        <v>-163</v>
      </c>
      <c r="AA64" s="28" t="n">
        <v>0.62</v>
      </c>
      <c r="AB64" s="28" t="n">
        <v>0.010625</v>
      </c>
      <c r="AC64" s="30" t="n">
        <v>-1</v>
      </c>
      <c r="AD64" s="24" t="inlineStr">
        <is>
          <t>2026-10-11T04:35:59.308421Z</t>
        </is>
      </c>
      <c r="AE64" s="31" t="inlineStr">
        <is>
          <t>Neutral Elo baseline; executable ask 0.6100 (market_slug=aec-cs2-ace-ezt-2026-10-08).</t>
        </is>
      </c>
      <c r="AF64" s="31" t="inlineStr">
        <is>
          <t>Config-promoted esports baseline; gates enforced at log time.</t>
        </is>
      </c>
      <c r="AG64" s="24" t="inlineStr">
        <is>
          <t>review_required</t>
        </is>
      </c>
      <c r="AH64" s="24" t="n"/>
      <c r="AI64" s="31" t="n"/>
      <c r="AJ64" s="31" t="n"/>
      <c r="AK64" s="24" t="inlineStr">
        <is>
          <t>paper_call</t>
        </is>
      </c>
      <c r="AL64" s="26" t="n">
        <v>4</v>
      </c>
      <c r="AM64" s="24" t="inlineStr">
        <is>
          <t>RESEARCH_OBSERVATION</t>
        </is>
      </c>
      <c r="AN64" s="24" t="inlineStr">
        <is>
          <t>CALL</t>
        </is>
      </c>
      <c r="AO64" s="24" t="inlineStr">
        <is>
          <t>PAPER_CALL_LOW_EDGE</t>
        </is>
      </c>
      <c r="AP64" s="24" t="inlineStr">
        <is>
          <t>ex-Zero Tenacity</t>
        </is>
      </c>
      <c r="AQ64" s="24" t="inlineStr">
        <is>
          <t>ex-Zero Tenacity</t>
        </is>
      </c>
      <c r="AR64" s="24" t="inlineStr">
        <is>
          <t>ex-Zero Tenacity</t>
        </is>
      </c>
      <c r="AS64" s="24" t="inlineStr">
        <is>
          <t>Acend</t>
        </is>
      </c>
      <c r="AT64" s="24" t="inlineStr">
        <is>
          <t>Acend</t>
        </is>
      </c>
      <c r="AU64" s="24" t="inlineStr">
        <is>
          <t>Acend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0511575560e01784c42c9ecdaca848c119a64f23f18bcc58f47ae07b5673b629</t>
        </is>
      </c>
      <c r="BB64" s="24" t="inlineStr">
        <is>
          <t>neutral_elo</t>
        </is>
      </c>
      <c r="BC64" s="24" t="inlineStr">
        <is>
          <t>cs2-tiered-elo-v6</t>
        </is>
      </c>
      <c r="BD64" s="24" t="inlineStr">
        <is>
          <t>0511575560e01784c42c9ecdaca848c119a64f23f18bcc58f47ae07b5673b629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cs2-tiered-elo-v6</t>
        </is>
      </c>
      <c r="BH64" s="24" t="inlineStr">
        <is>
          <t>2026-10-07T22:28:35.297393Z</t>
        </is>
      </c>
      <c r="BI64" s="24" t="inlineStr">
        <is>
          <t>["same_event","same_team_same_day","same_league_same_day"]</t>
        </is>
      </c>
      <c r="BJ64" s="25" t="n"/>
      <c r="BK64" s="26" t="n">
        <v>-156</v>
      </c>
      <c r="BL64" s="27" t="n">
        <v>1.641026</v>
      </c>
      <c r="BM64" s="28" t="n">
        <v>0.609375</v>
      </c>
      <c r="BN64" s="28" t="n"/>
      <c r="BO64" s="28" t="n"/>
      <c r="BP64" s="25" t="n"/>
      <c r="BQ64" s="27" t="n">
        <v>1.613497</v>
      </c>
      <c r="BR64" s="28" t="n">
        <v>0.62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False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0.609375</t>
        </is>
      </c>
      <c r="DK64" s="24" t="n"/>
      <c r="DL64" s="24" t="n"/>
      <c r="DM64" s="24" t="n"/>
      <c r="DN64" s="24" t="n"/>
      <c r="DO64" s="24" t="n"/>
      <c r="DP64" s="24" t="n"/>
      <c r="DQ64" s="24" t="inlineStr">
        <is>
          <t>{"artifact_hash": "0511575560e01784c42c9ecdaca848c119a64f23f18bcc58f47ae07b5673b629", "away_team": "ex-Zero Tenacity", "event_id": "146271", "event_start_utc": "2026-10-08T08:00:00Z", "features": {"away_elo": 1780.106467, "away_history_count": 135, "home_elo": 1703.393349, "home_history_count": 118}, "historical_source_observation_times_verified": false, "home_team": "Acend", "inference_inputs": {"book_state": {"games_played": {"bo3:1:21980": 118, "bo3:1:22185": 135}, "inactivity_half_life_days": null, "inactivity_max_pull": null, "k": 40.0, "last_match_utc": {"bo3:1:21980": "2026-09-27T11:00:00Z", "bo3:1:22185": "2026-10-06T11:00:00Z"}, "minimum_reliable_games": null, "platt_intercept": 0.07026680453993422, "platt_slope": 0.8707326445728196, "ratings": {"bo3:1:21980": 1703.393349, "bo3:1:22185": 1780.106467},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["bo3:1:21980", "bo3:1:22185"]}, "market_type": "moneyline", "model_version": "cs2-tiered-elo-v6", "observed_at_utc": "2026-10-07T22:27:21.848441+00:00", "probabilities": {"away": 0.581152, "home": 0.418848}, "replay_scope": "Exact serving book state, calibration, temperature, inactivity reference and thin-history adjustments; training provenance not certified.", "schema": "esports-elo-replay-v1", "snapshot_hash": "d4df2c36de20dae6f5513cd325cbf3ec1942dc89dba8610b1324cac84468ba5b", "sport": "CS2"}</t>
        </is>
      </c>
    </row>
    <row r="65" ht="36" customHeight="1">
      <c r="A65" s="24" t="inlineStr">
        <is>
          <t>62131ab07bb941ac</t>
        </is>
      </c>
      <c r="B65" s="24" t="inlineStr">
        <is>
          <t>2026-10-07T22:30:13.146970Z</t>
        </is>
      </c>
      <c r="C65" s="24" t="inlineStr">
        <is>
          <t>2026-10-08T11:00:00Z</t>
        </is>
      </c>
      <c r="D65" s="24" t="inlineStr">
        <is>
          <t>143451</t>
        </is>
      </c>
      <c r="E65" s="24" t="inlineStr">
        <is>
          <t>CS2</t>
        </is>
      </c>
      <c r="F65" s="24" t="inlineStr">
        <is>
          <t>6666</t>
        </is>
      </c>
      <c r="G65" s="24" t="inlineStr">
        <is>
          <t>ENJOY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108</v>
      </c>
      <c r="M65" s="27" t="n">
        <v>2.08</v>
      </c>
      <c r="N65" s="28" t="n">
        <v>0.480769</v>
      </c>
      <c r="O65" s="28" t="n">
        <v>0.513072</v>
      </c>
      <c r="P65" s="28" t="n"/>
      <c r="Q65" s="28" t="n">
        <v>0.032303</v>
      </c>
      <c r="R65" s="26" t="n">
        <v>36</v>
      </c>
      <c r="S65" s="29" t="n">
        <v>1</v>
      </c>
      <c r="T65" s="24" t="inlineStr">
        <is>
          <t>cs2-tiered-elo-v6</t>
        </is>
      </c>
      <c r="U65" s="24" t="inlineStr">
        <is>
          <t>settled</t>
        </is>
      </c>
      <c r="V65" s="24" t="inlineStr">
        <is>
          <t>loss</t>
        </is>
      </c>
      <c r="W65" s="26" t="n">
        <v>1</v>
      </c>
      <c r="X65" s="26" t="n">
        <v>0</v>
      </c>
      <c r="Y65" s="25" t="n"/>
      <c r="Z65" s="26" t="n">
        <v>150</v>
      </c>
      <c r="AA65" s="28" t="n">
        <v>0.4</v>
      </c>
      <c r="AB65" s="28" t="n">
        <v>-0.08076899999999999</v>
      </c>
      <c r="AC65" s="30" t="n">
        <v>-1</v>
      </c>
      <c r="AD65" s="24" t="inlineStr">
        <is>
          <t>2026-10-11T04:36:06.406304Z</t>
        </is>
      </c>
      <c r="AE65" s="31" t="inlineStr">
        <is>
          <t>Neutral Elo baseline; executable ask 0.4800 (market_slug=aec-cs2-enjoy-6666-2026-10-08).</t>
        </is>
      </c>
      <c r="AF65" s="31" t="inlineStr">
        <is>
          <t>Config-promoted esports baseline; gates enforced at log time.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paper_call</t>
        </is>
      </c>
      <c r="AL65" s="26" t="n">
        <v>4</v>
      </c>
      <c r="AM65" s="24" t="inlineStr">
        <is>
          <t>RESEARCH_OBSERVATION</t>
        </is>
      </c>
      <c r="AN65" s="24" t="inlineStr">
        <is>
          <t>CALL</t>
        </is>
      </c>
      <c r="AO65" s="24" t="inlineStr">
        <is>
          <t>PAPER_CALL_LOW_EDGE</t>
        </is>
      </c>
      <c r="AP65" s="24" t="inlineStr">
        <is>
          <t>6666</t>
        </is>
      </c>
      <c r="AQ65" s="24" t="inlineStr">
        <is>
          <t>6666</t>
        </is>
      </c>
      <c r="AR65" s="24" t="inlineStr">
        <is>
          <t>6666</t>
        </is>
      </c>
      <c r="AS65" s="24" t="inlineStr">
        <is>
          <t>ENJOY</t>
        </is>
      </c>
      <c r="AT65" s="24" t="inlineStr">
        <is>
          <t>ENJOY</t>
        </is>
      </c>
      <c r="AU65" s="24" t="inlineStr">
        <is>
          <t>ENJOY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0511575560e01784c42c9ecdaca848c119a64f23f18bcc58f47ae07b5673b629</t>
        </is>
      </c>
      <c r="BB65" s="24" t="inlineStr">
        <is>
          <t>neutral_elo</t>
        </is>
      </c>
      <c r="BC65" s="24" t="inlineStr">
        <is>
          <t>cs2-tiered-elo-v6</t>
        </is>
      </c>
      <c r="BD65" s="24" t="inlineStr">
        <is>
          <t>0511575560e01784c42c9ecdaca848c119a64f23f18bcc58f47ae07b5673b629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cs2-tiered-elo-v6</t>
        </is>
      </c>
      <c r="BH65" s="24" t="inlineStr">
        <is>
          <t>2026-10-07T22:28:48.019694Z</t>
        </is>
      </c>
      <c r="BI65" s="24" t="inlineStr">
        <is>
          <t>["same_event","same_team_same_day","same_league_same_day"]</t>
        </is>
      </c>
      <c r="BJ65" s="25" t="n"/>
      <c r="BK65" s="26" t="n">
        <v>108</v>
      </c>
      <c r="BL65" s="27" t="n">
        <v>2.08</v>
      </c>
      <c r="BM65" s="28" t="n">
        <v>0.480769</v>
      </c>
      <c r="BN65" s="28" t="n"/>
      <c r="BO65" s="28" t="n"/>
      <c r="BP65" s="25" t="n"/>
      <c r="BQ65" s="27" t="n">
        <v>2.5</v>
      </c>
      <c r="BR65" s="28" t="n">
        <v>0.4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0.480769</t>
        </is>
      </c>
      <c r="DK65" s="24" t="n"/>
      <c r="DL65" s="24" t="n"/>
      <c r="DM65" s="24" t="n"/>
      <c r="DN65" s="24" t="n"/>
      <c r="DO65" s="24" t="n"/>
      <c r="DP65" s="24" t="n"/>
      <c r="DQ65" s="24" t="inlineStr">
        <is>
          <t>{"artifact_hash": "0511575560e01784c42c9ecdaca848c119a64f23f18bcc58f47ae07b5673b629", "away_team": "6666", "event_id": "143451", "event_start_utc": "2026-10-08T11:00:00Z", "features": {"away_elo": 1590.81224, "away_history_count": 31, "home_elo": 1578.728932, "home_history_count": 81}, "historical_source_observation_times_verified": false, "home_team": "ENJOY", "inference_inputs": {"book_state": {"games_played": {"bo3:1:10966": 81, "bo3:1:24507": 31}, "inactivity_half_life_days": null, "inactivity_max_pull": null, "k": 40.0, "last_match_utc": {"bo3:1:10966": "2026-10-07T11:00:00Z", "bo3:1:24507": "2026-09-23T17:00:00Z"}, "minimum_reliable_games": null, "platt_intercept": 0.07026680453993422, "platt_slope": 0.8707326445728196, "ratings": {"bo3:1:10966": 1578.728932, "bo3:1:24507": 1590.81224},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["bo3:1:10966", "bo3:1:24507"]}, "market_type": "moneyline", "model_version": "cs2-tiered-elo-v6", "observed_at_utc": "2026-10-07T22:27:21.848441+00:00", "probabilities": {"away": 0.486928, "home": 0.513072}, "replay_scope": "Exact serving book state, calibration, temperature, inactivity reference and thin-history adjustments; training provenance not certified.", "schema": "esports-elo-replay-v1", "snapshot_hash": "6a0b84827ddc8509df6c7c50b61b6edbfc45ff0243f3d372223af67c25278c4d", "sport": "CS2"}</t>
        </is>
      </c>
    </row>
    <row r="66" ht="36" customHeight="1">
      <c r="A66" s="24" t="inlineStr">
        <is>
          <t>cb95248fe6124a01</t>
        </is>
      </c>
      <c r="B66" s="24" t="inlineStr">
        <is>
          <t>2026-10-07T22:30:13.146970Z</t>
        </is>
      </c>
      <c r="C66" s="24" t="inlineStr">
        <is>
          <t>2026-10-08T12:00:00Z</t>
        </is>
      </c>
      <c r="D66" s="24" t="inlineStr">
        <is>
          <t>143486</t>
        </is>
      </c>
      <c r="E66" s="24" t="inlineStr">
        <is>
          <t>CS2</t>
        </is>
      </c>
      <c r="F66" s="24" t="inlineStr">
        <is>
          <t>Sinners</t>
        </is>
      </c>
      <c r="G66" s="24" t="inlineStr">
        <is>
          <t>Team Nemesis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-122</v>
      </c>
      <c r="M66" s="27" t="n">
        <v>1.819672</v>
      </c>
      <c r="N66" s="28" t="n">
        <v>0.54955</v>
      </c>
      <c r="O66" s="28" t="n">
        <v>0.547056</v>
      </c>
      <c r="P66" s="28" t="n"/>
      <c r="Q66" s="28" t="n">
        <v>-0.002494</v>
      </c>
      <c r="R66" s="26" t="n">
        <v>19</v>
      </c>
      <c r="S66" s="29" t="n">
        <v>1</v>
      </c>
      <c r="T66" s="24" t="inlineStr">
        <is>
          <t>cs2-tiered-elo-v6</t>
        </is>
      </c>
      <c r="U66" s="24" t="inlineStr">
        <is>
          <t>settled</t>
        </is>
      </c>
      <c r="V66" s="24" t="inlineStr">
        <is>
          <t>loss</t>
        </is>
      </c>
      <c r="W66" s="26" t="n">
        <v>1</v>
      </c>
      <c r="X66" s="26" t="n">
        <v>0</v>
      </c>
      <c r="Y66" s="25" t="n"/>
      <c r="Z66" s="26" t="n">
        <v>-122</v>
      </c>
      <c r="AA66" s="28" t="n">
        <v>0.55</v>
      </c>
      <c r="AB66" s="28" t="n">
        <v>0.00045</v>
      </c>
      <c r="AC66" s="30" t="n">
        <v>-1</v>
      </c>
      <c r="AD66" s="24" t="inlineStr">
        <is>
          <t>2026-10-11T04:36:18.123076Z</t>
        </is>
      </c>
      <c r="AE66" s="31" t="inlineStr">
        <is>
          <t>Neutral Elo baseline; executable ask 0.5500 (market_slug=aec-cs2-nem-sin-2026-10-08).</t>
        </is>
      </c>
      <c r="AF66" s="31" t="inlineStr">
        <is>
          <t>Config-promoted esports baseline; gates enforced at log time.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paper_call</t>
        </is>
      </c>
      <c r="AL66" s="26" t="n">
        <v>4</v>
      </c>
      <c r="AM66" s="24" t="inlineStr">
        <is>
          <t>RESEARCH_OBSERVATION</t>
        </is>
      </c>
      <c r="AN66" s="24" t="inlineStr">
        <is>
          <t>CALL</t>
        </is>
      </c>
      <c r="AO66" s="24" t="inlineStr">
        <is>
          <t>PAPER_CALL_LOW_EDGE</t>
        </is>
      </c>
      <c r="AP66" s="24" t="inlineStr">
        <is>
          <t>Sinners</t>
        </is>
      </c>
      <c r="AQ66" s="24" t="inlineStr">
        <is>
          <t>Sinners</t>
        </is>
      </c>
      <c r="AR66" s="24" t="inlineStr">
        <is>
          <t>Sinners</t>
        </is>
      </c>
      <c r="AS66" s="24" t="inlineStr">
        <is>
          <t>Team Nemesis</t>
        </is>
      </c>
      <c r="AT66" s="24" t="inlineStr">
        <is>
          <t>Team Nemesis</t>
        </is>
      </c>
      <c r="AU66" s="24" t="inlineStr">
        <is>
          <t>Team Nemesis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0511575560e01784c42c9ecdaca848c119a64f23f18bcc58f47ae07b5673b629</t>
        </is>
      </c>
      <c r="BB66" s="24" t="inlineStr">
        <is>
          <t>neutral_elo</t>
        </is>
      </c>
      <c r="BC66" s="24" t="inlineStr">
        <is>
          <t>cs2-tiered-elo-v6</t>
        </is>
      </c>
      <c r="BD66" s="24" t="inlineStr">
        <is>
          <t>0511575560e01784c42c9ecdaca848c119a64f23f18bcc58f47ae07b5673b629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cs2-tiered-elo-v6</t>
        </is>
      </c>
      <c r="BH66" s="24" t="inlineStr">
        <is>
          <t>2026-10-07T22:28:59.405882Z</t>
        </is>
      </c>
      <c r="BI66" s="24" t="inlineStr">
        <is>
          <t>["same_event","same_team_same_day","same_league_same_day"]</t>
        </is>
      </c>
      <c r="BJ66" s="25" t="n"/>
      <c r="BK66" s="26" t="n">
        <v>-122</v>
      </c>
      <c r="BL66" s="27" t="n">
        <v>1.819672</v>
      </c>
      <c r="BM66" s="28" t="n">
        <v>0.54955</v>
      </c>
      <c r="BN66" s="28" t="n"/>
      <c r="BO66" s="28" t="n"/>
      <c r="BP66" s="25" t="n"/>
      <c r="BQ66" s="27" t="n">
        <v>1.819672</v>
      </c>
      <c r="BR66" s="28" t="n">
        <v>0.55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False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0.54955</t>
        </is>
      </c>
      <c r="DK66" s="24" t="n"/>
      <c r="DL66" s="24" t="n"/>
      <c r="DM66" s="24" t="n"/>
      <c r="DN66" s="24" t="n"/>
      <c r="DO66" s="24" t="n"/>
      <c r="DP66" s="24" t="n"/>
      <c r="DQ66" s="24" t="inlineStr">
        <is>
          <t>{"artifact_hash": "0511575560e01784c42c9ecdaca848c119a64f23f18bcc58f47ae07b5673b629", "away_team": "Sinners", "event_id": "143486", "event_start_utc": "2026-10-08T12:00:00Z", "features": {"away_elo": 1826.072387, "away_history_count": 429, "home_elo": 1876.930577, "home_history_count": 131}, "historical_source_observation_times_verified": false, "home_team": "Team Nemesis", "inference_inputs": {"book_state": {"games_played": {"bo3:1:200": 429, "bo3:1:21388": 131}, "inactivity_half_life_days": null, "inactivity_max_pull": null, "k": 40.0, "last_match_utc": {"bo3:1:200": "2026-10-03T09:00:00Z", "bo3:1:21388": "2026-09-27T11:00:00Z"}, "minimum_reliable_games": null, "platt_intercept": 0.07026680453993422, "platt_slope": 0.8707326445728196, "ratings": {"bo3:1:200": 1826.072387, "bo3:1:21388": 1876.930577},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["bo3:1:21388", "bo3:1:200"]}, "market_type": "moneyline", "model_version": "cs2-tiered-elo-v6", "observed_at_utc": "2026-10-07T22:27:21.848441+00:00", "probabilities": {"away": 0.452944, "home": 0.547056}, "replay_scope": "Exact serving book state, calibration, temperature, inactivity reference and thin-history adjustments; training provenance not certified.", "schema": "esports-elo-replay-v1", "snapshot_hash": "d1c60428045dc2fd9c4d49654d938ec4492b95ccff7cc32291cb3b59ba73577a", "sport": "CS2"}</t>
        </is>
      </c>
    </row>
    <row r="67" ht="36" customHeight="1">
      <c r="A67" s="24" t="inlineStr">
        <is>
          <t>85432ed7dca14ca5</t>
        </is>
      </c>
      <c r="B67" s="24" t="inlineStr">
        <is>
          <t>2026-10-07T22:30:13.146970Z</t>
        </is>
      </c>
      <c r="C67" s="24" t="inlineStr">
        <is>
          <t>2026-10-08T14:00:00Z</t>
        </is>
      </c>
      <c r="D67" s="24" t="inlineStr">
        <is>
          <t>146273</t>
        </is>
      </c>
      <c r="E67" s="24" t="inlineStr">
        <is>
          <t>CS2</t>
        </is>
      </c>
      <c r="F67" s="24" t="inlineStr">
        <is>
          <t>Nexus</t>
        </is>
      </c>
      <c r="G67" s="24" t="inlineStr">
        <is>
          <t>CYBERSHOKE Esports</t>
        </is>
      </c>
      <c r="H67" s="24" t="inlineStr">
        <is>
          <t>moneyline</t>
        </is>
      </c>
      <c r="I67" s="24" t="inlineStr">
        <is>
          <t>away</t>
        </is>
      </c>
      <c r="J67" s="25" t="n"/>
      <c r="K67" s="24" t="inlineStr">
        <is>
          <t>polymarket_us</t>
        </is>
      </c>
      <c r="L67" s="26" t="n">
        <v>203</v>
      </c>
      <c r="M67" s="27" t="n">
        <v>3.03</v>
      </c>
      <c r="N67" s="28" t="n">
        <v>0.330033</v>
      </c>
      <c r="O67" s="28" t="n">
        <v>0.581856</v>
      </c>
      <c r="P67" s="28" t="n"/>
      <c r="Q67" s="28" t="n">
        <v>0.251823</v>
      </c>
      <c r="R67" s="26" t="n">
        <v>100</v>
      </c>
      <c r="S67" s="29" t="n">
        <v>2</v>
      </c>
      <c r="T67" s="24" t="inlineStr">
        <is>
          <t>cs2-tiered-elo-v6</t>
        </is>
      </c>
      <c r="U67" s="24" t="inlineStr">
        <is>
          <t>settled</t>
        </is>
      </c>
      <c r="V67" s="24" t="inlineStr">
        <is>
          <t>push</t>
        </is>
      </c>
      <c r="W67" s="26" t="n"/>
      <c r="X67" s="26" t="n"/>
      <c r="Y67" s="25" t="n"/>
      <c r="Z67" s="26" t="n"/>
      <c r="AA67" s="28" t="n"/>
      <c r="AB67" s="28" t="n"/>
      <c r="AC67" s="30" t="n">
        <v>0</v>
      </c>
      <c r="AD67" s="24" t="inlineStr">
        <is>
          <t>2026-10-11T04:36:35.984384Z</t>
        </is>
      </c>
      <c r="AE67" s="31" t="inlineStr">
        <is>
          <t>Neutral Elo baseline; executable ask 0.3300 (market_slug=aec-cs2-cs-nxs-2026-10-08).</t>
        </is>
      </c>
      <c r="AF67" s="31" t="inlineStr">
        <is>
          <t>Config-promoted esports baseline; gates enforced at log time.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paper_call</t>
        </is>
      </c>
      <c r="AL67" s="26" t="n">
        <v>4</v>
      </c>
      <c r="AM67" s="24" t="inlineStr">
        <is>
          <t>RESEARCH_OBSERVATION</t>
        </is>
      </c>
      <c r="AN67" s="24" t="inlineStr">
        <is>
          <t>CALL</t>
        </is>
      </c>
      <c r="AO67" s="24" t="inlineStr">
        <is>
          <t>PAPER_CALL_MODEL_UNVALIDATED</t>
        </is>
      </c>
      <c r="AP67" s="24" t="inlineStr">
        <is>
          <t>Nexus</t>
        </is>
      </c>
      <c r="AQ67" s="24" t="inlineStr">
        <is>
          <t>Nexus</t>
        </is>
      </c>
      <c r="AR67" s="24" t="inlineStr">
        <is>
          <t>Nexus</t>
        </is>
      </c>
      <c r="AS67" s="24" t="inlineStr">
        <is>
          <t>CYBERSHOKE Esports</t>
        </is>
      </c>
      <c r="AT67" s="24" t="inlineStr">
        <is>
          <t>CYBERSHOKE Esports</t>
        </is>
      </c>
      <c r="AU67" s="24" t="inlineStr">
        <is>
          <t>CYBERSHOKE Esports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0511575560e01784c42c9ecdaca848c119a64f23f18bcc58f47ae07b5673b629</t>
        </is>
      </c>
      <c r="BB67" s="24" t="inlineStr">
        <is>
          <t>neutral_elo</t>
        </is>
      </c>
      <c r="BC67" s="24" t="inlineStr">
        <is>
          <t>cs2-tiered-elo-v6</t>
        </is>
      </c>
      <c r="BD67" s="24" t="inlineStr">
        <is>
          <t>0511575560e01784c42c9ecdaca848c119a64f23f18bcc58f47ae07b5673b629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cs2-tiered-elo-v6</t>
        </is>
      </c>
      <c r="BH67" s="24" t="inlineStr">
        <is>
          <t>2026-10-07T22:29:41.996506Z</t>
        </is>
      </c>
      <c r="BI67" s="24" t="inlineStr">
        <is>
          <t>["same_event","same_team_same_day","same_league_same_day"]</t>
        </is>
      </c>
      <c r="BJ67" s="25" t="n"/>
      <c r="BK67" s="26" t="n">
        <v>203</v>
      </c>
      <c r="BL67" s="27" t="n">
        <v>3.03</v>
      </c>
      <c r="BM67" s="28" t="n">
        <v>0.330033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inlineStr">
        <is>
          <t>esports market terminal (MARKET_STATE_EXPIRED) with prices {'CYBERSHOKE Esports': 0.67, 'Nexus': 0.33}; BO3 has no confirming finished-match result either</t>
        </is>
      </c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True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0.330033</t>
        </is>
      </c>
      <c r="DK67" s="24" t="n"/>
      <c r="DL67" s="24" t="n"/>
      <c r="DM67" s="24" t="n"/>
      <c r="DN67" s="24" t="n"/>
      <c r="DO67" s="24" t="n"/>
      <c r="DP67" s="24" t="n"/>
      <c r="DQ67" s="24" t="inlineStr">
        <is>
          <t>{"artifact_hash": "0511575560e01784c42c9ecdaca848c119a64f23f18bcc58f47ae07b5673b629", "away_team": "Nexus", "event_id": "146273", "event_start_utc": "2026-10-08T14:00:00Z", "features": {"away_elo": 1680.884374, "away_history_count": 431, "home_elo": 1500.0, "home_history_count": 0}, "historical_source_observation_times_verified": false, "home_team": "CYBERSHOKE Esports", "inference_inputs": {"book_state": {"games_played": {"bo3:1:326": 431}, "inactivity_half_life_days": null, "inactivity_max_pull": null, "k": 40.0, "last_match_utc": {"bo3:1:326": "2026-10-03T17:30:00Z"}, "minimum_reliable_games": null, "platt_intercept": 0.07026680453993422, "platt_slope": 0.8707326445728196, "ratings": {"bo3:1:326": 1680.884374},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["unknown:cybershokeesports", "bo3:1:326"]}, "market_type": "moneyline", "model_version": "cs2-tiered-elo-v6", "observed_at_utc": "2026-10-07T22:27:21.848441+00:00", "probabilities": {"away": 0.581856, "home": 0.418144}, "replay_scope": "Exact serving book state, calibration, temperature, inactivity reference and thin-history adjustments; training provenance not certified.", "schema": "esports-elo-replay-v1", "snapshot_hash": "295f734f9d307187d0ee76c342a75019b51e858bd263de76bdff866f00e31ae4", "sport": "CS2"}</t>
        </is>
      </c>
    </row>
    <row r="68" ht="36" customHeight="1">
      <c r="A68" s="24" t="inlineStr">
        <is>
          <t>c94fc05c293741db</t>
        </is>
      </c>
      <c r="B68" s="24" t="inlineStr">
        <is>
          <t>2026-10-07T22:30:13.146970Z</t>
        </is>
      </c>
      <c r="C68" s="24" t="inlineStr">
        <is>
          <t>2026-10-08T15:00:00Z</t>
        </is>
      </c>
      <c r="D68" s="24" t="inlineStr">
        <is>
          <t>143737</t>
        </is>
      </c>
      <c r="E68" s="24" t="inlineStr">
        <is>
          <t>CS2</t>
        </is>
      </c>
      <c r="F68" s="24" t="inlineStr">
        <is>
          <t>PRIVATE</t>
        </is>
      </c>
      <c r="G68" s="24" t="inlineStr">
        <is>
          <t>Betclic Apogee Esports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-170</v>
      </c>
      <c r="M68" s="27" t="n">
        <v>1.588235</v>
      </c>
      <c r="N68" s="28" t="n">
        <v>0.62963</v>
      </c>
      <c r="O68" s="28" t="n">
        <v>0.608718</v>
      </c>
      <c r="P68" s="28" t="n"/>
      <c r="Q68" s="28" t="n">
        <v>-0.020912</v>
      </c>
      <c r="R68" s="26" t="n">
        <v>10</v>
      </c>
      <c r="S68" s="29" t="n">
        <v>1</v>
      </c>
      <c r="T68" s="24" t="inlineStr">
        <is>
          <t>cs2-tiered-elo-v6</t>
        </is>
      </c>
      <c r="U68" s="24" t="inlineStr">
        <is>
          <t>settled</t>
        </is>
      </c>
      <c r="V68" s="24" t="inlineStr">
        <is>
          <t>loss</t>
        </is>
      </c>
      <c r="W68" s="26" t="n">
        <v>1</v>
      </c>
      <c r="X68" s="26" t="n">
        <v>0</v>
      </c>
      <c r="Y68" s="25" t="n"/>
      <c r="Z68" s="26" t="n">
        <v>-163</v>
      </c>
      <c r="AA68" s="28" t="n">
        <v>0.62</v>
      </c>
      <c r="AB68" s="28" t="n">
        <v>-0.00963</v>
      </c>
      <c r="AC68" s="30" t="n">
        <v>-1</v>
      </c>
      <c r="AD68" s="24" t="inlineStr">
        <is>
          <t>2026-10-11T04:36:43.091035Z</t>
        </is>
      </c>
      <c r="AE68" s="31" t="inlineStr">
        <is>
          <t>Neutral Elo baseline; executable ask 0.6300 (market_slug=aec-cs2-bca-priv-2026-10-08).</t>
        </is>
      </c>
      <c r="AF68" s="31" t="inlineStr">
        <is>
          <t>Config-promoted esports baseline; gates enforced at log time.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paper_call</t>
        </is>
      </c>
      <c r="AL68" s="26" t="n">
        <v>4</v>
      </c>
      <c r="AM68" s="24" t="inlineStr">
        <is>
          <t>RESEARCH_OBSERVATION</t>
        </is>
      </c>
      <c r="AN68" s="24" t="inlineStr">
        <is>
          <t>CALL</t>
        </is>
      </c>
      <c r="AO68" s="24" t="inlineStr">
        <is>
          <t>PAPER_CALL_MODEL_UNVALIDATED</t>
        </is>
      </c>
      <c r="AP68" s="24" t="inlineStr">
        <is>
          <t>PRIVATE</t>
        </is>
      </c>
      <c r="AQ68" s="24" t="inlineStr">
        <is>
          <t>PRIVATE</t>
        </is>
      </c>
      <c r="AR68" s="24" t="inlineStr">
        <is>
          <t>PRIVATE</t>
        </is>
      </c>
      <c r="AS68" s="24" t="inlineStr">
        <is>
          <t>Betclic Apogee Esports</t>
        </is>
      </c>
      <c r="AT68" s="24" t="inlineStr">
        <is>
          <t>Betclic Apogee Esports</t>
        </is>
      </c>
      <c r="AU68" s="24" t="inlineStr">
        <is>
          <t>Betclic Apogee Esports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0511575560e01784c42c9ecdaca848c119a64f23f18bcc58f47ae07b5673b629</t>
        </is>
      </c>
      <c r="BB68" s="24" t="inlineStr">
        <is>
          <t>neutral_elo</t>
        </is>
      </c>
      <c r="BC68" s="24" t="inlineStr">
        <is>
          <t>cs2-tiered-elo-v6</t>
        </is>
      </c>
      <c r="BD68" s="24" t="inlineStr">
        <is>
          <t>0511575560e01784c42c9ecdaca848c119a64f23f18bcc58f47ae07b5673b629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cs2-tiered-elo-v6</t>
        </is>
      </c>
      <c r="BH68" s="24" t="inlineStr">
        <is>
          <t>2026-10-07T22:29:52.467902Z</t>
        </is>
      </c>
      <c r="BI68" s="24" t="inlineStr">
        <is>
          <t>["same_event","same_team_same_day","same_league_same_day"]</t>
        </is>
      </c>
      <c r="BJ68" s="25" t="n"/>
      <c r="BK68" s="26" t="n">
        <v>-170</v>
      </c>
      <c r="BL68" s="27" t="n">
        <v>1.588235</v>
      </c>
      <c r="BM68" s="28" t="n">
        <v>0.62963</v>
      </c>
      <c r="BN68" s="28" t="n"/>
      <c r="BO68" s="28" t="n"/>
      <c r="BP68" s="25" t="n"/>
      <c r="BQ68" s="27" t="n">
        <v>1.613497</v>
      </c>
      <c r="BR68" s="28" t="n">
        <v>0.62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False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0.62963</t>
        </is>
      </c>
      <c r="DK68" s="24" t="n"/>
      <c r="DL68" s="24" t="n"/>
      <c r="DM68" s="24" t="n"/>
      <c r="DN68" s="24" t="n"/>
      <c r="DO68" s="24" t="n"/>
      <c r="DP68" s="24" t="n"/>
      <c r="DQ68" s="24" t="inlineStr">
        <is>
          <t>{"artifact_hash": "0511575560e01784c42c9ecdaca848c119a64f23f18bcc58f47ae07b5673b629", "away_team": "PRIVATE", "event_id": "143737", "event_start_utc": "2026-10-08T15:00:00Z", "features": {"away_elo": 1500.0, "away_history_count": 0, "home_elo": 1729.162772, "home_history_count": 248}, "historical_source_observation_times_verified": false, "home_team": "Betclic Apogee Esports", "inference_inputs": {"book_state": {"games_played": {"bo3:1:11101": 248}, "inactivity_half_life_days": null, "inactivity_max_pull": null, "k": 40.0, "last_match_utc": {"bo3:1:11101": "2026-09-25T14:00:00Z"}, "minimum_reliable_games": null, "platt_intercept": 0.07026680453993422, "platt_slope": 0.8707326445728196, "ratings": {"bo3:1:11101": 1729.162772},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["bo3:1:11101", "unknown:private"]}, "market_type": "moneyline", "model_version": "cs2-tiered-elo-v6", "observed_at_utc": "2026-10-07T22:27:21.848441+00:00", "probabilities": {"away": 0.391282, "home": 0.608718}, "replay_scope": "Exact serving book state, calibration, temperature, inactivity reference and thin-history adjustments; training provenance not certified.", "schema": "esports-elo-replay-v1", "snapshot_hash": "bf993993a27b455529896a762425d594295847b7c284406c7b68ca6fa795a915", "sport": "CS2"}</t>
        </is>
      </c>
    </row>
    <row r="69" ht="36" customHeight="1">
      <c r="A69" s="24" t="inlineStr">
        <is>
          <t>4057568fbb624843</t>
        </is>
      </c>
      <c r="B69" s="24" t="inlineStr">
        <is>
          <t>2026-10-07T22:30:13.146970Z</t>
        </is>
      </c>
      <c r="C69" s="24" t="inlineStr">
        <is>
          <t>2026-10-08T17:00:00Z</t>
        </is>
      </c>
      <c r="D69" s="24" t="inlineStr">
        <is>
          <t>146274</t>
        </is>
      </c>
      <c r="E69" s="24" t="inlineStr">
        <is>
          <t>CS2</t>
        </is>
      </c>
      <c r="F69" s="24" t="inlineStr">
        <is>
          <t>Black Phoenix</t>
        </is>
      </c>
      <c r="G69" s="24" t="inlineStr">
        <is>
          <t>Sinners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-104</v>
      </c>
      <c r="M69" s="27" t="n">
        <v>1.961538</v>
      </c>
      <c r="N69" s="28" t="n">
        <v>0.509804</v>
      </c>
      <c r="O69" s="28" t="n">
        <v>0.530132</v>
      </c>
      <c r="P69" s="28" t="n"/>
      <c r="Q69" s="28" t="n">
        <v>0.020328</v>
      </c>
      <c r="R69" s="26" t="n">
        <v>30</v>
      </c>
      <c r="S69" s="29" t="n">
        <v>1</v>
      </c>
      <c r="T69" s="24" t="inlineStr">
        <is>
          <t>cs2-tiered-elo-v6</t>
        </is>
      </c>
      <c r="U69" s="24" t="inlineStr">
        <is>
          <t>settled</t>
        </is>
      </c>
      <c r="V69" s="24" t="inlineStr">
        <is>
          <t>loss</t>
        </is>
      </c>
      <c r="W69" s="26" t="n">
        <v>1</v>
      </c>
      <c r="X69" s="26" t="n">
        <v>0</v>
      </c>
      <c r="Y69" s="25" t="n"/>
      <c r="Z69" s="26" t="n">
        <v>-1150</v>
      </c>
      <c r="AA69" s="28" t="n">
        <v>0.92</v>
      </c>
      <c r="AB69" s="28" t="n">
        <v>0.410196</v>
      </c>
      <c r="AC69" s="30" t="n">
        <v>-1</v>
      </c>
      <c r="AD69" s="24" t="inlineStr">
        <is>
          <t>2026-10-11T04:36:49.471197Z</t>
        </is>
      </c>
      <c r="AE69" s="31" t="inlineStr">
        <is>
          <t>Neutral Elo baseline; executable ask 0.5100 (market_slug=aec-cs2-sin-bpl-2026-10-08).</t>
        </is>
      </c>
      <c r="AF69" s="31" t="inlineStr">
        <is>
          <t>Config-promoted esports baseline; gates enforced at log time.</t>
        </is>
      </c>
      <c r="AG69" s="24" t="inlineStr">
        <is>
          <t>review_required</t>
        </is>
      </c>
      <c r="AH69" s="24" t="n"/>
      <c r="AI69" s="31" t="n"/>
      <c r="AJ69" s="31" t="n"/>
      <c r="AK69" s="24" t="inlineStr">
        <is>
          <t>paper_call</t>
        </is>
      </c>
      <c r="AL69" s="26" t="n">
        <v>4</v>
      </c>
      <c r="AM69" s="24" t="inlineStr">
        <is>
          <t>RESEARCH_OBSERVATION</t>
        </is>
      </c>
      <c r="AN69" s="24" t="inlineStr">
        <is>
          <t>CALL</t>
        </is>
      </c>
      <c r="AO69" s="24" t="inlineStr">
        <is>
          <t>PAPER_CALL_LOW_EDGE</t>
        </is>
      </c>
      <c r="AP69" s="24" t="inlineStr">
        <is>
          <t>Black Phoenix</t>
        </is>
      </c>
      <c r="AQ69" s="24" t="inlineStr">
        <is>
          <t>Black Phoenix</t>
        </is>
      </c>
      <c r="AR69" s="24" t="inlineStr">
        <is>
          <t>Black Phoenix</t>
        </is>
      </c>
      <c r="AS69" s="24" t="inlineStr">
        <is>
          <t>Sinners</t>
        </is>
      </c>
      <c r="AT69" s="24" t="inlineStr">
        <is>
          <t>Sinners</t>
        </is>
      </c>
      <c r="AU69" s="24" t="inlineStr">
        <is>
          <t>Sinners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0511575560e01784c42c9ecdaca848c119a64f23f18bcc58f47ae07b5673b629</t>
        </is>
      </c>
      <c r="BB69" s="24" t="inlineStr">
        <is>
          <t>neutral_elo</t>
        </is>
      </c>
      <c r="BC69" s="24" t="inlineStr">
        <is>
          <t>cs2-tiered-elo-v6</t>
        </is>
      </c>
      <c r="BD69" s="24" t="inlineStr">
        <is>
          <t>0511575560e01784c42c9ecdaca848c119a64f23f18bcc58f47ae07b5673b629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cs2-tiered-elo-v6</t>
        </is>
      </c>
      <c r="BH69" s="24" t="inlineStr">
        <is>
          <t>2026-10-07T22:30:02.812677Z</t>
        </is>
      </c>
      <c r="BI69" s="24" t="inlineStr">
        <is>
          <t>["same_event","same_team_same_day","same_league_same_day"]</t>
        </is>
      </c>
      <c r="BJ69" s="25" t="n"/>
      <c r="BK69" s="26" t="n">
        <v>-104</v>
      </c>
      <c r="BL69" s="27" t="n">
        <v>1.961538</v>
      </c>
      <c r="BM69" s="28" t="n">
        <v>0.509804</v>
      </c>
      <c r="BN69" s="28" t="n"/>
      <c r="BO69" s="28" t="n"/>
      <c r="BP69" s="25" t="n"/>
      <c r="BQ69" s="27" t="n">
        <v>1.086957</v>
      </c>
      <c r="BR69" s="28" t="n">
        <v>0.92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True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0.509804</t>
        </is>
      </c>
      <c r="DK69" s="24" t="n"/>
      <c r="DL69" s="24" t="n"/>
      <c r="DM69" s="24" t="n"/>
      <c r="DN69" s="24" t="n"/>
      <c r="DO69" s="24" t="n"/>
      <c r="DP69" s="24" t="n"/>
      <c r="DQ69" s="24" t="inlineStr">
        <is>
          <t>{"artifact_hash": "0511575560e01784c42c9ecdaca848c119a64f23f18bcc58f47ae07b5673b629", "away_team": "Black Phoenix", "event_id": "146274", "event_start_utc": "2026-10-08T17:00:00Z", "features": {"away_elo": 1804.515355, "away_history_count": 59, "home_elo": 1826.072387, "home_history_count": 429}, "historical_source_observation_times_verified": false, "home_team": "Sinners", "inference_inputs": {"book_state": {"games_played": {"bo3:1:200": 429, "bo3:1:24924": 59}, "inactivity_half_life_days": null, "inactivity_max_pull": null, "k": 40.0, "last_match_utc": {"bo3:1:200": "2026-10-03T09:00:00Z", "bo3:1:24924": "2026-10-05T17:30:00Z"}, "minimum_reliable_games": null, "platt_intercept": 0.07026680453993422, "platt_slope": 0.8707326445728196, "ratings": {"bo3:1:200": 1826.072387, "bo3:1:24924": 1804.515355},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["bo3:1:200", "bo3:1:24924"]}, "market_type": "moneyline", "model_version": "cs2-tiered-elo-v6", "observed_at_utc": "2026-10-07T22:27:21.848441+00:00", "probabilities": {"away": 0.469868, "home": 0.530132}, "replay_scope": "Exact serving book state, calibration, temperature, inactivity reference and thin-history adjustments; training provenance not certified.", "schema": "esports-elo-replay-v1", "snapshot_hash": "aafd7cde9cab4dc586cd29be0a01d81a4b0095aecb7b83565723fdf10a91ff9c", "sport": "CS2"}</t>
        </is>
      </c>
    </row>
    <row r="70" ht="36" customHeight="1">
      <c r="A70" s="24" t="inlineStr">
        <is>
          <t>4f77b57bb939486a</t>
        </is>
      </c>
      <c r="B70" s="24" t="inlineStr">
        <is>
          <t>2026-10-07T22:30:13.146970Z</t>
        </is>
      </c>
      <c r="C70" s="24" t="inlineStr">
        <is>
          <t>2026-10-08T18:00:00Z</t>
        </is>
      </c>
      <c r="D70" s="24" t="inlineStr">
        <is>
          <t>144055</t>
        </is>
      </c>
      <c r="E70" s="24" t="inlineStr">
        <is>
          <t>CS2</t>
        </is>
      </c>
      <c r="F70" s="24" t="inlineStr">
        <is>
          <t>Color</t>
        </is>
      </c>
      <c r="G70" s="24" t="inlineStr">
        <is>
          <t>Nuclear TigeRES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100</v>
      </c>
      <c r="M70" s="27" t="n">
        <v>2</v>
      </c>
      <c r="N70" s="28" t="n">
        <v>0.5</v>
      </c>
      <c r="O70" s="28" t="n">
        <v>0.607003</v>
      </c>
      <c r="P70" s="28" t="n"/>
      <c r="Q70" s="28" t="n">
        <v>0.107003</v>
      </c>
      <c r="R70" s="26" t="n">
        <v>74</v>
      </c>
      <c r="S70" s="29" t="n">
        <v>1.5</v>
      </c>
      <c r="T70" s="24" t="inlineStr">
        <is>
          <t>cs2-tiered-elo-v6</t>
        </is>
      </c>
      <c r="U70" s="24" t="inlineStr">
        <is>
          <t>settled</t>
        </is>
      </c>
      <c r="V70" s="24" t="inlineStr">
        <is>
          <t>push</t>
        </is>
      </c>
      <c r="W70" s="26" t="n"/>
      <c r="X70" s="26" t="n"/>
      <c r="Y70" s="25" t="n"/>
      <c r="Z70" s="26" t="n"/>
      <c r="AA70" s="28" t="n"/>
      <c r="AB70" s="28" t="n"/>
      <c r="AC70" s="30" t="n">
        <v>0</v>
      </c>
      <c r="AD70" s="24" t="inlineStr">
        <is>
          <t>2026-10-11T04:37:04.671319Z</t>
        </is>
      </c>
      <c r="AE70" s="31" t="inlineStr">
        <is>
          <t>Neutral Elo baseline; executable ask 0.5000 (market_slug=aec-cs2-ntr-color-2026-10-08).</t>
        </is>
      </c>
      <c r="AF70" s="31" t="inlineStr">
        <is>
          <t>Config-promoted esports baseline; gates enforced at log time.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4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Color</t>
        </is>
      </c>
      <c r="AQ70" s="24" t="inlineStr">
        <is>
          <t>Color</t>
        </is>
      </c>
      <c r="AR70" s="24" t="inlineStr">
        <is>
          <t>Color</t>
        </is>
      </c>
      <c r="AS70" s="24" t="inlineStr">
        <is>
          <t>Nuclear TigeRES</t>
        </is>
      </c>
      <c r="AT70" s="24" t="inlineStr">
        <is>
          <t>Nuclear TigeRES</t>
        </is>
      </c>
      <c r="AU70" s="24" t="inlineStr">
        <is>
          <t>Nuclear TigeRES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0511575560e01784c42c9ecdaca848c119a64f23f18bcc58f47ae07b5673b629</t>
        </is>
      </c>
      <c r="BB70" s="24" t="inlineStr">
        <is>
          <t>neutral_elo</t>
        </is>
      </c>
      <c r="BC70" s="24" t="inlineStr">
        <is>
          <t>cs2-tiered-elo-v6</t>
        </is>
      </c>
      <c r="BD70" s="24" t="inlineStr">
        <is>
          <t>0511575560e01784c42c9ecdaca848c119a64f23f18bcc58f47ae07b5673b629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cs2-tiered-elo-v6</t>
        </is>
      </c>
      <c r="BH70" s="24" t="inlineStr">
        <is>
          <t>2026-10-07T22:30:13.122810Z</t>
        </is>
      </c>
      <c r="BI70" s="24" t="inlineStr">
        <is>
          <t>["same_event","same_team_same_day","same_league_same_day"]</t>
        </is>
      </c>
      <c r="BJ70" s="25" t="n"/>
      <c r="BK70" s="26" t="n">
        <v>100</v>
      </c>
      <c r="BL70" s="27" t="n">
        <v>2</v>
      </c>
      <c r="BM70" s="28" t="n">
        <v>0.5</v>
      </c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inlineStr">
        <is>
          <t>esports market terminal (MARKET_STATE_EXPIRED) with prices {'Nuclear TigeRES': 0.48, 'Color': 0.52}; BO3 has no confirming finished-match result either</t>
        </is>
      </c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True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0.5</t>
        </is>
      </c>
      <c r="DK70" s="24" t="n"/>
      <c r="DL70" s="24" t="n"/>
      <c r="DM70" s="24" t="n"/>
      <c r="DN70" s="24" t="n"/>
      <c r="DO70" s="24" t="n"/>
      <c r="DP70" s="24" t="n"/>
      <c r="DQ70" s="24" t="inlineStr">
        <is>
          <t>{"artifact_hash": "0511575560e01784c42c9ecdaca848c119a64f23f18bcc58f47ae07b5673b629", "away_team": "Color", "event_id": "144055", "event_start_utc": "2026-10-08T18:00:00Z", "features": {"away_elo": 1791.532313, "away_history_count": 22, "home_elo": 1891.894855, "home_history_count": 264}, "historical_source_observation_times_verified": false, "home_team": "Nuclear TigeRES", "inference_inputs": {"book_state": {"games_played": {"bo3:1:18539": 264, "bo3:1:25159": 22}, "inactivity_half_life_days": null, "inactivity_max_pull": null, "k": 40.0, "last_match_utc": {"bo3:1:18539": "2026-09-26T15:30:00Z", "bo3:1:25159": "2026-09-27T17:00:00Z"}, "minimum_reliable_games": null, "platt_intercept": 0.07026680453993422, "platt_slope": 0.8707326445728196, "ratings": {"bo3:1:18539": 1891.894855, "bo3:1:25159": 1791.532313},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["bo3:1:18539", "bo3:1:25159"]}, "market_type": "moneyline", "model_version": "cs2-tiered-elo-v6", "observed_at_utc": "2026-10-07T22:27:21.848441+00:00", "probabilities": {"away": 0.392997, "home": 0.607003}, "replay_scope": "Exact serving book state, calibration, temperature, inactivity reference and thin-history adjustments; training provenance not certified.", "schema": "esports-elo-replay-v1", "snapshot_hash": "b4aeae437f9bd0edc00136d68e3c56b7383013c37cbd2daa096769135e31c9f8", "sport": "CS2"}</t>
        </is>
      </c>
    </row>
    <row r="71" ht="36" customHeight="1">
      <c r="A71" s="24" t="inlineStr">
        <is>
          <t>8d0b165fb99b4a8f</t>
        </is>
      </c>
      <c r="B71" s="24" t="inlineStr">
        <is>
          <t>2026-10-11T01:08:18.046115Z</t>
        </is>
      </c>
      <c r="C71" s="24" t="inlineStr">
        <is>
          <t>2026-10-11T04:00:00Z</t>
        </is>
      </c>
      <c r="D71" s="24" t="inlineStr">
        <is>
          <t>152589</t>
        </is>
      </c>
      <c r="E71" s="24" t="inlineStr">
        <is>
          <t>CS2</t>
        </is>
      </c>
      <c r="F71" s="24" t="inlineStr">
        <is>
          <t>Chinggis Warriors</t>
        </is>
      </c>
      <c r="G71" s="24" t="inlineStr">
        <is>
          <t>NEXVOID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100</v>
      </c>
      <c r="M71" s="27" t="n">
        <v>2</v>
      </c>
      <c r="N71" s="28" t="n">
        <v>0.5</v>
      </c>
      <c r="O71" s="28" t="n">
        <v>0.562565</v>
      </c>
      <c r="P71" s="28" t="n"/>
      <c r="Q71" s="28" t="n">
        <v>0.062565</v>
      </c>
      <c r="R71" s="26" t="n">
        <v>51</v>
      </c>
      <c r="S71" s="29" t="n">
        <v>1</v>
      </c>
      <c r="T71" s="24" t="inlineStr">
        <is>
          <t>cs2-tiered-elo-v6</t>
        </is>
      </c>
      <c r="U71" s="24" t="inlineStr">
        <is>
          <t>settled</t>
        </is>
      </c>
      <c r="V71" s="24" t="inlineStr">
        <is>
          <t>loss</t>
        </is>
      </c>
      <c r="W71" s="26" t="n">
        <v>1</v>
      </c>
      <c r="X71" s="26" t="n">
        <v>0</v>
      </c>
      <c r="Y71" s="25" t="n"/>
      <c r="Z71" s="26" t="n">
        <v>100</v>
      </c>
      <c r="AA71" s="28" t="n">
        <v>0.5</v>
      </c>
      <c r="AB71" s="28" t="n">
        <v>0</v>
      </c>
      <c r="AC71" s="30" t="n">
        <v>-1</v>
      </c>
      <c r="AD71" s="24" t="inlineStr">
        <is>
          <t>2026-10-11T16:02:21.776067Z</t>
        </is>
      </c>
      <c r="AE71" s="31" t="inlineStr">
        <is>
          <t>Neutral Elo baseline; executable ask 0.5000 (market_slug=aec-cs2-nexv-cw-2026-10-11).</t>
        </is>
      </c>
      <c r="AF71" s="31" t="inlineStr">
        <is>
          <t>Config-promoted esports baseline; gates enforced at log time.</t>
        </is>
      </c>
      <c r="AG71" s="24" t="inlineStr">
        <is>
          <t>review_required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4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Chinggis Warriors</t>
        </is>
      </c>
      <c r="AQ71" s="24" t="inlineStr">
        <is>
          <t>Chinggis Warriors</t>
        </is>
      </c>
      <c r="AR71" s="24" t="inlineStr">
        <is>
          <t>Chinggis Warriors</t>
        </is>
      </c>
      <c r="AS71" s="24" t="inlineStr">
        <is>
          <t>NEXVOID</t>
        </is>
      </c>
      <c r="AT71" s="24" t="inlineStr">
        <is>
          <t>NEXVOID</t>
        </is>
      </c>
      <c r="AU71" s="24" t="inlineStr">
        <is>
          <t>NEXVOID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4773d3712f29db4f97f9df70c782bc6fcddd8323f07b201febf2d4c8baffccdb</t>
        </is>
      </c>
      <c r="BB71" s="24" t="inlineStr">
        <is>
          <t>neutral_elo</t>
        </is>
      </c>
      <c r="BC71" s="24" t="inlineStr">
        <is>
          <t>cs2-tiered-elo-v6</t>
        </is>
      </c>
      <c r="BD71" s="24" t="inlineStr">
        <is>
          <t>4773d3712f29db4f97f9df70c782bc6fcddd8323f07b201febf2d4c8baffccdb</t>
        </is>
      </c>
      <c r="BE71" s="24" t="inlineStr">
        <is>
          <t>1</t>
        </is>
      </c>
      <c r="BF71" s="24" t="inlineStr">
        <is>
          <t>1</t>
        </is>
      </c>
      <c r="BG71" s="24" t="inlineStr">
        <is>
          <t>cs2-tiered-elo-v6</t>
        </is>
      </c>
      <c r="BH71" s="24" t="inlineStr">
        <is>
          <t>2026-10-11T01:07:14.955242Z</t>
        </is>
      </c>
      <c r="BI71" s="24" t="inlineStr">
        <is>
          <t>["same_event","same_team_same_day","same_league_same_day"]</t>
        </is>
      </c>
      <c r="BJ71" s="25" t="n"/>
      <c r="BK71" s="26" t="n">
        <v>100</v>
      </c>
      <c r="BL71" s="27" t="n">
        <v>2</v>
      </c>
      <c r="BM71" s="28" t="n">
        <v>0.5</v>
      </c>
      <c r="BN71" s="28" t="n"/>
      <c r="BO71" s="28" t="n"/>
      <c r="BP71" s="25" t="n"/>
      <c r="BQ71" s="27" t="n">
        <v>2</v>
      </c>
      <c r="BR71" s="28" t="n">
        <v>0.5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n"/>
      <c r="DK71" s="24" t="n"/>
      <c r="DL71" s="24" t="n"/>
      <c r="DM71" s="24" t="n"/>
      <c r="DN71" s="24" t="n"/>
      <c r="DO71" s="24" t="n"/>
      <c r="DP71" s="24" t="n"/>
      <c r="DQ71" s="24" t="inlineStr">
        <is>
          <t>{"artifact_hash": "4773d3712f29db4f97f9df70c782bc6fcddd8323f07b201febf2d4c8baffccdb", "away_team": "Chinggis Warriors", "event_id": "152589", "event_start_utc": "2026-10-11T04:00:00Z", "features": {"away_elo": 1689.191518, "away_history_count": 175, "home_elo": 1735.173637, "home_history_count": 42}, "historical_source_observation_times_verified": false, "home_team": "NEXVOID", "inference_inputs": {"book_state": {"games_played": {"bo3:1:22560": 42, "bo3:1:9974": 175}, "inactivity_half_life_days": null, "inactivity_max_pull": null, "k": 40.0, "last_match_utc": {"bo3:1:22560": "2026-10-10T04:40:00Z", "bo3:1:9974": "2026-10-10T13:00:00Z"}, "minimum_reliable_games": null, "platt_intercept": 0.0704829786352902, "platt_slope": 0.8734894106183313, "ratings": {"bo3:1:22560": 1735.173637, "bo3:1:9974": 1689.191518}, "recency_half_life_days": null, "recency_max_boost": null, "temperature": 1.18, "thin_data_max_shrink": null, "tier_weights": null}, "code_sha256": {"esports.py": "a3c853f49dbf985f47a1d90696fafa74e5b8f097160af8d28d7fa1215c8bce8a", "features/elo_ratings.py": "8525faf022a6343c452286dbfeb17dbb043744c6bdabbe448b6b371216da439b"}, "reference_date": "2026-10-11T01:07:04.842801+00:00", "team_ids": ["bo3:1:22560", "bo3:1:9974"]}, "market_type": "moneyline", "model_version": "cs2-tiered-elo-v6", "observed_at_utc": "2026-10-11T01:07:04.842801+00:00", "probabilities": {"away": 0.437435, "home": 0.562565}, "replay_scope": "Exact serving book state, calibration, temperature, inactivity reference and thin-history adjustments; training provenance not certified.", "schema": "esports-elo-replay-v1", "snapshot_hash": "626ede1406fdb058e82f7b256bf9841f4dde1572e3bf0d52108e2c383e068fb2", "sport": "CS2"}</t>
        </is>
      </c>
    </row>
    <row r="72" ht="36" customHeight="1">
      <c r="A72" s="24" t="inlineStr">
        <is>
          <t>2f34eee25d904b17</t>
        </is>
      </c>
      <c r="B72" s="24" t="inlineStr">
        <is>
          <t>2026-10-11T07:32:32.151841Z</t>
        </is>
      </c>
      <c r="C72" s="24" t="inlineStr">
        <is>
          <t>2026-10-11T08:00:00Z</t>
        </is>
      </c>
      <c r="D72" s="24" t="inlineStr">
        <is>
          <t>151508</t>
        </is>
      </c>
      <c r="E72" s="24" t="inlineStr">
        <is>
          <t>CS2</t>
        </is>
      </c>
      <c r="F72" s="24" t="inlineStr">
        <is>
          <t>MORROW</t>
        </is>
      </c>
      <c r="G72" s="24" t="inlineStr">
        <is>
          <t>ILLYRIANS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-178</v>
      </c>
      <c r="M72" s="27" t="n">
        <v>1.561798</v>
      </c>
      <c r="N72" s="28" t="n">
        <v>0.640288</v>
      </c>
      <c r="O72" s="28" t="n">
        <v>0.635706</v>
      </c>
      <c r="P72" s="28" t="n"/>
      <c r="Q72" s="28" t="n">
        <v>-0.004582</v>
      </c>
      <c r="R72" s="26" t="n">
        <v>18</v>
      </c>
      <c r="S72" s="29" t="n">
        <v>1</v>
      </c>
      <c r="T72" s="24" t="inlineStr">
        <is>
          <t>cs2-tiered-elo-v6</t>
        </is>
      </c>
      <c r="U72" s="24" t="inlineStr">
        <is>
          <t>settled</t>
        </is>
      </c>
      <c r="V72" s="24" t="inlineStr">
        <is>
          <t>win</t>
        </is>
      </c>
      <c r="W72" s="26" t="n">
        <v>0</v>
      </c>
      <c r="X72" s="26" t="n">
        <v>1</v>
      </c>
      <c r="Y72" s="25" t="n"/>
      <c r="Z72" s="26" t="n">
        <v>-900</v>
      </c>
      <c r="AA72" s="28" t="n">
        <v>0.9</v>
      </c>
      <c r="AB72" s="28" t="n">
        <v>0.259712</v>
      </c>
      <c r="AC72" s="30" t="n">
        <v>0.5618</v>
      </c>
      <c r="AD72" s="24" t="inlineStr">
        <is>
          <t>2026-10-11T10:03:15.206974Z</t>
        </is>
      </c>
      <c r="AE72" s="31" t="inlineStr">
        <is>
          <t>Neutral Elo baseline; executable ask 0.6400 (market_slug=aec-cs2-ill-mor-2026-10-11).</t>
        </is>
      </c>
      <c r="AF72" s="31" t="inlineStr">
        <is>
          <t>Config-promoted esports baseline; gates enforced at log time.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paper_call</t>
        </is>
      </c>
      <c r="AL72" s="26" t="n">
        <v>4</v>
      </c>
      <c r="AM72" s="24" t="inlineStr">
        <is>
          <t>RESEARCH_OBSERVATION</t>
        </is>
      </c>
      <c r="AN72" s="24" t="inlineStr">
        <is>
          <t>CALL</t>
        </is>
      </c>
      <c r="AO72" s="24" t="inlineStr">
        <is>
          <t>PAPER_CALL_LOW_EDGE</t>
        </is>
      </c>
      <c r="AP72" s="24" t="inlineStr">
        <is>
          <t>MORROW</t>
        </is>
      </c>
      <c r="AQ72" s="24" t="inlineStr">
        <is>
          <t>MORROW</t>
        </is>
      </c>
      <c r="AR72" s="24" t="inlineStr">
        <is>
          <t>MORROW</t>
        </is>
      </c>
      <c r="AS72" s="24" t="inlineStr">
        <is>
          <t>ILLYRIANS</t>
        </is>
      </c>
      <c r="AT72" s="24" t="inlineStr">
        <is>
          <t>ILLYRIANS</t>
        </is>
      </c>
      <c r="AU72" s="24" t="inlineStr">
        <is>
          <t>ILLYRIANS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7823f9fa45138400b03945e6aea383c914bdacd3f9e0de149ae6babbbb0f31b5</t>
        </is>
      </c>
      <c r="BB72" s="24" t="inlineStr">
        <is>
          <t>neutral_elo</t>
        </is>
      </c>
      <c r="BC72" s="24" t="inlineStr">
        <is>
          <t>cs2-tiered-elo-v6</t>
        </is>
      </c>
      <c r="BD72" s="24" t="inlineStr">
        <is>
          <t>7823f9fa45138400b03945e6aea383c914bdacd3f9e0de149ae6babbbb0f31b5</t>
        </is>
      </c>
      <c r="BE72" s="24" t="inlineStr">
        <is>
          <t>1</t>
        </is>
      </c>
      <c r="BF72" s="24" t="inlineStr">
        <is>
          <t>1</t>
        </is>
      </c>
      <c r="BG72" s="24" t="inlineStr">
        <is>
          <t>cs2-tiered-elo-v6</t>
        </is>
      </c>
      <c r="BH72" s="24" t="inlineStr">
        <is>
          <t>2026-10-11T07:26:10.305208Z</t>
        </is>
      </c>
      <c r="BI72" s="24" t="inlineStr">
        <is>
          <t>["same_event","same_team_same_day","same_league_same_day"]</t>
        </is>
      </c>
      <c r="BJ72" s="25" t="n"/>
      <c r="BK72" s="26" t="n">
        <v>-178</v>
      </c>
      <c r="BL72" s="27" t="n">
        <v>1.561798</v>
      </c>
      <c r="BM72" s="28" t="n">
        <v>0.640288</v>
      </c>
      <c r="BN72" s="28" t="n"/>
      <c r="BO72" s="28" t="n"/>
      <c r="BP72" s="25" t="n"/>
      <c r="BQ72" s="27" t="n">
        <v>1.111111</v>
      </c>
      <c r="BR72" s="28" t="n">
        <v>0.9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False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n"/>
      <c r="DK72" s="24" t="n"/>
      <c r="DL72" s="24" t="n"/>
      <c r="DM72" s="24" t="n"/>
      <c r="DN72" s="24" t="n"/>
      <c r="DO72" s="24" t="n"/>
      <c r="DP72" s="24" t="n"/>
      <c r="DQ72" s="24" t="inlineStr">
        <is>
          <t>{"artifact_hash": "7823f9fa45138400b03945e6aea383c914bdacd3f9e0de149ae6babbbb0f31b5", "away_team": "MORROW", "event_id": "151508", "event_start_utc": "2026-10-11T08:00:00Z", "features": {"away_elo": 1298.411742, "away_history_count": 19, "home_elo": 1536.834897, "home_history_count": 22}, "historical_source_observation_times_verified": false, "home_team": "ILLYRIANS", "inference_inputs": {"book_state": {"games_played": {"bo3:1:19191": 19, "bo3:1:3022": 22}, "inactivity_half_life_days": null, "inactivity_max_pull": null, "k": 40.0, "last_match_utc": {"bo3:1:19191": "2025-04-02T09:51:26Z", "bo3:1:3022": "2026-10-08T08:20:00Z"}, "minimum_reliable_games": null, "platt_intercept": 0.07145950263126344, "platt_slope": 0.8730634169076688, "ratings": {"bo3:1:19191": 1298.411742, "bo3:1:3022": 1536.834897},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"2026-10-11T07:25:19.301780+00:00", "team_ids": ["bo3:1:3022", "bo3:1:19191"]}, "market_type": "moneyline", "model_version": "cs2-tiered-elo-v6", "observed_at_utc": "2026-10-11T07:25:19.301780+00:00", "probabilities": {"away": 0.364294, "home": 0.635706}, "replay_scope": "Exact serving book state, calibration, temperature, inactivity reference and thin-history adjustments; training provenance not certified.", "schema": "esports-elo-replay-v1", "snapshot_hash": "538aa2744b87e5b01f9ddc96d77b8f41a0730586cf36ebe4f7c7ee9cdeecd8fb", "sport": "CS2"}</t>
        </is>
      </c>
    </row>
    <row r="73" ht="36" customHeight="1">
      <c r="A73" s="24" t="inlineStr">
        <is>
          <t>4b9897b0120a4cab</t>
        </is>
      </c>
      <c r="B73" s="24" t="inlineStr">
        <is>
          <t>2026-10-11T07:32:32.151841Z</t>
        </is>
      </c>
      <c r="C73" s="24" t="inlineStr">
        <is>
          <t>2026-10-11T08:00:00Z</t>
        </is>
      </c>
      <c r="D73" s="24" t="inlineStr">
        <is>
          <t>151509</t>
        </is>
      </c>
      <c r="E73" s="24" t="inlineStr">
        <is>
          <t>CS2</t>
        </is>
      </c>
      <c r="F73" s="24" t="inlineStr">
        <is>
          <t>WRAITH PCIFIC</t>
        </is>
      </c>
      <c r="G73" s="24" t="inlineStr">
        <is>
          <t>STATE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-194</v>
      </c>
      <c r="M73" s="27" t="n">
        <v>1.515464</v>
      </c>
      <c r="N73" s="28" t="n">
        <v>0.659864</v>
      </c>
      <c r="O73" s="28" t="n">
        <v>0.611938</v>
      </c>
      <c r="P73" s="28" t="n"/>
      <c r="Q73" s="28" t="n">
        <v>-0.047926</v>
      </c>
      <c r="R73" s="26" t="n">
        <v>0</v>
      </c>
      <c r="S73" s="29" t="n">
        <v>1</v>
      </c>
      <c r="T73" s="24" t="inlineStr">
        <is>
          <t>cs2-tiered-elo-v6</t>
        </is>
      </c>
      <c r="U73" s="24" t="inlineStr">
        <is>
          <t>settled</t>
        </is>
      </c>
      <c r="V73" s="24" t="inlineStr">
        <is>
          <t>loss</t>
        </is>
      </c>
      <c r="W73" s="26" t="n">
        <v>1</v>
      </c>
      <c r="X73" s="26" t="n">
        <v>0</v>
      </c>
      <c r="Y73" s="25" t="n"/>
      <c r="Z73" s="26" t="n">
        <v>-194</v>
      </c>
      <c r="AA73" s="28" t="n">
        <v>0.66</v>
      </c>
      <c r="AB73" s="28" t="n">
        <v>0.000136</v>
      </c>
      <c r="AC73" s="30" t="n">
        <v>-1</v>
      </c>
      <c r="AD73" s="24" t="inlineStr">
        <is>
          <t>2026-10-11T16:02:23.963163Z</t>
        </is>
      </c>
      <c r="AE73" s="31" t="inlineStr">
        <is>
          <t>Neutral Elo baseline; executable ask 0.6600 (market_slug=aec-cs2-sta-pcific-2026-10-11).</t>
        </is>
      </c>
      <c r="AF73" s="31" t="inlineStr">
        <is>
          <t>Config-promoted esports baseline; gates enforced at log time.</t>
        </is>
      </c>
      <c r="AG73" s="24" t="inlineStr">
        <is>
          <t>review_required</t>
        </is>
      </c>
      <c r="AH73" s="24" t="n"/>
      <c r="AI73" s="31" t="n"/>
      <c r="AJ73" s="31" t="n"/>
      <c r="AK73" s="24" t="inlineStr">
        <is>
          <t>paper_call</t>
        </is>
      </c>
      <c r="AL73" s="26" t="n">
        <v>4</v>
      </c>
      <c r="AM73" s="24" t="inlineStr">
        <is>
          <t>RESEARCH_OBSERVATION</t>
        </is>
      </c>
      <c r="AN73" s="24" t="inlineStr">
        <is>
          <t>CALL</t>
        </is>
      </c>
      <c r="AO73" s="24" t="inlineStr">
        <is>
          <t>PAPER_CALL_LOW_EDGE</t>
        </is>
      </c>
      <c r="AP73" s="24" t="inlineStr">
        <is>
          <t>WRAITH PCIFIC</t>
        </is>
      </c>
      <c r="AQ73" s="24" t="inlineStr">
        <is>
          <t>WRAITH PCIFIC</t>
        </is>
      </c>
      <c r="AR73" s="24" t="inlineStr">
        <is>
          <t>WRAITH PCIFIC</t>
        </is>
      </c>
      <c r="AS73" s="24" t="inlineStr">
        <is>
          <t>STATE</t>
        </is>
      </c>
      <c r="AT73" s="24" t="inlineStr">
        <is>
          <t>STATE</t>
        </is>
      </c>
      <c r="AU73" s="24" t="inlineStr">
        <is>
          <t>STATE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7823f9fa45138400b03945e6aea383c914bdacd3f9e0de149ae6babbbb0f31b5</t>
        </is>
      </c>
      <c r="BB73" s="24" t="inlineStr">
        <is>
          <t>neutral_elo</t>
        </is>
      </c>
      <c r="BC73" s="24" t="inlineStr">
        <is>
          <t>cs2-tiered-elo-v6</t>
        </is>
      </c>
      <c r="BD73" s="24" t="inlineStr">
        <is>
          <t>7823f9fa45138400b03945e6aea383c914bdacd3f9e0de149ae6babbbb0f31b5</t>
        </is>
      </c>
      <c r="BE73" s="24" t="inlineStr">
        <is>
          <t>1</t>
        </is>
      </c>
      <c r="BF73" s="24" t="inlineStr">
        <is>
          <t>1</t>
        </is>
      </c>
      <c r="BG73" s="24" t="inlineStr">
        <is>
          <t>cs2-tiered-elo-v6</t>
        </is>
      </c>
      <c r="BH73" s="24" t="inlineStr">
        <is>
          <t>2026-10-11T07:26:31.181789Z</t>
        </is>
      </c>
      <c r="BI73" s="24" t="inlineStr">
        <is>
          <t>["same_event","same_team_same_day","same_league_same_day"]</t>
        </is>
      </c>
      <c r="BJ73" s="25" t="n"/>
      <c r="BK73" s="26" t="n">
        <v>-194</v>
      </c>
      <c r="BL73" s="27" t="n">
        <v>1.515464</v>
      </c>
      <c r="BM73" s="28" t="n">
        <v>0.659864</v>
      </c>
      <c r="BN73" s="28" t="n"/>
      <c r="BO73" s="28" t="n"/>
      <c r="BP73" s="25" t="n"/>
      <c r="BQ73" s="27" t="n">
        <v>1.515464</v>
      </c>
      <c r="BR73" s="28" t="n">
        <v>0.66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False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n"/>
      <c r="DK73" s="24" t="n"/>
      <c r="DL73" s="24" t="n"/>
      <c r="DM73" s="24" t="n"/>
      <c r="DN73" s="24" t="n"/>
      <c r="DO73" s="24" t="n"/>
      <c r="DP73" s="24" t="n"/>
      <c r="DQ73" s="24" t="inlineStr">
        <is>
          <t>{"artifact_hash": "7823f9fa45138400b03945e6aea383c914bdacd3f9e0de149ae6babbbb0f31b5", "away_team": "WRAITH PCIFIC", "event_id": "151509", "event_start_utc": "2026-10-11T08:00:00Z", "features": {"away_elo": 1616.158299, "away_history_count": 133, "home_elo": 1710.719323, "home_history_count": 523}, "historical_source_observation_times_verified": false, "home_team": "STATE", "inference_inputs": {"book_state": {"games_played": {"bo3:1:10493": 523, "bo3:1:6255": 133}, "inactivity_half_life_days": null, "inactivity_max_pull": null, "k": 40.0, "last_match_utc": {"bo3:1:10493": "2026-10-09T08:15:00Z", "bo3:1:6255": "2026-10-09T11:40:00Z"}, "minimum_reliable_games": null, "platt_intercept": 0.07145950263126344, "platt_slope": 0.8730634169076688, "ratings": {"bo3:1:10493": 1710.719323, "bo3:1:6255": 1616.158299},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"2026-10-11T07:25:19.301780+00:00", "team_ids": ["bo3:1:10493", "bo3:1:6255"]}, "market_type": "moneyline", "model_version": "cs2-tiered-elo-v6", "observed_at_utc": "2026-10-11T07:25:19.301780+00:00", "probabilities": {"away": 0.388062, "home": 0.611938}, "replay_scope": "Exact serving book state, calibration, temperature, inactivity reference and thin-history adjustments; training provenance not certified.", "schema": "esports-elo-replay-v1", "snapshot_hash": "26ef1f5919aeb9b61dcab4486b1144e0f800078819eeeb6180189c46d3dd389a", "sport": "CS2"}</t>
        </is>
      </c>
    </row>
    <row r="74" ht="36" customHeight="1">
      <c r="A74" s="24" t="inlineStr">
        <is>
          <t>f05ab749ea774dd4</t>
        </is>
      </c>
      <c r="B74" s="24" t="inlineStr">
        <is>
          <t>2026-10-11T07:32:32.151841Z</t>
        </is>
      </c>
      <c r="C74" s="24" t="inlineStr">
        <is>
          <t>2026-10-11T08:00:00Z</t>
        </is>
      </c>
      <c r="D74" s="24" t="inlineStr">
        <is>
          <t>152960</t>
        </is>
      </c>
      <c r="E74" s="24" t="inlineStr">
        <is>
          <t>CS2</t>
        </is>
      </c>
      <c r="F74" s="24" t="inlineStr">
        <is>
          <t>Misa Esports</t>
        </is>
      </c>
      <c r="G74" s="24" t="inlineStr">
        <is>
          <t>Just Players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-203</v>
      </c>
      <c r="M74" s="27" t="n">
        <v>1.492611</v>
      </c>
      <c r="N74" s="28" t="n">
        <v>0.669967</v>
      </c>
      <c r="O74" s="28" t="n">
        <v>0.635069</v>
      </c>
      <c r="P74" s="28" t="n"/>
      <c r="Q74" s="28" t="n">
        <v>-0.034898</v>
      </c>
      <c r="R74" s="26" t="n">
        <v>3</v>
      </c>
      <c r="S74" s="29" t="n">
        <v>1</v>
      </c>
      <c r="T74" s="24" t="inlineStr">
        <is>
          <t>cs2-tiered-elo-v6</t>
        </is>
      </c>
      <c r="U74" s="24" t="inlineStr">
        <is>
          <t>settled</t>
        </is>
      </c>
      <c r="V74" s="24" t="inlineStr">
        <is>
          <t>win</t>
        </is>
      </c>
      <c r="W74" s="26" t="n">
        <v>0</v>
      </c>
      <c r="X74" s="26" t="n">
        <v>1</v>
      </c>
      <c r="Y74" s="25" t="n"/>
      <c r="Z74" s="26" t="n">
        <v>-203</v>
      </c>
      <c r="AA74" s="28" t="n">
        <v>0.67</v>
      </c>
      <c r="AB74" s="28" t="n">
        <v>3.3e-05</v>
      </c>
      <c r="AC74" s="30" t="n">
        <v>0.4926</v>
      </c>
      <c r="AD74" s="24" t="inlineStr">
        <is>
          <t>2026-10-11T16:02:28.742201Z</t>
        </is>
      </c>
      <c r="AE74" s="31" t="inlineStr">
        <is>
          <t>Neutral Elo baseline; executable ask 0.6700 (market_slug=aec-cs2-jpu-misa-2026-10-11).</t>
        </is>
      </c>
      <c r="AF74" s="31" t="inlineStr">
        <is>
          <t>Config-promoted esports baseline; gates enforced at log time.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paper_call</t>
        </is>
      </c>
      <c r="AL74" s="26" t="n">
        <v>4</v>
      </c>
      <c r="AM74" s="24" t="inlineStr">
        <is>
          <t>RESEARCH_OBSERVATION</t>
        </is>
      </c>
      <c r="AN74" s="24" t="inlineStr">
        <is>
          <t>CALL</t>
        </is>
      </c>
      <c r="AO74" s="24" t="inlineStr">
        <is>
          <t>PAPER_CALL_LOW_EDGE</t>
        </is>
      </c>
      <c r="AP74" s="24" t="inlineStr">
        <is>
          <t>Misa Esports</t>
        </is>
      </c>
      <c r="AQ74" s="24" t="inlineStr">
        <is>
          <t>Misa Esports</t>
        </is>
      </c>
      <c r="AR74" s="24" t="inlineStr">
        <is>
          <t>Misa Esports</t>
        </is>
      </c>
      <c r="AS74" s="24" t="inlineStr">
        <is>
          <t>Just Players</t>
        </is>
      </c>
      <c r="AT74" s="24" t="inlineStr">
        <is>
          <t>Just Players</t>
        </is>
      </c>
      <c r="AU74" s="24" t="inlineStr">
        <is>
          <t>Just Players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7823f9fa45138400b03945e6aea383c914bdacd3f9e0de149ae6babbbb0f31b5</t>
        </is>
      </c>
      <c r="BB74" s="24" t="inlineStr">
        <is>
          <t>neutral_elo</t>
        </is>
      </c>
      <c r="BC74" s="24" t="inlineStr">
        <is>
          <t>cs2-tiered-elo-v6</t>
        </is>
      </c>
      <c r="BD74" s="24" t="inlineStr">
        <is>
          <t>7823f9fa45138400b03945e6aea383c914bdacd3f9e0de149ae6babbbb0f31b5</t>
        </is>
      </c>
      <c r="BE74" s="24" t="inlineStr">
        <is>
          <t>1</t>
        </is>
      </c>
      <c r="BF74" s="24" t="inlineStr">
        <is>
          <t>1</t>
        </is>
      </c>
      <c r="BG74" s="24" t="inlineStr">
        <is>
          <t>cs2-tiered-elo-v6</t>
        </is>
      </c>
      <c r="BH74" s="24" t="inlineStr">
        <is>
          <t>2026-10-11T07:27:11.622934Z</t>
        </is>
      </c>
      <c r="BI74" s="24" t="inlineStr">
        <is>
          <t>["same_event","same_team_same_day","same_league_same_day"]</t>
        </is>
      </c>
      <c r="BJ74" s="25" t="n"/>
      <c r="BK74" s="26" t="n">
        <v>-203</v>
      </c>
      <c r="BL74" s="27" t="n">
        <v>1.492611</v>
      </c>
      <c r="BM74" s="28" t="n">
        <v>0.669967</v>
      </c>
      <c r="BN74" s="28" t="n"/>
      <c r="BO74" s="28" t="n"/>
      <c r="BP74" s="25" t="n"/>
      <c r="BQ74" s="27" t="n">
        <v>1.492611</v>
      </c>
      <c r="BR74" s="28" t="n">
        <v>0.67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False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n"/>
      <c r="DK74" s="24" t="n"/>
      <c r="DL74" s="24" t="n"/>
      <c r="DM74" s="24" t="n"/>
      <c r="DN74" s="24" t="n"/>
      <c r="DO74" s="24" t="n"/>
      <c r="DP74" s="24" t="n"/>
      <c r="DQ74" s="24" t="inlineStr">
        <is>
          <t>{"artifact_hash": "7823f9fa45138400b03945e6aea383c914bdacd3f9e0de149ae6babbbb0f31b5", "away_team": "Misa Esports", "event_id": "152960", "event_start_utc": "2026-10-11T08:00:00Z", "features": {"away_elo": 1616.886454, "away_history_count": 225, "home_elo": 1735.13369, "home_history_count": 84}, "historical_source_observation_times_verified": false, "home_team": "Just Players", "inference_inputs": {"book_state": {"games_played": {"bo3:1:20952": 225, "bo3:1:23107": 84}, "inactivity_half_life_days": null, "inactivity_max_pull": null, "k": 40.0, "last_match_utc": {"bo3:1:20952": "2026-10-10T08:15:00Z", "bo3:1:23107": "2026-10-09T17:10:00Z"}, "minimum_reliable_games": null, "platt_intercept": 0.07145950263126344, "platt_slope": 0.8730634169076688, "ratings": {"bo3:1:20952": 1616.886454, "bo3:1:23107": 1735.13369},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"2026-10-11T07:25:19.301780+00:00", "team_ids": ["bo3:1:23107", "bo3:1:20952"]}, "market_type": "moneyline", "model_version": "cs2-tiered-elo-v6", "observed_at_utc": "2026-10-11T07:25:19.301780+00:00", "probabilities": {"away": 0.364931, "home": 0.635069}, "replay_scope": "Exact serving book state, calibration, temperature, inactivity reference and thin-history adjustments; training provenance not certified.", "schema": "esports-elo-replay-v1", "snapshot_hash": "530173cdd2fff9138bd82aed213bf14bba32939cc766543d378ceb801352f07f", "sport": "CS2"}</t>
        </is>
      </c>
    </row>
    <row r="75" ht="36" customHeight="1">
      <c r="A75" s="24" t="inlineStr">
        <is>
          <t>a2d1063879584820</t>
        </is>
      </c>
      <c r="B75" s="24" t="inlineStr">
        <is>
          <t>2026-10-11T07:32:32.151841Z</t>
        </is>
      </c>
      <c r="C75" s="24" t="inlineStr">
        <is>
          <t>2026-10-11T10:30:00Z</t>
        </is>
      </c>
      <c r="D75" s="24" t="inlineStr">
        <is>
          <t>152685</t>
        </is>
      </c>
      <c r="E75" s="24" t="inlineStr">
        <is>
          <t>CS2</t>
        </is>
      </c>
      <c r="F75" s="24" t="inlineStr">
        <is>
          <t>VP.Future 3</t>
        </is>
      </c>
      <c r="G75" s="24" t="inlineStr">
        <is>
          <t>TheChampionGG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144</v>
      </c>
      <c r="M75" s="27" t="n">
        <v>2.44</v>
      </c>
      <c r="N75" s="28" t="n">
        <v>0.409836</v>
      </c>
      <c r="O75" s="28" t="n">
        <v>0.5992150000000001</v>
      </c>
      <c r="P75" s="28" t="n"/>
      <c r="Q75" s="28" t="n">
        <v>0.189379</v>
      </c>
      <c r="R75" s="26" t="n">
        <v>100</v>
      </c>
      <c r="S75" s="29" t="n">
        <v>2</v>
      </c>
      <c r="T75" s="24" t="inlineStr">
        <is>
          <t>cs2-tiered-elo-v6</t>
        </is>
      </c>
      <c r="U75" s="24" t="inlineStr">
        <is>
          <t>settled</t>
        </is>
      </c>
      <c r="V75" s="24" t="inlineStr">
        <is>
          <t>loss</t>
        </is>
      </c>
      <c r="W75" s="26" t="n">
        <v>1</v>
      </c>
      <c r="X75" s="26" t="n">
        <v>0</v>
      </c>
      <c r="Y75" s="25" t="n"/>
      <c r="Z75" s="26" t="n">
        <v>144</v>
      </c>
      <c r="AA75" s="28" t="n">
        <v>0.41</v>
      </c>
      <c r="AB75" s="28" t="n">
        <v>0.000164</v>
      </c>
      <c r="AC75" s="30" t="n">
        <v>-2</v>
      </c>
      <c r="AD75" s="24" t="inlineStr">
        <is>
          <t>2026-10-11T16:02:30.614882Z</t>
        </is>
      </c>
      <c r="AE75" s="31" t="inlineStr">
        <is>
          <t>Neutral Elo baseline; executable ask 0.4100 (market_slug=aec-cs2-thec-vpf3-2026-10-11).</t>
        </is>
      </c>
      <c r="AF75" s="31" t="inlineStr">
        <is>
          <t>Config-promoted esports baseline; gates enforced at log time.</t>
        </is>
      </c>
      <c r="AG75" s="24" t="inlineStr">
        <is>
          <t>review_required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4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VP.Future 3</t>
        </is>
      </c>
      <c r="AQ75" s="24" t="inlineStr">
        <is>
          <t>VP.Future 3</t>
        </is>
      </c>
      <c r="AR75" s="24" t="inlineStr">
        <is>
          <t>VP.Future 3</t>
        </is>
      </c>
      <c r="AS75" s="24" t="inlineStr">
        <is>
          <t>TheChampionGG</t>
        </is>
      </c>
      <c r="AT75" s="24" t="inlineStr">
        <is>
          <t>TheChampionGG</t>
        </is>
      </c>
      <c r="AU75" s="24" t="inlineStr">
        <is>
          <t>TheChampionGG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7823f9fa45138400b03945e6aea383c914bdacd3f9e0de149ae6babbbb0f31b5</t>
        </is>
      </c>
      <c r="BB75" s="24" t="inlineStr">
        <is>
          <t>neutral_elo</t>
        </is>
      </c>
      <c r="BC75" s="24" t="inlineStr">
        <is>
          <t>cs2-tiered-elo-v6</t>
        </is>
      </c>
      <c r="BD75" s="24" t="inlineStr">
        <is>
          <t>7823f9fa45138400b03945e6aea383c914bdacd3f9e0de149ae6babbbb0f31b5</t>
        </is>
      </c>
      <c r="BE75" s="24" t="inlineStr">
        <is>
          <t>1</t>
        </is>
      </c>
      <c r="BF75" s="24" t="inlineStr">
        <is>
          <t>1</t>
        </is>
      </c>
      <c r="BG75" s="24" t="inlineStr">
        <is>
          <t>cs2-tiered-elo-v6</t>
        </is>
      </c>
      <c r="BH75" s="24" t="inlineStr">
        <is>
          <t>2026-10-11T07:27:43.101560Z</t>
        </is>
      </c>
      <c r="BI75" s="24" t="inlineStr">
        <is>
          <t>["same_event","same_team_same_day","same_league_same_day"]</t>
        </is>
      </c>
      <c r="BJ75" s="25" t="n"/>
      <c r="BK75" s="26" t="n">
        <v>144</v>
      </c>
      <c r="BL75" s="27" t="n">
        <v>2.44</v>
      </c>
      <c r="BM75" s="28" t="n">
        <v>0.409836</v>
      </c>
      <c r="BN75" s="28" t="n"/>
      <c r="BO75" s="28" t="n"/>
      <c r="BP75" s="25" t="n"/>
      <c r="BQ75" s="27" t="n">
        <v>2.44</v>
      </c>
      <c r="BR75" s="28" t="n">
        <v>0.41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n"/>
      <c r="DK75" s="24" t="n"/>
      <c r="DL75" s="24" t="n"/>
      <c r="DM75" s="24" t="n"/>
      <c r="DN75" s="24" t="n"/>
      <c r="DO75" s="24" t="n"/>
      <c r="DP75" s="24" t="n"/>
      <c r="DQ75" s="24" t="inlineStr">
        <is>
          <t>{"artifact_hash": "7823f9fa45138400b03945e6aea383c914bdacd3f9e0de149ae6babbbb0f31b5", "away_team": "VP.Future 3", "event_id": "152685", "event_start_utc": "2026-10-11T10:30:00Z", "features": {"away_elo": 1373.085076, "away_history_count": 63, "home_elo": 1471.334312, "home_history_count": 7}, "historical_source_observation_times_verified": false, "home_team": "TheChampionGG", "inference_inputs": {"book_state": {"games_played": {"bo3:1:21123": 63, "bo3:1:25374": 7}, "inactivity_half_life_days": null, "inactivity_max_pull": null, "k": 40.0, "last_match_utc": {"bo3:1:21123": "2026-10-10T10:30:00Z", "bo3:1:25374": "2026-10-10T10:30:00Z"}, "minimum_reliable_games": null, "platt_intercept": 0.07145950263126344, "platt_slope": 0.8730634169076688, "ratings": {"bo3:1:21123": 1373.085076, "bo3:1:25374": 1471.334312},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"2026-10-11T07:25:19.301780+00:00", "team_ids": ["bo3:1:25374", "bo3:1:21123"]}, "market_type": "moneyline", "model_version": "cs2-tiered-elo-v6", "observed_at_utc": "2026-10-11T07:25:19.301780+00:00", "probabilities": {"away": 0.400785, "home": 0.599215}, "replay_scope": "Exact serving book state, calibration, temperature, inactivity reference and thin-history adjustments; training provenance not certified.", "schema": "esports-elo-replay-v1", "snapshot_hash": "ac53727fdb42f9e945048d0a8e20d6eece033a1d56cf1eb51dcca995d6b7bfd0", "sport": "CS2"}</t>
        </is>
      </c>
    </row>
    <row r="76" ht="36" customHeight="1">
      <c r="A76" s="24" t="inlineStr">
        <is>
          <t>a6d48d3552664e4d</t>
        </is>
      </c>
      <c r="B76" s="24" t="inlineStr">
        <is>
          <t>2026-10-11T07:32:32.151841Z</t>
        </is>
      </c>
      <c r="C76" s="24" t="inlineStr">
        <is>
          <t>2026-10-11T11:00:00Z</t>
        </is>
      </c>
      <c r="D76" s="24" t="inlineStr">
        <is>
          <t>152962</t>
        </is>
      </c>
      <c r="E76" s="24" t="inlineStr">
        <is>
          <t>CS2</t>
        </is>
      </c>
      <c r="F76" s="24" t="inlineStr">
        <is>
          <t>Gothic</t>
        </is>
      </c>
      <c r="G76" s="24" t="inlineStr">
        <is>
          <t>Fire Flux Esports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-117</v>
      </c>
      <c r="M76" s="27" t="n">
        <v>1.854701</v>
      </c>
      <c r="N76" s="28" t="n">
        <v>0.539171</v>
      </c>
      <c r="O76" s="28" t="n">
        <v>0.665197</v>
      </c>
      <c r="P76" s="28" t="n"/>
      <c r="Q76" s="28" t="n">
        <v>0.126026</v>
      </c>
      <c r="R76" s="26" t="n">
        <v>83</v>
      </c>
      <c r="S76" s="29" t="n">
        <v>1.5</v>
      </c>
      <c r="T76" s="24" t="inlineStr">
        <is>
          <t>cs2-tiered-elo-v6</t>
        </is>
      </c>
      <c r="U76" s="24" t="inlineStr">
        <is>
          <t>settled</t>
        </is>
      </c>
      <c r="V76" s="24" t="inlineStr">
        <is>
          <t>win</t>
        </is>
      </c>
      <c r="W76" s="26" t="n">
        <v>0</v>
      </c>
      <c r="X76" s="26" t="n">
        <v>1</v>
      </c>
      <c r="Y76" s="25" t="n"/>
      <c r="Z76" s="26" t="n">
        <v>-117</v>
      </c>
      <c r="AA76" s="28" t="n">
        <v>0.54</v>
      </c>
      <c r="AB76" s="28" t="n">
        <v>0.000829</v>
      </c>
      <c r="AC76" s="30" t="n">
        <v>1.282</v>
      </c>
      <c r="AD76" s="24" t="inlineStr">
        <is>
          <t>2026-10-11T16:02:36.908146Z</t>
        </is>
      </c>
      <c r="AE76" s="31" t="inlineStr">
        <is>
          <t>Neutral Elo baseline; executable ask 0.5400 (market_slug=aec-cs2-ff-goth-2026-10-11).</t>
        </is>
      </c>
      <c r="AF76" s="31" t="inlineStr">
        <is>
          <t>Config-promoted esports baseline; gates enforced at log time.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model_qualified</t>
        </is>
      </c>
      <c r="AL76" s="26" t="n">
        <v>4</v>
      </c>
      <c r="AM76" s="24" t="inlineStr">
        <is>
          <t>QUALIFIED_SHADOW_CALL</t>
        </is>
      </c>
      <c r="AN76" s="24" t="inlineStr">
        <is>
          <t>CALL</t>
        </is>
      </c>
      <c r="AO76" s="24" t="inlineStr">
        <is>
          <t>QUALIFIED</t>
        </is>
      </c>
      <c r="AP76" s="24" t="inlineStr">
        <is>
          <t>Gothic</t>
        </is>
      </c>
      <c r="AQ76" s="24" t="inlineStr">
        <is>
          <t>Gothic</t>
        </is>
      </c>
      <c r="AR76" s="24" t="inlineStr">
        <is>
          <t>Gothic</t>
        </is>
      </c>
      <c r="AS76" s="24" t="inlineStr">
        <is>
          <t>Fire Flux Esports</t>
        </is>
      </c>
      <c r="AT76" s="24" t="inlineStr">
        <is>
          <t>Fire Flux Esports</t>
        </is>
      </c>
      <c r="AU76" s="24" t="inlineStr">
        <is>
          <t>Fire Flux Esports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7823f9fa45138400b03945e6aea383c914bdacd3f9e0de149ae6babbbb0f31b5</t>
        </is>
      </c>
      <c r="BB76" s="24" t="inlineStr">
        <is>
          <t>neutral_elo</t>
        </is>
      </c>
      <c r="BC76" s="24" t="inlineStr">
        <is>
          <t>cs2-tiered-elo-v6</t>
        </is>
      </c>
      <c r="BD76" s="24" t="inlineStr">
        <is>
          <t>7823f9fa45138400b03945e6aea383c914bdacd3f9e0de149ae6babbbb0f31b5</t>
        </is>
      </c>
      <c r="BE76" s="24" t="inlineStr">
        <is>
          <t>1</t>
        </is>
      </c>
      <c r="BF76" s="24" t="inlineStr">
        <is>
          <t>1</t>
        </is>
      </c>
      <c r="BG76" s="24" t="inlineStr">
        <is>
          <t>cs2-tiered-elo-v6</t>
        </is>
      </c>
      <c r="BH76" s="24" t="inlineStr">
        <is>
          <t>2026-10-11T07:28:14.763131Z</t>
        </is>
      </c>
      <c r="BI76" s="24" t="inlineStr">
        <is>
          <t>["same_event","same_team_same_day","same_league_same_day"]</t>
        </is>
      </c>
      <c r="BJ76" s="25" t="n"/>
      <c r="BK76" s="26" t="n">
        <v>-117</v>
      </c>
      <c r="BL76" s="27" t="n">
        <v>1.854701</v>
      </c>
      <c r="BM76" s="28" t="n">
        <v>0.539171</v>
      </c>
      <c r="BN76" s="28" t="n"/>
      <c r="BO76" s="28" t="n"/>
      <c r="BP76" s="25" t="n"/>
      <c r="BQ76" s="27" t="n">
        <v>1.854701</v>
      </c>
      <c r="BR76" s="28" t="n">
        <v>0.54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True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n"/>
      <c r="DK76" s="24" t="n"/>
      <c r="DL76" s="24" t="n"/>
      <c r="DM76" s="24" t="n"/>
      <c r="DN76" s="24" t="n"/>
      <c r="DO76" s="24" t="n"/>
      <c r="DP76" s="24" t="n"/>
      <c r="DQ76" s="24" t="inlineStr">
        <is>
          <t>{"artifact_hash": "7823f9fa45138400b03945e6aea383c914bdacd3f9e0de149ae6babbbb0f31b5", "away_team": "Gothic", "event_id": "152962", "event_start_utc": "2026-10-11T11:00:00Z", "features": {"away_elo": 1532.399185, "away_history_count": 6, "home_elo": 1726.576331, "home_history_count": 321}, "historical_source_observation_times_verified": false, "home_team": "Fire Flux Esports", "inference_inputs": {"book_state": {"games_played": {"bo3:1:16724": 321, "bo3:1:25275": 6}, "inactivity_half_life_days": null, "inactivity_max_pull": null, "k": 40.0, "last_match_utc": {"bo3:1:16724": "2026-10-09T17:30:00Z", "bo3:1:25275": "2026-10-07T11:00:00Z"}, "minimum_reliable_games": null, "platt_intercept": 0.07145950263126344, "platt_slope": 0.8730634169076688, "ratings": {"bo3:1:16724": 1726.576331, "bo3:1:25275": 1532.399185},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"2026-10-11T07:25:19.301780+00:00", "team_ids": ["bo3:1:16724", "bo3:1:25275"]}, "market_type": "moneyline", "model_version": "cs2-tiered-elo-v6", "observed_at_utc": "2026-10-11T07:25:19.301780+00:00", "probabilities": {"away": 0.334803, "home": 0.665197}, "replay_scope": "Exact serving book state, calibration, temperature, inactivity reference and thin-history adjustments; training provenance not certified.", "schema": "esports-elo-replay-v1", "snapshot_hash": "2e725ca3e6de0452b04cef2acda64c80e832386fbf81d167f913bd6a75be8df8", "sport": "CS2"}</t>
        </is>
      </c>
    </row>
    <row r="77" ht="36" customHeight="1">
      <c r="A77" s="24" t="inlineStr">
        <is>
          <t>50288fb49637410b</t>
        </is>
      </c>
      <c r="B77" s="24" t="inlineStr">
        <is>
          <t>2026-10-11T07:32:32.151841Z</t>
        </is>
      </c>
      <c r="C77" s="24" t="inlineStr">
        <is>
          <t>2026-10-11T11:30:00Z</t>
        </is>
      </c>
      <c r="D77" s="24" t="inlineStr">
        <is>
          <t>153833</t>
        </is>
      </c>
      <c r="E77" s="24" t="inlineStr">
        <is>
          <t>CS2</t>
        </is>
      </c>
      <c r="F77" s="24" t="inlineStr">
        <is>
          <t>Spirit</t>
        </is>
      </c>
      <c r="G77" s="24" t="inlineStr">
        <is>
          <t>Aurora Gaming</t>
        </is>
      </c>
      <c r="H77" s="24" t="inlineStr">
        <is>
          <t>spread</t>
        </is>
      </c>
      <c r="I77" s="24" t="inlineStr">
        <is>
          <t>home</t>
        </is>
      </c>
      <c r="J77" s="25" t="n">
        <v>1.5</v>
      </c>
      <c r="K77" s="24" t="inlineStr">
        <is>
          <t>polymarket_us</t>
        </is>
      </c>
      <c r="L77" s="26" t="n">
        <v>-156</v>
      </c>
      <c r="M77" s="27" t="n">
        <v>1.641026</v>
      </c>
      <c r="N77" s="28" t="n">
        <v>0.609375</v>
      </c>
      <c r="O77" s="28" t="n">
        <v>0.662546</v>
      </c>
      <c r="P77" s="28" t="n"/>
      <c r="Q77" s="28" t="n">
        <v>0.053171</v>
      </c>
      <c r="R77" s="26" t="n">
        <v>47</v>
      </c>
      <c r="S77" s="29" t="n">
        <v>1</v>
      </c>
      <c r="T77" s="24" t="inlineStr">
        <is>
          <t>cs2-spread-tiered-elo-v6</t>
        </is>
      </c>
      <c r="U77" s="24" t="inlineStr">
        <is>
          <t>settled</t>
        </is>
      </c>
      <c r="V77" s="24" t="inlineStr">
        <is>
          <t>win</t>
        </is>
      </c>
      <c r="W77" s="26" t="n">
        <v>2</v>
      </c>
      <c r="X77" s="26" t="n">
        <v>1</v>
      </c>
      <c r="Y77" s="25" t="n"/>
      <c r="Z77" s="26" t="n"/>
      <c r="AA77" s="28" t="n"/>
      <c r="AB77" s="28" t="n"/>
      <c r="AC77" s="30" t="n">
        <v>0.641</v>
      </c>
      <c r="AD77" s="24" t="inlineStr">
        <is>
          <t>2026-10-11T16:02:42.649695Z</t>
        </is>
      </c>
      <c r="AE77" s="31" t="inlineStr">
        <is>
          <t>Neutral Elo baseline; executable ask 0.6100 (market_slug=asc-cs2-aur-ts-2026-10-11-hcap-pos-1pt5).</t>
        </is>
      </c>
      <c r="AF77" s="31" t="inlineStr">
        <is>
          <t>Config-promoted esports baseline; gates enforced at log time.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model_qualified</t>
        </is>
      </c>
      <c r="AL77" s="26" t="n">
        <v>4</v>
      </c>
      <c r="AM77" s="24" t="inlineStr">
        <is>
          <t>QUALIFIED_SHADOW_CALL</t>
        </is>
      </c>
      <c r="AN77" s="24" t="inlineStr">
        <is>
          <t>CALL</t>
        </is>
      </c>
      <c r="AO77" s="24" t="inlineStr">
        <is>
          <t>QUALIFIED</t>
        </is>
      </c>
      <c r="AP77" s="24" t="inlineStr">
        <is>
          <t>Spirit</t>
        </is>
      </c>
      <c r="AQ77" s="24" t="inlineStr">
        <is>
          <t>Spirit</t>
        </is>
      </c>
      <c r="AR77" s="24" t="inlineStr">
        <is>
          <t>Spirit</t>
        </is>
      </c>
      <c r="AS77" s="24" t="inlineStr">
        <is>
          <t>Aurora Gaming</t>
        </is>
      </c>
      <c r="AT77" s="24" t="inlineStr">
        <is>
          <t>Aurora Gaming</t>
        </is>
      </c>
      <c r="AU77" s="24" t="inlineStr">
        <is>
          <t>Aurora Gaming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7823f9fa45138400b03945e6aea383c914bdacd3f9e0de149ae6babbbb0f31b5</t>
        </is>
      </c>
      <c r="BB77" s="24" t="inlineStr">
        <is>
          <t>neutral_elo</t>
        </is>
      </c>
      <c r="BC77" s="24" t="inlineStr">
        <is>
          <t>cs2-spread-tiered-elo-v6</t>
        </is>
      </c>
      <c r="BD77" s="24" t="inlineStr">
        <is>
          <t>7823f9fa45138400b03945e6aea383c914bdacd3f9e0de149ae6babbbb0f31b5</t>
        </is>
      </c>
      <c r="BE77" s="24" t="inlineStr">
        <is>
          <t>1</t>
        </is>
      </c>
      <c r="BF77" s="24" t="inlineStr">
        <is>
          <t>1</t>
        </is>
      </c>
      <c r="BG77" s="24" t="inlineStr">
        <is>
          <t>cs2-spread-tiered-elo-v6</t>
        </is>
      </c>
      <c r="BH77" s="24" t="inlineStr">
        <is>
          <t>2026-10-11T07:28:25.240837Z</t>
        </is>
      </c>
      <c r="BI77" s="24" t="inlineStr">
        <is>
          <t>["same_event","same_team_same_day","same_league_same_day"]</t>
        </is>
      </c>
      <c r="BJ77" s="25" t="n">
        <v>1.5</v>
      </c>
      <c r="BK77" s="26" t="n">
        <v>-156</v>
      </c>
      <c r="BL77" s="27" t="n">
        <v>1.641026</v>
      </c>
      <c r="BM77" s="28" t="n">
        <v>0.609375</v>
      </c>
      <c r="BN77" s="28" t="n"/>
      <c r="BO77" s="28" t="n"/>
      <c r="BP77" s="25" t="n"/>
      <c r="BQ77" s="27" t="n"/>
      <c r="BR77" s="28" t="n"/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True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n"/>
      <c r="DK77" s="24" t="n"/>
      <c r="DL77" s="24" t="n"/>
      <c r="DM77" s="24" t="n"/>
      <c r="DN77" s="24" t="n"/>
      <c r="DO77" s="24" t="n"/>
      <c r="DP77" s="24" t="n"/>
      <c r="DQ77" s="24" t="n"/>
    </row>
    <row r="78" ht="36" customHeight="1">
      <c r="A78" s="24" t="inlineStr">
        <is>
          <t>8d3e7a5ee2324167</t>
        </is>
      </c>
      <c r="B78" s="24" t="inlineStr">
        <is>
          <t>2026-10-11T07:32:32.151841Z</t>
        </is>
      </c>
      <c r="C78" s="24" t="inlineStr">
        <is>
          <t>2026-10-11T11:30:00Z</t>
        </is>
      </c>
      <c r="D78" s="24" t="inlineStr">
        <is>
          <t>153833</t>
        </is>
      </c>
      <c r="E78" s="24" t="inlineStr">
        <is>
          <t>CS2</t>
        </is>
      </c>
      <c r="F78" s="24" t="inlineStr">
        <is>
          <t>Spirit</t>
        </is>
      </c>
      <c r="G78" s="24" t="inlineStr">
        <is>
          <t>Aurora Gaming</t>
        </is>
      </c>
      <c r="H78" s="24" t="inlineStr">
        <is>
          <t>total</t>
        </is>
      </c>
      <c r="I78" s="24" t="inlineStr">
        <is>
          <t>under</t>
        </is>
      </c>
      <c r="J78" s="25" t="n">
        <v>2.5</v>
      </c>
      <c r="K78" s="24" t="inlineStr">
        <is>
          <t>polymarket_us</t>
        </is>
      </c>
      <c r="L78" s="26" t="n">
        <v>-144</v>
      </c>
      <c r="M78" s="27" t="n">
        <v>1.694444</v>
      </c>
      <c r="N78" s="28" t="n">
        <v>0.590164</v>
      </c>
      <c r="O78" s="28" t="n">
        <v>0.513092</v>
      </c>
      <c r="P78" s="28" t="n"/>
      <c r="Q78" s="28" t="n">
        <v>-0.077072</v>
      </c>
      <c r="R78" s="26" t="n">
        <v>0</v>
      </c>
      <c r="S78" s="29" t="n">
        <v>1</v>
      </c>
      <c r="T78" s="24" t="inlineStr">
        <is>
          <t>cs2-total-tiered-elo-v6</t>
        </is>
      </c>
      <c r="U78" s="24" t="inlineStr">
        <is>
          <t>settled</t>
        </is>
      </c>
      <c r="V78" s="24" t="inlineStr">
        <is>
          <t>win</t>
        </is>
      </c>
      <c r="W78" s="26" t="n">
        <v>0</v>
      </c>
      <c r="X78" s="26" t="n">
        <v>2</v>
      </c>
      <c r="Y78" s="25" t="n"/>
      <c r="Z78" s="26" t="n"/>
      <c r="AA78" s="28" t="n"/>
      <c r="AB78" s="28" t="n"/>
      <c r="AC78" s="30" t="n">
        <v>0.6944</v>
      </c>
      <c r="AD78" s="24" t="inlineStr">
        <is>
          <t>2026-10-11T16:02:43.619311Z</t>
        </is>
      </c>
      <c r="AE78" s="31" t="inlineStr">
        <is>
          <t>Neutral Elo baseline; executable ask 0.5900 (market_slug=tsc-cs2-aur-ts-2026-10-11-tot-2pt5).</t>
        </is>
      </c>
      <c r="AF78" s="31" t="inlineStr">
        <is>
          <t>Config-promoted esports baseline; gates enforced at log time.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paper_call</t>
        </is>
      </c>
      <c r="AL78" s="26" t="n">
        <v>4</v>
      </c>
      <c r="AM78" s="24" t="inlineStr">
        <is>
          <t>RESEARCH_OBSERVATION</t>
        </is>
      </c>
      <c r="AN78" s="24" t="inlineStr">
        <is>
          <t>CALL</t>
        </is>
      </c>
      <c r="AO78" s="24" t="inlineStr">
        <is>
          <t>PAPER_CALL_LOW_EDGE</t>
        </is>
      </c>
      <c r="AP78" s="24" t="inlineStr">
        <is>
          <t>Spirit</t>
        </is>
      </c>
      <c r="AQ78" s="24" t="inlineStr">
        <is>
          <t>Spirit</t>
        </is>
      </c>
      <c r="AR78" s="24" t="inlineStr">
        <is>
          <t>Spirit</t>
        </is>
      </c>
      <c r="AS78" s="24" t="inlineStr">
        <is>
          <t>Aurora Gaming</t>
        </is>
      </c>
      <c r="AT78" s="24" t="inlineStr">
        <is>
          <t>Aurora Gaming</t>
        </is>
      </c>
      <c r="AU78" s="24" t="inlineStr">
        <is>
          <t>Aurora Gaming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7823f9fa45138400b03945e6aea383c914bdacd3f9e0de149ae6babbbb0f31b5</t>
        </is>
      </c>
      <c r="BB78" s="24" t="inlineStr">
        <is>
          <t>neutral_elo</t>
        </is>
      </c>
      <c r="BC78" s="24" t="inlineStr">
        <is>
          <t>cs2-total-tiered-elo-v6</t>
        </is>
      </c>
      <c r="BD78" s="24" t="inlineStr">
        <is>
          <t>7823f9fa45138400b03945e6aea383c914bdacd3f9e0de149ae6babbbb0f31b5</t>
        </is>
      </c>
      <c r="BE78" s="24" t="inlineStr">
        <is>
          <t>1</t>
        </is>
      </c>
      <c r="BF78" s="24" t="inlineStr">
        <is>
          <t>1</t>
        </is>
      </c>
      <c r="BG78" s="24" t="inlineStr">
        <is>
          <t>cs2-total-tiered-elo-v6</t>
        </is>
      </c>
      <c r="BH78" s="24" t="inlineStr">
        <is>
          <t>2026-10-11T07:28:25.326688Z</t>
        </is>
      </c>
      <c r="BI78" s="24" t="inlineStr">
        <is>
          <t>["same_event","same_team_same_day","same_league_same_day"]</t>
        </is>
      </c>
      <c r="BJ78" s="25" t="n">
        <v>2.5</v>
      </c>
      <c r="BK78" s="26" t="n">
        <v>-144</v>
      </c>
      <c r="BL78" s="27" t="n">
        <v>1.694444</v>
      </c>
      <c r="BM78" s="28" t="n">
        <v>0.590164</v>
      </c>
      <c r="BN78" s="28" t="n"/>
      <c r="BO78" s="28" t="n"/>
      <c r="BP78" s="25" t="n"/>
      <c r="BQ78" s="27" t="n"/>
      <c r="BR78" s="28" t="n"/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False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n"/>
      <c r="DK78" s="24" t="n"/>
      <c r="DL78" s="24" t="n"/>
      <c r="DM78" s="24" t="n"/>
      <c r="DN78" s="24" t="n"/>
      <c r="DO78" s="24" t="n"/>
      <c r="DP78" s="24" t="n"/>
      <c r="DQ78" s="24" t="n"/>
    </row>
    <row r="79" ht="36" customHeight="1">
      <c r="A79" s="24" t="inlineStr">
        <is>
          <t>9e30a77b380d4565</t>
        </is>
      </c>
      <c r="B79" s="24" t="inlineStr">
        <is>
          <t>2026-10-11T07:32:32.151841Z</t>
        </is>
      </c>
      <c r="C79" s="24" t="inlineStr">
        <is>
          <t>2026-10-11T11:30:00Z</t>
        </is>
      </c>
      <c r="D79" s="24" t="inlineStr">
        <is>
          <t>153833</t>
        </is>
      </c>
      <c r="E79" s="24" t="inlineStr">
        <is>
          <t>CS2</t>
        </is>
      </c>
      <c r="F79" s="24" t="inlineStr">
        <is>
          <t>Spirit</t>
        </is>
      </c>
      <c r="G79" s="24" t="inlineStr">
        <is>
          <t>Aurora Gaming</t>
        </is>
      </c>
      <c r="H79" s="24" t="inlineStr">
        <is>
          <t>moneyline</t>
        </is>
      </c>
      <c r="I79" s="24" t="inlineStr">
        <is>
          <t>away</t>
        </is>
      </c>
      <c r="J79" s="25" t="n"/>
      <c r="K79" s="24" t="inlineStr">
        <is>
          <t>polymarket_us</t>
        </is>
      </c>
      <c r="L79" s="26" t="n">
        <v>-233</v>
      </c>
      <c r="M79" s="27" t="n">
        <v>1.429185</v>
      </c>
      <c r="N79" s="28" t="n">
        <v>0.6997</v>
      </c>
      <c r="O79" s="28" t="n">
        <v>0.620302</v>
      </c>
      <c r="P79" s="28" t="n"/>
      <c r="Q79" s="28" t="n">
        <v>-0.079398</v>
      </c>
      <c r="R79" s="26" t="n">
        <v>0</v>
      </c>
      <c r="S79" s="29" t="n">
        <v>1</v>
      </c>
      <c r="T79" s="24" t="inlineStr">
        <is>
          <t>cs2-tiered-elo-v6</t>
        </is>
      </c>
      <c r="U79" s="24" t="inlineStr">
        <is>
          <t>settled</t>
        </is>
      </c>
      <c r="V79" s="24" t="inlineStr">
        <is>
          <t>loss</t>
        </is>
      </c>
      <c r="W79" s="26" t="n">
        <v>0</v>
      </c>
      <c r="X79" s="26" t="n">
        <v>1</v>
      </c>
      <c r="Y79" s="25" t="n"/>
      <c r="Z79" s="26" t="n">
        <v>-233</v>
      </c>
      <c r="AA79" s="28" t="n">
        <v>0.7</v>
      </c>
      <c r="AB79" s="28" t="n">
        <v>0.0003</v>
      </c>
      <c r="AC79" s="30" t="n">
        <v>-1</v>
      </c>
      <c r="AD79" s="24" t="inlineStr">
        <is>
          <t>2026-10-11T16:02:44.579285Z</t>
        </is>
      </c>
      <c r="AE79" s="31" t="inlineStr">
        <is>
          <t>Neutral Elo baseline; executable ask 0.7000 (market_slug=aec-cs2-aur-ts-2026-10-11).</t>
        </is>
      </c>
      <c r="AF79" s="31" t="inlineStr">
        <is>
          <t>Config-promoted esports baseline; gates enforced at log time.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paper_call</t>
        </is>
      </c>
      <c r="AL79" s="26" t="n">
        <v>4</v>
      </c>
      <c r="AM79" s="24" t="inlineStr">
        <is>
          <t>RESEARCH_OBSERVATION</t>
        </is>
      </c>
      <c r="AN79" s="24" t="inlineStr">
        <is>
          <t>CALL</t>
        </is>
      </c>
      <c r="AO79" s="24" t="inlineStr">
        <is>
          <t>PAPER_CALL_LOW_EDGE</t>
        </is>
      </c>
      <c r="AP79" s="24" t="inlineStr">
        <is>
          <t>Spirit</t>
        </is>
      </c>
      <c r="AQ79" s="24" t="inlineStr">
        <is>
          <t>Spirit</t>
        </is>
      </c>
      <c r="AR79" s="24" t="inlineStr">
        <is>
          <t>Spirit</t>
        </is>
      </c>
      <c r="AS79" s="24" t="inlineStr">
        <is>
          <t>Aurora Gaming</t>
        </is>
      </c>
      <c r="AT79" s="24" t="inlineStr">
        <is>
          <t>Aurora Gaming</t>
        </is>
      </c>
      <c r="AU79" s="24" t="inlineStr">
        <is>
          <t>Aurora Gaming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7823f9fa45138400b03945e6aea383c914bdacd3f9e0de149ae6babbbb0f31b5</t>
        </is>
      </c>
      <c r="BB79" s="24" t="inlineStr">
        <is>
          <t>neutral_elo</t>
        </is>
      </c>
      <c r="BC79" s="24" t="inlineStr">
        <is>
          <t>cs2-tiered-elo-v6</t>
        </is>
      </c>
      <c r="BD79" s="24" t="inlineStr">
        <is>
          <t>7823f9fa45138400b03945e6aea383c914bdacd3f9e0de149ae6babbbb0f31b5</t>
        </is>
      </c>
      <c r="BE79" s="24" t="inlineStr">
        <is>
          <t>1</t>
        </is>
      </c>
      <c r="BF79" s="24" t="inlineStr">
        <is>
          <t>1</t>
        </is>
      </c>
      <c r="BG79" s="24" t="inlineStr">
        <is>
          <t>cs2-tiered-elo-v6</t>
        </is>
      </c>
      <c r="BH79" s="24" t="inlineStr">
        <is>
          <t>2026-10-11T07:28:25.385435Z</t>
        </is>
      </c>
      <c r="BI79" s="24" t="inlineStr">
        <is>
          <t>["same_event","same_team_same_day","same_league_same_day"]</t>
        </is>
      </c>
      <c r="BJ79" s="25" t="n"/>
      <c r="BK79" s="26" t="n">
        <v>-233</v>
      </c>
      <c r="BL79" s="27" t="n">
        <v>1.429185</v>
      </c>
      <c r="BM79" s="28" t="n">
        <v>0.6997</v>
      </c>
      <c r="BN79" s="28" t="n"/>
      <c r="BO79" s="28" t="n"/>
      <c r="BP79" s="25" t="n"/>
      <c r="BQ79" s="27" t="n">
        <v>1.429185</v>
      </c>
      <c r="BR79" s="28" t="n">
        <v>0.7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False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n"/>
      <c r="DK79" s="24" t="n"/>
      <c r="DL79" s="24" t="n"/>
      <c r="DM79" s="24" t="n"/>
      <c r="DN79" s="24" t="n"/>
      <c r="DO79" s="24" t="n"/>
      <c r="DP79" s="24" t="n"/>
      <c r="DQ79" s="24" t="inlineStr">
        <is>
          <t>{"artifact_hash": "7823f9fa45138400b03945e6aea383c914bdacd3f9e0de149ae6babbbb0f31b5", "away_team": "Spirit", "event_id": "153833", "event_start_utc": "2026-10-11T11:30:00Z", "features": {"away_elo": 2266.451934, "away_history_count": 204, "home_elo": 2137.285619, "home_history_count": 313}, "historical_source_observation_times_verified": false, "home_team": "Aurora Gaming", "inference_inputs": {"book_state": {"games_played": {"bo3:1:3598": 313, "bo3:1:654": 204}, "inactivity_half_life_days": null, "inactivity_max_pull": null, "k": 40.0, "last_match_utc": {"bo3:1:3598": "2026-10-10T13:45:00Z", "bo3:1:654": "2026-10-10T17:45:00Z"}, "minimum_reliable_games": null, "platt_intercept": 0.07145950263126344, "platt_slope": 0.8730634169076688, "ratings": {"bo3:1:3598": 2137.285619, "bo3:1:654": 2266.451934},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"2026-10-11T07:25:19.301780+00:00", "team_ids": ["bo3:1:3598", "bo3:1:654"]}, "market_type": "moneyline", "model_version": "cs2-tiered-elo-v6", "observed_at_utc": "2026-10-11T07:25:19.301780+00:00", "probabilities": {"away": 0.620302, "home": 0.379698}, "replay_scope": "Exact serving book state, calibration, temperature, inactivity reference and thin-history adjustments; training provenance not certified.", "schema": "esports-elo-replay-v1", "snapshot_hash": "b8427d8d5d33e377330bf9e0c2407587c5f2846f78d3f5aeced85ae67fc2975b", "sport": "CS2"}</t>
        </is>
      </c>
    </row>
    <row r="80" ht="36" customHeight="1">
      <c r="A80" s="24" t="inlineStr">
        <is>
          <t>e17379799b6f40fe</t>
        </is>
      </c>
      <c r="B80" s="24" t="inlineStr">
        <is>
          <t>2026-10-11T12:39:39.133421Z</t>
        </is>
      </c>
      <c r="C80" s="24" t="inlineStr">
        <is>
          <t>2026-10-11T13:00:00Z</t>
        </is>
      </c>
      <c r="D80" s="24" t="inlineStr">
        <is>
          <t>152916</t>
        </is>
      </c>
      <c r="E80" s="24" t="inlineStr">
        <is>
          <t>CS2</t>
        </is>
      </c>
      <c r="F80" s="24" t="inlineStr">
        <is>
          <t>Alter Ego</t>
        </is>
      </c>
      <c r="G80" s="24" t="inlineStr">
        <is>
          <t>The KnockoutX</t>
        </is>
      </c>
      <c r="H80" s="24" t="inlineStr">
        <is>
          <t>moneyline</t>
        </is>
      </c>
      <c r="I80" s="24" t="inlineStr">
        <is>
          <t>away</t>
        </is>
      </c>
      <c r="J80" s="25" t="n"/>
      <c r="K80" s="24" t="inlineStr">
        <is>
          <t>polymarket_us</t>
        </is>
      </c>
      <c r="L80" s="26" t="n">
        <v>-213</v>
      </c>
      <c r="M80" s="27" t="n">
        <v>1.469484</v>
      </c>
      <c r="N80" s="28" t="n">
        <v>0.680511</v>
      </c>
      <c r="O80" s="28" t="n">
        <v>0.565703</v>
      </c>
      <c r="P80" s="28" t="n"/>
      <c r="Q80" s="28" t="n">
        <v>-0.114808</v>
      </c>
      <c r="R80" s="26" t="n">
        <v>0</v>
      </c>
      <c r="S80" s="29" t="n">
        <v>1</v>
      </c>
      <c r="T80" s="24" t="inlineStr">
        <is>
          <t>cs2-tiered-elo-v6</t>
        </is>
      </c>
      <c r="U80" s="24" t="inlineStr">
        <is>
          <t>settled</t>
        </is>
      </c>
      <c r="V80" s="24" t="inlineStr">
        <is>
          <t>win</t>
        </is>
      </c>
      <c r="W80" s="26" t="n">
        <v>1</v>
      </c>
      <c r="X80" s="26" t="n">
        <v>0</v>
      </c>
      <c r="Y80" s="25" t="n"/>
      <c r="Z80" s="26" t="n">
        <v>-213</v>
      </c>
      <c r="AA80" s="28" t="n">
        <v>0.68</v>
      </c>
      <c r="AB80" s="28" t="n">
        <v>-0.000511</v>
      </c>
      <c r="AC80" s="30" t="n">
        <v>0.4695</v>
      </c>
      <c r="AD80" s="24" t="inlineStr">
        <is>
          <t>2026-10-11T16:02:55.734731Z</t>
        </is>
      </c>
      <c r="AE80" s="31" t="inlineStr">
        <is>
          <t>Neutral Elo baseline; executable ask 0.6800 (market_slug=aec-cs2-tkh-ae-2026-10-11).</t>
        </is>
      </c>
      <c r="AF80" s="31" t="inlineStr">
        <is>
          <t>Config-promoted esports baseline; gates enforced at log time.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paper_call</t>
        </is>
      </c>
      <c r="AL80" s="26" t="n">
        <v>4</v>
      </c>
      <c r="AM80" s="24" t="inlineStr">
        <is>
          <t>RESEARCH_OBSERVATION</t>
        </is>
      </c>
      <c r="AN80" s="24" t="inlineStr">
        <is>
          <t>CALL</t>
        </is>
      </c>
      <c r="AO80" s="24" t="inlineStr">
        <is>
          <t>PAPER_CALL_LOW_EDGE</t>
        </is>
      </c>
      <c r="AP80" s="24" t="inlineStr">
        <is>
          <t>Alter Ego</t>
        </is>
      </c>
      <c r="AQ80" s="24" t="inlineStr">
        <is>
          <t>Alter Ego</t>
        </is>
      </c>
      <c r="AR80" s="24" t="inlineStr">
        <is>
          <t>Alter Ego</t>
        </is>
      </c>
      <c r="AS80" s="24" t="inlineStr">
        <is>
          <t>The KnockoutX</t>
        </is>
      </c>
      <c r="AT80" s="24" t="inlineStr">
        <is>
          <t>The KnockoutX</t>
        </is>
      </c>
      <c r="AU80" s="24" t="inlineStr">
        <is>
          <t>The KnockoutX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e484f9e7beb216de6deb32d8b0181a2c3fe46ff108ba4ef46721672d7ef30912</t>
        </is>
      </c>
      <c r="BB80" s="24" t="inlineStr">
        <is>
          <t>neutral_elo</t>
        </is>
      </c>
      <c r="BC80" s="24" t="inlineStr">
        <is>
          <t>cs2-tiered-elo-v6</t>
        </is>
      </c>
      <c r="BD80" s="24" t="inlineStr">
        <is>
          <t>e484f9e7beb216de6deb32d8b0181a2c3fe46ff108ba4ef46721672d7ef30912</t>
        </is>
      </c>
      <c r="BE80" s="24" t="inlineStr">
        <is>
          <t>1</t>
        </is>
      </c>
      <c r="BF80" s="24" t="inlineStr">
        <is>
          <t>1</t>
        </is>
      </c>
      <c r="BG80" s="24" t="inlineStr">
        <is>
          <t>cs2-tiered-elo-v6</t>
        </is>
      </c>
      <c r="BH80" s="24" t="inlineStr">
        <is>
          <t>2026-10-11T12:33:52.432366Z</t>
        </is>
      </c>
      <c r="BI80" s="24" t="inlineStr">
        <is>
          <t>["same_event","same_team_same_day","same_league_same_day"]</t>
        </is>
      </c>
      <c r="BJ80" s="25" t="n"/>
      <c r="BK80" s="26" t="n">
        <v>-213</v>
      </c>
      <c r="BL80" s="27" t="n">
        <v>1.469484</v>
      </c>
      <c r="BM80" s="28" t="n">
        <v>0.680511</v>
      </c>
      <c r="BN80" s="28" t="n"/>
      <c r="BO80" s="28" t="n"/>
      <c r="BP80" s="25" t="n"/>
      <c r="BQ80" s="27" t="n">
        <v>1.469484</v>
      </c>
      <c r="BR80" s="28" t="n">
        <v>0.68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False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n"/>
      <c r="DK80" s="24" t="n"/>
      <c r="DL80" s="24" t="n"/>
      <c r="DM80" s="24" t="n"/>
      <c r="DN80" s="24" t="n"/>
      <c r="DO80" s="24" t="n"/>
      <c r="DP80" s="24" t="n"/>
      <c r="DQ80" s="24" t="inlineStr">
        <is>
          <t>{"artifact_hash": "e484f9e7beb216de6deb32d8b0181a2c3fe46ff108ba4ef46721672d7ef30912", "away_team": "Alter Ego", "event_id": "152916", "event_start_utc": "2026-10-11T13:00:00Z", "features": {"away_elo": 1653.201337, "away_history_count": 43, "home_elo": 1549.878046, "home_history_count": 4}, "historical_source_observation_times_verified": false, "home_team": "The KnockoutX", "inference_inputs": {"book_state": {"games_played": {"bo3:1:25341": 4, "bo3:1:4170": 43}, "inactivity_half_life_days": null, "inactivity_max_pull": null, "k": 40.0, "last_match_utc": {"bo3:1:25341": "2026-10-08T13:15:00Z", "bo3:1:4170": "2026-10-10T13:00:00Z"}, "minimum_reliable_games": null, "platt_intercept": 0.07099669109552395, "platt_slope": 0.8735063867488091, "ratings": {"bo3:1:25341": 1549.878046, "bo3:1:4170": 1653.201337},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["bo3:1:25341", "bo3:1:4170"]}, "market_type": "moneyline", "model_version": "cs2-tiered-elo-v6", "observed_at_utc": "2026-10-11T12:33:34.978905+00:00", "probabilities": {"away": 0.565703, "home": 0.434297}, "replay_scope": "Exact serving book state, calibration, temperature, inactivity reference and thin-history adjustments; training provenance not certified.", "schema": "esports-elo-replay-v1", "snapshot_hash": "76a2fee7891a909804db05cfa6606740a92ecf28837f415cb92af544b1b7fc6a", "sport": "CS2"}</t>
        </is>
      </c>
    </row>
    <row r="81" ht="36" customHeight="1">
      <c r="A81" s="24" t="inlineStr">
        <is>
          <t>756e73cd9bfc44d0</t>
        </is>
      </c>
      <c r="B81" s="24" t="inlineStr">
        <is>
          <t>2026-10-11T12:39:39.133421Z</t>
        </is>
      </c>
      <c r="C81" s="24" t="inlineStr">
        <is>
          <t>2026-10-11T13:00:00Z</t>
        </is>
      </c>
      <c r="D81" s="24" t="inlineStr">
        <is>
          <t>152965</t>
        </is>
      </c>
      <c r="E81" s="24" t="inlineStr">
        <is>
          <t>CS2</t>
        </is>
      </c>
      <c r="F81" s="24" t="inlineStr">
        <is>
          <t>Chinggis Warriors</t>
        </is>
      </c>
      <c r="G81" s="24" t="inlineStr">
        <is>
          <t>Kaleido Gaming</t>
        </is>
      </c>
      <c r="H81" s="24" t="inlineStr">
        <is>
          <t>moneyline</t>
        </is>
      </c>
      <c r="I81" s="24" t="inlineStr">
        <is>
          <t>away</t>
        </is>
      </c>
      <c r="J81" s="25" t="n"/>
      <c r="K81" s="24" t="inlineStr">
        <is>
          <t>polymarket_us</t>
        </is>
      </c>
      <c r="L81" s="26" t="n">
        <v>-156</v>
      </c>
      <c r="M81" s="27" t="n">
        <v>1.641026</v>
      </c>
      <c r="N81" s="28" t="n">
        <v>0.609375</v>
      </c>
      <c r="O81" s="28" t="n">
        <v>0.654428</v>
      </c>
      <c r="P81" s="28" t="n"/>
      <c r="Q81" s="28" t="n">
        <v>0.045053</v>
      </c>
      <c r="R81" s="26" t="n">
        <v>43</v>
      </c>
      <c r="S81" s="29" t="n">
        <v>1</v>
      </c>
      <c r="T81" s="24" t="inlineStr">
        <is>
          <t>cs2-tiered-elo-v6</t>
        </is>
      </c>
      <c r="U81" s="24" t="inlineStr">
        <is>
          <t>settled</t>
        </is>
      </c>
      <c r="V81" s="24" t="inlineStr">
        <is>
          <t>win</t>
        </is>
      </c>
      <c r="W81" s="26" t="n">
        <v>1</v>
      </c>
      <c r="X81" s="26" t="n">
        <v>0</v>
      </c>
      <c r="Y81" s="25" t="n"/>
      <c r="Z81" s="26" t="n">
        <v>-178</v>
      </c>
      <c r="AA81" s="28" t="n">
        <v>0.64</v>
      </c>
      <c r="AB81" s="28" t="n">
        <v>0.030625</v>
      </c>
      <c r="AC81" s="30" t="n">
        <v>0.641</v>
      </c>
      <c r="AD81" s="24" t="inlineStr">
        <is>
          <t>2026-10-11T16:03:01.530940Z</t>
        </is>
      </c>
      <c r="AE81" s="31" t="inlineStr">
        <is>
          <t>Neutral Elo baseline; executable ask 0.6100 (market_slug=aec-cs2-kg-cw-2026-10-11).</t>
        </is>
      </c>
      <c r="AF81" s="31" t="inlineStr">
        <is>
          <t>Config-promoted esports baseline; gates enforced at log time.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model_qualified</t>
        </is>
      </c>
      <c r="AL81" s="26" t="n">
        <v>4</v>
      </c>
      <c r="AM81" s="24" t="inlineStr">
        <is>
          <t>QUALIFIED_SHADOW_CALL</t>
        </is>
      </c>
      <c r="AN81" s="24" t="inlineStr">
        <is>
          <t>CALL</t>
        </is>
      </c>
      <c r="AO81" s="24" t="inlineStr">
        <is>
          <t>QUALIFIED</t>
        </is>
      </c>
      <c r="AP81" s="24" t="inlineStr">
        <is>
          <t>Chinggis Warriors</t>
        </is>
      </c>
      <c r="AQ81" s="24" t="inlineStr">
        <is>
          <t>Chinggis Warriors</t>
        </is>
      </c>
      <c r="AR81" s="24" t="inlineStr">
        <is>
          <t>Chinggis Warriors</t>
        </is>
      </c>
      <c r="AS81" s="24" t="inlineStr">
        <is>
          <t>Kaleido Gaming</t>
        </is>
      </c>
      <c r="AT81" s="24" t="inlineStr">
        <is>
          <t>Kaleido Gaming</t>
        </is>
      </c>
      <c r="AU81" s="24" t="inlineStr">
        <is>
          <t>Kaleido Gaming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e484f9e7beb216de6deb32d8b0181a2c3fe46ff108ba4ef46721672d7ef30912</t>
        </is>
      </c>
      <c r="BB81" s="24" t="inlineStr">
        <is>
          <t>neutral_elo</t>
        </is>
      </c>
      <c r="BC81" s="24" t="inlineStr">
        <is>
          <t>cs2-tiered-elo-v6</t>
        </is>
      </c>
      <c r="BD81" s="24" t="inlineStr">
        <is>
          <t>e484f9e7beb216de6deb32d8b0181a2c3fe46ff108ba4ef46721672d7ef30912</t>
        </is>
      </c>
      <c r="BE81" s="24" t="inlineStr">
        <is>
          <t>1</t>
        </is>
      </c>
      <c r="BF81" s="24" t="inlineStr">
        <is>
          <t>1</t>
        </is>
      </c>
      <c r="BG81" s="24" t="inlineStr">
        <is>
          <t>cs2-tiered-elo-v6</t>
        </is>
      </c>
      <c r="BH81" s="24" t="inlineStr">
        <is>
          <t>2026-10-11T12:34:03.453476Z</t>
        </is>
      </c>
      <c r="BI81" s="24" t="inlineStr">
        <is>
          <t>["same_event","same_team_same_day","same_league_same_day"]</t>
        </is>
      </c>
      <c r="BJ81" s="25" t="n"/>
      <c r="BK81" s="26" t="n">
        <v>-156</v>
      </c>
      <c r="BL81" s="27" t="n">
        <v>1.641026</v>
      </c>
      <c r="BM81" s="28" t="n">
        <v>0.609375</v>
      </c>
      <c r="BN81" s="28" t="n"/>
      <c r="BO81" s="28" t="n"/>
      <c r="BP81" s="25" t="n"/>
      <c r="BQ81" s="27" t="n">
        <v>1.561798</v>
      </c>
      <c r="BR81" s="28" t="n">
        <v>0.64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True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n"/>
      <c r="DK81" s="24" t="n"/>
      <c r="DL81" s="24" t="n"/>
      <c r="DM81" s="24" t="n"/>
      <c r="DN81" s="24" t="n"/>
      <c r="DO81" s="24" t="n"/>
      <c r="DP81" s="24" t="n"/>
      <c r="DQ81" s="24" t="inlineStr">
        <is>
          <t>{"artifact_hash": "e484f9e7beb216de6deb32d8b0181a2c3fe46ff108ba4ef46721672d7ef30912", "away_team": "Chinggis Warriors", "event_id": "152965", "event_start_utc": "2026-10-11T13:00:00Z", "features": {"away_elo": 1745.220728, "away_history_count": 177, "home_elo": 1581.5858, "home_history_count": 52}, "historical_source_observation_times_verified": false, "home_team": "Kaleido Gaming", "inference_inputs": {"book_state": {"games_played": {"bo3:1:21032": 52, "bo3:1:9974": 177}, "inactivity_half_life_days": null, "inactivity_max_pull": null, "k": 40.0, "last_match_utc": {"bo3:1:21032": "2026-10-10T13:00:00Z", "bo3:1:9974": "2026-10-11T08:20:00Z"}, "minimum_reliable_games": null, "platt_intercept": 0.07099669109552395, "platt_slope": 0.8735063867488091, "ratings": {"bo3:1:21032": 1581.5858, "bo3:1:9974": 1745.220728},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["bo3:1:21032", "bo3:1:9974"]}, "market_type": "moneyline", "model_version": "cs2-tiered-elo-v6", "observed_at_utc": "2026-10-11T12:33:34.978905+00:00", "probabilities": {"away": 0.654428, "home": 0.345572}, "replay_scope": "Exact serving book state, calibration, temperature, inactivity reference and thin-history adjustments; training provenance not certified.", "schema": "esports-elo-replay-v1", "snapshot_hash": "9f4ed739992bd38dd6788cd82cf838e61003bd4be8c66452f9b630b25e8ba1ca", "sport": "CS2"}</t>
        </is>
      </c>
    </row>
    <row r="82" ht="36" customHeight="1">
      <c r="A82" s="24" t="inlineStr">
        <is>
          <t>ad5955ec30dd46ce</t>
        </is>
      </c>
      <c r="B82" s="24" t="inlineStr">
        <is>
          <t>2026-10-11T12:39:39.133421Z</t>
        </is>
      </c>
      <c r="C82" s="24" t="inlineStr">
        <is>
          <t>2026-10-11T14:00:00Z</t>
        </is>
      </c>
      <c r="D82" s="24" t="inlineStr">
        <is>
          <t>153106</t>
        </is>
      </c>
      <c r="E82" s="24" t="inlineStr">
        <is>
          <t>CS2</t>
        </is>
      </c>
      <c r="F82" s="24" t="inlineStr">
        <is>
          <t>Bebop</t>
        </is>
      </c>
      <c r="G82" s="24" t="inlineStr">
        <is>
          <t>mellren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-178</v>
      </c>
      <c r="M82" s="27" t="n">
        <v>1.561798</v>
      </c>
      <c r="N82" s="28" t="n">
        <v>0.640288</v>
      </c>
      <c r="O82" s="28" t="n">
        <v>0.644312</v>
      </c>
      <c r="P82" s="28" t="n"/>
      <c r="Q82" s="28" t="n">
        <v>0.004024</v>
      </c>
      <c r="R82" s="26" t="n">
        <v>22</v>
      </c>
      <c r="S82" s="29" t="n">
        <v>1</v>
      </c>
      <c r="T82" s="24" t="inlineStr">
        <is>
          <t>cs2-tiered-elo-v6</t>
        </is>
      </c>
      <c r="U82" s="24" t="inlineStr">
        <is>
          <t>settled</t>
        </is>
      </c>
      <c r="V82" s="24" t="inlineStr">
        <is>
          <t>win</t>
        </is>
      </c>
      <c r="W82" s="26" t="n">
        <v>0</v>
      </c>
      <c r="X82" s="26" t="n">
        <v>1</v>
      </c>
      <c r="Y82" s="25" t="n"/>
      <c r="Z82" s="26" t="n">
        <v>-178</v>
      </c>
      <c r="AA82" s="28" t="n">
        <v>0.64</v>
      </c>
      <c r="AB82" s="28" t="n">
        <v>-0.000288</v>
      </c>
      <c r="AC82" s="30" t="n">
        <v>0.5618</v>
      </c>
      <c r="AD82" s="24" t="inlineStr">
        <is>
          <t>2026-10-11T16:03:06.684450Z</t>
        </is>
      </c>
      <c r="AE82" s="31" t="inlineStr">
        <is>
          <t>Neutral Elo baseline; executable ask 0.6400 (market_slug=aec-cs2-mel-bbp-2026-10-11).</t>
        </is>
      </c>
      <c r="AF82" s="31" t="inlineStr">
        <is>
          <t>Config-promoted esports baseline; gates enforced at log time.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paper_call</t>
        </is>
      </c>
      <c r="AL82" s="26" t="n">
        <v>4</v>
      </c>
      <c r="AM82" s="24" t="inlineStr">
        <is>
          <t>RESEARCH_OBSERVATION</t>
        </is>
      </c>
      <c r="AN82" s="24" t="inlineStr">
        <is>
          <t>CALL</t>
        </is>
      </c>
      <c r="AO82" s="24" t="inlineStr">
        <is>
          <t>PAPER_CALL_LOW_EDGE</t>
        </is>
      </c>
      <c r="AP82" s="24" t="inlineStr">
        <is>
          <t>Bebop</t>
        </is>
      </c>
      <c r="AQ82" s="24" t="inlineStr">
        <is>
          <t>Bebop</t>
        </is>
      </c>
      <c r="AR82" s="24" t="inlineStr">
        <is>
          <t>Bebop</t>
        </is>
      </c>
      <c r="AS82" s="24" t="inlineStr">
        <is>
          <t>mellren</t>
        </is>
      </c>
      <c r="AT82" s="24" t="inlineStr">
        <is>
          <t>mellren</t>
        </is>
      </c>
      <c r="AU82" s="24" t="inlineStr">
        <is>
          <t>mellren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e484f9e7beb216de6deb32d8b0181a2c3fe46ff108ba4ef46721672d7ef30912</t>
        </is>
      </c>
      <c r="BB82" s="24" t="inlineStr">
        <is>
          <t>neutral_elo</t>
        </is>
      </c>
      <c r="BC82" s="24" t="inlineStr">
        <is>
          <t>cs2-tiered-elo-v6</t>
        </is>
      </c>
      <c r="BD82" s="24" t="inlineStr">
        <is>
          <t>e484f9e7beb216de6deb32d8b0181a2c3fe46ff108ba4ef46721672d7ef30912</t>
        </is>
      </c>
      <c r="BE82" s="24" t="inlineStr">
        <is>
          <t>1</t>
        </is>
      </c>
      <c r="BF82" s="24" t="inlineStr">
        <is>
          <t>1</t>
        </is>
      </c>
      <c r="BG82" s="24" t="inlineStr">
        <is>
          <t>cs2-tiered-elo-v6</t>
        </is>
      </c>
      <c r="BH82" s="24" t="inlineStr">
        <is>
          <t>2026-10-11T12:35:05.872476Z</t>
        </is>
      </c>
      <c r="BI82" s="24" t="inlineStr">
        <is>
          <t>["same_event","same_team_same_day","same_league_same_day"]</t>
        </is>
      </c>
      <c r="BJ82" s="25" t="n"/>
      <c r="BK82" s="26" t="n">
        <v>-178</v>
      </c>
      <c r="BL82" s="27" t="n">
        <v>1.561798</v>
      </c>
      <c r="BM82" s="28" t="n">
        <v>0.640288</v>
      </c>
      <c r="BN82" s="28" t="n"/>
      <c r="BO82" s="28" t="n"/>
      <c r="BP82" s="25" t="n"/>
      <c r="BQ82" s="27" t="n">
        <v>1.561798</v>
      </c>
      <c r="BR82" s="28" t="n">
        <v>0.64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True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n"/>
      <c r="DK82" s="24" t="n"/>
      <c r="DL82" s="24" t="n"/>
      <c r="DM82" s="24" t="n"/>
      <c r="DN82" s="24" t="n"/>
      <c r="DO82" s="24" t="n"/>
      <c r="DP82" s="24" t="n"/>
      <c r="DQ82" s="24" t="inlineStr">
        <is>
          <t>{"artifact_hash": "e484f9e7beb216de6deb32d8b0181a2c3fe46ff108ba4ef46721672d7ef30912", "away_team": "Bebop", "event_id": "153106", "event_start_utc": "2026-10-11T14:00:00Z", "features": {"away_elo": 1502.839256, "away_history_count": 111, "home_elo": 1629.524112, "home_history_count": 53}, "historical_source_observation_times_verified": false, "home_team": "mellren", "inference_inputs": {"book_state": {"games_played": {"bo3:1:22169": 111, "bo3:1:23102": 53}, "inactivity_half_life_days": null, "inactivity_max_pull": null, "k": 40.0, "last_match_utc": {"bo3:1:22169": "2026-10-10T14:00:00Z", "bo3:1:23102": "2026-10-10T08:10:00Z"}, "minimum_reliable_games": null, "platt_intercept": 0.07099669109552395, "platt_slope": 0.8735063867488091, "ratings": {"bo3:1:22169": 1502.839256, "bo3:1:23102": 1629.524112},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["bo3:1:23102", "bo3:1:22169"]}, "market_type": "moneyline", "model_version": "cs2-tiered-elo-v6", "observed_at_utc": "2026-10-11T12:33:34.978905+00:00", "probabilities": {"away": 0.355688, "home": 0.644312}, "replay_scope": "Exact serving book state, calibration, temperature, inactivity reference and thin-history adjustments; training provenance not certified.", "schema": "esports-elo-replay-v1", "snapshot_hash": "8611849cb720df1e26b2939ff3e70cad5efd890f534ed2cd0cbef32a45439055", "sport": "CS2"}</t>
        </is>
      </c>
    </row>
    <row r="83" ht="36" customHeight="1">
      <c r="A83" s="24" t="inlineStr">
        <is>
          <t>3a99a79f376f4783</t>
        </is>
      </c>
      <c r="B83" s="24" t="inlineStr">
        <is>
          <t>2026-10-11T12:39:39.133421Z</t>
        </is>
      </c>
      <c r="C83" s="24" t="inlineStr">
        <is>
          <t>2026-10-11T14:00:00Z</t>
        </is>
      </c>
      <c r="D83" s="24" t="inlineStr">
        <is>
          <t>153864</t>
        </is>
      </c>
      <c r="E83" s="24" t="inlineStr">
        <is>
          <t>CS2</t>
        </is>
      </c>
      <c r="F83" s="24" t="inlineStr">
        <is>
          <t>aimclub</t>
        </is>
      </c>
      <c r="G83" s="24" t="inlineStr">
        <is>
          <t>ARGOS</t>
        </is>
      </c>
      <c r="H83" s="24" t="inlineStr">
        <is>
          <t>moneyline</t>
        </is>
      </c>
      <c r="I83" s="24" t="inlineStr">
        <is>
          <t>away</t>
        </is>
      </c>
      <c r="J83" s="25" t="n"/>
      <c r="K83" s="24" t="inlineStr">
        <is>
          <t>polymarket_us</t>
        </is>
      </c>
      <c r="L83" s="26" t="n">
        <v>104</v>
      </c>
      <c r="M83" s="27" t="n">
        <v>2.04</v>
      </c>
      <c r="N83" s="28" t="n">
        <v>0.490196</v>
      </c>
      <c r="O83" s="28" t="n">
        <v>0.5518420000000001</v>
      </c>
      <c r="P83" s="28" t="n"/>
      <c r="Q83" s="28" t="n">
        <v>0.061646</v>
      </c>
      <c r="R83" s="26" t="n">
        <v>51</v>
      </c>
      <c r="S83" s="29" t="n">
        <v>1</v>
      </c>
      <c r="T83" s="24" t="inlineStr">
        <is>
          <t>cs2-tiered-elo-v6</t>
        </is>
      </c>
      <c r="U83" s="24" t="inlineStr">
        <is>
          <t>settled</t>
        </is>
      </c>
      <c r="V83" s="24" t="inlineStr">
        <is>
          <t>win</t>
        </is>
      </c>
      <c r="W83" s="26" t="n">
        <v>1</v>
      </c>
      <c r="X83" s="26" t="n">
        <v>0</v>
      </c>
      <c r="Y83" s="25" t="n"/>
      <c r="Z83" s="26" t="n">
        <v>-104</v>
      </c>
      <c r="AA83" s="28" t="n">
        <v>0.51</v>
      </c>
      <c r="AB83" s="28" t="n">
        <v>0.019804</v>
      </c>
      <c r="AC83" s="30" t="n">
        <v>1.04</v>
      </c>
      <c r="AD83" s="24" t="inlineStr">
        <is>
          <t>2026-10-11T22:01:17.276442Z</t>
        </is>
      </c>
      <c r="AE83" s="31" t="inlineStr">
        <is>
          <t>Neutral Elo baseline; executable ask 0.4900 (market_slug=aec-cs2-argos-aimc-2026-10-11).</t>
        </is>
      </c>
      <c r="AF83" s="31" t="inlineStr">
        <is>
          <t>Config-promoted esports baseline; gates enforced at log time.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model_qualified</t>
        </is>
      </c>
      <c r="AL83" s="26" t="n">
        <v>4</v>
      </c>
      <c r="AM83" s="24" t="inlineStr">
        <is>
          <t>QUALIFIED_SHADOW_CALL</t>
        </is>
      </c>
      <c r="AN83" s="24" t="inlineStr">
        <is>
          <t>CALL</t>
        </is>
      </c>
      <c r="AO83" s="24" t="inlineStr">
        <is>
          <t>QUALIFIED</t>
        </is>
      </c>
      <c r="AP83" s="24" t="inlineStr">
        <is>
          <t>aimclub</t>
        </is>
      </c>
      <c r="AQ83" s="24" t="inlineStr">
        <is>
          <t>aimclub</t>
        </is>
      </c>
      <c r="AR83" s="24" t="inlineStr">
        <is>
          <t>aimclub</t>
        </is>
      </c>
      <c r="AS83" s="24" t="inlineStr">
        <is>
          <t>ARGOS</t>
        </is>
      </c>
      <c r="AT83" s="24" t="inlineStr">
        <is>
          <t>ARGOS</t>
        </is>
      </c>
      <c r="AU83" s="24" t="inlineStr">
        <is>
          <t>ARGOS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e484f9e7beb216de6deb32d8b0181a2c3fe46ff108ba4ef46721672d7ef30912</t>
        </is>
      </c>
      <c r="BB83" s="24" t="inlineStr">
        <is>
          <t>neutral_elo</t>
        </is>
      </c>
      <c r="BC83" s="24" t="inlineStr">
        <is>
          <t>cs2-tiered-elo-v6</t>
        </is>
      </c>
      <c r="BD83" s="24" t="inlineStr">
        <is>
          <t>e484f9e7beb216de6deb32d8b0181a2c3fe46ff108ba4ef46721672d7ef30912</t>
        </is>
      </c>
      <c r="BE83" s="24" t="inlineStr">
        <is>
          <t>1</t>
        </is>
      </c>
      <c r="BF83" s="24" t="inlineStr">
        <is>
          <t>1</t>
        </is>
      </c>
      <c r="BG83" s="24" t="inlineStr">
        <is>
          <t>cs2-tiered-elo-v6</t>
        </is>
      </c>
      <c r="BH83" s="24" t="inlineStr">
        <is>
          <t>2026-10-11T12:35:16.454263Z</t>
        </is>
      </c>
      <c r="BI83" s="24" t="inlineStr">
        <is>
          <t>["same_event","same_team_same_day","same_league_same_day"]</t>
        </is>
      </c>
      <c r="BJ83" s="25" t="n"/>
      <c r="BK83" s="26" t="n">
        <v>104</v>
      </c>
      <c r="BL83" s="27" t="n">
        <v>2.04</v>
      </c>
      <c r="BM83" s="28" t="n">
        <v>0.490196</v>
      </c>
      <c r="BN83" s="28" t="n"/>
      <c r="BO83" s="28" t="n"/>
      <c r="BP83" s="25" t="n"/>
      <c r="BQ83" s="27" t="n">
        <v>1.961538</v>
      </c>
      <c r="BR83" s="28" t="n">
        <v>0.51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True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n"/>
      <c r="DK83" s="24" t="n"/>
      <c r="DL83" s="24" t="n"/>
      <c r="DM83" s="24" t="n"/>
      <c r="DN83" s="24" t="n"/>
      <c r="DO83" s="24" t="n"/>
      <c r="DP83" s="24" t="n"/>
      <c r="DQ83" s="24" t="inlineStr">
        <is>
          <t>{"artifact_hash": "e484f9e7beb216de6deb32d8b0181a2c3fe46ff108ba4ef46721672d7ef30912", "away_team": "aimclub", "event_id": "153864", "event_start_utc": "2026-10-11T14:00:00Z", "features": {"away_elo": 1630.490229, "away_history_count": 141, "home_elo": 1526.0, "home_history_count": 1}, "historical_source_observation_times_verified": false, "home_team": "ARGOS", "inference_inputs": {"book_state": {"games_played": {"bo3:1:10014": 141, "bo3:1:24639": 1}, "inactivity_half_life_days": null, "inactivity_max_pull": null, "k": 40.0, "last_match_utc": {"bo3:1:10014": "2026-10-10T16:15:00Z", "bo3:1:24639": "2026-10-10T17:15:00Z"}, "minimum_reliable_games": null, "platt_intercept": 0.07099669109552395, "platt_slope": 0.8735063867488091, "ratings": {"bo3:1:10014": 1630.490229, "bo3:1:24639": 1526.0},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["bo3:1:24639", "bo3:1:10014"]}, "market_type": "moneyline", "model_version": "cs2-tiered-elo-v6", "observed_at_utc": "2026-10-11T12:33:34.978905+00:00", "probabilities": {"away": 0.551842, "home": 0.448158}, "replay_scope": "Exact serving book state, calibration, temperature, inactivity reference and thin-history adjustments; training provenance not certified.", "schema": "esports-elo-replay-v1", "snapshot_hash": "5d2b5c7a4e36cf78ed5839b5f8ad17f147bb78620926775a48173de90cba653d", "sport": "CS2"}</t>
        </is>
      </c>
    </row>
    <row r="84" ht="36" customHeight="1">
      <c r="A84" s="24" t="inlineStr">
        <is>
          <t>44c992931146429e</t>
        </is>
      </c>
      <c r="B84" s="24" t="inlineStr">
        <is>
          <t>2026-10-11T12:39:39.133421Z</t>
        </is>
      </c>
      <c r="C84" s="24" t="inlineStr">
        <is>
          <t>2026-10-11T14:00:00Z</t>
        </is>
      </c>
      <c r="D84" s="24" t="inlineStr">
        <is>
          <t>153865</t>
        </is>
      </c>
      <c r="E84" s="24" t="inlineStr">
        <is>
          <t>CS2</t>
        </is>
      </c>
      <c r="F84" s="24" t="inlineStr">
        <is>
          <t>Spirit Academy</t>
        </is>
      </c>
      <c r="G84" s="24" t="inlineStr">
        <is>
          <t>9INE</t>
        </is>
      </c>
      <c r="H84" s="24" t="inlineStr">
        <is>
          <t>moneyline</t>
        </is>
      </c>
      <c r="I84" s="24" t="inlineStr">
        <is>
          <t>away</t>
        </is>
      </c>
      <c r="J84" s="25" t="n"/>
      <c r="K84" s="24" t="inlineStr">
        <is>
          <t>polymarket_us</t>
        </is>
      </c>
      <c r="L84" s="26" t="n">
        <v>144</v>
      </c>
      <c r="M84" s="27" t="n">
        <v>2.44</v>
      </c>
      <c r="N84" s="28" t="n">
        <v>0.409836</v>
      </c>
      <c r="O84" s="28" t="n">
        <v>0.534386</v>
      </c>
      <c r="P84" s="28" t="n"/>
      <c r="Q84" s="28" t="n">
        <v>0.12455</v>
      </c>
      <c r="R84" s="26" t="n">
        <v>82</v>
      </c>
      <c r="S84" s="29" t="n">
        <v>1.5</v>
      </c>
      <c r="T84" s="24" t="inlineStr">
        <is>
          <t>cs2-tiered-elo-v6</t>
        </is>
      </c>
      <c r="U84" s="24" t="inlineStr">
        <is>
          <t>settled</t>
        </is>
      </c>
      <c r="V84" s="24" t="inlineStr">
        <is>
          <t>win</t>
        </is>
      </c>
      <c r="W84" s="26" t="n">
        <v>1</v>
      </c>
      <c r="X84" s="26" t="n">
        <v>0</v>
      </c>
      <c r="Y84" s="25" t="n"/>
      <c r="Z84" s="26" t="n">
        <v>144</v>
      </c>
      <c r="AA84" s="28" t="n">
        <v>0.41</v>
      </c>
      <c r="AB84" s="28" t="n">
        <v>0.000164</v>
      </c>
      <c r="AC84" s="30" t="n">
        <v>2.16</v>
      </c>
      <c r="AD84" s="24" t="inlineStr">
        <is>
          <t>2026-10-11T22:01:22.627935Z</t>
        </is>
      </c>
      <c r="AE84" s="31" t="inlineStr">
        <is>
          <t>Neutral Elo baseline; executable ask 0.4100 (market_slug=aec-cs2-9ine-tsa-2026-10-11).</t>
        </is>
      </c>
      <c r="AF84" s="31" t="inlineStr">
        <is>
          <t>Config-promoted esports baseline; gates enforced at log time.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model_qualified</t>
        </is>
      </c>
      <c r="AL84" s="26" t="n">
        <v>4</v>
      </c>
      <c r="AM84" s="24" t="inlineStr">
        <is>
          <t>QUALIFIED_SHADOW_CALL</t>
        </is>
      </c>
      <c r="AN84" s="24" t="inlineStr">
        <is>
          <t>CALL</t>
        </is>
      </c>
      <c r="AO84" s="24" t="inlineStr">
        <is>
          <t>QUALIFIED</t>
        </is>
      </c>
      <c r="AP84" s="24" t="inlineStr">
        <is>
          <t>Spirit Academy</t>
        </is>
      </c>
      <c r="AQ84" s="24" t="inlineStr">
        <is>
          <t>Spirit Academy</t>
        </is>
      </c>
      <c r="AR84" s="24" t="inlineStr">
        <is>
          <t>Spirit Academy</t>
        </is>
      </c>
      <c r="AS84" s="24" t="inlineStr">
        <is>
          <t>9INE</t>
        </is>
      </c>
      <c r="AT84" s="24" t="inlineStr">
        <is>
          <t>9INE</t>
        </is>
      </c>
      <c r="AU84" s="24" t="inlineStr">
        <is>
          <t>9INE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e484f9e7beb216de6deb32d8b0181a2c3fe46ff108ba4ef46721672d7ef30912</t>
        </is>
      </c>
      <c r="BB84" s="24" t="inlineStr">
        <is>
          <t>neutral_elo</t>
        </is>
      </c>
      <c r="BC84" s="24" t="inlineStr">
        <is>
          <t>cs2-tiered-elo-v6</t>
        </is>
      </c>
      <c r="BD84" s="24" t="inlineStr">
        <is>
          <t>e484f9e7beb216de6deb32d8b0181a2c3fe46ff108ba4ef46721672d7ef30912</t>
        </is>
      </c>
      <c r="BE84" s="24" t="inlineStr">
        <is>
          <t>1</t>
        </is>
      </c>
      <c r="BF84" s="24" t="inlineStr">
        <is>
          <t>1</t>
        </is>
      </c>
      <c r="BG84" s="24" t="inlineStr">
        <is>
          <t>cs2-tiered-elo-v6</t>
        </is>
      </c>
      <c r="BH84" s="24" t="inlineStr">
        <is>
          <t>2026-10-11T12:35:28.033352Z</t>
        </is>
      </c>
      <c r="BI84" s="24" t="inlineStr">
        <is>
          <t>["same_event","same_team_same_day","same_league_same_day"]</t>
        </is>
      </c>
      <c r="BJ84" s="25" t="n"/>
      <c r="BK84" s="26" t="n">
        <v>144</v>
      </c>
      <c r="BL84" s="27" t="n">
        <v>2.44</v>
      </c>
      <c r="BM84" s="28" t="n">
        <v>0.409836</v>
      </c>
      <c r="BN84" s="28" t="n"/>
      <c r="BO84" s="28" t="n"/>
      <c r="BP84" s="25" t="n"/>
      <c r="BQ84" s="27" t="n">
        <v>2.44</v>
      </c>
      <c r="BR84" s="28" t="n">
        <v>0.41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True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n"/>
      <c r="DK84" s="24" t="n"/>
      <c r="DL84" s="24" t="n"/>
      <c r="DM84" s="24" t="n"/>
      <c r="DN84" s="24" t="n"/>
      <c r="DO84" s="24" t="n"/>
      <c r="DP84" s="24" t="n"/>
      <c r="DQ84" s="24" t="inlineStr">
        <is>
          <t>{"artifact_hash": "e484f9e7beb216de6deb32d8b0181a2c3fe46ff108ba4ef46721672d7ef30912", "away_team": "Spirit Academy", "event_id": "153865", "event_start_utc": "2026-10-11T14:00:00Z", "features": {"away_elo": 1737.653042, "away_history_count": 270, "home_elo": 1690.903, "home_history_count": 352}, "historical_source_observation_times_verified": false, "home_team": "9INE", "inference_inputs": {"book_state": {"games_played": {"bo3:1:1309": 270, "bo3:1:495": 352}, "inactivity_half_life_days": null, "inactivity_max_pull": null, "k": 40.0, "last_match_utc": {"bo3:1:1309": "2026-10-10T17:40:00Z", "bo3:1:495": "2026-10-10T17:10:00Z"}, "minimum_reliable_games": null, "platt_intercept": 0.07099669109552395, "platt_slope": 0.8735063867488091, "ratings": {"bo3:1:1309": 1737.653042, "bo3:1:495": 1690.903},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["bo3:1:495", "bo3:1:1309"]}, "market_type": "moneyline", "model_version": "cs2-tiered-elo-v6", "observed_at_utc": "2026-10-11T12:33:34.978905+00:00", "probabilities": {"away": 0.534386, "home": 0.465614}, "replay_scope": "Exact serving book state, calibration, temperature, inactivity reference and thin-history adjustments; training provenance not certified.", "schema": "esports-elo-replay-v1", "snapshot_hash": "59318782d839287f500a1ef526fe1b8960dbf2c602694c0370dd76ef23a9fbdb", "sport": "CS2"}</t>
        </is>
      </c>
    </row>
    <row r="85" ht="36" customHeight="1">
      <c r="A85" s="24" t="inlineStr">
        <is>
          <t>706ba7c638e244b3</t>
        </is>
      </c>
      <c r="B85" s="24" t="inlineStr">
        <is>
          <t>2026-10-11T12:39:39.133421Z</t>
        </is>
      </c>
      <c r="C85" s="24" t="inlineStr">
        <is>
          <t>2026-10-11T14:00:00Z</t>
        </is>
      </c>
      <c r="D85" s="24" t="inlineStr">
        <is>
          <t>153865</t>
        </is>
      </c>
      <c r="E85" s="24" t="inlineStr">
        <is>
          <t>CS2</t>
        </is>
      </c>
      <c r="F85" s="24" t="inlineStr">
        <is>
          <t>Spirit Academy</t>
        </is>
      </c>
      <c r="G85" s="24" t="inlineStr">
        <is>
          <t>9INE</t>
        </is>
      </c>
      <c r="H85" s="24" t="inlineStr">
        <is>
          <t>total</t>
        </is>
      </c>
      <c r="I85" s="24" t="inlineStr">
        <is>
          <t>under</t>
        </is>
      </c>
      <c r="J85" s="25" t="n">
        <v>2.5</v>
      </c>
      <c r="K85" s="24" t="inlineStr">
        <is>
          <t>polymarket_us</t>
        </is>
      </c>
      <c r="L85" s="26" t="n">
        <v>-144</v>
      </c>
      <c r="M85" s="27" t="n">
        <v>1.694444</v>
      </c>
      <c r="N85" s="28" t="n">
        <v>0.590164</v>
      </c>
      <c r="O85" s="28" t="n">
        <v>0.501053</v>
      </c>
      <c r="P85" s="28" t="n"/>
      <c r="Q85" s="28" t="n">
        <v>-0.089111</v>
      </c>
      <c r="R85" s="26" t="n">
        <v>0</v>
      </c>
      <c r="S85" s="29" t="n">
        <v>1</v>
      </c>
      <c r="T85" s="24" t="inlineStr">
        <is>
          <t>cs2-total-tiered-elo-v6</t>
        </is>
      </c>
      <c r="U85" s="24" t="inlineStr">
        <is>
          <t>settled</t>
        </is>
      </c>
      <c r="V85" s="24" t="inlineStr">
        <is>
          <t>win</t>
        </is>
      </c>
      <c r="W85" s="26" t="n">
        <v>0</v>
      </c>
      <c r="X85" s="26" t="n">
        <v>2</v>
      </c>
      <c r="Y85" s="25" t="n"/>
      <c r="Z85" s="26" t="n"/>
      <c r="AA85" s="28" t="n"/>
      <c r="AB85" s="28" t="n"/>
      <c r="AC85" s="30" t="n">
        <v>0.6944</v>
      </c>
      <c r="AD85" s="24" t="inlineStr">
        <is>
          <t>2026-10-11T22:01:27.838387Z</t>
        </is>
      </c>
      <c r="AE85" s="31" t="inlineStr">
        <is>
          <t>Neutral Elo baseline; executable ask 0.5900 (market_slug=tsc-cs2-9ine-tsa-2026-10-11-tot-2pt5).</t>
        </is>
      </c>
      <c r="AF85" s="31" t="inlineStr">
        <is>
          <t>Config-promoted esports baseline; gates enforced at log time.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paper_call</t>
        </is>
      </c>
      <c r="AL85" s="26" t="n">
        <v>4</v>
      </c>
      <c r="AM85" s="24" t="inlineStr">
        <is>
          <t>RESEARCH_OBSERVATION</t>
        </is>
      </c>
      <c r="AN85" s="24" t="inlineStr">
        <is>
          <t>CALL</t>
        </is>
      </c>
      <c r="AO85" s="24" t="inlineStr">
        <is>
          <t>PAPER_CALL_LOW_EDGE</t>
        </is>
      </c>
      <c r="AP85" s="24" t="inlineStr">
        <is>
          <t>Spirit Academy</t>
        </is>
      </c>
      <c r="AQ85" s="24" t="inlineStr">
        <is>
          <t>Spirit Academy</t>
        </is>
      </c>
      <c r="AR85" s="24" t="inlineStr">
        <is>
          <t>Spirit Academy</t>
        </is>
      </c>
      <c r="AS85" s="24" t="inlineStr">
        <is>
          <t>9INE</t>
        </is>
      </c>
      <c r="AT85" s="24" t="inlineStr">
        <is>
          <t>9INE</t>
        </is>
      </c>
      <c r="AU85" s="24" t="inlineStr">
        <is>
          <t>9INE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e484f9e7beb216de6deb32d8b0181a2c3fe46ff108ba4ef46721672d7ef30912</t>
        </is>
      </c>
      <c r="BB85" s="24" t="inlineStr">
        <is>
          <t>neutral_elo</t>
        </is>
      </c>
      <c r="BC85" s="24" t="inlineStr">
        <is>
          <t>cs2-total-tiered-elo-v6</t>
        </is>
      </c>
      <c r="BD85" s="24" t="inlineStr">
        <is>
          <t>e484f9e7beb216de6deb32d8b0181a2c3fe46ff108ba4ef46721672d7ef30912</t>
        </is>
      </c>
      <c r="BE85" s="24" t="inlineStr">
        <is>
          <t>1</t>
        </is>
      </c>
      <c r="BF85" s="24" t="inlineStr">
        <is>
          <t>1</t>
        </is>
      </c>
      <c r="BG85" s="24" t="inlineStr">
        <is>
          <t>cs2-total-tiered-elo-v6</t>
        </is>
      </c>
      <c r="BH85" s="24" t="inlineStr">
        <is>
          <t>2026-10-11T12:35:28.086550Z</t>
        </is>
      </c>
      <c r="BI85" s="24" t="inlineStr">
        <is>
          <t>["same_event","same_team_same_day","same_league_same_day"]</t>
        </is>
      </c>
      <c r="BJ85" s="25" t="n">
        <v>2.5</v>
      </c>
      <c r="BK85" s="26" t="n">
        <v>-144</v>
      </c>
      <c r="BL85" s="27" t="n">
        <v>1.694444</v>
      </c>
      <c r="BM85" s="28" t="n">
        <v>0.590164</v>
      </c>
      <c r="BN85" s="28" t="n"/>
      <c r="BO85" s="28" t="n"/>
      <c r="BP85" s="25" t="n"/>
      <c r="BQ85" s="27" t="n"/>
      <c r="BR85" s="28" t="n"/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False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n"/>
      <c r="DK85" s="24" t="n"/>
      <c r="DL85" s="24" t="n"/>
      <c r="DM85" s="24" t="n"/>
      <c r="DN85" s="24" t="n"/>
      <c r="DO85" s="24" t="n"/>
      <c r="DP85" s="24" t="n"/>
      <c r="DQ85" s="24" t="n"/>
    </row>
    <row r="86" ht="36" customHeight="1">
      <c r="A86" s="24" t="inlineStr">
        <is>
          <t>5d1b65230d314c51</t>
        </is>
      </c>
      <c r="B86" s="24" t="inlineStr">
        <is>
          <t>2026-10-11T12:39:39.133421Z</t>
        </is>
      </c>
      <c r="C86" s="24" t="inlineStr">
        <is>
          <t>2026-10-11T14:00:00Z</t>
        </is>
      </c>
      <c r="D86" s="24" t="inlineStr">
        <is>
          <t>153867</t>
        </is>
      </c>
      <c r="E86" s="24" t="inlineStr">
        <is>
          <t>CS2</t>
        </is>
      </c>
      <c r="F86" s="24" t="inlineStr">
        <is>
          <t>Aurora Young Blood</t>
        </is>
      </c>
      <c r="G86" s="24" t="inlineStr">
        <is>
          <t>MASONIC</t>
        </is>
      </c>
      <c r="H86" s="24" t="inlineStr">
        <is>
          <t>moneyline</t>
        </is>
      </c>
      <c r="I86" s="24" t="inlineStr">
        <is>
          <t>home</t>
        </is>
      </c>
      <c r="J86" s="25" t="n"/>
      <c r="K86" s="24" t="inlineStr">
        <is>
          <t>polymarket_us</t>
        </is>
      </c>
      <c r="L86" s="26" t="n">
        <v>138</v>
      </c>
      <c r="M86" s="27" t="n">
        <v>2.38</v>
      </c>
      <c r="N86" s="28" t="n">
        <v>0.420168</v>
      </c>
      <c r="O86" s="28" t="n">
        <v>0.534684</v>
      </c>
      <c r="P86" s="28" t="n"/>
      <c r="Q86" s="28" t="n">
        <v>0.114516</v>
      </c>
      <c r="R86" s="26" t="n">
        <v>77</v>
      </c>
      <c r="S86" s="29" t="n">
        <v>1.5</v>
      </c>
      <c r="T86" s="24" t="inlineStr">
        <is>
          <t>cs2-tiered-elo-v6</t>
        </is>
      </c>
      <c r="U86" s="24" t="inlineStr">
        <is>
          <t>settled</t>
        </is>
      </c>
      <c r="V86" s="24" t="inlineStr">
        <is>
          <t>loss</t>
        </is>
      </c>
      <c r="W86" s="26" t="n">
        <v>1</v>
      </c>
      <c r="X86" s="26" t="n">
        <v>0</v>
      </c>
      <c r="Y86" s="25" t="n"/>
      <c r="Z86" s="26" t="n">
        <v>138</v>
      </c>
      <c r="AA86" s="28" t="n">
        <v>0.42</v>
      </c>
      <c r="AB86" s="28" t="n">
        <v>-0.000168</v>
      </c>
      <c r="AC86" s="30" t="n">
        <v>-1.5</v>
      </c>
      <c r="AD86" s="24" t="inlineStr">
        <is>
          <t>2026-10-11T22:01:28.946691Z</t>
        </is>
      </c>
      <c r="AE86" s="31" t="inlineStr">
        <is>
          <t>Neutral Elo baseline; executable ask 0.4200 (market_slug=aec-cs2-msc-auryb-2026-10-11).</t>
        </is>
      </c>
      <c r="AF86" s="31" t="inlineStr">
        <is>
          <t>Config-promoted esports baseline; gates enforced at log time.</t>
        </is>
      </c>
      <c r="AG86" s="24" t="inlineStr">
        <is>
          <t>review_required</t>
        </is>
      </c>
      <c r="AH86" s="24" t="n"/>
      <c r="AI86" s="31" t="n"/>
      <c r="AJ86" s="31" t="n"/>
      <c r="AK86" s="24" t="inlineStr">
        <is>
          <t>model_qualified</t>
        </is>
      </c>
      <c r="AL86" s="26" t="n">
        <v>4</v>
      </c>
      <c r="AM86" s="24" t="inlineStr">
        <is>
          <t>QUALIFIED_SHADOW_CALL</t>
        </is>
      </c>
      <c r="AN86" s="24" t="inlineStr">
        <is>
          <t>CALL</t>
        </is>
      </c>
      <c r="AO86" s="24" t="inlineStr">
        <is>
          <t>QUALIFIED</t>
        </is>
      </c>
      <c r="AP86" s="24" t="inlineStr">
        <is>
          <t>Aurora Young Blood</t>
        </is>
      </c>
      <c r="AQ86" s="24" t="inlineStr">
        <is>
          <t>Aurora Young Blood</t>
        </is>
      </c>
      <c r="AR86" s="24" t="inlineStr">
        <is>
          <t>Aurora Young Blood</t>
        </is>
      </c>
      <c r="AS86" s="24" t="inlineStr">
        <is>
          <t>MASONIC</t>
        </is>
      </c>
      <c r="AT86" s="24" t="inlineStr">
        <is>
          <t>MASONIC</t>
        </is>
      </c>
      <c r="AU86" s="24" t="inlineStr">
        <is>
          <t>MASONIC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e484f9e7beb216de6deb32d8b0181a2c3fe46ff108ba4ef46721672d7ef30912</t>
        </is>
      </c>
      <c r="BB86" s="24" t="inlineStr">
        <is>
          <t>neutral_elo</t>
        </is>
      </c>
      <c r="BC86" s="24" t="inlineStr">
        <is>
          <t>cs2-tiered-elo-v6</t>
        </is>
      </c>
      <c r="BD86" s="24" t="inlineStr">
        <is>
          <t>e484f9e7beb216de6deb32d8b0181a2c3fe46ff108ba4ef46721672d7ef30912</t>
        </is>
      </c>
      <c r="BE86" s="24" t="inlineStr">
        <is>
          <t>1</t>
        </is>
      </c>
      <c r="BF86" s="24" t="inlineStr">
        <is>
          <t>1</t>
        </is>
      </c>
      <c r="BG86" s="24" t="inlineStr">
        <is>
          <t>cs2-tiered-elo-v6</t>
        </is>
      </c>
      <c r="BH86" s="24" t="inlineStr">
        <is>
          <t>2026-10-11T12:35:38.460126Z</t>
        </is>
      </c>
      <c r="BI86" s="24" t="inlineStr">
        <is>
          <t>["same_event","same_team_same_day","same_league_same_day"]</t>
        </is>
      </c>
      <c r="BJ86" s="25" t="n"/>
      <c r="BK86" s="26" t="n">
        <v>138</v>
      </c>
      <c r="BL86" s="27" t="n">
        <v>2.38</v>
      </c>
      <c r="BM86" s="28" t="n">
        <v>0.420168</v>
      </c>
      <c r="BN86" s="28" t="n"/>
      <c r="BO86" s="28" t="n"/>
      <c r="BP86" s="25" t="n"/>
      <c r="BQ86" s="27" t="n">
        <v>2.38</v>
      </c>
      <c r="BR86" s="28" t="n">
        <v>0.42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True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n"/>
      <c r="DK86" s="24" t="n"/>
      <c r="DL86" s="24" t="n"/>
      <c r="DM86" s="24" t="n"/>
      <c r="DN86" s="24" t="n"/>
      <c r="DO86" s="24" t="n"/>
      <c r="DP86" s="24" t="n"/>
      <c r="DQ86" s="24" t="inlineStr">
        <is>
          <t>{"artifact_hash": "e484f9e7beb216de6deb32d8b0181a2c3fe46ff108ba4ef46721672d7ef30912", "away_team": "Aurora Young Blood", "event_id": "153867", "event_start_utc": "2026-10-11T14:00:00Z", "features": {"away_elo": 1564.354649, "away_history_count": 305, "home_elo": 1583.002281, "home_history_count": 309}, "historical_source_observation_times_verified": false, "home_team": "MASONIC", "inference_inputs": {"book_state": {"games_played": {"bo3:1:1059": 309, "bo3:1:6024": 305}, "inactivity_half_life_days": null, "inactivity_max_pull": null, "k": 40.0, "last_match_utc": {"bo3:1:1059": "2026-10-10T16:30:00Z", "bo3:1:6024": "2026-10-10T17:05:00Z"}, "minimum_reliable_games": null, "platt_intercept": 0.07099669109552395, "platt_slope": 0.8735063867488091, "ratings": {"bo3:1:1059": 1583.002281, "bo3:1:6024": 1564.354649},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["bo3:1:1059", "bo3:1:6024"]}, "market_type": "moneyline", "model_version": "cs2-tiered-elo-v6", "observed_at_utc": "2026-10-11T12:33:34.978905+00:00", "probabilities": {"away": 0.465316, "home": 0.534684}, "replay_scope": "Exact serving book state, calibration, temperature, inactivity reference and thin-history adjustments; training provenance not certified.", "schema": "esports-elo-replay-v1", "snapshot_hash": "789fd59190bf4688a79f704a67e4b15de3715ce382bc46084e9235eddba0f9cb", "sport": "CS2"}</t>
        </is>
      </c>
    </row>
    <row r="87" ht="36" customHeight="1">
      <c r="A87" s="24" t="inlineStr">
        <is>
          <t>9343cee619cd460a</t>
        </is>
      </c>
      <c r="B87" s="24" t="inlineStr">
        <is>
          <t>2026-10-11T12:39:39.133421Z</t>
        </is>
      </c>
      <c r="C87" s="24" t="inlineStr">
        <is>
          <t>2026-10-11T15:00:00Z</t>
        </is>
      </c>
      <c r="D87" s="24" t="inlineStr">
        <is>
          <t>153834</t>
        </is>
      </c>
      <c r="E87" s="24" t="inlineStr">
        <is>
          <t>CS2</t>
        </is>
      </c>
      <c r="F87" s="24" t="inlineStr">
        <is>
          <t>MOUZ</t>
        </is>
      </c>
      <c r="G87" s="24" t="inlineStr">
        <is>
          <t>Vitality</t>
        </is>
      </c>
      <c r="H87" s="24" t="inlineStr">
        <is>
          <t>moneyline</t>
        </is>
      </c>
      <c r="I87" s="24" t="inlineStr">
        <is>
          <t>home</t>
        </is>
      </c>
      <c r="J87" s="25" t="n"/>
      <c r="K87" s="24" t="inlineStr">
        <is>
          <t>polymarket_us</t>
        </is>
      </c>
      <c r="L87" s="26" t="n">
        <v>-194</v>
      </c>
      <c r="M87" s="27" t="n">
        <v>1.515464</v>
      </c>
      <c r="N87" s="28" t="n">
        <v>0.659864</v>
      </c>
      <c r="O87" s="28" t="n">
        <v>0.557684</v>
      </c>
      <c r="P87" s="28" t="n"/>
      <c r="Q87" s="28" t="n">
        <v>-0.10218</v>
      </c>
      <c r="R87" s="26" t="n">
        <v>0</v>
      </c>
      <c r="S87" s="29" t="n">
        <v>1</v>
      </c>
      <c r="T87" s="24" t="inlineStr">
        <is>
          <t>cs2-tiered-elo-v6</t>
        </is>
      </c>
      <c r="U87" s="24" t="inlineStr">
        <is>
          <t>settled</t>
        </is>
      </c>
      <c r="V87" s="24" t="inlineStr">
        <is>
          <t>win</t>
        </is>
      </c>
      <c r="W87" s="26" t="n">
        <v>0</v>
      </c>
      <c r="X87" s="26" t="n">
        <v>1</v>
      </c>
      <c r="Y87" s="25" t="n"/>
      <c r="Z87" s="26" t="n">
        <v>-203</v>
      </c>
      <c r="AA87" s="28" t="n">
        <v>0.67</v>
      </c>
      <c r="AB87" s="28" t="n">
        <v>0.010136</v>
      </c>
      <c r="AC87" s="30" t="n">
        <v>0.5155</v>
      </c>
      <c r="AD87" s="24" t="inlineStr">
        <is>
          <t>2026-10-11T22:01:34.476552Z</t>
        </is>
      </c>
      <c r="AE87" s="31" t="inlineStr">
        <is>
          <t>Neutral Elo baseline; executable ask 0.6600 (market_slug=aec-cs2-vit-mouz-2026-10-11).</t>
        </is>
      </c>
      <c r="AF87" s="31" t="inlineStr">
        <is>
          <t>Config-promoted esports baseline; gates enforced at log time.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paper_call</t>
        </is>
      </c>
      <c r="AL87" s="26" t="n">
        <v>4</v>
      </c>
      <c r="AM87" s="24" t="inlineStr">
        <is>
          <t>RESEARCH_OBSERVATION</t>
        </is>
      </c>
      <c r="AN87" s="24" t="inlineStr">
        <is>
          <t>CALL</t>
        </is>
      </c>
      <c r="AO87" s="24" t="inlineStr">
        <is>
          <t>PAPER_CALL_LOW_EDGE</t>
        </is>
      </c>
      <c r="AP87" s="24" t="inlineStr">
        <is>
          <t>MOUZ</t>
        </is>
      </c>
      <c r="AQ87" s="24" t="inlineStr">
        <is>
          <t>MOUZ</t>
        </is>
      </c>
      <c r="AR87" s="24" t="inlineStr">
        <is>
          <t>MOUZ</t>
        </is>
      </c>
      <c r="AS87" s="24" t="inlineStr">
        <is>
          <t>Vitality</t>
        </is>
      </c>
      <c r="AT87" s="24" t="inlineStr">
        <is>
          <t>Vitality</t>
        </is>
      </c>
      <c r="AU87" s="24" t="inlineStr">
        <is>
          <t>Vitality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e484f9e7beb216de6deb32d8b0181a2c3fe46ff108ba4ef46721672d7ef30912</t>
        </is>
      </c>
      <c r="BB87" s="24" t="inlineStr">
        <is>
          <t>neutral_elo</t>
        </is>
      </c>
      <c r="BC87" s="24" t="inlineStr">
        <is>
          <t>cs2-tiered-elo-v6</t>
        </is>
      </c>
      <c r="BD87" s="24" t="inlineStr">
        <is>
          <t>e484f9e7beb216de6deb32d8b0181a2c3fe46ff108ba4ef46721672d7ef30912</t>
        </is>
      </c>
      <c r="BE87" s="24" t="inlineStr">
        <is>
          <t>1</t>
        </is>
      </c>
      <c r="BF87" s="24" t="inlineStr">
        <is>
          <t>1</t>
        </is>
      </c>
      <c r="BG87" s="24" t="inlineStr">
        <is>
          <t>cs2-tiered-elo-v6</t>
        </is>
      </c>
      <c r="BH87" s="24" t="inlineStr">
        <is>
          <t>2026-10-11T12:36:00.256405Z</t>
        </is>
      </c>
      <c r="BI87" s="24" t="inlineStr">
        <is>
          <t>["same_event","same_team_same_day","same_league_same_day"]</t>
        </is>
      </c>
      <c r="BJ87" s="25" t="n"/>
      <c r="BK87" s="26" t="n">
        <v>-194</v>
      </c>
      <c r="BL87" s="27" t="n">
        <v>1.515464</v>
      </c>
      <c r="BM87" s="28" t="n">
        <v>0.659864</v>
      </c>
      <c r="BN87" s="28" t="n"/>
      <c r="BO87" s="28" t="n"/>
      <c r="BP87" s="25" t="n"/>
      <c r="BQ87" s="27" t="n">
        <v>1.492611</v>
      </c>
      <c r="BR87" s="28" t="n">
        <v>0.67</v>
      </c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False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n"/>
      <c r="DK87" s="24" t="n"/>
      <c r="DL87" s="24" t="n"/>
      <c r="DM87" s="24" t="n"/>
      <c r="DN87" s="24" t="n"/>
      <c r="DO87" s="24" t="n"/>
      <c r="DP87" s="24" t="n"/>
      <c r="DQ87" s="24" t="inlineStr">
        <is>
          <t>{"artifact_hash": "e484f9e7beb216de6deb32d8b0181a2c3fe46ff108ba4ef46721672d7ef30912", "away_team": "MOUZ", "event_id": "153834", "event_start_utc": "2026-10-11T15:00:00Z", "features": {"away_elo": 2264.482675, "away_history_count": 213, "home_elo": 2306.278875, "home_history_count": 208}, "historical_source_observation_times_verified": false, "home_team": "Vitality", "inference_inputs": {"book_state": {"games_played": {"bo3:1:667": 208, "bo3:1:765": 213}, "inactivity_half_life_days": null, "inactivity_max_pull": null, "k": 40.0, "last_match_utc": {"bo3:1:667": "2026-10-10T13:45:00Z", "bo3:1:765": "2026-10-10T17:45:00Z"}, "minimum_reliable_games": null, "platt_intercept": 0.07099669109552395, "platt_slope": 0.8735063867488091, "ratings": {"bo3:1:667": 2306.278875, "bo3:1:765": 2264.482675},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["bo3:1:667", "bo3:1:765"]}, "market_type": "moneyline", "model_version": "cs2-tiered-elo-v6", "observed_at_utc": "2026-10-11T12:33:34.978905+00:00", "probabilities": {"away": 0.442316, "home": 0.557684}, "replay_scope": "Exact serving book state, calibration, temperature, inactivity reference and thin-history adjustments; training provenance not certified.", "schema": "esports-elo-replay-v1", "snapshot_hash": "e1d6702499c1cb5fbfc129b6c25dccadc9985e8958b28c49e2ecd1ac680f2fe6", "sport": "CS2"}</t>
        </is>
      </c>
    </row>
    <row r="88" ht="36" customHeight="1">
      <c r="A88" s="24" t="inlineStr">
        <is>
          <t>47c0c1aaad264b4b</t>
        </is>
      </c>
      <c r="B88" s="24" t="inlineStr">
        <is>
          <t>2026-10-11T12:39:39.133421Z</t>
        </is>
      </c>
      <c r="C88" s="24" t="inlineStr">
        <is>
          <t>2026-10-11T15:00:00Z</t>
        </is>
      </c>
      <c r="D88" s="24" t="inlineStr">
        <is>
          <t>153834</t>
        </is>
      </c>
      <c r="E88" s="24" t="inlineStr">
        <is>
          <t>CS2</t>
        </is>
      </c>
      <c r="F88" s="24" t="inlineStr">
        <is>
          <t>MOUZ</t>
        </is>
      </c>
      <c r="G88" s="24" t="inlineStr">
        <is>
          <t>Vitality</t>
        </is>
      </c>
      <c r="H88" s="24" t="inlineStr">
        <is>
          <t>spread</t>
        </is>
      </c>
      <c r="I88" s="24" t="inlineStr">
        <is>
          <t>away</t>
        </is>
      </c>
      <c r="J88" s="25" t="n">
        <v>1.5</v>
      </c>
      <c r="K88" s="24" t="inlineStr">
        <is>
          <t>polymarket_us</t>
        </is>
      </c>
      <c r="L88" s="26" t="n">
        <v>-150</v>
      </c>
      <c r="M88" s="27" t="n">
        <v>1.666667</v>
      </c>
      <c r="N88" s="28" t="n">
        <v>0.6</v>
      </c>
      <c r="O88" s="28" t="n">
        <v>0.709983</v>
      </c>
      <c r="P88" s="28" t="n"/>
      <c r="Q88" s="28" t="n">
        <v>0.109983</v>
      </c>
      <c r="R88" s="26" t="n">
        <v>75</v>
      </c>
      <c r="S88" s="29" t="n">
        <v>1.5</v>
      </c>
      <c r="T88" s="24" t="inlineStr">
        <is>
          <t>cs2-spread-tiered-elo-v6</t>
        </is>
      </c>
      <c r="U88" s="24" t="inlineStr">
        <is>
          <t>settled</t>
        </is>
      </c>
      <c r="V88" s="24" t="inlineStr">
        <is>
          <t>loss</t>
        </is>
      </c>
      <c r="W88" s="26" t="n">
        <v>0</v>
      </c>
      <c r="X88" s="26" t="n">
        <v>2</v>
      </c>
      <c r="Y88" s="25" t="n"/>
      <c r="Z88" s="26" t="n"/>
      <c r="AA88" s="28" t="n"/>
      <c r="AB88" s="28" t="n"/>
      <c r="AC88" s="30" t="n">
        <v>-1.5</v>
      </c>
      <c r="AD88" s="24" t="inlineStr">
        <is>
          <t>2026-10-11T22:01:40.164254Z</t>
        </is>
      </c>
      <c r="AE88" s="31" t="inlineStr">
        <is>
          <t>Neutral Elo baseline; executable ask 0.6000 (market_slug=asc-cs2-vit-mouz-2026-10-11-hcap-neg-1pt5).</t>
        </is>
      </c>
      <c r="AF88" s="31" t="inlineStr">
        <is>
          <t>Config-promoted esports baseline; gates enforced at log time.</t>
        </is>
      </c>
      <c r="AG88" s="24" t="inlineStr">
        <is>
          <t>review_required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4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MOUZ</t>
        </is>
      </c>
      <c r="AQ88" s="24" t="inlineStr">
        <is>
          <t>MOUZ</t>
        </is>
      </c>
      <c r="AR88" s="24" t="inlineStr">
        <is>
          <t>MOUZ</t>
        </is>
      </c>
      <c r="AS88" s="24" t="inlineStr">
        <is>
          <t>Vitality</t>
        </is>
      </c>
      <c r="AT88" s="24" t="inlineStr">
        <is>
          <t>Vitality</t>
        </is>
      </c>
      <c r="AU88" s="24" t="inlineStr">
        <is>
          <t>Vitality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e484f9e7beb216de6deb32d8b0181a2c3fe46ff108ba4ef46721672d7ef30912</t>
        </is>
      </c>
      <c r="BB88" s="24" t="inlineStr">
        <is>
          <t>neutral_elo</t>
        </is>
      </c>
      <c r="BC88" s="24" t="inlineStr">
        <is>
          <t>cs2-spread-tiered-elo-v6</t>
        </is>
      </c>
      <c r="BD88" s="24" t="inlineStr">
        <is>
          <t>e484f9e7beb216de6deb32d8b0181a2c3fe46ff108ba4ef46721672d7ef30912</t>
        </is>
      </c>
      <c r="BE88" s="24" t="inlineStr">
        <is>
          <t>1</t>
        </is>
      </c>
      <c r="BF88" s="24" t="inlineStr">
        <is>
          <t>1</t>
        </is>
      </c>
      <c r="BG88" s="24" t="inlineStr">
        <is>
          <t>cs2-spread-tiered-elo-v6</t>
        </is>
      </c>
      <c r="BH88" s="24" t="inlineStr">
        <is>
          <t>2026-10-11T12:36:00.355821Z</t>
        </is>
      </c>
      <c r="BI88" s="24" t="inlineStr">
        <is>
          <t>["same_event","same_team_same_day","same_league_same_day"]</t>
        </is>
      </c>
      <c r="BJ88" s="25" t="n">
        <v>1.5</v>
      </c>
      <c r="BK88" s="26" t="n">
        <v>-150</v>
      </c>
      <c r="BL88" s="27" t="n">
        <v>1.666667</v>
      </c>
      <c r="BM88" s="28" t="n">
        <v>0.6</v>
      </c>
      <c r="BN88" s="28" t="n"/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True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n"/>
      <c r="DK88" s="24" t="n"/>
      <c r="DL88" s="24" t="n"/>
      <c r="DM88" s="24" t="n"/>
      <c r="DN88" s="24" t="n"/>
      <c r="DO88" s="24" t="n"/>
      <c r="DP88" s="24" t="n"/>
      <c r="DQ88" s="24" t="n"/>
    </row>
    <row r="89" ht="36" customHeight="1">
      <c r="A89" s="24" t="inlineStr">
        <is>
          <t>917c3e9557a64cc1</t>
        </is>
      </c>
      <c r="B89" s="24" t="inlineStr">
        <is>
          <t>2026-10-11T12:39:39.133421Z</t>
        </is>
      </c>
      <c r="C89" s="24" t="inlineStr">
        <is>
          <t>2026-10-11T15:00:00Z</t>
        </is>
      </c>
      <c r="D89" s="24" t="inlineStr">
        <is>
          <t>154243</t>
        </is>
      </c>
      <c r="E89" s="24" t="inlineStr">
        <is>
          <t>CS2</t>
        </is>
      </c>
      <c r="F89" s="24" t="inlineStr">
        <is>
          <t>NRG</t>
        </is>
      </c>
      <c r="G89" s="24" t="inlineStr">
        <is>
          <t>Imperial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-108</v>
      </c>
      <c r="M89" s="27" t="n">
        <v>1.925926</v>
      </c>
      <c r="N89" s="28" t="n">
        <v>0.519231</v>
      </c>
      <c r="O89" s="28" t="n">
        <v>0.597877</v>
      </c>
      <c r="P89" s="28" t="n"/>
      <c r="Q89" s="28" t="n">
        <v>0.07864599999999999</v>
      </c>
      <c r="R89" s="26" t="n">
        <v>59</v>
      </c>
      <c r="S89" s="29" t="n">
        <v>1.25</v>
      </c>
      <c r="T89" s="24" t="inlineStr">
        <is>
          <t>cs2-tiered-elo-v6</t>
        </is>
      </c>
      <c r="U89" s="24" t="inlineStr">
        <is>
          <t>settled</t>
        </is>
      </c>
      <c r="V89" s="24" t="inlineStr">
        <is>
          <t>win</t>
        </is>
      </c>
      <c r="W89" s="26" t="n">
        <v>0</v>
      </c>
      <c r="X89" s="26" t="n">
        <v>1</v>
      </c>
      <c r="Y89" s="25" t="n"/>
      <c r="Z89" s="26" t="n"/>
      <c r="AA89" s="28" t="n"/>
      <c r="AB89" s="28" t="n"/>
      <c r="AC89" s="30" t="n">
        <v>1.1574</v>
      </c>
      <c r="AD89" s="24" t="inlineStr">
        <is>
          <t>2026-10-11T22:01:41.193017Z</t>
        </is>
      </c>
      <c r="AE89" s="31" t="inlineStr">
        <is>
          <t>Neutral Elo baseline; executable ask 0.5200 (market_slug=aec-cs2-imp-nrg-2026-10-11).</t>
        </is>
      </c>
      <c r="AF89" s="31" t="inlineStr">
        <is>
          <t>Config-promoted esports baseline; gates enforced at log time.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4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NRG</t>
        </is>
      </c>
      <c r="AQ89" s="24" t="inlineStr">
        <is>
          <t>NRG</t>
        </is>
      </c>
      <c r="AR89" s="24" t="inlineStr">
        <is>
          <t>NRG</t>
        </is>
      </c>
      <c r="AS89" s="24" t="inlineStr">
        <is>
          <t>Imperial</t>
        </is>
      </c>
      <c r="AT89" s="24" t="inlineStr">
        <is>
          <t>Imperial</t>
        </is>
      </c>
      <c r="AU89" s="24" t="inlineStr">
        <is>
          <t>Imperial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e484f9e7beb216de6deb32d8b0181a2c3fe46ff108ba4ef46721672d7ef30912</t>
        </is>
      </c>
      <c r="BB89" s="24" t="inlineStr">
        <is>
          <t>neutral_elo</t>
        </is>
      </c>
      <c r="BC89" s="24" t="inlineStr">
        <is>
          <t>cs2-tiered-elo-v6</t>
        </is>
      </c>
      <c r="BD89" s="24" t="inlineStr">
        <is>
          <t>e484f9e7beb216de6deb32d8b0181a2c3fe46ff108ba4ef46721672d7ef30912</t>
        </is>
      </c>
      <c r="BE89" s="24" t="inlineStr">
        <is>
          <t>1</t>
        </is>
      </c>
      <c r="BF89" s="24" t="inlineStr">
        <is>
          <t>1</t>
        </is>
      </c>
      <c r="BG89" s="24" t="inlineStr">
        <is>
          <t>cs2-tiered-elo-v6</t>
        </is>
      </c>
      <c r="BH89" s="24" t="inlineStr">
        <is>
          <t>2026-10-11T12:36:52.526649Z</t>
        </is>
      </c>
      <c r="BI89" s="24" t="inlineStr">
        <is>
          <t>["same_event","same_team_same_day","same_league_same_day"]</t>
        </is>
      </c>
      <c r="BJ89" s="25" t="n"/>
      <c r="BK89" s="26" t="n">
        <v>-108</v>
      </c>
      <c r="BL89" s="27" t="n">
        <v>1.925926</v>
      </c>
      <c r="BM89" s="28" t="n">
        <v>0.519231</v>
      </c>
      <c r="BN89" s="28" t="n"/>
      <c r="BO89" s="28" t="n"/>
      <c r="BP89" s="25" t="n"/>
      <c r="BQ89" s="27" t="n"/>
      <c r="BR89" s="28" t="n"/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True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n"/>
      <c r="DK89" s="24" t="n"/>
      <c r="DL89" s="24" t="n"/>
      <c r="DM89" s="24" t="n"/>
      <c r="DN89" s="24" t="n"/>
      <c r="DO89" s="24" t="n"/>
      <c r="DP89" s="24" t="n"/>
      <c r="DQ89" s="24" t="inlineStr">
        <is>
          <t>{"artifact_hash": "e484f9e7beb216de6deb32d8b0181a2c3fe46ff108ba4ef46721672d7ef30912", "away_team": "NRG", "event_id": "154243", "event_start_utc": "2026-10-11T15:00:00Z", "features": {"away_elo": 1838.160829, "away_history_count": 308, "home_elo": 1917.456293, "home_history_count": 350}, "historical_source_observation_times_verified": false, "home_team": "Imperial", "inference_inputs": {"book_state": {"games_played": {"bo3:1:1430": 350, "bo3:1:751": 308}, "inactivity_half_life_days": null, "inactivity_max_pull": null, "k": 40.0, "last_match_utc": {"bo3:1:1430": "2026-10-10T23:20:00Z", "bo3:1:751": "2026-10-10T22:50:00Z"}, "minimum_reliable_games": null, "platt_intercept": 0.07099669109552395, "platt_slope": 0.8735063867488091, "ratings": {"bo3:1:1430": 1917.456293, "bo3:1:751": 1838.160829},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["bo3:1:1430", "bo3:1:751"]}, "market_type": "moneyline", "model_version": "cs2-tiered-elo-v6", "observed_at_utc": "2026-10-11T12:33:34.978905+00:00", "probabilities": {"away": 0.402123, "home": 0.597877}, "replay_scope": "Exact serving book state, calibration, temperature, inactivity reference and thin-history adjustments; training provenance not certified.", "schema": "esports-elo-replay-v1", "snapshot_hash": "a7df0c7407aec2e3bd4c1ef72efe2bd044f16f199fcb285e812f526ffbb5514f", "sport": "CS2"}</t>
        </is>
      </c>
    </row>
    <row r="90" ht="36" customHeight="1">
      <c r="A90" s="24" t="inlineStr">
        <is>
          <t>40d901914e074be1</t>
        </is>
      </c>
      <c r="B90" s="24" t="inlineStr">
        <is>
          <t>2026-10-11T12:39:39.133421Z</t>
        </is>
      </c>
      <c r="C90" s="24" t="inlineStr">
        <is>
          <t>2026-10-11T17:00:00Z</t>
        </is>
      </c>
      <c r="D90" s="24" t="inlineStr">
        <is>
          <t>152970</t>
        </is>
      </c>
      <c r="E90" s="24" t="inlineStr">
        <is>
          <t>CS2</t>
        </is>
      </c>
      <c r="F90" s="24" t="inlineStr">
        <is>
          <t>Lavked</t>
        </is>
      </c>
      <c r="G90" s="24" t="inlineStr">
        <is>
          <t>mellren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144</v>
      </c>
      <c r="M90" s="27" t="n">
        <v>2.44</v>
      </c>
      <c r="N90" s="28" t="n">
        <v>0.409836</v>
      </c>
      <c r="O90" s="28" t="n">
        <v>0.563634</v>
      </c>
      <c r="P90" s="28" t="n"/>
      <c r="Q90" s="28" t="n">
        <v>0.153798</v>
      </c>
      <c r="R90" s="26" t="n">
        <v>97</v>
      </c>
      <c r="S90" s="29" t="n">
        <v>1.75</v>
      </c>
      <c r="T90" s="24" t="inlineStr">
        <is>
          <t>cs2-tiered-elo-v6</t>
        </is>
      </c>
      <c r="U90" s="24" t="inlineStr">
        <is>
          <t>settled</t>
        </is>
      </c>
      <c r="V90" s="24" t="inlineStr">
        <is>
          <t>win</t>
        </is>
      </c>
      <c r="W90" s="26" t="n">
        <v>0</v>
      </c>
      <c r="X90" s="26" t="n">
        <v>1</v>
      </c>
      <c r="Y90" s="25" t="n"/>
      <c r="Z90" s="26" t="n">
        <v>-1011</v>
      </c>
      <c r="AA90" s="28" t="n">
        <v>0.91</v>
      </c>
      <c r="AB90" s="28" t="n">
        <v>0.5001640000000001</v>
      </c>
      <c r="AC90" s="30" t="n">
        <v>2.52</v>
      </c>
      <c r="AD90" s="24" t="inlineStr">
        <is>
          <t>2026-10-11T22:01:47.058264Z</t>
        </is>
      </c>
      <c r="AE90" s="31" t="inlineStr">
        <is>
          <t>Neutral Elo baseline; executable ask 0.4100 (market_slug=aec-cs2-mel-lav-2026-10-11).</t>
        </is>
      </c>
      <c r="AF90" s="31" t="inlineStr">
        <is>
          <t>Config-promoted esports baseline; gates enforced at log time.</t>
        </is>
      </c>
      <c r="AG90" s="24" t="inlineStr">
        <is>
          <t>not_applicable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4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Lavked</t>
        </is>
      </c>
      <c r="AQ90" s="24" t="inlineStr">
        <is>
          <t>Lavked</t>
        </is>
      </c>
      <c r="AR90" s="24" t="inlineStr">
        <is>
          <t>Lavked</t>
        </is>
      </c>
      <c r="AS90" s="24" t="inlineStr">
        <is>
          <t>mellren</t>
        </is>
      </c>
      <c r="AT90" s="24" t="inlineStr">
        <is>
          <t>mellren</t>
        </is>
      </c>
      <c r="AU90" s="24" t="inlineStr">
        <is>
          <t>mellren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e484f9e7beb216de6deb32d8b0181a2c3fe46ff108ba4ef46721672d7ef30912</t>
        </is>
      </c>
      <c r="BB90" s="24" t="inlineStr">
        <is>
          <t>neutral_elo</t>
        </is>
      </c>
      <c r="BC90" s="24" t="inlineStr">
        <is>
          <t>cs2-tiered-elo-v6</t>
        </is>
      </c>
      <c r="BD90" s="24" t="inlineStr">
        <is>
          <t>e484f9e7beb216de6deb32d8b0181a2c3fe46ff108ba4ef46721672d7ef30912</t>
        </is>
      </c>
      <c r="BE90" s="24" t="inlineStr">
        <is>
          <t>1</t>
        </is>
      </c>
      <c r="BF90" s="24" t="inlineStr">
        <is>
          <t>1</t>
        </is>
      </c>
      <c r="BG90" s="24" t="inlineStr">
        <is>
          <t>cs2-tiered-elo-v6</t>
        </is>
      </c>
      <c r="BH90" s="24" t="inlineStr">
        <is>
          <t>2026-10-11T12:37:03.003240Z</t>
        </is>
      </c>
      <c r="BI90" s="24" t="inlineStr">
        <is>
          <t>["same_event","same_team_same_day","same_league_same_day"]</t>
        </is>
      </c>
      <c r="BJ90" s="25" t="n"/>
      <c r="BK90" s="26" t="n">
        <v>144</v>
      </c>
      <c r="BL90" s="27" t="n">
        <v>2.44</v>
      </c>
      <c r="BM90" s="28" t="n">
        <v>0.409836</v>
      </c>
      <c r="BN90" s="28" t="n"/>
      <c r="BO90" s="28" t="n"/>
      <c r="BP90" s="25" t="n"/>
      <c r="BQ90" s="27" t="n">
        <v>1.098912</v>
      </c>
      <c r="BR90" s="28" t="n">
        <v>0.91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True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n"/>
      <c r="DK90" s="24" t="n"/>
      <c r="DL90" s="24" t="n"/>
      <c r="DM90" s="24" t="n"/>
      <c r="DN90" s="24" t="n"/>
      <c r="DO90" s="24" t="n"/>
      <c r="DP90" s="24" t="n"/>
      <c r="DQ90" s="24" t="inlineStr">
        <is>
          <t>{"artifact_hash": "e484f9e7beb216de6deb32d8b0181a2c3fe46ff108ba4ef46721672d7ef30912", "away_team": "Lavked", "event_id": "152970", "event_start_utc": "2026-10-11T17:00:00Z", "features": {"away_elo": 1582.986627, "away_history_count": 121, "home_elo": 1629.524112, "home_history_count": 53}, "historical_source_observation_times_verified": false, "home_team": "mellren", "inference_inputs": {"book_state": {"games_played": {"bo3:1:23078": 121, "bo3:1:23102": 53}, "inactivity_half_life_days": null, "inactivity_max_pull": null, "k": 40.0, "last_match_utc": {"bo3:1:23078": "2026-10-10T11:10:00Z", "bo3:1:23102": "2026-10-10T08:10:00Z"}, "minimum_reliable_games": null, "platt_intercept": 0.07099669109552395, "platt_slope": 0.8735063867488091, "ratings": {"bo3:1:23078": 1582.986627, "bo3:1:23102": 1629.524112},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["bo3:1:23102", "bo3:1:23078"]}, "market_type": "moneyline", "model_version": "cs2-tiered-elo-v6", "observed_at_utc": "2026-10-11T12:33:34.978905+00:00", "probabilities": {"away": 0.436366, "home": 0.563634}, "replay_scope": "Exact serving book state, calibration, temperature, inactivity reference and thin-history adjustments; training provenance not certified.", "schema": "esports-elo-replay-v1", "snapshot_hash": "d9ae292cda399498830d09ff8a5ba6bbcbd922b08eb9bfb724a0f9bb5acd81d2", "sport": "CS2"}</t>
        </is>
      </c>
    </row>
    <row r="91" ht="36" customHeight="1">
      <c r="A91" s="24" t="inlineStr">
        <is>
          <t>6591a5bf0900437f</t>
        </is>
      </c>
      <c r="B91" s="24" t="inlineStr">
        <is>
          <t>2026-10-11T17:09:04.724493Z</t>
        </is>
      </c>
      <c r="C91" s="24" t="inlineStr">
        <is>
          <t>2026-10-11T21:00:00Z</t>
        </is>
      </c>
      <c r="D91" s="24" t="inlineStr">
        <is>
          <t>153971</t>
        </is>
      </c>
      <c r="E91" s="24" t="inlineStr">
        <is>
          <t>CS2</t>
        </is>
      </c>
      <c r="F91" s="24" t="inlineStr">
        <is>
          <t>Yawara Esports</t>
        </is>
      </c>
      <c r="G91" s="24" t="inlineStr">
        <is>
          <t>Galorys</t>
        </is>
      </c>
      <c r="H91" s="24" t="inlineStr">
        <is>
          <t>total</t>
        </is>
      </c>
      <c r="I91" s="24" t="inlineStr">
        <is>
          <t>under</t>
        </is>
      </c>
      <c r="J91" s="25" t="n">
        <v>2.5</v>
      </c>
      <c r="K91" s="24" t="inlineStr">
        <is>
          <t>polymarket_us</t>
        </is>
      </c>
      <c r="L91" s="26" t="n">
        <v>-186</v>
      </c>
      <c r="M91" s="27" t="n">
        <v>1.537634</v>
      </c>
      <c r="N91" s="28" t="n">
        <v>0.65035</v>
      </c>
      <c r="O91" s="28" t="n">
        <v>0.531237</v>
      </c>
      <c r="P91" s="28" t="n"/>
      <c r="Q91" s="28" t="n">
        <v>-0.119113</v>
      </c>
      <c r="R91" s="26" t="n">
        <v>0</v>
      </c>
      <c r="S91" s="29" t="n">
        <v>1</v>
      </c>
      <c r="T91" s="24" t="inlineStr">
        <is>
          <t>cs2-total-tiered-elo-v6</t>
        </is>
      </c>
      <c r="U91" s="24" t="inlineStr">
        <is>
          <t>settled</t>
        </is>
      </c>
      <c r="V91" s="24" t="inlineStr">
        <is>
          <t>win</t>
        </is>
      </c>
      <c r="W91" s="26" t="n">
        <v>0</v>
      </c>
      <c r="X91" s="26" t="n">
        <v>2</v>
      </c>
      <c r="Y91" s="25" t="n"/>
      <c r="Z91" s="26" t="n"/>
      <c r="AA91" s="28" t="n"/>
      <c r="AB91" s="28" t="n"/>
      <c r="AC91" s="30" t="n">
        <v>0.5376</v>
      </c>
      <c r="AD91" s="24" t="inlineStr">
        <is>
          <t>2026-10-12T10:06:38.970250Z</t>
        </is>
      </c>
      <c r="AE91" s="31" t="inlineStr">
        <is>
          <t>Neutral Elo baseline; executable ask 0.6500 (market_slug=tsc-cs2-gls-yaw-2026-10-11-tot-2pt5).</t>
        </is>
      </c>
      <c r="AF91" s="31" t="inlineStr">
        <is>
          <t>Config-promoted esports baseline; gates enforced at log time.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paper_call</t>
        </is>
      </c>
      <c r="AL91" s="26" t="n">
        <v>4</v>
      </c>
      <c r="AM91" s="24" t="inlineStr">
        <is>
          <t>RESEARCH_OBSERVATION</t>
        </is>
      </c>
      <c r="AN91" s="24" t="inlineStr">
        <is>
          <t>CALL</t>
        </is>
      </c>
      <c r="AO91" s="24" t="inlineStr">
        <is>
          <t>PAPER_CALL_LOW_EDGE</t>
        </is>
      </c>
      <c r="AP91" s="24" t="inlineStr">
        <is>
          <t>Yawara Esports</t>
        </is>
      </c>
      <c r="AQ91" s="24" t="inlineStr">
        <is>
          <t>Yawara Esports</t>
        </is>
      </c>
      <c r="AR91" s="24" t="inlineStr">
        <is>
          <t>Yawara Esports</t>
        </is>
      </c>
      <c r="AS91" s="24" t="inlineStr">
        <is>
          <t>Galorys</t>
        </is>
      </c>
      <c r="AT91" s="24" t="inlineStr">
        <is>
          <t>Galorys</t>
        </is>
      </c>
      <c r="AU91" s="24" t="inlineStr">
        <is>
          <t>Galorys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4b23608a756065ab8ce26f125d0010a9f6721b3dd6451e6bbdf40b8345cc6429</t>
        </is>
      </c>
      <c r="BB91" s="24" t="inlineStr">
        <is>
          <t>neutral_elo</t>
        </is>
      </c>
      <c r="BC91" s="24" t="inlineStr">
        <is>
          <t>cs2-total-tiered-elo-v6</t>
        </is>
      </c>
      <c r="BD91" s="24" t="inlineStr">
        <is>
          <t>4b23608a756065ab8ce26f125d0010a9f6721b3dd6451e6bbdf40b8345cc6429</t>
        </is>
      </c>
      <c r="BE91" s="24" t="inlineStr">
        <is>
          <t>1</t>
        </is>
      </c>
      <c r="BF91" s="24" t="inlineStr">
        <is>
          <t>1</t>
        </is>
      </c>
      <c r="BG91" s="24" t="inlineStr">
        <is>
          <t>cs2-total-tiered-elo-v6</t>
        </is>
      </c>
      <c r="BH91" s="24" t="inlineStr">
        <is>
          <t>2026-10-11T17:05:54.861223Z</t>
        </is>
      </c>
      <c r="BI91" s="24" t="inlineStr">
        <is>
          <t>["same_event","same_team_same_day","same_league_same_day"]</t>
        </is>
      </c>
      <c r="BJ91" s="25" t="n">
        <v>2.5</v>
      </c>
      <c r="BK91" s="26" t="n">
        <v>-186</v>
      </c>
      <c r="BL91" s="27" t="n">
        <v>1.537634</v>
      </c>
      <c r="BM91" s="28" t="n">
        <v>0.65035</v>
      </c>
      <c r="BN91" s="28" t="n"/>
      <c r="BO91" s="28" t="n"/>
      <c r="BP91" s="25" t="n"/>
      <c r="BQ91" s="27" t="n"/>
      <c r="BR91" s="28" t="n"/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False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n"/>
      <c r="DK91" s="24" t="n"/>
      <c r="DL91" s="24" t="n"/>
      <c r="DM91" s="24" t="n"/>
      <c r="DN91" s="24" t="n"/>
      <c r="DO91" s="24" t="n"/>
      <c r="DP91" s="24" t="n"/>
      <c r="DQ91" s="24" t="n"/>
    </row>
    <row r="92" ht="36" customHeight="1">
      <c r="A92" s="24" t="inlineStr">
        <is>
          <t>6831e884f03944c9</t>
        </is>
      </c>
      <c r="B92" s="24" t="inlineStr">
        <is>
          <t>2026-10-11T22:44:14.479660Z</t>
        </is>
      </c>
      <c r="C92" s="24" t="inlineStr">
        <is>
          <t>2026-10-12T01:00:00Z</t>
        </is>
      </c>
      <c r="D92" s="24" t="inlineStr">
        <is>
          <t>154371</t>
        </is>
      </c>
      <c r="E92" s="24" t="inlineStr">
        <is>
          <t>CS2</t>
        </is>
      </c>
      <c r="F92" s="24" t="inlineStr">
        <is>
          <t>regain</t>
        </is>
      </c>
      <c r="G92" s="24" t="inlineStr">
        <is>
          <t>Overtake</t>
        </is>
      </c>
      <c r="H92" s="24" t="inlineStr">
        <is>
          <t>moneyline</t>
        </is>
      </c>
      <c r="I92" s="24" t="inlineStr">
        <is>
          <t>away</t>
        </is>
      </c>
      <c r="J92" s="25" t="n"/>
      <c r="K92" s="24" t="inlineStr">
        <is>
          <t>polymarket_us</t>
        </is>
      </c>
      <c r="L92" s="26" t="n">
        <v>117</v>
      </c>
      <c r="M92" s="27" t="n">
        <v>2.17</v>
      </c>
      <c r="N92" s="28" t="n">
        <v>0.460829</v>
      </c>
      <c r="O92" s="28" t="n">
        <v>0.538608</v>
      </c>
      <c r="P92" s="28" t="n"/>
      <c r="Q92" s="28" t="n">
        <v>0.077779</v>
      </c>
      <c r="R92" s="26" t="n">
        <v>59</v>
      </c>
      <c r="S92" s="29" t="n">
        <v>1.25</v>
      </c>
      <c r="T92" s="24" t="inlineStr">
        <is>
          <t>cs2-tiered-elo-v6</t>
        </is>
      </c>
      <c r="U92" s="24" t="inlineStr">
        <is>
          <t>settled</t>
        </is>
      </c>
      <c r="V92" s="24" t="inlineStr">
        <is>
          <t>loss</t>
        </is>
      </c>
      <c r="W92" s="26" t="n">
        <v>0</v>
      </c>
      <c r="X92" s="26" t="n">
        <v>1</v>
      </c>
      <c r="Y92" s="25" t="n"/>
      <c r="Z92" s="26" t="n">
        <v>117</v>
      </c>
      <c r="AA92" s="28" t="n">
        <v>0.46</v>
      </c>
      <c r="AB92" s="28" t="n">
        <v>-0.000829</v>
      </c>
      <c r="AC92" s="30" t="n">
        <v>-1.25</v>
      </c>
      <c r="AD92" s="24" t="inlineStr">
        <is>
          <t>2026-10-12T10:06:40.464934Z</t>
        </is>
      </c>
      <c r="AE92" s="31" t="inlineStr">
        <is>
          <t>Neutral Elo baseline; executable ask 0.4600 (market_slug=aec-cs2-ot-regain-2026-10-12).</t>
        </is>
      </c>
      <c r="AF92" s="31" t="inlineStr">
        <is>
          <t>Config-promoted esports baseline; gates enforced at log time.</t>
        </is>
      </c>
      <c r="AG92" s="24" t="inlineStr">
        <is>
          <t>review_required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4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regain</t>
        </is>
      </c>
      <c r="AQ92" s="24" t="inlineStr">
        <is>
          <t>regain</t>
        </is>
      </c>
      <c r="AR92" s="24" t="inlineStr">
        <is>
          <t>regain</t>
        </is>
      </c>
      <c r="AS92" s="24" t="inlineStr">
        <is>
          <t>Overtake</t>
        </is>
      </c>
      <c r="AT92" s="24" t="inlineStr">
        <is>
          <t>Overtake</t>
        </is>
      </c>
      <c r="AU92" s="24" t="inlineStr">
        <is>
          <t>Overtake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20e945c4050deee09a5b1e6ac7e214f145ed66ccb9105a4d4f1a7944fe4f513a</t>
        </is>
      </c>
      <c r="BB92" s="24" t="inlineStr">
        <is>
          <t>neutral_elo</t>
        </is>
      </c>
      <c r="BC92" s="24" t="inlineStr">
        <is>
          <t>cs2-tiered-elo-v6</t>
        </is>
      </c>
      <c r="BD92" s="24" t="inlineStr">
        <is>
          <t>20e945c4050deee09a5b1e6ac7e214f145ed66ccb9105a4d4f1a7944fe4f513a</t>
        </is>
      </c>
      <c r="BE92" s="24" t="inlineStr">
        <is>
          <t>1</t>
        </is>
      </c>
      <c r="BF92" s="24" t="inlineStr">
        <is>
          <t>1</t>
        </is>
      </c>
      <c r="BG92" s="24" t="inlineStr">
        <is>
          <t>cs2-tiered-elo-v6</t>
        </is>
      </c>
      <c r="BH92" s="24" t="inlineStr">
        <is>
          <t>2026-10-11T22:39:19.184255Z</t>
        </is>
      </c>
      <c r="BI92" s="24" t="inlineStr">
        <is>
          <t>["same_event","same_team_same_day","same_league_same_day"]</t>
        </is>
      </c>
      <c r="BJ92" s="25" t="n"/>
      <c r="BK92" s="26" t="n">
        <v>117</v>
      </c>
      <c r="BL92" s="27" t="n">
        <v>2.17</v>
      </c>
      <c r="BM92" s="28" t="n">
        <v>0.460829</v>
      </c>
      <c r="BN92" s="28" t="n"/>
      <c r="BO92" s="28" t="n"/>
      <c r="BP92" s="25" t="n"/>
      <c r="BQ92" s="27" t="n">
        <v>2.17</v>
      </c>
      <c r="BR92" s="28" t="n">
        <v>0.46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True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n"/>
      <c r="DK92" s="24" t="n"/>
      <c r="DL92" s="24" t="n"/>
      <c r="DM92" s="24" t="n"/>
      <c r="DN92" s="24" t="n"/>
      <c r="DO92" s="24" t="n"/>
      <c r="DP92" s="24" t="n"/>
      <c r="DQ92" s="24" t="inlineStr">
        <is>
          <t>{"artifact_hash": "20e945c4050deee09a5b1e6ac7e214f145ed66ccb9105a4d4f1a7944fe4f513a", "away_team": "regain", "event_id": "154371", "event_start_utc": "2026-10-12T01:00:00Z", "features": {"away_elo": 1606.318153, "away_history_count": 161, "home_elo": 1555.683383, "home_history_count": 23}, "historical_source_observation_times_verified": false, "home_team": "Overtake", "inference_inputs": {"book_state": {"games_played": {"bo3:1:23579": 23, "bo3:1:9655": 161}, "inactivity_half_life_days": null, "inactivity_max_pull": null, "k": 40.0, "last_match_utc": {"bo3:1:23579": "2026-10-11T01:00:00Z", "bo3:1:9655": "2026-10-11T01:10:00Z"}, "minimum_reliable_games": null, "platt_intercept": 0.07027526590371225, "platt_slope": 0.8746680378361257, "ratings": {"bo3:1:23579": 1555.683383, "bo3:1:9655": 1606.318153},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"2026-10-11T22:39:19.122102+00:00", "team_ids": ["bo3:1:23579", "bo3:1:9655"]}, "market_type": "moneyline", "model_version": "cs2-tiered-elo-v6", "observed_at_utc": "2026-10-11T22:39:19.122102+00:00", "probabilities": {"away": 0.538608, "home": 0.461392}, "replay_scope": "Exact serving book state, calibration, temperature, inactivity reference and thin-history adjustments; training provenance not certified.", "schema": "esports-elo-replay-v1", "snapshot_hash": "ff11b2333e3e47ebaf3e74a4b81b0451df023999df4237a4804d16cec37fca49", "sport": "CS2"}</t>
        </is>
      </c>
    </row>
    <row r="93" ht="36" customHeight="1">
      <c r="A93" s="24" t="inlineStr">
        <is>
          <t>af10f2a705ab4383</t>
        </is>
      </c>
      <c r="B93" s="24" t="inlineStr">
        <is>
          <t>2026-10-11T22:44:14.479660Z</t>
        </is>
      </c>
      <c r="C93" s="24" t="inlineStr">
        <is>
          <t>2026-10-12T01:00:00Z</t>
        </is>
      </c>
      <c r="D93" s="24" t="inlineStr">
        <is>
          <t>154374</t>
        </is>
      </c>
      <c r="E93" s="24" t="inlineStr">
        <is>
          <t>CS2</t>
        </is>
      </c>
      <c r="F93" s="24" t="inlineStr">
        <is>
          <t>Iowa Stormboar</t>
        </is>
      </c>
      <c r="G93" s="24" t="inlineStr">
        <is>
          <t>Detonate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113</v>
      </c>
      <c r="M93" s="27" t="n">
        <v>2.13</v>
      </c>
      <c r="N93" s="28" t="n">
        <v>0.469484</v>
      </c>
      <c r="O93" s="28" t="n">
        <v>0.5086079999999999</v>
      </c>
      <c r="P93" s="28" t="n"/>
      <c r="Q93" s="28" t="n">
        <v>0.039124</v>
      </c>
      <c r="R93" s="26" t="n">
        <v>40</v>
      </c>
      <c r="S93" s="29" t="n">
        <v>1</v>
      </c>
      <c r="T93" s="24" t="inlineStr">
        <is>
          <t>cs2-tiered-elo-v6</t>
        </is>
      </c>
      <c r="U93" s="24" t="inlineStr">
        <is>
          <t>settled</t>
        </is>
      </c>
      <c r="V93" s="24" t="inlineStr">
        <is>
          <t>loss</t>
        </is>
      </c>
      <c r="W93" s="26" t="n">
        <v>1</v>
      </c>
      <c r="X93" s="26" t="n">
        <v>0</v>
      </c>
      <c r="Y93" s="25" t="n"/>
      <c r="Z93" s="26" t="n">
        <v>113</v>
      </c>
      <c r="AA93" s="28" t="n">
        <v>0.47</v>
      </c>
      <c r="AB93" s="28" t="n">
        <v>0.000516</v>
      </c>
      <c r="AC93" s="30" t="n">
        <v>-1</v>
      </c>
      <c r="AD93" s="24" t="inlineStr">
        <is>
          <t>2026-10-12T10:06:46.595678Z</t>
        </is>
      </c>
      <c r="AE93" s="31" t="inlineStr">
        <is>
          <t>Neutral Elo baseline; executable ask 0.4700 (market_slug=aec-cs2-dtn-iowa-2026-10-12).</t>
        </is>
      </c>
      <c r="AF93" s="31" t="inlineStr">
        <is>
          <t>Config-promoted esports baseline; gates enforced at log time.</t>
        </is>
      </c>
      <c r="AG93" s="24" t="inlineStr">
        <is>
          <t>review_required</t>
        </is>
      </c>
      <c r="AH93" s="24" t="n"/>
      <c r="AI93" s="31" t="n"/>
      <c r="AJ93" s="31" t="n"/>
      <c r="AK93" s="24" t="inlineStr">
        <is>
          <t>paper_call</t>
        </is>
      </c>
      <c r="AL93" s="26" t="n">
        <v>4</v>
      </c>
      <c r="AM93" s="24" t="inlineStr">
        <is>
          <t>RESEARCH_OBSERVATION</t>
        </is>
      </c>
      <c r="AN93" s="24" t="inlineStr">
        <is>
          <t>CALL</t>
        </is>
      </c>
      <c r="AO93" s="24" t="inlineStr">
        <is>
          <t>PAPER_CALL_LOW_EDGE</t>
        </is>
      </c>
      <c r="AP93" s="24" t="inlineStr">
        <is>
          <t>Iowa Stormboar</t>
        </is>
      </c>
      <c r="AQ93" s="24" t="inlineStr">
        <is>
          <t>Iowa Stormboar</t>
        </is>
      </c>
      <c r="AR93" s="24" t="inlineStr">
        <is>
          <t>Iowa Stormboar</t>
        </is>
      </c>
      <c r="AS93" s="24" t="inlineStr">
        <is>
          <t>Detonate</t>
        </is>
      </c>
      <c r="AT93" s="24" t="inlineStr">
        <is>
          <t>Detonate</t>
        </is>
      </c>
      <c r="AU93" s="24" t="inlineStr">
        <is>
          <t>Detonate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20e945c4050deee09a5b1e6ac7e214f145ed66ccb9105a4d4f1a7944fe4f513a</t>
        </is>
      </c>
      <c r="BB93" s="24" t="inlineStr">
        <is>
          <t>neutral_elo</t>
        </is>
      </c>
      <c r="BC93" s="24" t="inlineStr">
        <is>
          <t>cs2-tiered-elo-v6</t>
        </is>
      </c>
      <c r="BD93" s="24" t="inlineStr">
        <is>
          <t>20e945c4050deee09a5b1e6ac7e214f145ed66ccb9105a4d4f1a7944fe4f513a</t>
        </is>
      </c>
      <c r="BE93" s="24" t="inlineStr">
        <is>
          <t>1</t>
        </is>
      </c>
      <c r="BF93" s="24" t="inlineStr">
        <is>
          <t>1</t>
        </is>
      </c>
      <c r="BG93" s="24" t="inlineStr">
        <is>
          <t>cs2-tiered-elo-v6</t>
        </is>
      </c>
      <c r="BH93" s="24" t="inlineStr">
        <is>
          <t>2026-10-11T22:39:39.583499Z</t>
        </is>
      </c>
      <c r="BI93" s="24" t="inlineStr">
        <is>
          <t>["same_event","same_team_same_day","same_league_same_day"]</t>
        </is>
      </c>
      <c r="BJ93" s="25" t="n"/>
      <c r="BK93" s="26" t="n">
        <v>113</v>
      </c>
      <c r="BL93" s="27" t="n">
        <v>2.13</v>
      </c>
      <c r="BM93" s="28" t="n">
        <v>0.469484</v>
      </c>
      <c r="BN93" s="28" t="n"/>
      <c r="BO93" s="28" t="n"/>
      <c r="BP93" s="25" t="n"/>
      <c r="BQ93" s="27" t="n">
        <v>2.13</v>
      </c>
      <c r="BR93" s="28" t="n">
        <v>0.47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True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n"/>
      <c r="DK93" s="24" t="n"/>
      <c r="DL93" s="24" t="n"/>
      <c r="DM93" s="24" t="n"/>
      <c r="DN93" s="24" t="n"/>
      <c r="DO93" s="24" t="n"/>
      <c r="DP93" s="24" t="n"/>
      <c r="DQ93" s="24" t="inlineStr">
        <is>
          <t>{"artifact_hash": "20e945c4050deee09a5b1e6ac7e214f145ed66ccb9105a4d4f1a7944fe4f513a", "away_team": "Iowa Stormboar", "event_id": "154374", "event_start_utc": "2026-10-12T01:00:00Z", "features": {"away_elo": 1585.978395, "away_history_count": 28, "home_elo": 1580.042789, "home_history_count": 79}, "historical_source_observation_times_verified": false, "home_team": "Detonate", "inference_inputs": {"book_state": {"games_played": {"bo3:1:1618": 79, "bo3:1:24126": 28}, "inactivity_half_life_days": null, "inactivity_max_pull": null, "k": 40.0, "last_match_utc": {"bo3:1:1618": "2026-10-11T01:10:00Z", "bo3:1:24126": "2026-10-11T01:10:00Z"}, "minimum_reliable_games": null, "platt_intercept": 0.07027526590371225, "platt_slope": 0.8746680378361257, "ratings": {"bo3:1:1618": 1580.042789, "bo3:1:24126": 1585.978395},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"2026-10-11T22:39:19.122102+00:00", "team_ids": ["bo3:1:1618", "bo3:1:24126"]}, "market_type": "moneyline", "model_version": "cs2-tiered-elo-v6", "observed_at_utc": "2026-10-11T22:39:19.122102+00:00", "probabilities": {"away": 0.491392, "home": 0.508608}, "replay_scope": "Exact serving book state, calibration, temperature, inactivity reference and thin-history adjustments; training provenance not certified.", "schema": "esports-elo-replay-v1", "snapshot_hash": "16d588bab6ad69cdd0273e0b6c30cd36c14de8245aab619ec836bc9f285375b9", "sport": "CS2"}</t>
        </is>
      </c>
    </row>
    <row r="94" ht="36" customHeight="1">
      <c r="A94" s="24" t="inlineStr">
        <is>
          <t>84c3f697387a4364</t>
        </is>
      </c>
      <c r="B94" s="24" t="inlineStr">
        <is>
          <t>2026-10-12T05:45:48.399462Z</t>
        </is>
      </c>
      <c r="C94" s="24" t="inlineStr">
        <is>
          <t>2026-10-12T08:00:00Z</t>
        </is>
      </c>
      <c r="D94" s="24" t="inlineStr">
        <is>
          <t>151510</t>
        </is>
      </c>
      <c r="E94" s="24" t="inlineStr">
        <is>
          <t>CS2</t>
        </is>
      </c>
      <c r="F94" s="24" t="inlineStr">
        <is>
          <t>Passion Academy</t>
        </is>
      </c>
      <c r="G94" s="24" t="inlineStr">
        <is>
          <t>Bread Eaters Esports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-138</v>
      </c>
      <c r="M94" s="27" t="n">
        <v>1.724638</v>
      </c>
      <c r="N94" s="28" t="n">
        <v>0.579832</v>
      </c>
      <c r="O94" s="28" t="n">
        <v>0.584143</v>
      </c>
      <c r="P94" s="28" t="n"/>
      <c r="Q94" s="28" t="n">
        <v>0.004311</v>
      </c>
      <c r="R94" s="26" t="n">
        <v>22</v>
      </c>
      <c r="S94" s="29" t="n">
        <v>1</v>
      </c>
      <c r="T94" s="24" t="inlineStr">
        <is>
          <t>cs2-tiered-elo-v6</t>
        </is>
      </c>
      <c r="U94" s="24" t="inlineStr">
        <is>
          <t>settled</t>
        </is>
      </c>
      <c r="V94" s="24" t="inlineStr">
        <is>
          <t>win</t>
        </is>
      </c>
      <c r="W94" s="26" t="n">
        <v>0</v>
      </c>
      <c r="X94" s="26" t="n">
        <v>1</v>
      </c>
      <c r="Y94" s="25" t="n"/>
      <c r="Z94" s="26" t="n">
        <v>-1011</v>
      </c>
      <c r="AA94" s="28" t="n">
        <v>0.91</v>
      </c>
      <c r="AB94" s="28" t="n">
        <v>0.330168</v>
      </c>
      <c r="AC94" s="30" t="n">
        <v>0.7246</v>
      </c>
      <c r="AD94" s="24" t="inlineStr">
        <is>
          <t>2026-10-12T16:13:25.149825Z</t>
        </is>
      </c>
      <c r="AE94" s="31" t="inlineStr">
        <is>
          <t>Neutral Elo baseline; executable ask 0.5800 (market_slug=aec-cs2-bee-psna-2026-10-12).</t>
        </is>
      </c>
      <c r="AF94" s="31" t="inlineStr">
        <is>
          <t>Config-promoted esports baseline; gates enforced at log time.</t>
        </is>
      </c>
      <c r="AG94" s="24" t="inlineStr">
        <is>
          <t>not_applicable</t>
        </is>
      </c>
      <c r="AH94" s="24" t="n"/>
      <c r="AI94" s="31" t="n"/>
      <c r="AJ94" s="31" t="n"/>
      <c r="AK94" s="24" t="inlineStr">
        <is>
          <t>paper_call</t>
        </is>
      </c>
      <c r="AL94" s="26" t="n">
        <v>4</v>
      </c>
      <c r="AM94" s="24" t="inlineStr">
        <is>
          <t>RESEARCH_OBSERVATION</t>
        </is>
      </c>
      <c r="AN94" s="24" t="inlineStr">
        <is>
          <t>CALL</t>
        </is>
      </c>
      <c r="AO94" s="24" t="inlineStr">
        <is>
          <t>PAPER_CALL_LOW_EDGE</t>
        </is>
      </c>
      <c r="AP94" s="24" t="inlineStr">
        <is>
          <t>Passion Academy</t>
        </is>
      </c>
      <c r="AQ94" s="24" t="inlineStr">
        <is>
          <t>Passion Academy</t>
        </is>
      </c>
      <c r="AR94" s="24" t="inlineStr">
        <is>
          <t>Passion Academy</t>
        </is>
      </c>
      <c r="AS94" s="24" t="inlineStr">
        <is>
          <t>Bread Eaters Esports</t>
        </is>
      </c>
      <c r="AT94" s="24" t="inlineStr">
        <is>
          <t>Bread Eaters Esports</t>
        </is>
      </c>
      <c r="AU94" s="24" t="inlineStr">
        <is>
          <t>Bread Eaters Esports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5cd0800cae96b0a847f71e780360aab219c6bec5b55020885ffdf927ea20432d</t>
        </is>
      </c>
      <c r="BB94" s="24" t="inlineStr">
        <is>
          <t>neutral_elo</t>
        </is>
      </c>
      <c r="BC94" s="24" t="inlineStr">
        <is>
          <t>cs2-tiered-elo-v6</t>
        </is>
      </c>
      <c r="BD94" s="24" t="inlineStr">
        <is>
          <t>5cd0800cae96b0a847f71e780360aab219c6bec5b55020885ffdf927ea20432d</t>
        </is>
      </c>
      <c r="BE94" s="24" t="inlineStr">
        <is>
          <t>1</t>
        </is>
      </c>
      <c r="BF94" s="24" t="inlineStr">
        <is>
          <t>1</t>
        </is>
      </c>
      <c r="BG94" s="24" t="inlineStr">
        <is>
          <t>cs2-tiered-elo-v6</t>
        </is>
      </c>
      <c r="BH94" s="24" t="inlineStr">
        <is>
          <t>2026-10-12T05:39:51.965028Z</t>
        </is>
      </c>
      <c r="BI94" s="24" t="inlineStr">
        <is>
          <t>["same_event","same_team_same_day","same_league_same_day"]</t>
        </is>
      </c>
      <c r="BJ94" s="25" t="n"/>
      <c r="BK94" s="26" t="n">
        <v>-138</v>
      </c>
      <c r="BL94" s="27" t="n">
        <v>1.724638</v>
      </c>
      <c r="BM94" s="28" t="n">
        <v>0.579832</v>
      </c>
      <c r="BN94" s="28" t="n"/>
      <c r="BO94" s="28" t="n"/>
      <c r="BP94" s="25" t="n"/>
      <c r="BQ94" s="27" t="n">
        <v>1.098912</v>
      </c>
      <c r="BR94" s="28" t="n">
        <v>0.91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True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n"/>
      <c r="DK94" s="24" t="n"/>
      <c r="DL94" s="24" t="n"/>
      <c r="DM94" s="24" t="n"/>
      <c r="DN94" s="24" t="n"/>
      <c r="DO94" s="24" t="n"/>
      <c r="DP94" s="24" t="n"/>
      <c r="DQ94" s="24" t="inlineStr">
        <is>
          <t>{"artifact_hash": "5cd0800cae96b0a847f71e780360aab219c6bec5b55020885ffdf927ea20432d", "away_team": "Passion Academy", "event_id": "151510", "event_start_utc": "2026-10-12T08:00:00Z", "features": {"away_elo": 1369.320742, "away_history_count": 32, "home_elo": 1481.749781, "home_history_count": 3}, "historical_source_observation_times_verified": false, "home_team": "Bread Eaters Esports", "inference_inputs": {"book_state": {"games_played": {"bo3:1:22861": 32, "bo3:1:25395": 3}, "inactivity_half_life_days": null, "inactivity_max_pull": null, "k": 40.0, "last_match_utc": {"bo3:1:22861": "2026-10-09T13:50:00Z", "bo3:1:25395": "2026-10-07T10:40:00Z"}, "minimum_reliable_games": null, "platt_intercept": 0.07018921641875858, "platt_slope": 0.8760672520760501, "ratings": {"bo3:1:22861": 1369.320742, "bo3:1:25395": 1481.749781},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"2026-10-12T05:39:31.787999+00:00", "team_ids": ["bo3:1:25395", "bo3:1:22861"]}, "market_type": "moneyline", "model_version": "cs2-tiered-elo-v6", "observed_at_utc": "2026-10-12T05:39:31.787999+00:00", "probabilities": {"away": 0.415857, "home": 0.584143}, "replay_scope": "Exact serving book state, calibration, temperature, inactivity reference and thin-history adjustments; training provenance not certified.", "schema": "esports-elo-replay-v1", "snapshot_hash": "cd092954a87ba06fb78997dab5a0a609e88cba884c03c4b34f8d9a2f911717b3", "sport": "CS2"}</t>
        </is>
      </c>
    </row>
    <row r="95" ht="36" customHeight="1">
      <c r="A95" s="24" t="inlineStr">
        <is>
          <t>4159a97757aa4f37</t>
        </is>
      </c>
      <c r="B95" s="24" t="inlineStr">
        <is>
          <t>2026-10-12T05:45:48.399462Z</t>
        </is>
      </c>
      <c r="C95" s="24" t="inlineStr">
        <is>
          <t>2026-10-12T08:00:00Z</t>
        </is>
      </c>
      <c r="D95" s="24" t="inlineStr">
        <is>
          <t>155565</t>
        </is>
      </c>
      <c r="E95" s="24" t="inlineStr">
        <is>
          <t>CS2</t>
        </is>
      </c>
      <c r="F95" s="24" t="inlineStr">
        <is>
          <t>Saint Sinners</t>
        </is>
      </c>
      <c r="G95" s="24" t="inlineStr">
        <is>
          <t>ENJOY</t>
        </is>
      </c>
      <c r="H95" s="24" t="inlineStr">
        <is>
          <t>moneyline</t>
        </is>
      </c>
      <c r="I95" s="24" t="inlineStr">
        <is>
          <t>away</t>
        </is>
      </c>
      <c r="J95" s="25" t="n"/>
      <c r="K95" s="24" t="inlineStr">
        <is>
          <t>polymarket_us</t>
        </is>
      </c>
      <c r="L95" s="26" t="n">
        <v>-113</v>
      </c>
      <c r="M95" s="27" t="n">
        <v>1.884956</v>
      </c>
      <c r="N95" s="28" t="n">
        <v>0.530516</v>
      </c>
      <c r="O95" s="28" t="n">
        <v>0.558658</v>
      </c>
      <c r="P95" s="28" t="n"/>
      <c r="Q95" s="28" t="n">
        <v>0.028142</v>
      </c>
      <c r="R95" s="26" t="n">
        <v>34</v>
      </c>
      <c r="S95" s="29" t="n">
        <v>1</v>
      </c>
      <c r="T95" s="24" t="inlineStr">
        <is>
          <t>cs2-tiered-elo-v6</t>
        </is>
      </c>
      <c r="U95" s="24" t="inlineStr">
        <is>
          <t>settled</t>
        </is>
      </c>
      <c r="V95" s="24" t="inlineStr">
        <is>
          <t>win</t>
        </is>
      </c>
      <c r="W95" s="26" t="n">
        <v>1</v>
      </c>
      <c r="X95" s="26" t="n">
        <v>0</v>
      </c>
      <c r="Y95" s="25" t="n"/>
      <c r="Z95" s="26" t="n"/>
      <c r="AA95" s="28" t="n"/>
      <c r="AB95" s="28" t="n"/>
      <c r="AC95" s="30" t="n">
        <v>0.885</v>
      </c>
      <c r="AD95" s="24" t="inlineStr">
        <is>
          <t>2026-10-12T16:13:31.973448Z</t>
        </is>
      </c>
      <c r="AE95" s="31" t="inlineStr">
        <is>
          <t>Neutral Elo baseline; executable ask 0.5300 (market_slug=aec-cs2-enjoy-ssins-2026-10-12).</t>
        </is>
      </c>
      <c r="AF95" s="31" t="inlineStr">
        <is>
          <t>Config-promoted esports baseline; gates enforced at log time.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model_qualified</t>
        </is>
      </c>
      <c r="AL95" s="26" t="n">
        <v>4</v>
      </c>
      <c r="AM95" s="24" t="inlineStr">
        <is>
          <t>QUALIFIED_SHADOW_CALL</t>
        </is>
      </c>
      <c r="AN95" s="24" t="inlineStr">
        <is>
          <t>CALL</t>
        </is>
      </c>
      <c r="AO95" s="24" t="inlineStr">
        <is>
          <t>QUALIFIED</t>
        </is>
      </c>
      <c r="AP95" s="24" t="inlineStr">
        <is>
          <t>Saint Sinners</t>
        </is>
      </c>
      <c r="AQ95" s="24" t="inlineStr">
        <is>
          <t>Saint Sinners</t>
        </is>
      </c>
      <c r="AR95" s="24" t="inlineStr">
        <is>
          <t>Saint Sinners</t>
        </is>
      </c>
      <c r="AS95" s="24" t="inlineStr">
        <is>
          <t>ENJOY</t>
        </is>
      </c>
      <c r="AT95" s="24" t="inlineStr">
        <is>
          <t>ENJOY</t>
        </is>
      </c>
      <c r="AU95" s="24" t="inlineStr">
        <is>
          <t>ENJOY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5cd0800cae96b0a847f71e780360aab219c6bec5b55020885ffdf927ea20432d</t>
        </is>
      </c>
      <c r="BB95" s="24" t="inlineStr">
        <is>
          <t>neutral_elo</t>
        </is>
      </c>
      <c r="BC95" s="24" t="inlineStr">
        <is>
          <t>cs2-tiered-elo-v6</t>
        </is>
      </c>
      <c r="BD95" s="24" t="inlineStr">
        <is>
          <t>5cd0800cae96b0a847f71e780360aab219c6bec5b55020885ffdf927ea20432d</t>
        </is>
      </c>
      <c r="BE95" s="24" t="inlineStr">
        <is>
          <t>1</t>
        </is>
      </c>
      <c r="BF95" s="24" t="inlineStr">
        <is>
          <t>1</t>
        </is>
      </c>
      <c r="BG95" s="24" t="inlineStr">
        <is>
          <t>cs2-tiered-elo-v6</t>
        </is>
      </c>
      <c r="BH95" s="24" t="inlineStr">
        <is>
          <t>2026-10-12T05:40:43.191274Z</t>
        </is>
      </c>
      <c r="BI95" s="24" t="inlineStr">
        <is>
          <t>["same_event","same_team_same_day","same_league_same_day"]</t>
        </is>
      </c>
      <c r="BJ95" s="25" t="n"/>
      <c r="BK95" s="26" t="n">
        <v>-113</v>
      </c>
      <c r="BL95" s="27" t="n">
        <v>1.884956</v>
      </c>
      <c r="BM95" s="28" t="n">
        <v>0.530516</v>
      </c>
      <c r="BN95" s="28" t="n"/>
      <c r="BO95" s="28" t="n"/>
      <c r="BP95" s="25" t="n"/>
      <c r="BQ95" s="27" t="n"/>
      <c r="BR95" s="28" t="n"/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True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n"/>
      <c r="DK95" s="24" t="n"/>
      <c r="DL95" s="24" t="n"/>
      <c r="DM95" s="24" t="n"/>
      <c r="DN95" s="24" t="n"/>
      <c r="DO95" s="24" t="n"/>
      <c r="DP95" s="24" t="n"/>
      <c r="DQ95" s="24" t="inlineStr">
        <is>
          <t>{"artifact_hash": "5cd0800cae96b0a847f71e780360aab219c6bec5b55020885ffdf927ea20432d", "away_team": "Saint Sinners", "event_id": "155565", "event_start_utc": "2026-10-12T08:00:00Z", "features": {"away_elo": 1606.108569, "away_history_count": 20, "home_elo": 1537.503554, "home_history_count": 84}, "historical_source_observation_times_verified": false, "home_team": "ENJOY", "inference_inputs": {"book_state": {"games_played": {"bo3:1:10966": 84, "bo3:1:25223": 20}, "inactivity_half_life_days": null, "inactivity_max_pull": null, "k": 40.0, "last_match_utc": {"bo3:1:10966": "2026-10-09T08:35:00Z", "bo3:1:25223": "2026-10-11T17:10:00Z"}, "minimum_reliable_games": null, "platt_intercept": 0.07018921641875858, "platt_slope": 0.8760672520760501, "ratings": {"bo3:1:10966": 1537.503554, "bo3:1:25223": 1606.108569},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"2026-10-12T05:39:31.787999+00:00", "team_ids": ["bo3:1:10966", "bo3:1:25223"]}, "market_type": "moneyline", "model_version": "cs2-tiered-elo-v6", "observed_at_utc": "2026-10-12T05:39:31.787999+00:00", "probabilities": {"away": 0.558658, "home": 0.441342}, "replay_scope": "Exact serving book state, calibration, temperature, inactivity reference and thin-history adjustments; training provenance not certified.", "schema": "esports-elo-replay-v1", "snapshot_hash": "ea4d2cec3efc87e39c9fc90f9658b6aca0bd21889d86d915a7458d826878d89d", "sport": "CS2"}</t>
        </is>
      </c>
    </row>
    <row r="96" ht="36" customHeight="1">
      <c r="A96" s="24" t="inlineStr">
        <is>
          <t>1bd892b21e504c9e</t>
        </is>
      </c>
      <c r="B96" s="24" t="inlineStr">
        <is>
          <t>2026-10-12T05:45:48.399462Z</t>
        </is>
      </c>
      <c r="C96" s="24" t="inlineStr">
        <is>
          <t>2026-10-12T10:00:00Z</t>
        </is>
      </c>
      <c r="D96" s="24" t="inlineStr">
        <is>
          <t>150838</t>
        </is>
      </c>
      <c r="E96" s="24" t="inlineStr">
        <is>
          <t>CS2</t>
        </is>
      </c>
      <c r="F96" s="24" t="inlineStr">
        <is>
          <t>Sangal</t>
        </is>
      </c>
      <c r="G96" s="24" t="inlineStr">
        <is>
          <t>Inner Circle Esports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-203</v>
      </c>
      <c r="M96" s="27" t="n">
        <v>1.492611</v>
      </c>
      <c r="N96" s="28" t="n">
        <v>0.669967</v>
      </c>
      <c r="O96" s="28" t="n">
        <v>0.539503</v>
      </c>
      <c r="P96" s="28" t="n"/>
      <c r="Q96" s="28" t="n">
        <v>-0.130464</v>
      </c>
      <c r="R96" s="26" t="n">
        <v>0</v>
      </c>
      <c r="S96" s="29" t="n">
        <v>1</v>
      </c>
      <c r="T96" s="24" t="inlineStr">
        <is>
          <t>cs2-tiered-elo-v6</t>
        </is>
      </c>
      <c r="U96" s="24" t="inlineStr">
        <is>
          <t>settled</t>
        </is>
      </c>
      <c r="V96" s="24" t="inlineStr">
        <is>
          <t>win</t>
        </is>
      </c>
      <c r="W96" s="26" t="n">
        <v>0</v>
      </c>
      <c r="X96" s="26" t="n">
        <v>1</v>
      </c>
      <c r="Y96" s="25" t="n"/>
      <c r="Z96" s="26" t="n">
        <v>-213</v>
      </c>
      <c r="AA96" s="28" t="n">
        <v>0.68</v>
      </c>
      <c r="AB96" s="28" t="n">
        <v>0.010033</v>
      </c>
      <c r="AC96" s="30" t="n">
        <v>0.4926</v>
      </c>
      <c r="AD96" s="24" t="inlineStr">
        <is>
          <t>2026-10-12T16:13:44.063605Z</t>
        </is>
      </c>
      <c r="AE96" s="31" t="inlineStr">
        <is>
          <t>Neutral Elo baseline; executable ask 0.6700 (market_slug=aec-cs2-ice-sang-2026-10-12).</t>
        </is>
      </c>
      <c r="AF96" s="31" t="inlineStr">
        <is>
          <t>Config-promoted esports baseline; gates enforced at log time.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paper_call</t>
        </is>
      </c>
      <c r="AL96" s="26" t="n">
        <v>4</v>
      </c>
      <c r="AM96" s="24" t="inlineStr">
        <is>
          <t>RESEARCH_OBSERVATION</t>
        </is>
      </c>
      <c r="AN96" s="24" t="inlineStr">
        <is>
          <t>CALL</t>
        </is>
      </c>
      <c r="AO96" s="24" t="inlineStr">
        <is>
          <t>PAPER_CALL_LOW_EDGE</t>
        </is>
      </c>
      <c r="AP96" s="24" t="inlineStr">
        <is>
          <t>Sangal</t>
        </is>
      </c>
      <c r="AQ96" s="24" t="inlineStr">
        <is>
          <t>Sangal</t>
        </is>
      </c>
      <c r="AR96" s="24" t="inlineStr">
        <is>
          <t>Sangal</t>
        </is>
      </c>
      <c r="AS96" s="24" t="inlineStr">
        <is>
          <t>Inner Circle Esports</t>
        </is>
      </c>
      <c r="AT96" s="24" t="inlineStr">
        <is>
          <t>Inner Circle Esports</t>
        </is>
      </c>
      <c r="AU96" s="24" t="inlineStr">
        <is>
          <t>Inner Circle Esports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5cd0800cae96b0a847f71e780360aab219c6bec5b55020885ffdf927ea20432d</t>
        </is>
      </c>
      <c r="BB96" s="24" t="inlineStr">
        <is>
          <t>neutral_elo</t>
        </is>
      </c>
      <c r="BC96" s="24" t="inlineStr">
        <is>
          <t>cs2-tiered-elo-v6</t>
        </is>
      </c>
      <c r="BD96" s="24" t="inlineStr">
        <is>
          <t>5cd0800cae96b0a847f71e780360aab219c6bec5b55020885ffdf927ea20432d</t>
        </is>
      </c>
      <c r="BE96" s="24" t="inlineStr">
        <is>
          <t>1</t>
        </is>
      </c>
      <c r="BF96" s="24" t="inlineStr">
        <is>
          <t>1</t>
        </is>
      </c>
      <c r="BG96" s="24" t="inlineStr">
        <is>
          <t>cs2-tiered-elo-v6</t>
        </is>
      </c>
      <c r="BH96" s="24" t="inlineStr">
        <is>
          <t>2026-10-12T05:42:05.088154Z</t>
        </is>
      </c>
      <c r="BI96" s="24" t="inlineStr">
        <is>
          <t>["same_event","same_team_same_day","same_league_same_day"]</t>
        </is>
      </c>
      <c r="BJ96" s="25" t="n"/>
      <c r="BK96" s="26" t="n">
        <v>-203</v>
      </c>
      <c r="BL96" s="27" t="n">
        <v>1.492611</v>
      </c>
      <c r="BM96" s="28" t="n">
        <v>0.669967</v>
      </c>
      <c r="BN96" s="28" t="n"/>
      <c r="BO96" s="28" t="n"/>
      <c r="BP96" s="25" t="n"/>
      <c r="BQ96" s="27" t="n">
        <v>1.469484</v>
      </c>
      <c r="BR96" s="28" t="n">
        <v>0.68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False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n"/>
      <c r="DK96" s="24" t="n"/>
      <c r="DL96" s="24" t="n"/>
      <c r="DM96" s="24" t="n"/>
      <c r="DN96" s="24" t="n"/>
      <c r="DO96" s="24" t="n"/>
      <c r="DP96" s="24" t="n"/>
      <c r="DQ96" s="24" t="inlineStr">
        <is>
          <t>{"artifact_hash": "5cd0800cae96b0a847f71e780360aab219c6bec5b55020885ffdf927ea20432d", "away_team": "Sangal", "event_id": "150838", "event_start_utc": "2026-10-12T10:00:00Z", "features": {"away_elo": 1806.695898, "away_history_count": 308, "home_elo": 1885.338248, "home_history_count": 177}, "historical_source_observation_times_verified": false, "home_team": "Inner Circle Esports", "inference_inputs": {"book_state": {"games_played": {"bo3:1:19186": 177, "bo3:1:36": 308}, "inactivity_half_life_days": null, "inactivity_max_pull": null, "k": 40.0, "last_match_utc": {"bo3:1:19186": "2026-09-22T17:00:00Z", "bo3:1:36": "2026-10-10T14:40:00Z"}, "minimum_reliable_games": null, "platt_intercept": 0.07018921641875858, "platt_slope": 0.8760672520760501, "ratings": {"bo3:1:19186": 1885.338248, "bo3:1:36": 1806.695898},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"2026-10-12T05:39:31.787999+00:00", "team_ids": ["bo3:1:19186", "bo3:1:36"]}, "market_type": "moneyline", "model_version": "cs2-tiered-elo-v6", "observed_at_utc": "2026-10-12T05:39:31.787999+00:00", "probabilities": {"away": 0.460497, "home": 0.539503}, "replay_scope": "Exact serving book state, calibration, temperature, inactivity reference and thin-history adjustments; training provenance not certified.", "schema": "esports-elo-replay-v1", "snapshot_hash": "6c22b939a55cda298a38dc25cb140216e2de31af2a8ef1f79de9773c4e77c6ec", "sport": "CS2"}</t>
        </is>
      </c>
    </row>
    <row r="97" ht="36" customHeight="1">
      <c r="A97" s="24" t="inlineStr">
        <is>
          <t>3a6ffe388bb1429f</t>
        </is>
      </c>
      <c r="B97" s="24" t="inlineStr">
        <is>
          <t>2026-10-12T05:45:48.399462Z</t>
        </is>
      </c>
      <c r="C97" s="24" t="inlineStr">
        <is>
          <t>2026-10-12T10:00:00Z</t>
        </is>
      </c>
      <c r="D97" s="24" t="inlineStr">
        <is>
          <t>150838</t>
        </is>
      </c>
      <c r="E97" s="24" t="inlineStr">
        <is>
          <t>CS2</t>
        </is>
      </c>
      <c r="F97" s="24" t="inlineStr">
        <is>
          <t>Sangal</t>
        </is>
      </c>
      <c r="G97" s="24" t="inlineStr">
        <is>
          <t>Inner Circle Esports</t>
        </is>
      </c>
      <c r="H97" s="24" t="inlineStr">
        <is>
          <t>spread</t>
        </is>
      </c>
      <c r="I97" s="24" t="inlineStr">
        <is>
          <t>away</t>
        </is>
      </c>
      <c r="J97" s="25" t="n">
        <v>1.5</v>
      </c>
      <c r="K97" s="24" t="inlineStr">
        <is>
          <t>polymarket_us</t>
        </is>
      </c>
      <c r="L97" s="26" t="n">
        <v>-163</v>
      </c>
      <c r="M97" s="27" t="n">
        <v>1.613497</v>
      </c>
      <c r="N97" s="28" t="n">
        <v>0.619772</v>
      </c>
      <c r="O97" s="28" t="n">
        <v>0.7229449999999999</v>
      </c>
      <c r="P97" s="28" t="n"/>
      <c r="Q97" s="28" t="n">
        <v>0.103173</v>
      </c>
      <c r="R97" s="26" t="n">
        <v>72</v>
      </c>
      <c r="S97" s="29" t="n">
        <v>1.25</v>
      </c>
      <c r="T97" s="24" t="inlineStr">
        <is>
          <t>cs2-spread-tiered-elo-v6</t>
        </is>
      </c>
      <c r="U97" s="24" t="inlineStr">
        <is>
          <t>settled</t>
        </is>
      </c>
      <c r="V97" s="24" t="inlineStr">
        <is>
          <t>loss</t>
        </is>
      </c>
      <c r="W97" s="26" t="n">
        <v>0</v>
      </c>
      <c r="X97" s="26" t="n">
        <v>2</v>
      </c>
      <c r="Y97" s="25" t="n"/>
      <c r="Z97" s="26" t="n"/>
      <c r="AA97" s="28" t="n"/>
      <c r="AB97" s="28" t="n"/>
      <c r="AC97" s="30" t="n">
        <v>-1.25</v>
      </c>
      <c r="AD97" s="24" t="inlineStr">
        <is>
          <t>2026-10-12T16:14:02.525884Z</t>
        </is>
      </c>
      <c r="AE97" s="31" t="inlineStr">
        <is>
          <t>Neutral Elo baseline; executable ask 0.6200 (market_slug=asc-cs2-ice-sang-2026-10-12-hcap-neg-1pt5).</t>
        </is>
      </c>
      <c r="AF97" s="31" t="inlineStr">
        <is>
          <t>Config-promoted esports baseline; gates enforced at log time.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model_qualified</t>
        </is>
      </c>
      <c r="AL97" s="26" t="n">
        <v>4</v>
      </c>
      <c r="AM97" s="24" t="inlineStr">
        <is>
          <t>QUALIFIED_SHADOW_CALL</t>
        </is>
      </c>
      <c r="AN97" s="24" t="inlineStr">
        <is>
          <t>CALL</t>
        </is>
      </c>
      <c r="AO97" s="24" t="inlineStr">
        <is>
          <t>QUALIFIED</t>
        </is>
      </c>
      <c r="AP97" s="24" t="inlineStr">
        <is>
          <t>Sangal</t>
        </is>
      </c>
      <c r="AQ97" s="24" t="inlineStr">
        <is>
          <t>Sangal</t>
        </is>
      </c>
      <c r="AR97" s="24" t="inlineStr">
        <is>
          <t>Sangal</t>
        </is>
      </c>
      <c r="AS97" s="24" t="inlineStr">
        <is>
          <t>Inner Circle Esports</t>
        </is>
      </c>
      <c r="AT97" s="24" t="inlineStr">
        <is>
          <t>Inner Circle Esports</t>
        </is>
      </c>
      <c r="AU97" s="24" t="inlineStr">
        <is>
          <t>Inner Circle Esports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5cd0800cae96b0a847f71e780360aab219c6bec5b55020885ffdf927ea20432d</t>
        </is>
      </c>
      <c r="BB97" s="24" t="inlineStr">
        <is>
          <t>neutral_elo</t>
        </is>
      </c>
      <c r="BC97" s="24" t="inlineStr">
        <is>
          <t>cs2-spread-tiered-elo-v6</t>
        </is>
      </c>
      <c r="BD97" s="24" t="inlineStr">
        <is>
          <t>5cd0800cae96b0a847f71e780360aab219c6bec5b55020885ffdf927ea20432d</t>
        </is>
      </c>
      <c r="BE97" s="24" t="inlineStr">
        <is>
          <t>1</t>
        </is>
      </c>
      <c r="BF97" s="24" t="inlineStr">
        <is>
          <t>1</t>
        </is>
      </c>
      <c r="BG97" s="24" t="inlineStr">
        <is>
          <t>cs2-spread-tiered-elo-v6</t>
        </is>
      </c>
      <c r="BH97" s="24" t="inlineStr">
        <is>
          <t>2026-10-12T05:42:15.474938Z</t>
        </is>
      </c>
      <c r="BI97" s="24" t="inlineStr">
        <is>
          <t>["same_event","same_team_same_day","same_league_same_day"]</t>
        </is>
      </c>
      <c r="BJ97" s="25" t="n">
        <v>1.5</v>
      </c>
      <c r="BK97" s="26" t="n">
        <v>-163</v>
      </c>
      <c r="BL97" s="27" t="n">
        <v>1.613497</v>
      </c>
      <c r="BM97" s="28" t="n">
        <v>0.619772</v>
      </c>
      <c r="BN97" s="28" t="n"/>
      <c r="BO97" s="28" t="n"/>
      <c r="BP97" s="25" t="n"/>
      <c r="BQ97" s="27" t="n"/>
      <c r="BR97" s="28" t="n"/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True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n"/>
      <c r="DK97" s="24" t="n"/>
      <c r="DL97" s="24" t="n"/>
      <c r="DM97" s="24" t="n"/>
      <c r="DN97" s="24" t="n"/>
      <c r="DO97" s="24" t="n"/>
      <c r="DP97" s="24" t="n"/>
      <c r="DQ97" s="24" t="n"/>
    </row>
    <row r="98" ht="36" customHeight="1">
      <c r="A98" s="24" t="inlineStr">
        <is>
          <t>b696d945731f479a</t>
        </is>
      </c>
      <c r="B98" s="24" t="inlineStr">
        <is>
          <t>2026-10-12T05:45:48.399462Z</t>
        </is>
      </c>
      <c r="C98" s="24" t="inlineStr">
        <is>
          <t>2026-10-12T10:30:00Z</t>
        </is>
      </c>
      <c r="D98" s="24" t="inlineStr">
        <is>
          <t>151512</t>
        </is>
      </c>
      <c r="E98" s="24" t="inlineStr">
        <is>
          <t>CS2</t>
        </is>
      </c>
      <c r="F98" s="24" t="inlineStr">
        <is>
          <t>MOUZ NXT</t>
        </is>
      </c>
      <c r="G98" s="24" t="inlineStr">
        <is>
          <t>Sökerorg</t>
        </is>
      </c>
      <c r="H98" s="24" t="inlineStr">
        <is>
          <t>moneyline</t>
        </is>
      </c>
      <c r="I98" s="24" t="inlineStr">
        <is>
          <t>away</t>
        </is>
      </c>
      <c r="J98" s="25" t="n"/>
      <c r="K98" s="24" t="inlineStr">
        <is>
          <t>polymarket_us</t>
        </is>
      </c>
      <c r="L98" s="26" t="n">
        <v>100</v>
      </c>
      <c r="M98" s="27" t="n">
        <v>2</v>
      </c>
      <c r="N98" s="28" t="n">
        <v>0.5</v>
      </c>
      <c r="O98" s="28" t="n">
        <v>0.549336</v>
      </c>
      <c r="P98" s="28" t="n"/>
      <c r="Q98" s="28" t="n">
        <v>0.049336</v>
      </c>
      <c r="R98" s="26" t="n">
        <v>45</v>
      </c>
      <c r="S98" s="29" t="n">
        <v>1</v>
      </c>
      <c r="T98" s="24" t="inlineStr">
        <is>
          <t>cs2-tiered-elo-v6</t>
        </is>
      </c>
      <c r="U98" s="24" t="inlineStr">
        <is>
          <t>settled</t>
        </is>
      </c>
      <c r="V98" s="24" t="inlineStr">
        <is>
          <t>push</t>
        </is>
      </c>
      <c r="W98" s="26" t="n"/>
      <c r="X98" s="26" t="n"/>
      <c r="Y98" s="25" t="n"/>
      <c r="Z98" s="26" t="n"/>
      <c r="AA98" s="28" t="n"/>
      <c r="AB98" s="28" t="n"/>
      <c r="AC98" s="30" t="n">
        <v>0</v>
      </c>
      <c r="AD98" s="24" t="inlineStr">
        <is>
          <t>2026-10-12T16:14:18.837602Z</t>
        </is>
      </c>
      <c r="AE98" s="31" t="inlineStr">
        <is>
          <t>Neutral Elo baseline; executable ask 0.5000 (market_slug=aec-cs2-skr-mouzn-2026-10-12).</t>
        </is>
      </c>
      <c r="AF98" s="31" t="inlineStr">
        <is>
          <t>Config-promoted esports baseline; gates enforced at log time.</t>
        </is>
      </c>
      <c r="AG98" s="24" t="inlineStr">
        <is>
          <t>not_applicable</t>
        </is>
      </c>
      <c r="AH98" s="24" t="n"/>
      <c r="AI98" s="31" t="n"/>
      <c r="AJ98" s="31" t="n"/>
      <c r="AK98" s="24" t="inlineStr">
        <is>
          <t>model_qualified</t>
        </is>
      </c>
      <c r="AL98" s="26" t="n">
        <v>4</v>
      </c>
      <c r="AM98" s="24" t="inlineStr">
        <is>
          <t>QUALIFIED_SHADOW_CALL</t>
        </is>
      </c>
      <c r="AN98" s="24" t="inlineStr">
        <is>
          <t>CALL</t>
        </is>
      </c>
      <c r="AO98" s="24" t="inlineStr">
        <is>
          <t>QUALIFIED</t>
        </is>
      </c>
      <c r="AP98" s="24" t="inlineStr">
        <is>
          <t>MOUZ NXT</t>
        </is>
      </c>
      <c r="AQ98" s="24" t="inlineStr">
        <is>
          <t>MOUZ NXT</t>
        </is>
      </c>
      <c r="AR98" s="24" t="inlineStr">
        <is>
          <t>MOUZ NXT</t>
        </is>
      </c>
      <c r="AS98" s="24" t="inlineStr">
        <is>
          <t>Sökerorg</t>
        </is>
      </c>
      <c r="AT98" s="24" t="inlineStr">
        <is>
          <t>Sökerorg</t>
        </is>
      </c>
      <c r="AU98" s="24" t="inlineStr">
        <is>
          <t>Sökerorg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5cd0800cae96b0a847f71e780360aab219c6bec5b55020885ffdf927ea20432d</t>
        </is>
      </c>
      <c r="BB98" s="24" t="inlineStr">
        <is>
          <t>neutral_elo</t>
        </is>
      </c>
      <c r="BC98" s="24" t="inlineStr">
        <is>
          <t>cs2-tiered-elo-v6</t>
        </is>
      </c>
      <c r="BD98" s="24" t="inlineStr">
        <is>
          <t>5cd0800cae96b0a847f71e780360aab219c6bec5b55020885ffdf927ea20432d</t>
        </is>
      </c>
      <c r="BE98" s="24" t="inlineStr">
        <is>
          <t>1</t>
        </is>
      </c>
      <c r="BF98" s="24" t="inlineStr">
        <is>
          <t>1</t>
        </is>
      </c>
      <c r="BG98" s="24" t="inlineStr">
        <is>
          <t>cs2-tiered-elo-v6</t>
        </is>
      </c>
      <c r="BH98" s="24" t="inlineStr">
        <is>
          <t>2026-10-12T05:42:35.931933Z</t>
        </is>
      </c>
      <c r="BI98" s="24" t="inlineStr">
        <is>
          <t>["same_event","same_team_same_day","same_league_same_day"]</t>
        </is>
      </c>
      <c r="BJ98" s="25" t="n"/>
      <c r="BK98" s="26" t="n">
        <v>100</v>
      </c>
      <c r="BL98" s="27" t="n">
        <v>2</v>
      </c>
      <c r="BM98" s="28" t="n">
        <v>0.5</v>
      </c>
      <c r="BN98" s="28" t="n"/>
      <c r="BO98" s="28" t="n"/>
      <c r="BP98" s="25" t="n"/>
      <c r="BQ98" s="27" t="n"/>
      <c r="BR98" s="28" t="n"/>
      <c r="BS98" s="28" t="n"/>
      <c r="BT98" s="28" t="n"/>
      <c r="BU98" s="25" t="n"/>
      <c r="BV98" s="29" t="n"/>
      <c r="BW98" s="24" t="inlineStr">
        <is>
          <t>esports market terminal (MARKET_STATE_EXPIRED) with prices {}; BO3 has no confirming finished-match result either</t>
        </is>
      </c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True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n"/>
      <c r="DK98" s="24" t="n"/>
      <c r="DL98" s="24" t="n"/>
      <c r="DM98" s="24" t="n"/>
      <c r="DN98" s="24" t="n"/>
      <c r="DO98" s="24" t="n"/>
      <c r="DP98" s="24" t="n"/>
      <c r="DQ98" s="24" t="inlineStr">
        <is>
          <t>{"artifact_hash": "5cd0800cae96b0a847f71e780360aab219c6bec5b55020885ffdf927ea20432d", "away_team": "MOUZ NXT", "event_id": "151512", "event_start_utc": "2026-10-12T10:30:00Z", "features": {"away_elo": 1535.093541, "away_history_count": 426, "home_elo": 1452.38328, "home_history_count": 4}, "historical_source_observation_times_verified": false, "home_team": "S\u00f6kerorg", "inference_inputs": {"book_state": {"games_played": {"bo3:1:1455": 426, "bo3:1:25400": 4}, "inactivity_half_life_days": null, "inactivity_max_pull": null, "k": 40.0, "last_match_utc": {"bo3:1:1455": "2026-10-09T17:00:00Z", "bo3:1:25400": "2026-10-08T13:00:00Z"}, "minimum_reliable_games": null, "platt_intercept": 0.07018921641875858, "platt_slope": 0.8760672520760501, "ratings": {"bo3:1:1455": 1535.093541, "bo3:1:25400": 1452.38328},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"2026-10-12T05:39:31.787999+00:00", "team_ids": ["bo3:1:25400", "bo3:1:1455"]}, "market_type": "moneyline", "model_version": "cs2-tiered-elo-v6", "observed_at_utc": "2026-10-12T05:39:31.787999+00:00", "probabilities": {"away": 0.549336, "home": 0.450664}, "replay_scope": "Exact serving book state, calibration, temperature, inactivity reference and thin-history adjustments; training provenance not certified.", "schema": "esports-elo-replay-v1", "snapshot_hash": "af5b6b319bdae9bca56478ac8a3ddeaf3b3f8ec170b825b177d1d4a1ab8e2b6c", "sport": "CS2"}</t>
        </is>
      </c>
    </row>
    <row r="99" ht="36" customHeight="1">
      <c r="A99" s="24" t="inlineStr">
        <is>
          <t>f6403674968c40b0</t>
        </is>
      </c>
      <c r="B99" s="24" t="inlineStr">
        <is>
          <t>2026-10-12T05:45:48.399462Z</t>
        </is>
      </c>
      <c r="C99" s="24" t="inlineStr">
        <is>
          <t>2026-10-12T11:00:00Z</t>
        </is>
      </c>
      <c r="D99" s="24" t="inlineStr">
        <is>
          <t>155566</t>
        </is>
      </c>
      <c r="E99" s="24" t="inlineStr">
        <is>
          <t>CS2</t>
        </is>
      </c>
      <c r="F99" s="24" t="inlineStr">
        <is>
          <t>mellren</t>
        </is>
      </c>
      <c r="G99" s="24" t="inlineStr">
        <is>
          <t>Fire Flux Esports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104</v>
      </c>
      <c r="M99" s="27" t="n">
        <v>2.04</v>
      </c>
      <c r="N99" s="28" t="n">
        <v>0.490196</v>
      </c>
      <c r="O99" s="28" t="n">
        <v>0.5905049999999999</v>
      </c>
      <c r="P99" s="28" t="n"/>
      <c r="Q99" s="28" t="n">
        <v>0.100309</v>
      </c>
      <c r="R99" s="26" t="n">
        <v>70</v>
      </c>
      <c r="S99" s="29" t="n">
        <v>1.25</v>
      </c>
      <c r="T99" s="24" t="inlineStr">
        <is>
          <t>cs2-tiered-elo-v6</t>
        </is>
      </c>
      <c r="U99" s="24" t="inlineStr">
        <is>
          <t>settled</t>
        </is>
      </c>
      <c r="V99" s="24" t="inlineStr">
        <is>
          <t>loss</t>
        </is>
      </c>
      <c r="W99" s="26" t="n">
        <v>1</v>
      </c>
      <c r="X99" s="26" t="n">
        <v>0</v>
      </c>
      <c r="Y99" s="25" t="n"/>
      <c r="Z99" s="26" t="n">
        <v>104</v>
      </c>
      <c r="AA99" s="28" t="n">
        <v>0.49</v>
      </c>
      <c r="AB99" s="28" t="n">
        <v>-0.000196</v>
      </c>
      <c r="AC99" s="30" t="n">
        <v>-1.25</v>
      </c>
      <c r="AD99" s="24" t="inlineStr">
        <is>
          <t>2026-10-12T16:14:21.975008Z</t>
        </is>
      </c>
      <c r="AE99" s="31" t="inlineStr">
        <is>
          <t>Neutral Elo baseline; executable ask 0.4900 (market_slug=aec-cs2-ff-mel-2026-10-12).</t>
        </is>
      </c>
      <c r="AF99" s="31" t="inlineStr">
        <is>
          <t>Config-promoted esports baseline; gates enforced at log time.</t>
        </is>
      </c>
      <c r="AG99" s="24" t="inlineStr">
        <is>
          <t>review_required</t>
        </is>
      </c>
      <c r="AH99" s="24" t="n"/>
      <c r="AI99" s="31" t="n"/>
      <c r="AJ99" s="31" t="n"/>
      <c r="AK99" s="24" t="inlineStr">
        <is>
          <t>model_qualified</t>
        </is>
      </c>
      <c r="AL99" s="26" t="n">
        <v>4</v>
      </c>
      <c r="AM99" s="24" t="inlineStr">
        <is>
          <t>QUALIFIED_SHADOW_CALL</t>
        </is>
      </c>
      <c r="AN99" s="24" t="inlineStr">
        <is>
          <t>CALL</t>
        </is>
      </c>
      <c r="AO99" s="24" t="inlineStr">
        <is>
          <t>QUALIFIED</t>
        </is>
      </c>
      <c r="AP99" s="24" t="inlineStr">
        <is>
          <t>mellren</t>
        </is>
      </c>
      <c r="AQ99" s="24" t="inlineStr">
        <is>
          <t>mellren</t>
        </is>
      </c>
      <c r="AR99" s="24" t="inlineStr">
        <is>
          <t>mellren</t>
        </is>
      </c>
      <c r="AS99" s="24" t="inlineStr">
        <is>
          <t>Fire Flux Esports</t>
        </is>
      </c>
      <c r="AT99" s="24" t="inlineStr">
        <is>
          <t>Fire Flux Esports</t>
        </is>
      </c>
      <c r="AU99" s="24" t="inlineStr">
        <is>
          <t>Fire Flux Esports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5cd0800cae96b0a847f71e780360aab219c6bec5b55020885ffdf927ea20432d</t>
        </is>
      </c>
      <c r="BB99" s="24" t="inlineStr">
        <is>
          <t>neutral_elo</t>
        </is>
      </c>
      <c r="BC99" s="24" t="inlineStr">
        <is>
          <t>cs2-tiered-elo-v6</t>
        </is>
      </c>
      <c r="BD99" s="24" t="inlineStr">
        <is>
          <t>5cd0800cae96b0a847f71e780360aab219c6bec5b55020885ffdf927ea20432d</t>
        </is>
      </c>
      <c r="BE99" s="24" t="inlineStr">
        <is>
          <t>1</t>
        </is>
      </c>
      <c r="BF99" s="24" t="inlineStr">
        <is>
          <t>1</t>
        </is>
      </c>
      <c r="BG99" s="24" t="inlineStr">
        <is>
          <t>cs2-tiered-elo-v6</t>
        </is>
      </c>
      <c r="BH99" s="24" t="inlineStr">
        <is>
          <t>2026-10-12T05:42:56.463252Z</t>
        </is>
      </c>
      <c r="BI99" s="24" t="inlineStr">
        <is>
          <t>["same_event","same_team_same_day","same_league_same_day"]</t>
        </is>
      </c>
      <c r="BJ99" s="25" t="n"/>
      <c r="BK99" s="26" t="n">
        <v>104</v>
      </c>
      <c r="BL99" s="27" t="n">
        <v>2.04</v>
      </c>
      <c r="BM99" s="28" t="n">
        <v>0.490196</v>
      </c>
      <c r="BN99" s="28" t="n"/>
      <c r="BO99" s="28" t="n"/>
      <c r="BP99" s="25" t="n"/>
      <c r="BQ99" s="27" t="n">
        <v>2.04</v>
      </c>
      <c r="BR99" s="28" t="n">
        <v>0.49</v>
      </c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True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n"/>
      <c r="DK99" s="24" t="n"/>
      <c r="DL99" s="24" t="n"/>
      <c r="DM99" s="24" t="n"/>
      <c r="DN99" s="24" t="n"/>
      <c r="DO99" s="24" t="n"/>
      <c r="DP99" s="24" t="n"/>
      <c r="DQ99" s="24" t="inlineStr">
        <is>
          <t>{"artifact_hash": "5cd0800cae96b0a847f71e780360aab219c6bec5b55020885ffdf927ea20432d", "away_team": "mellren", "event_id": "155566", "event_start_utc": "2026-10-12T11:00:00Z", "features": {"away_elo": 1665.930289, "away_history_count": 55, "home_elo": 1738.572299, "home_history_count": 322}, "historical_source_observation_times_verified": false, "home_team": "Fire Flux Esports", "inference_inputs": {"book_state": {"games_played": {"bo3:1:16724": 322, "bo3:1:23102": 55}, "inactivity_half_life_days": null, "inactivity_max_pull": null, "k": 40.0, "last_match_utc": {"bo3:1:16724": "2026-10-11T11:00:00Z", "bo3:1:23102": "2026-10-11T17:10:00Z"}, "minimum_reliable_games": null, "platt_intercept": 0.07018921641875858, "platt_slope": 0.8760672520760501, "ratings": {"bo3:1:16724": 1738.572299, "bo3:1:23102": 1665.930289},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"2026-10-12T05:39:31.787999+00:00", "team_ids": ["bo3:1:16724", "bo3:1:23102"]}, "market_type": "moneyline", "model_version": "cs2-tiered-elo-v6", "observed_at_utc": "2026-10-12T05:39:31.787999+00:00", "probabilities": {"away": 0.409495, "home": 0.590505}, "replay_scope": "Exact serving book state, calibration, temperature, inactivity reference and thin-history adjustments; training provenance not certified.", "schema": "esports-elo-replay-v1", "snapshot_hash": "179bd79877c8bef2dcc7901e80a43f137fad2f765fd2fa67283ad17bc7c4204a", "sport": "CS2"}</t>
        </is>
      </c>
    </row>
    <row r="100" ht="36" customHeight="1">
      <c r="A100" s="24" t="inlineStr">
        <is>
          <t>0115fbb793fa4f08</t>
        </is>
      </c>
      <c r="B100" s="24" t="inlineStr">
        <is>
          <t>2026-10-12T11:08:37.299733Z</t>
        </is>
      </c>
      <c r="C100" s="24" t="inlineStr">
        <is>
          <t>2026-10-12T13:00:00Z</t>
        </is>
      </c>
      <c r="D100" s="24" t="inlineStr">
        <is>
          <t>154954</t>
        </is>
      </c>
      <c r="E100" s="24" t="inlineStr">
        <is>
          <t>CS2</t>
        </is>
      </c>
      <c r="F100" s="24" t="inlineStr">
        <is>
          <t>Chinggis Warriors</t>
        </is>
      </c>
      <c r="G100" s="24" t="inlineStr">
        <is>
          <t>Alter Ego</t>
        </is>
      </c>
      <c r="H100" s="24" t="inlineStr">
        <is>
          <t>moneyline</t>
        </is>
      </c>
      <c r="I100" s="24" t="inlineStr">
        <is>
          <t>away</t>
        </is>
      </c>
      <c r="J100" s="25" t="n"/>
      <c r="K100" s="24" t="inlineStr">
        <is>
          <t>polymarket_us</t>
        </is>
      </c>
      <c r="L100" s="26" t="n">
        <v>-170</v>
      </c>
      <c r="M100" s="27" t="n">
        <v>1.588235</v>
      </c>
      <c r="N100" s="28" t="n">
        <v>0.62963</v>
      </c>
      <c r="O100" s="28" t="n">
        <v>0.577776</v>
      </c>
      <c r="P100" s="28" t="n"/>
      <c r="Q100" s="28" t="n">
        <v>-0.051854</v>
      </c>
      <c r="R100" s="26" t="n">
        <v>0</v>
      </c>
      <c r="S100" s="29" t="n">
        <v>1</v>
      </c>
      <c r="T100" s="24" t="inlineStr">
        <is>
          <t>cs2-tiered-elo-v6</t>
        </is>
      </c>
      <c r="U100" s="24" t="inlineStr">
        <is>
          <t>settled</t>
        </is>
      </c>
      <c r="V100" s="24" t="inlineStr">
        <is>
          <t>loss</t>
        </is>
      </c>
      <c r="W100" s="26" t="n">
        <v>0</v>
      </c>
      <c r="X100" s="26" t="n">
        <v>1</v>
      </c>
      <c r="Y100" s="25" t="n"/>
      <c r="Z100" s="26" t="n">
        <v>-170</v>
      </c>
      <c r="AA100" s="28" t="n">
        <v>0.63</v>
      </c>
      <c r="AB100" s="28" t="n">
        <v>0.00037</v>
      </c>
      <c r="AC100" s="30" t="n">
        <v>-1</v>
      </c>
      <c r="AD100" s="24" t="inlineStr">
        <is>
          <t>2026-10-12T16:14:31.180572Z</t>
        </is>
      </c>
      <c r="AE100" s="31" t="inlineStr">
        <is>
          <t>Neutral Elo baseline; executable ask 0.6300 (market_slug=aec-cs2-ae-cw-2026-10-12).</t>
        </is>
      </c>
      <c r="AF100" s="31" t="inlineStr">
        <is>
          <t>Config-promoted esports baseline; gates enforced at log time.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paper_call</t>
        </is>
      </c>
      <c r="AL100" s="26" t="n">
        <v>4</v>
      </c>
      <c r="AM100" s="24" t="inlineStr">
        <is>
          <t>RESEARCH_OBSERVATION</t>
        </is>
      </c>
      <c r="AN100" s="24" t="inlineStr">
        <is>
          <t>CALL</t>
        </is>
      </c>
      <c r="AO100" s="24" t="inlineStr">
        <is>
          <t>PAPER_CALL_LOW_EDGE</t>
        </is>
      </c>
      <c r="AP100" s="24" t="inlineStr">
        <is>
          <t>Chinggis Warriors</t>
        </is>
      </c>
      <c r="AQ100" s="24" t="inlineStr">
        <is>
          <t>Chinggis Warriors</t>
        </is>
      </c>
      <c r="AR100" s="24" t="inlineStr">
        <is>
          <t>Chinggis Warriors</t>
        </is>
      </c>
      <c r="AS100" s="24" t="inlineStr">
        <is>
          <t>Alter Ego</t>
        </is>
      </c>
      <c r="AT100" s="24" t="inlineStr">
        <is>
          <t>Alter Ego</t>
        </is>
      </c>
      <c r="AU100" s="24" t="inlineStr">
        <is>
          <t>Alter Ego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ed5a66b4b21d7fc21a954268aef49078d84ccbaae067d122f673f33ac140891a</t>
        </is>
      </c>
      <c r="BB100" s="24" t="inlineStr">
        <is>
          <t>neutral_elo</t>
        </is>
      </c>
      <c r="BC100" s="24" t="inlineStr">
        <is>
          <t>cs2-tiered-elo-v6</t>
        </is>
      </c>
      <c r="BD100" s="24" t="inlineStr">
        <is>
          <t>ed5a66b4b21d7fc21a954268aef49078d84ccbaae067d122f673f33ac140891a</t>
        </is>
      </c>
      <c r="BE100" s="24" t="inlineStr">
        <is>
          <t>1</t>
        </is>
      </c>
      <c r="BF100" s="24" t="inlineStr">
        <is>
          <t>1</t>
        </is>
      </c>
      <c r="BG100" s="24" t="inlineStr">
        <is>
          <t>cs2-tiered-elo-v6</t>
        </is>
      </c>
      <c r="BH100" s="24" t="inlineStr">
        <is>
          <t>2026-10-12T11:04:45.637716Z</t>
        </is>
      </c>
      <c r="BI100" s="24" t="inlineStr">
        <is>
          <t>["same_event","same_team_same_day","same_league_same_day"]</t>
        </is>
      </c>
      <c r="BJ100" s="25" t="n"/>
      <c r="BK100" s="26" t="n">
        <v>-170</v>
      </c>
      <c r="BL100" s="27" t="n">
        <v>1.588235</v>
      </c>
      <c r="BM100" s="28" t="n">
        <v>0.62963</v>
      </c>
      <c r="BN100" s="28" t="n"/>
      <c r="BO100" s="28" t="n"/>
      <c r="BP100" s="25" t="n"/>
      <c r="BQ100" s="27" t="n">
        <v>1.588235</v>
      </c>
      <c r="BR100" s="28" t="n">
        <v>0.63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False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n"/>
      <c r="DK100" s="24" t="n"/>
      <c r="DL100" s="24" t="n"/>
      <c r="DM100" s="24" t="n"/>
      <c r="DN100" s="24" t="n"/>
      <c r="DO100" s="24" t="n"/>
      <c r="DP100" s="24" t="n"/>
      <c r="DQ100" s="24" t="inlineStr">
        <is>
          <t>{"artifact_hash": "ed5a66b4b21d7fc21a954268aef49078d84ccbaae067d122f673f33ac140891a", "away_team": "Chinggis Warriors", "event_id": "154954", "event_start_utc": "2026-10-12T13:00:00Z", "features": {"away_elo": 1758.853894, "away_history_count": 178, "home_elo": 1670.668079, "home_history_count": 44}, "historical_source_observation_times_verified": false, "home_team": "Alter Ego", "inference_inputs": {"book_state": {"games_played": {"bo3:1:4170": 44, "bo3:1:9974": 178}, "inactivity_half_life_days": null, "inactivity_max_pull": null, "k": 40.0, "last_match_utc": {"bo3:1:4170": "2026-10-11T13:15:00Z", "bo3:1:9974": "2026-10-11T13:00:00Z"}, "minimum_reliable_games": null, "platt_intercept": 0.07088368011361391, "platt_slope": 0.8762633937290433, "ratings": {"bo3:1:4170": 1670.668079, "bo3:1:9974": 1758.853894},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"2026-10-12T11:03:24.072947+00:00", "team_ids": ["bo3:1:4170", "bo3:1:9974"]}, "market_type": "moneyline", "model_version": "cs2-tiered-elo-v6", "observed_at_utc": "2026-10-12T11:03:24.072947+00:00", "probabilities": {"away": 0.577776, "home": 0.422224}, "replay_scope": "Exact serving book state, calibration, temperature, inactivity reference and thin-history adjustments; training provenance not certified.", "schema": "esports-elo-replay-v1", "snapshot_hash": "dc11abf9da4bc9865975f5df9c0ff6f43d4fe312d374578c1eb3eae6a1607084", "sport": "CS2"}</t>
        </is>
      </c>
    </row>
    <row r="101" ht="36" customHeight="1">
      <c r="A101" s="24" t="inlineStr">
        <is>
          <t>6db17803d7274ee1</t>
        </is>
      </c>
      <c r="B101" s="24" t="inlineStr">
        <is>
          <t>2026-10-12T11:08:37.299733Z</t>
        </is>
      </c>
      <c r="C101" s="24" t="inlineStr">
        <is>
          <t>2026-10-12T14:00:00Z</t>
        </is>
      </c>
      <c r="D101" s="24" t="inlineStr">
        <is>
          <t>155540</t>
        </is>
      </c>
      <c r="E101" s="24" t="inlineStr">
        <is>
          <t>CS2</t>
        </is>
      </c>
      <c r="F101" s="24" t="inlineStr">
        <is>
          <t>ACIDHOUZE</t>
        </is>
      </c>
      <c r="G101" s="24" t="inlineStr">
        <is>
          <t>GenOne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-133</v>
      </c>
      <c r="M101" s="27" t="n">
        <v>1.75188</v>
      </c>
      <c r="N101" s="28" t="n">
        <v>0.570815</v>
      </c>
      <c r="O101" s="28" t="n">
        <v>0.591646</v>
      </c>
      <c r="P101" s="28" t="n"/>
      <c r="Q101" s="28" t="n">
        <v>0.020831</v>
      </c>
      <c r="R101" s="26" t="n">
        <v>30</v>
      </c>
      <c r="S101" s="29" t="n">
        <v>1</v>
      </c>
      <c r="T101" s="24" t="inlineStr">
        <is>
          <t>cs2-tiered-elo-v6</t>
        </is>
      </c>
      <c r="U101" s="24" t="inlineStr">
        <is>
          <t>settled</t>
        </is>
      </c>
      <c r="V101" s="24" t="inlineStr">
        <is>
          <t>push</t>
        </is>
      </c>
      <c r="W101" s="26" t="n"/>
      <c r="X101" s="26" t="n"/>
      <c r="Y101" s="25" t="n"/>
      <c r="Z101" s="26" t="n"/>
      <c r="AA101" s="28" t="n"/>
      <c r="AB101" s="28" t="n"/>
      <c r="AC101" s="30" t="n">
        <v>0</v>
      </c>
      <c r="AD101" s="24" t="inlineStr">
        <is>
          <t>2026-10-12T16:14:53.484449Z</t>
        </is>
      </c>
      <c r="AE101" s="31" t="inlineStr">
        <is>
          <t>Neutral Elo baseline; executable ask 0.5700 (market_slug=aec-cs2-g1-aci-2026-10-12).</t>
        </is>
      </c>
      <c r="AF101" s="31" t="inlineStr">
        <is>
          <t>Config-promoted esports baseline; gates enforced at log time.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paper_call</t>
        </is>
      </c>
      <c r="AL101" s="26" t="n">
        <v>4</v>
      </c>
      <c r="AM101" s="24" t="inlineStr">
        <is>
          <t>RESEARCH_OBSERVATION</t>
        </is>
      </c>
      <c r="AN101" s="24" t="inlineStr">
        <is>
          <t>CALL</t>
        </is>
      </c>
      <c r="AO101" s="24" t="inlineStr">
        <is>
          <t>PAPER_CALL_MODEL_UNVALIDATED</t>
        </is>
      </c>
      <c r="AP101" s="24" t="inlineStr">
        <is>
          <t>ACIDHOUZE</t>
        </is>
      </c>
      <c r="AQ101" s="24" t="inlineStr">
        <is>
          <t>ACIDHOUZE</t>
        </is>
      </c>
      <c r="AR101" s="24" t="inlineStr">
        <is>
          <t>ACIDHOUZE</t>
        </is>
      </c>
      <c r="AS101" s="24" t="inlineStr">
        <is>
          <t>GenOne</t>
        </is>
      </c>
      <c r="AT101" s="24" t="inlineStr">
        <is>
          <t>GenOne</t>
        </is>
      </c>
      <c r="AU101" s="24" t="inlineStr">
        <is>
          <t>GenOne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ed5a66b4b21d7fc21a954268aef49078d84ccbaae067d122f673f33ac140891a</t>
        </is>
      </c>
      <c r="BB101" s="24" t="inlineStr">
        <is>
          <t>neutral_elo</t>
        </is>
      </c>
      <c r="BC101" s="24" t="inlineStr">
        <is>
          <t>cs2-tiered-elo-v6</t>
        </is>
      </c>
      <c r="BD101" s="24" t="inlineStr">
        <is>
          <t>ed5a66b4b21d7fc21a954268aef49078d84ccbaae067d122f673f33ac140891a</t>
        </is>
      </c>
      <c r="BE101" s="24" t="inlineStr">
        <is>
          <t>1</t>
        </is>
      </c>
      <c r="BF101" s="24" t="inlineStr">
        <is>
          <t>1</t>
        </is>
      </c>
      <c r="BG101" s="24" t="inlineStr">
        <is>
          <t>cs2-tiered-elo-v6</t>
        </is>
      </c>
      <c r="BH101" s="24" t="inlineStr">
        <is>
          <t>2026-10-12T11:06:10.884264Z</t>
        </is>
      </c>
      <c r="BI101" s="24" t="inlineStr">
        <is>
          <t>["same_event","same_team_same_day","same_league_same_day"]</t>
        </is>
      </c>
      <c r="BJ101" s="25" t="n"/>
      <c r="BK101" s="26" t="n">
        <v>-133</v>
      </c>
      <c r="BL101" s="27" t="n">
        <v>1.75188</v>
      </c>
      <c r="BM101" s="28" t="n">
        <v>0.570815</v>
      </c>
      <c r="BN101" s="28" t="n"/>
      <c r="BO101" s="28" t="n"/>
      <c r="BP101" s="25" t="n"/>
      <c r="BQ101" s="27" t="n"/>
      <c r="BR101" s="28" t="n"/>
      <c r="BS101" s="28" t="n"/>
      <c r="BT101" s="28" t="n"/>
      <c r="BU101" s="25" t="n"/>
      <c r="BV101" s="29" t="n"/>
      <c r="BW101" s="24" t="inlineStr">
        <is>
          <t>esports market terminal (MARKET_STATE_EXPIRED) with prices {}; BO3 has no confirming finished-match result either</t>
        </is>
      </c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True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n"/>
      <c r="DK101" s="24" t="n"/>
      <c r="DL101" s="24" t="n"/>
      <c r="DM101" s="24" t="n"/>
      <c r="DN101" s="24" t="n"/>
      <c r="DO101" s="24" t="n"/>
      <c r="DP101" s="24" t="n"/>
      <c r="DQ101" s="24" t="inlineStr">
        <is>
          <t>{"artifact_hash": "ed5a66b4b21d7fc21a954268aef49078d84ccbaae067d122f673f33ac140891a", "away_team": "ACIDHOUZE", "event_id": "155540", "event_start_utc": "2026-10-12T14:00:00Z", "features": {"away_elo": 1500.0, "away_history_count": 0, "home_elo": 1690.512652, "home_history_count": 470}, "historical_source_observation_times_verified": false, "home_team": "GenOne", "inference_inputs": {"book_state": {"games_played": {"bo3:1:1406": 470}, "inactivity_half_life_days": null, "inactivity_max_pull": null, "k": 40.0, "last_match_utc": {"bo3:1:1406": "2026-09-26T16:00:00Z"}, "minimum_reliable_games": null, "platt_intercept": 0.07088368011361391, "platt_slope": 0.8762633937290433, "ratings": {"bo3:1:1406": 1690.512652},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"2026-10-12T11:03:24.072947+00:00", "team_ids": ["bo3:1:1406", "unknown:acidhouze"]}, "market_type": "moneyline", "model_version": "cs2-tiered-elo-v6", "observed_at_utc": "2026-10-12T11:03:24.072947+00:00", "probabilities": {"away": 0.408354, "home": 0.591646}, "replay_scope": "Exact serving book state, calibration, temperature, inactivity reference and thin-history adjustments; training provenance not certified.", "schema": "esports-elo-replay-v1", "snapshot_hash": "9c1a4fe9e02628771bcc577aea87c6ff55a6ca8026b98f0ad44d22b49713bba9", "sport": "CS2"}</t>
        </is>
      </c>
    </row>
    <row r="102" ht="36" customHeight="1">
      <c r="A102" s="24" t="inlineStr">
        <is>
          <t>f66c127bfc384bf0</t>
        </is>
      </c>
      <c r="B102" s="24" t="inlineStr">
        <is>
          <t>2026-10-12T11:08:37.299733Z</t>
        </is>
      </c>
      <c r="C102" s="24" t="inlineStr">
        <is>
          <t>2026-10-12T14:00:00Z</t>
        </is>
      </c>
      <c r="D102" s="24" t="inlineStr">
        <is>
          <t>155567</t>
        </is>
      </c>
      <c r="E102" s="24" t="inlineStr">
        <is>
          <t>CS2</t>
        </is>
      </c>
      <c r="F102" s="24" t="inlineStr">
        <is>
          <t>ILLYRIANS</t>
        </is>
      </c>
      <c r="G102" s="24" t="inlineStr">
        <is>
          <t>SAW Youngsters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186</v>
      </c>
      <c r="M102" s="27" t="n">
        <v>2.86</v>
      </c>
      <c r="N102" s="28" t="n">
        <v>0.34965</v>
      </c>
      <c r="O102" s="28" t="n">
        <v>0.555225</v>
      </c>
      <c r="P102" s="28" t="n"/>
      <c r="Q102" s="28" t="n">
        <v>0.205575</v>
      </c>
      <c r="R102" s="26" t="n">
        <v>100</v>
      </c>
      <c r="S102" s="29" t="n">
        <v>2</v>
      </c>
      <c r="T102" s="24" t="inlineStr">
        <is>
          <t>cs2-tiered-elo-v6</t>
        </is>
      </c>
      <c r="U102" s="24" t="inlineStr">
        <is>
          <t>settled</t>
        </is>
      </c>
      <c r="V102" s="24" t="inlineStr">
        <is>
          <t>loss</t>
        </is>
      </c>
      <c r="W102" s="26" t="n">
        <v>1</v>
      </c>
      <c r="X102" s="26" t="n">
        <v>0</v>
      </c>
      <c r="Y102" s="25" t="n"/>
      <c r="Z102" s="26" t="n">
        <v>186</v>
      </c>
      <c r="AA102" s="28" t="n">
        <v>0.35</v>
      </c>
      <c r="AB102" s="28" t="n">
        <v>0.00035</v>
      </c>
      <c r="AC102" s="30" t="n">
        <v>-2</v>
      </c>
      <c r="AD102" s="24" t="inlineStr">
        <is>
          <t>2026-10-12T22:03:10.945088Z</t>
        </is>
      </c>
      <c r="AE102" s="31" t="inlineStr">
        <is>
          <t>Neutral Elo baseline; executable ask 0.3500 (market_slug=aec-cs2-sawy-ill-2026-10-12).</t>
        </is>
      </c>
      <c r="AF102" s="31" t="inlineStr">
        <is>
          <t>Config-promoted esports baseline; gates enforced at log time.</t>
        </is>
      </c>
      <c r="AG102" s="24" t="inlineStr">
        <is>
          <t>review_required</t>
        </is>
      </c>
      <c r="AH102" s="24" t="n"/>
      <c r="AI102" s="31" t="n"/>
      <c r="AJ102" s="31" t="n"/>
      <c r="AK102" s="24" t="inlineStr">
        <is>
          <t>model_qualified</t>
        </is>
      </c>
      <c r="AL102" s="26" t="n">
        <v>4</v>
      </c>
      <c r="AM102" s="24" t="inlineStr">
        <is>
          <t>QUALIFIED_SHADOW_CALL</t>
        </is>
      </c>
      <c r="AN102" s="24" t="inlineStr">
        <is>
          <t>CALL</t>
        </is>
      </c>
      <c r="AO102" s="24" t="inlineStr">
        <is>
          <t>QUALIFIED</t>
        </is>
      </c>
      <c r="AP102" s="24" t="inlineStr">
        <is>
          <t>ILLYRIANS</t>
        </is>
      </c>
      <c r="AQ102" s="24" t="inlineStr">
        <is>
          <t>ILLYRIANS</t>
        </is>
      </c>
      <c r="AR102" s="24" t="inlineStr">
        <is>
          <t>ILLYRIANS</t>
        </is>
      </c>
      <c r="AS102" s="24" t="inlineStr">
        <is>
          <t>SAW Youngsters</t>
        </is>
      </c>
      <c r="AT102" s="24" t="inlineStr">
        <is>
          <t>SAW Youngsters</t>
        </is>
      </c>
      <c r="AU102" s="24" t="inlineStr">
        <is>
          <t>SAW Youngsters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ed5a66b4b21d7fc21a954268aef49078d84ccbaae067d122f673f33ac140891a</t>
        </is>
      </c>
      <c r="BB102" s="24" t="inlineStr">
        <is>
          <t>neutral_elo</t>
        </is>
      </c>
      <c r="BC102" s="24" t="inlineStr">
        <is>
          <t>cs2-tiered-elo-v6</t>
        </is>
      </c>
      <c r="BD102" s="24" t="inlineStr">
        <is>
          <t>ed5a66b4b21d7fc21a954268aef49078d84ccbaae067d122f673f33ac140891a</t>
        </is>
      </c>
      <c r="BE102" s="24" t="inlineStr">
        <is>
          <t>1</t>
        </is>
      </c>
      <c r="BF102" s="24" t="inlineStr">
        <is>
          <t>1</t>
        </is>
      </c>
      <c r="BG102" s="24" t="inlineStr">
        <is>
          <t>cs2-tiered-elo-v6</t>
        </is>
      </c>
      <c r="BH102" s="24" t="inlineStr">
        <is>
          <t>2026-10-12T11:06:11.827104Z</t>
        </is>
      </c>
      <c r="BI102" s="24" t="inlineStr">
        <is>
          <t>["same_event","same_team_same_day","same_league_same_day"]</t>
        </is>
      </c>
      <c r="BJ102" s="25" t="n"/>
      <c r="BK102" s="26" t="n">
        <v>186</v>
      </c>
      <c r="BL102" s="27" t="n">
        <v>2.86</v>
      </c>
      <c r="BM102" s="28" t="n">
        <v>0.34965</v>
      </c>
      <c r="BN102" s="28" t="n"/>
      <c r="BO102" s="28" t="n"/>
      <c r="BP102" s="25" t="n"/>
      <c r="BQ102" s="27" t="n">
        <v>2.86</v>
      </c>
      <c r="BR102" s="28" t="n">
        <v>0.35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True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n"/>
      <c r="DK102" s="24" t="n"/>
      <c r="DL102" s="24" t="n"/>
      <c r="DM102" s="24" t="n"/>
      <c r="DN102" s="24" t="n"/>
      <c r="DO102" s="24" t="n"/>
      <c r="DP102" s="24" t="n"/>
      <c r="DQ102" s="24" t="inlineStr">
        <is>
          <t>{"artifact_hash": "ed5a66b4b21d7fc21a954268aef49078d84ccbaae067d122f673f33ac140891a", "away_team": "ILLYRIANS", "event_id": "155567", "event_start_utc": "2026-10-12T14:00:00Z", "features": {"away_elo": 1556.019126, "away_history_count": 23, "home_elo": 1594.793321, "home_history_count": 38}, "historical_source_observation_times_verified": false, "home_team": "SAW Youngsters", "inference_inputs": {"book_state": {"games_played": {"bo3:1:1582": 38, "bo3:1:3022": 23}, "inactivity_half_life_days": null, "inactivity_max_pull": null, "k": 40.0, "last_match_utc": {"bo3:1:1582": "2026-10-10T17:00:00Z", "bo3:1:3022": "2026-10-11T08:10:00Z"}, "minimum_reliable_games": null, "platt_intercept": 0.07088368011361391, "platt_slope": 0.8762633937290433, "ratings": {"bo3:1:1582": 1594.793321, "bo3:1:3022": 1556.019126},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"2026-10-12T11:03:24.072947+00:00", "team_ids": ["bo3:1:1582", "bo3:1:3022"]}, "market_type": "moneyline", "model_version": "cs2-tiered-elo-v6", "observed_at_utc": "2026-10-12T11:03:24.072947+00:00", "probabilities": {"away": 0.444775, "home": 0.555225}, "replay_scope": "Exact serving book state, calibration, temperature, inactivity reference and thin-history adjustments; training provenance not certified.", "schema": "esports-elo-replay-v1", "snapshot_hash": "34c76e809910031e8a7c78febc81b34f434f707fd965261308e0751439c61041", "sport": "CS2"}</t>
        </is>
      </c>
    </row>
    <row r="103" ht="36" customHeight="1">
      <c r="A103" s="24" t="inlineStr">
        <is>
          <t>42f24e38710c4538</t>
        </is>
      </c>
      <c r="B103" s="24" t="inlineStr">
        <is>
          <t>2026-10-12T11:08:37.299733Z</t>
        </is>
      </c>
      <c r="C103" s="24" t="inlineStr">
        <is>
          <t>2026-10-12T16:00:00Z</t>
        </is>
      </c>
      <c r="D103" s="24" t="inlineStr">
        <is>
          <t>151513</t>
        </is>
      </c>
      <c r="E103" s="24" t="inlineStr">
        <is>
          <t>CS2</t>
        </is>
      </c>
      <c r="F103" s="24" t="inlineStr">
        <is>
          <t>Team LEISURE</t>
        </is>
      </c>
      <c r="G103" s="24" t="inlineStr">
        <is>
          <t>Regnum4Games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-194</v>
      </c>
      <c r="M103" s="27" t="n">
        <v>1.515464</v>
      </c>
      <c r="N103" s="28" t="n">
        <v>0.659864</v>
      </c>
      <c r="O103" s="28" t="n">
        <v>0.523601</v>
      </c>
      <c r="P103" s="28" t="n"/>
      <c r="Q103" s="28" t="n">
        <v>-0.136263</v>
      </c>
      <c r="R103" s="26" t="n">
        <v>0</v>
      </c>
      <c r="S103" s="29" t="n">
        <v>1</v>
      </c>
      <c r="T103" s="24" t="inlineStr">
        <is>
          <t>cs2-tiered-elo-v6</t>
        </is>
      </c>
      <c r="U103" s="24" t="inlineStr">
        <is>
          <t>settled</t>
        </is>
      </c>
      <c r="V103" s="24" t="inlineStr">
        <is>
          <t>loss</t>
        </is>
      </c>
      <c r="W103" s="26" t="n">
        <v>1</v>
      </c>
      <c r="X103" s="26" t="n">
        <v>0</v>
      </c>
      <c r="Y103" s="25" t="n"/>
      <c r="Z103" s="26" t="n">
        <v>-194</v>
      </c>
      <c r="AA103" s="28" t="n">
        <v>0.66</v>
      </c>
      <c r="AB103" s="28" t="n">
        <v>0.000136</v>
      </c>
      <c r="AC103" s="30" t="n">
        <v>-1</v>
      </c>
      <c r="AD103" s="24" t="inlineStr">
        <is>
          <t>2026-10-12T22:03:16.568357Z</t>
        </is>
      </c>
      <c r="AE103" s="31" t="inlineStr">
        <is>
          <t>Neutral Elo baseline; executable ask 0.6600 (market_slug=aec-cs2-r4g-lei-2026-10-12).</t>
        </is>
      </c>
      <c r="AF103" s="31" t="inlineStr">
        <is>
          <t>Config-promoted esports baseline; gates enforced at log time.</t>
        </is>
      </c>
      <c r="AG103" s="24" t="inlineStr">
        <is>
          <t>review_required</t>
        </is>
      </c>
      <c r="AH103" s="24" t="n"/>
      <c r="AI103" s="31" t="n"/>
      <c r="AJ103" s="31" t="n"/>
      <c r="AK103" s="24" t="inlineStr">
        <is>
          <t>paper_call</t>
        </is>
      </c>
      <c r="AL103" s="26" t="n">
        <v>4</v>
      </c>
      <c r="AM103" s="24" t="inlineStr">
        <is>
          <t>RESEARCH_OBSERVATION</t>
        </is>
      </c>
      <c r="AN103" s="24" t="inlineStr">
        <is>
          <t>CALL</t>
        </is>
      </c>
      <c r="AO103" s="24" t="inlineStr">
        <is>
          <t>PAPER_CALL_LOW_EDGE</t>
        </is>
      </c>
      <c r="AP103" s="24" t="inlineStr">
        <is>
          <t>Team LEISURE</t>
        </is>
      </c>
      <c r="AQ103" s="24" t="inlineStr">
        <is>
          <t>Team LEISURE</t>
        </is>
      </c>
      <c r="AR103" s="24" t="inlineStr">
        <is>
          <t>Team LEISURE</t>
        </is>
      </c>
      <c r="AS103" s="24" t="inlineStr">
        <is>
          <t>Regnum4Games</t>
        </is>
      </c>
      <c r="AT103" s="24" t="inlineStr">
        <is>
          <t>Regnum4Games</t>
        </is>
      </c>
      <c r="AU103" s="24" t="inlineStr">
        <is>
          <t>Regnum4Games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ed5a66b4b21d7fc21a954268aef49078d84ccbaae067d122f673f33ac140891a</t>
        </is>
      </c>
      <c r="BB103" s="24" t="inlineStr">
        <is>
          <t>neutral_elo</t>
        </is>
      </c>
      <c r="BC103" s="24" t="inlineStr">
        <is>
          <t>cs2-tiered-elo-v6</t>
        </is>
      </c>
      <c r="BD103" s="24" t="inlineStr">
        <is>
          <t>ed5a66b4b21d7fc21a954268aef49078d84ccbaae067d122f673f33ac140891a</t>
        </is>
      </c>
      <c r="BE103" s="24" t="inlineStr">
        <is>
          <t>1</t>
        </is>
      </c>
      <c r="BF103" s="24" t="inlineStr">
        <is>
          <t>1</t>
        </is>
      </c>
      <c r="BG103" s="24" t="inlineStr">
        <is>
          <t>cs2-tiered-elo-v6</t>
        </is>
      </c>
      <c r="BH103" s="24" t="inlineStr">
        <is>
          <t>2026-10-12T11:06:22.524461Z</t>
        </is>
      </c>
      <c r="BI103" s="24" t="inlineStr">
        <is>
          <t>["same_event","same_team_same_day","same_league_same_day"]</t>
        </is>
      </c>
      <c r="BJ103" s="25" t="n"/>
      <c r="BK103" s="26" t="n">
        <v>-194</v>
      </c>
      <c r="BL103" s="27" t="n">
        <v>1.515464</v>
      </c>
      <c r="BM103" s="28" t="n">
        <v>0.659864</v>
      </c>
      <c r="BN103" s="28" t="n"/>
      <c r="BO103" s="28" t="n"/>
      <c r="BP103" s="25" t="n"/>
      <c r="BQ103" s="27" t="n">
        <v>1.515464</v>
      </c>
      <c r="BR103" s="28" t="n">
        <v>0.66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False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n"/>
      <c r="DK103" s="24" t="n"/>
      <c r="DL103" s="24" t="n"/>
      <c r="DM103" s="24" t="n"/>
      <c r="DN103" s="24" t="n"/>
      <c r="DO103" s="24" t="n"/>
      <c r="DP103" s="24" t="n"/>
      <c r="DQ103" s="24" t="inlineStr">
        <is>
          <t>{"artifact_hash": "ed5a66b4b21d7fc21a954268aef49078d84ccbaae067d122f673f33ac140891a", "away_team": "Team LEISURE", "event_id": "151513", "event_start_utc": "2026-10-12T16:00:00Z", "features": {"away_elo": 1423.069723, "away_history_count": 12, "home_elo": 1433.38545, "home_history_count": 30}, "historical_source_observation_times_verified": false, "home_team": "Regnum4Games", "inference_inputs": {"book_state": {"games_played": {"bo3:1:11165": 30, "bo3:1:22949": 12}, "inactivity_half_life_days": null, "inactivity_max_pull": null, "k": 40.0, "last_match_utc": {"bo3:1:11165": "2026-10-08T16:10:00Z", "bo3:1:22949": "2026-10-05T18:00:00Z"}, "minimum_reliable_games": null, "platt_intercept": 0.07088368011361391, "platt_slope": 0.8762633937290433, "ratings": {"bo3:1:11165": 1433.38545, "bo3:1:22949": 1423.069723},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"2026-10-12T11:03:24.072947+00:00", "team_ids": ["bo3:1:11165", "bo3:1:22949"]}, "market_type": "moneyline", "model_version": "cs2-tiered-elo-v6", "observed_at_utc": "2026-10-12T11:03:24.072947+00:00", "probabilities": {"away": 0.476399, "home": 0.523601}, "replay_scope": "Exact serving book state, calibration, temperature, inactivity reference and thin-history adjustments; training provenance not certified.", "schema": "esports-elo-replay-v1", "snapshot_hash": "a1809334ed63910f55b4cde0c1a33b69145b4119e98bef7c9be983b4711e9e62", "sport": "CS2"}</t>
        </is>
      </c>
    </row>
    <row r="104" ht="36" customHeight="1">
      <c r="A104" s="24" t="inlineStr">
        <is>
          <t>35cda84c80bd409c</t>
        </is>
      </c>
      <c r="B104" s="24" t="inlineStr">
        <is>
          <t>2026-10-12T16:56:10.273313Z</t>
        </is>
      </c>
      <c r="C104" s="24" t="inlineStr">
        <is>
          <t>2026-10-12T17:00:00Z</t>
        </is>
      </c>
      <c r="D104" s="24" t="inlineStr">
        <is>
          <t>155691</t>
        </is>
      </c>
      <c r="E104" s="24" t="inlineStr">
        <is>
          <t>CS2</t>
        </is>
      </c>
      <c r="F104" s="24" t="inlineStr">
        <is>
          <t>Fraternity</t>
        </is>
      </c>
      <c r="G104" s="24" t="inlineStr">
        <is>
          <t>Rcave</t>
        </is>
      </c>
      <c r="H104" s="24" t="inlineStr">
        <is>
          <t>moneyline</t>
        </is>
      </c>
      <c r="I104" s="24" t="inlineStr">
        <is>
          <t>away</t>
        </is>
      </c>
      <c r="J104" s="25" t="n"/>
      <c r="K104" s="24" t="inlineStr">
        <is>
          <t>polymarket_us</t>
        </is>
      </c>
      <c r="L104" s="26" t="n">
        <v>-117</v>
      </c>
      <c r="M104" s="27" t="n">
        <v>1.854701</v>
      </c>
      <c r="N104" s="28" t="n">
        <v>0.539171</v>
      </c>
      <c r="O104" s="28" t="n">
        <v>0.519572</v>
      </c>
      <c r="P104" s="28" t="n"/>
      <c r="Q104" s="28" t="n">
        <v>-0.019599</v>
      </c>
      <c r="R104" s="26" t="n">
        <v>10</v>
      </c>
      <c r="S104" s="29" t="n">
        <v>1</v>
      </c>
      <c r="T104" s="24" t="inlineStr">
        <is>
          <t>cs2-tiered-elo-v6</t>
        </is>
      </c>
      <c r="U104" s="24" t="inlineStr">
        <is>
          <t>settled</t>
        </is>
      </c>
      <c r="V104" s="24" t="inlineStr">
        <is>
          <t>win</t>
        </is>
      </c>
      <c r="W104" s="26" t="n">
        <v>1</v>
      </c>
      <c r="X104" s="26" t="n">
        <v>0</v>
      </c>
      <c r="Y104" s="25" t="n"/>
      <c r="Z104" s="26" t="n">
        <v>-270</v>
      </c>
      <c r="AA104" s="28" t="n">
        <v>0.73</v>
      </c>
      <c r="AB104" s="28" t="n">
        <v>0.190829</v>
      </c>
      <c r="AC104" s="30" t="n">
        <v>0.8547</v>
      </c>
      <c r="AD104" s="24" t="inlineStr">
        <is>
          <t>2026-10-12T22:03:21.746593Z</t>
        </is>
      </c>
      <c r="AE104" s="31" t="inlineStr">
        <is>
          <t>Neutral Elo baseline; executable ask 0.5400 (market_slug=aec-cs2-rcave-frt-2026-10-12).</t>
        </is>
      </c>
      <c r="AF104" s="31" t="inlineStr">
        <is>
          <t>Config-promoted esports baseline; gates enforced at log time.</t>
        </is>
      </c>
      <c r="AG104" s="24" t="inlineStr">
        <is>
          <t>not_applicable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4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PAPER_CALL_LOW_EDGE</t>
        </is>
      </c>
      <c r="AP104" s="24" t="inlineStr">
        <is>
          <t>Fraternity</t>
        </is>
      </c>
      <c r="AQ104" s="24" t="inlineStr">
        <is>
          <t>Fraternity</t>
        </is>
      </c>
      <c r="AR104" s="24" t="inlineStr">
        <is>
          <t>Fraternity</t>
        </is>
      </c>
      <c r="AS104" s="24" t="inlineStr">
        <is>
          <t>Rcave</t>
        </is>
      </c>
      <c r="AT104" s="24" t="inlineStr">
        <is>
          <t>Rcave</t>
        </is>
      </c>
      <c r="AU104" s="24" t="inlineStr">
        <is>
          <t>Rcave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a0465555c428c09019a66b6329616143a97515bbc6fa310fe8b21099a260dbfe</t>
        </is>
      </c>
      <c r="BB104" s="24" t="inlineStr">
        <is>
          <t>neutral_elo</t>
        </is>
      </c>
      <c r="BC104" s="24" t="inlineStr">
        <is>
          <t>cs2-tiered-elo-v6</t>
        </is>
      </c>
      <c r="BD104" s="24" t="inlineStr">
        <is>
          <t>a0465555c428c09019a66b6329616143a97515bbc6fa310fe8b21099a260dbfe</t>
        </is>
      </c>
      <c r="BE104" s="24" t="inlineStr">
        <is>
          <t>1</t>
        </is>
      </c>
      <c r="BF104" s="24" t="inlineStr">
        <is>
          <t>1</t>
        </is>
      </c>
      <c r="BG104" s="24" t="inlineStr">
        <is>
          <t>cs2-tiered-elo-v6</t>
        </is>
      </c>
      <c r="BH104" s="24" t="inlineStr">
        <is>
          <t>2026-10-12T16:52:11.672521Z</t>
        </is>
      </c>
      <c r="BI104" s="24" t="inlineStr">
        <is>
          <t>["same_event","same_team_same_day","same_league_same_day"]</t>
        </is>
      </c>
      <c r="BJ104" s="25" t="n"/>
      <c r="BK104" s="26" t="n">
        <v>-117</v>
      </c>
      <c r="BL104" s="27" t="n">
        <v>1.854701</v>
      </c>
      <c r="BM104" s="28" t="n">
        <v>0.539171</v>
      </c>
      <c r="BN104" s="28" t="n"/>
      <c r="BO104" s="28" t="n"/>
      <c r="BP104" s="25" t="n"/>
      <c r="BQ104" s="27" t="n">
        <v>1.37037</v>
      </c>
      <c r="BR104" s="28" t="n">
        <v>0.73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False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n"/>
      <c r="DK104" s="24" t="n"/>
      <c r="DL104" s="24" t="n"/>
      <c r="DM104" s="24" t="n"/>
      <c r="DN104" s="24" t="n"/>
      <c r="DO104" s="24" t="n"/>
      <c r="DP104" s="24" t="n"/>
      <c r="DQ104" s="24" t="inlineStr">
        <is>
          <t>{"artifact_hash": "a0465555c428c09019a66b6329616143a97515bbc6fa310fe8b21099a260dbfe", "away_team": "Fraternity", "event_id": "155691", "event_start_utc": "2026-10-12T17:00:00Z", "features": {"away_elo": 1466.787293, "away_history_count": 15, "home_elo": 1346.445271, "home_history_count": 9}, "historical_source_observation_times_verified": false, "home_team": "Rcave", "inference_inputs": {"book_state": {"games_played": {"bo3:1:22011": 9, "bo3:1:24535": 15}, "inactivity_half_life_days": null, "inactivity_max_pull": null, "k": 40.0, "last_match_utc": {"bo3:1:22011": "2026-03-08T19:30:00Z", "bo3:1:24535": "2026-10-06T18:45:00Z"}, "minimum_reliable_games": null, "platt_intercept": 0.06980754087244778, "platt_slope": 0.8754642190395835, "ratings": {"bo3:1:22011": 1346.445271, "bo3:1:24535": 1466.787293},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"2026-10-12T16:51:27.199169+00:00", "team_ids": ["bo3:1:22011", "bo3:1:24535"]}, "market_type": "moneyline", "model_version": "cs2-tiered-elo-v6", "observed_at_utc": "2026-10-12T16:51:27.199169+00:00", "probabilities": {"away": 0.519572, "home": 0.480428}, "replay_scope": "Exact serving book state, calibration, temperature, inactivity reference and thin-history adjustments; training provenance not certified.", "schema": "esports-elo-replay-v1", "snapshot_hash": "9376371a0eec431725a927dce18ffdd4c1a3e5f0b563dfadc3e78b86345506d2", "sport": "CS2"}</t>
        </is>
      </c>
    </row>
    <row r="105" ht="36" customHeight="1">
      <c r="A105" s="24" t="inlineStr">
        <is>
          <t>f0f60b3464a44c03</t>
        </is>
      </c>
      <c r="B105" s="24" t="inlineStr">
        <is>
          <t>2026-10-12T16:56:10.273313Z</t>
        </is>
      </c>
      <c r="C105" s="24" t="inlineStr">
        <is>
          <t>2026-10-12T18:00:00Z</t>
        </is>
      </c>
      <c r="D105" s="24" t="inlineStr">
        <is>
          <t>151515</t>
        </is>
      </c>
      <c r="E105" s="24" t="inlineStr">
        <is>
          <t>CS2</t>
        </is>
      </c>
      <c r="F105" s="24" t="inlineStr">
        <is>
          <t>Reveal</t>
        </is>
      </c>
      <c r="G105" s="24" t="inlineStr">
        <is>
          <t>BLUEJAYS.de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113</v>
      </c>
      <c r="M105" s="27" t="n">
        <v>2.13</v>
      </c>
      <c r="N105" s="28" t="n">
        <v>0.469484</v>
      </c>
      <c r="O105" s="28" t="n">
        <v>0.527547</v>
      </c>
      <c r="P105" s="28" t="n"/>
      <c r="Q105" s="28" t="n">
        <v>0.058063</v>
      </c>
      <c r="R105" s="26" t="n">
        <v>49</v>
      </c>
      <c r="S105" s="29" t="n">
        <v>1</v>
      </c>
      <c r="T105" s="24" t="inlineStr">
        <is>
          <t>cs2-tiered-elo-v6</t>
        </is>
      </c>
      <c r="U105" s="24" t="inlineStr">
        <is>
          <t>settled</t>
        </is>
      </c>
      <c r="V105" s="24" t="inlineStr">
        <is>
          <t>push</t>
        </is>
      </c>
      <c r="W105" s="26" t="n"/>
      <c r="X105" s="26" t="n"/>
      <c r="Y105" s="25" t="n"/>
      <c r="Z105" s="26" t="n"/>
      <c r="AA105" s="28" t="n"/>
      <c r="AB105" s="28" t="n"/>
      <c r="AC105" s="30" t="n">
        <v>0</v>
      </c>
      <c r="AD105" s="24" t="inlineStr">
        <is>
          <t>2026-10-13T16:15:44.846769Z</t>
        </is>
      </c>
      <c r="AE105" s="31" t="inlineStr">
        <is>
          <t>Neutral Elo baseline; executable ask 0.4700 (market_slug=aec-cs2-bdl-reve-2026-10-12).</t>
        </is>
      </c>
      <c r="AF105" s="31" t="inlineStr">
        <is>
          <t>Config-promoted esports baseline; gates enforced at log time.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paper_call</t>
        </is>
      </c>
      <c r="AL105" s="26" t="n">
        <v>4</v>
      </c>
      <c r="AM105" s="24" t="inlineStr">
        <is>
          <t>RESEARCH_OBSERVATION</t>
        </is>
      </c>
      <c r="AN105" s="24" t="inlineStr">
        <is>
          <t>CALL</t>
        </is>
      </c>
      <c r="AO105" s="24" t="inlineStr">
        <is>
          <t>PAPER_CALL_LOW_EDGE</t>
        </is>
      </c>
      <c r="AP105" s="24" t="inlineStr">
        <is>
          <t>Reveal</t>
        </is>
      </c>
      <c r="AQ105" s="24" t="inlineStr">
        <is>
          <t>Reveal</t>
        </is>
      </c>
      <c r="AR105" s="24" t="inlineStr">
        <is>
          <t>Reveal</t>
        </is>
      </c>
      <c r="AS105" s="24" t="inlineStr">
        <is>
          <t>BLUEJAYS.de</t>
        </is>
      </c>
      <c r="AT105" s="24" t="inlineStr">
        <is>
          <t>BLUEJAYS.de</t>
        </is>
      </c>
      <c r="AU105" s="24" t="inlineStr">
        <is>
          <t>BLUEJAYS.de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a0465555c428c09019a66b6329616143a97515bbc6fa310fe8b21099a260dbfe</t>
        </is>
      </c>
      <c r="BB105" s="24" t="inlineStr">
        <is>
          <t>neutral_elo</t>
        </is>
      </c>
      <c r="BC105" s="24" t="inlineStr">
        <is>
          <t>cs2-tiered-elo-v6</t>
        </is>
      </c>
      <c r="BD105" s="24" t="inlineStr">
        <is>
          <t>a0465555c428c09019a66b6329616143a97515bbc6fa310fe8b21099a260dbfe</t>
        </is>
      </c>
      <c r="BE105" s="24" t="inlineStr">
        <is>
          <t>1</t>
        </is>
      </c>
      <c r="BF105" s="24" t="inlineStr">
        <is>
          <t>1</t>
        </is>
      </c>
      <c r="BG105" s="24" t="inlineStr">
        <is>
          <t>cs2-tiered-elo-v6</t>
        </is>
      </c>
      <c r="BH105" s="24" t="inlineStr">
        <is>
          <t>2026-10-12T16:52:32.100477Z</t>
        </is>
      </c>
      <c r="BI105" s="24" t="inlineStr">
        <is>
          <t>["same_event","same_team_same_day","same_league_same_day"]</t>
        </is>
      </c>
      <c r="BJ105" s="25" t="n"/>
      <c r="BK105" s="26" t="n">
        <v>113</v>
      </c>
      <c r="BL105" s="27" t="n">
        <v>2.13</v>
      </c>
      <c r="BM105" s="28" t="n">
        <v>0.469484</v>
      </c>
      <c r="BN105" s="28" t="n"/>
      <c r="BO105" s="28" t="n"/>
      <c r="BP105" s="25" t="n"/>
      <c r="BQ105" s="27" t="n"/>
      <c r="BR105" s="28" t="n"/>
      <c r="BS105" s="28" t="n"/>
      <c r="BT105" s="28" t="n"/>
      <c r="BU105" s="25" t="n"/>
      <c r="BV105" s="29" t="n"/>
      <c r="BW105" s="24" t="inlineStr">
        <is>
          <t>esports market terminal (MARKET_STATE_EXPIRED) with prices {'BLUEJAYS.de': 0.37, 'Reveal': 0.63}; BO3 has no confirming finished-match result either</t>
        </is>
      </c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True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n"/>
      <c r="DK105" s="24" t="n"/>
      <c r="DL105" s="24" t="n"/>
      <c r="DM105" s="24" t="n"/>
      <c r="DN105" s="24" t="n"/>
      <c r="DO105" s="24" t="n"/>
      <c r="DP105" s="24" t="n"/>
      <c r="DQ105" s="24" t="inlineStr">
        <is>
          <t>{"artifact_hash": "a0465555c428c09019a66b6329616143a97515bbc6fa310fe8b21099a260dbfe", "away_team": "Reveal", "event_id": "151515", "event_start_utc": "2026-10-12T18:00:00Z", "features": {"away_elo": 1485.496156, "away_history_count": 37, "home_elo": 1507.061312, "home_history_count": 5}, "historical_source_observation_times_verified": false, "home_team": "BLUEJAYS.de", "inference_inputs": {"book_state": {"games_played": {"bo3:1:25257": 5, "bo3:1:5147": 37}, "inactivity_half_life_days": null, "inactivity_max_pull": null, "k": 40.0, "last_match_utc": {"bo3:1:25257": "2026-10-07T16:00:00Z", "bo3:1:5147": "2026-10-07T18:00:00Z"}, "minimum_reliable_games": null, "platt_intercept": 0.06980754087244778, "platt_slope": 0.8754642190395835, "ratings": {"bo3:1:25257": 1507.061312, "bo3:1:5147": 1485.496156},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"2026-10-12T16:51:27.199169+00:00", "team_ids": ["bo3:1:25257", "bo3:1:5147"]}, "market_type": "moneyline", "model_version": "cs2-tiered-elo-v6", "observed_at_utc": "2026-10-12T16:51:27.199169+00:00", "probabilities": {"away": 0.472453, "home": 0.527547}, "replay_scope": "Exact serving book state, calibration, temperature, inactivity reference and thin-history adjustments; training provenance not certified.", "schema": "esports-elo-replay-v1", "snapshot_hash": "f108be183caeade5c90856e1fdf7369f6e447b9b8093d98a1a8fd6695a121f10", "sport": "CS2"}</t>
        </is>
      </c>
    </row>
    <row r="106" ht="36" customHeight="1">
      <c r="A106" s="24" t="inlineStr">
        <is>
          <t>7068129d01d84aa6</t>
        </is>
      </c>
      <c r="B106" s="24" t="inlineStr">
        <is>
          <t>2026-10-12T16:56:10.273313Z</t>
        </is>
      </c>
      <c r="C106" s="24" t="inlineStr">
        <is>
          <t>2026-10-12T21:00:00Z</t>
        </is>
      </c>
      <c r="D106" s="24" t="inlineStr">
        <is>
          <t>153977</t>
        </is>
      </c>
      <c r="E106" s="24" t="inlineStr">
        <is>
          <t>CS2</t>
        </is>
      </c>
      <c r="F106" s="24" t="inlineStr">
        <is>
          <t>largadosypelados</t>
        </is>
      </c>
      <c r="G106" s="24" t="inlineStr">
        <is>
          <t>ex-Keyd Stars</t>
        </is>
      </c>
      <c r="H106" s="24" t="inlineStr">
        <is>
          <t>moneyline</t>
        </is>
      </c>
      <c r="I106" s="24" t="inlineStr">
        <is>
          <t>home</t>
        </is>
      </c>
      <c r="J106" s="25" t="n"/>
      <c r="K106" s="24" t="inlineStr">
        <is>
          <t>polymarket_us</t>
        </is>
      </c>
      <c r="L106" s="26" t="n">
        <v>163</v>
      </c>
      <c r="M106" s="27" t="n">
        <v>2.63</v>
      </c>
      <c r="N106" s="28" t="n">
        <v>0.380228</v>
      </c>
      <c r="O106" s="28" t="n">
        <v>0.561924</v>
      </c>
      <c r="P106" s="28" t="n"/>
      <c r="Q106" s="28" t="n">
        <v>0.181696</v>
      </c>
      <c r="R106" s="26" t="n">
        <v>100</v>
      </c>
      <c r="S106" s="29" t="n">
        <v>2</v>
      </c>
      <c r="T106" s="24" t="inlineStr">
        <is>
          <t>cs2-tiered-elo-v6</t>
        </is>
      </c>
      <c r="U106" s="24" t="inlineStr">
        <is>
          <t>settled</t>
        </is>
      </c>
      <c r="V106" s="24" t="inlineStr">
        <is>
          <t>loss</t>
        </is>
      </c>
      <c r="W106" s="26" t="n">
        <v>1</v>
      </c>
      <c r="X106" s="26" t="n">
        <v>0</v>
      </c>
      <c r="Y106" s="25" t="n"/>
      <c r="Z106" s="26" t="n">
        <v>163</v>
      </c>
      <c r="AA106" s="28" t="n">
        <v>0.38</v>
      </c>
      <c r="AB106" s="28" t="n">
        <v>-0.000228</v>
      </c>
      <c r="AC106" s="30" t="n">
        <v>-2</v>
      </c>
      <c r="AD106" s="24" t="inlineStr">
        <is>
          <t>2026-10-13T04:37:22.938598Z</t>
        </is>
      </c>
      <c r="AE106" s="31" t="inlineStr">
        <is>
          <t>Neutral Elo baseline; executable ask 0.3800 (market_slug=aec-cs2-eks-ldp-2026-10-12).</t>
        </is>
      </c>
      <c r="AF106" s="31" t="inlineStr">
        <is>
          <t>Config-promoted esports baseline; gates enforced at log time.</t>
        </is>
      </c>
      <c r="AG106" s="24" t="inlineStr">
        <is>
          <t>review_required</t>
        </is>
      </c>
      <c r="AH106" s="24" t="n"/>
      <c r="AI106" s="31" t="n"/>
      <c r="AJ106" s="31" t="n"/>
      <c r="AK106" s="24" t="inlineStr">
        <is>
          <t>paper_call</t>
        </is>
      </c>
      <c r="AL106" s="26" t="n">
        <v>4</v>
      </c>
      <c r="AM106" s="24" t="inlineStr">
        <is>
          <t>RESEARCH_OBSERVATION</t>
        </is>
      </c>
      <c r="AN106" s="24" t="inlineStr">
        <is>
          <t>CALL</t>
        </is>
      </c>
      <c r="AO106" s="24" t="inlineStr">
        <is>
          <t>PAPER_CALL_MODEL_UNVALIDATED</t>
        </is>
      </c>
      <c r="AP106" s="24" t="inlineStr">
        <is>
          <t>largadosypelados</t>
        </is>
      </c>
      <c r="AQ106" s="24" t="inlineStr">
        <is>
          <t>largadosypelados</t>
        </is>
      </c>
      <c r="AR106" s="24" t="inlineStr">
        <is>
          <t>largadosypelados</t>
        </is>
      </c>
      <c r="AS106" s="24" t="inlineStr">
        <is>
          <t>ex-Keyd Stars</t>
        </is>
      </c>
      <c r="AT106" s="24" t="inlineStr">
        <is>
          <t>ex-Keyd Stars</t>
        </is>
      </c>
      <c r="AU106" s="24" t="inlineStr">
        <is>
          <t>ex-Keyd Stars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a0465555c428c09019a66b6329616143a97515bbc6fa310fe8b21099a260dbfe</t>
        </is>
      </c>
      <c r="BB106" s="24" t="inlineStr">
        <is>
          <t>neutral_elo</t>
        </is>
      </c>
      <c r="BC106" s="24" t="inlineStr">
        <is>
          <t>cs2-tiered-elo-v6</t>
        </is>
      </c>
      <c r="BD106" s="24" t="inlineStr">
        <is>
          <t>a0465555c428c09019a66b6329616143a97515bbc6fa310fe8b21099a260dbfe</t>
        </is>
      </c>
      <c r="BE106" s="24" t="inlineStr">
        <is>
          <t>1</t>
        </is>
      </c>
      <c r="BF106" s="24" t="inlineStr">
        <is>
          <t>1</t>
        </is>
      </c>
      <c r="BG106" s="24" t="inlineStr">
        <is>
          <t>cs2-tiered-elo-v6</t>
        </is>
      </c>
      <c r="BH106" s="24" t="inlineStr">
        <is>
          <t>2026-10-12T16:53:06.688819Z</t>
        </is>
      </c>
      <c r="BI106" s="24" t="inlineStr">
        <is>
          <t>["same_event","same_team_same_day","same_league_same_day"]</t>
        </is>
      </c>
      <c r="BJ106" s="25" t="n"/>
      <c r="BK106" s="26" t="n">
        <v>163</v>
      </c>
      <c r="BL106" s="27" t="n">
        <v>2.63</v>
      </c>
      <c r="BM106" s="28" t="n">
        <v>0.380228</v>
      </c>
      <c r="BN106" s="28" t="n"/>
      <c r="BO106" s="28" t="n"/>
      <c r="BP106" s="25" t="n"/>
      <c r="BQ106" s="27" t="n">
        <v>2.63</v>
      </c>
      <c r="BR106" s="28" t="n">
        <v>0.38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True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n"/>
      <c r="DK106" s="24" t="n"/>
      <c r="DL106" s="24" t="n"/>
      <c r="DM106" s="24" t="n"/>
      <c r="DN106" s="24" t="n"/>
      <c r="DO106" s="24" t="n"/>
      <c r="DP106" s="24" t="n"/>
      <c r="DQ106" s="24" t="inlineStr">
        <is>
          <t>{"artifact_hash": "a0465555c428c09019a66b6329616143a97515bbc6fa310fe8b21099a260dbfe", "away_team": "largadosypelados", "event_id": "153977", "event_start_utc": "2026-10-12T21:00:00Z", "features": {"away_elo": 1500.0, "away_history_count": 0, "home_elo": 1606.377388, "home_history_count": 5}, "historical_source_observation_times_verified": false, "home_team": "ex-Keyd Stars", "inference_inputs": {"book_state": {"games_played": {"bo3:1:21424": 5}, "inactivity_half_life_days": null, "inactivity_max_pull": null, "k": 40.0, "last_match_utc": {"bo3:1:21424": "2026-10-10T21:00:00Z"}, "minimum_reliable_games": null, "platt_intercept": 0.06980754087244778, "platt_slope": 0.8754642190395835, "ratings": {"bo3:1:21424": 1606.377388},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"2026-10-12T16:51:27.199169+00:00", "team_ids": ["bo3:1:21424", "unknown:largadosypelados"]}, "market_type": "moneyline", "model_version": "cs2-tiered-elo-v6", "observed_at_utc": "2026-10-12T16:51:27.199169+00:00", "probabilities": {"away": 0.438076, "home": 0.561924}, "replay_scope": "Exact serving book state, calibration, temperature, inactivity reference and thin-history adjustments; training provenance not certified.", "schema": "esports-elo-replay-v1", "snapshot_hash": "99d98264f1c7d669000e6df38d357214757546a3f65a9a6df4a24b272e76d7ee", "sport": "CS2"}</t>
        </is>
      </c>
    </row>
    <row r="107" ht="36" customHeight="1">
      <c r="A107" s="24" t="inlineStr">
        <is>
          <t>4192be892c9b474a</t>
        </is>
      </c>
      <c r="B107" s="24" t="inlineStr">
        <is>
          <t>2026-10-12T16:56:10.273313Z</t>
        </is>
      </c>
      <c r="C107" s="24" t="inlineStr">
        <is>
          <t>2026-10-12T21:00:00Z</t>
        </is>
      </c>
      <c r="D107" s="24" t="inlineStr">
        <is>
          <t>155630</t>
        </is>
      </c>
      <c r="E107" s="24" t="inlineStr">
        <is>
          <t>CS2</t>
        </is>
      </c>
      <c r="F107" s="24" t="inlineStr">
        <is>
          <t>Bounty Hunters Esports</t>
        </is>
      </c>
      <c r="G107" s="24" t="inlineStr">
        <is>
          <t>Galorys</t>
        </is>
      </c>
      <c r="H107" s="24" t="inlineStr">
        <is>
          <t>moneyline</t>
        </is>
      </c>
      <c r="I107" s="24" t="inlineStr">
        <is>
          <t>home</t>
        </is>
      </c>
      <c r="J107" s="25" t="n"/>
      <c r="K107" s="24" t="inlineStr">
        <is>
          <t>polymarket_us</t>
        </is>
      </c>
      <c r="L107" s="26" t="n">
        <v>-203</v>
      </c>
      <c r="M107" s="27" t="n">
        <v>1.492611</v>
      </c>
      <c r="N107" s="28" t="n">
        <v>0.669967</v>
      </c>
      <c r="O107" s="28" t="n">
        <v>0.591248</v>
      </c>
      <c r="P107" s="28" t="n"/>
      <c r="Q107" s="28" t="n">
        <v>-0.078719</v>
      </c>
      <c r="R107" s="26" t="n">
        <v>0</v>
      </c>
      <c r="S107" s="29" t="n">
        <v>1</v>
      </c>
      <c r="T107" s="24" t="inlineStr">
        <is>
          <t>cs2-tiered-elo-v6</t>
        </is>
      </c>
      <c r="U107" s="24" t="inlineStr">
        <is>
          <t>settled</t>
        </is>
      </c>
      <c r="V107" s="24" t="inlineStr">
        <is>
          <t>win</t>
        </is>
      </c>
      <c r="W107" s="26" t="n">
        <v>0</v>
      </c>
      <c r="X107" s="26" t="n">
        <v>1</v>
      </c>
      <c r="Y107" s="25" t="n"/>
      <c r="Z107" s="26" t="n">
        <v>-203</v>
      </c>
      <c r="AA107" s="28" t="n">
        <v>0.67</v>
      </c>
      <c r="AB107" s="28" t="n">
        <v>3.3e-05</v>
      </c>
      <c r="AC107" s="30" t="n">
        <v>0.4926</v>
      </c>
      <c r="AD107" s="24" t="inlineStr">
        <is>
          <t>2026-10-13T04:37:44.230289Z</t>
        </is>
      </c>
      <c r="AE107" s="31" t="inlineStr">
        <is>
          <t>Neutral Elo baseline; executable ask 0.6700 (market_slug=aec-cs2-gls-bhe-2026-10-12).</t>
        </is>
      </c>
      <c r="AF107" s="31" t="inlineStr">
        <is>
          <t>Config-promoted esports baseline; gates enforced at log time.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paper_call</t>
        </is>
      </c>
      <c r="AL107" s="26" t="n">
        <v>4</v>
      </c>
      <c r="AM107" s="24" t="inlineStr">
        <is>
          <t>RESEARCH_OBSERVATION</t>
        </is>
      </c>
      <c r="AN107" s="24" t="inlineStr">
        <is>
          <t>CALL</t>
        </is>
      </c>
      <c r="AO107" s="24" t="inlineStr">
        <is>
          <t>PAPER_CALL_LOW_EDGE</t>
        </is>
      </c>
      <c r="AP107" s="24" t="inlineStr">
        <is>
          <t>Bounty Hunters Esports</t>
        </is>
      </c>
      <c r="AQ107" s="24" t="inlineStr">
        <is>
          <t>Bounty Hunters Esports</t>
        </is>
      </c>
      <c r="AR107" s="24" t="inlineStr">
        <is>
          <t>Bounty Hunters Esports</t>
        </is>
      </c>
      <c r="AS107" s="24" t="inlineStr">
        <is>
          <t>Galorys</t>
        </is>
      </c>
      <c r="AT107" s="24" t="inlineStr">
        <is>
          <t>Galorys</t>
        </is>
      </c>
      <c r="AU107" s="24" t="inlineStr">
        <is>
          <t>Galorys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a0465555c428c09019a66b6329616143a97515bbc6fa310fe8b21099a260dbfe</t>
        </is>
      </c>
      <c r="BB107" s="24" t="inlineStr">
        <is>
          <t>neutral_elo</t>
        </is>
      </c>
      <c r="BC107" s="24" t="inlineStr">
        <is>
          <t>cs2-tiered-elo-v6</t>
        </is>
      </c>
      <c r="BD107" s="24" t="inlineStr">
        <is>
          <t>a0465555c428c09019a66b6329616143a97515bbc6fa310fe8b21099a260dbfe</t>
        </is>
      </c>
      <c r="BE107" s="24" t="inlineStr">
        <is>
          <t>1</t>
        </is>
      </c>
      <c r="BF107" s="24" t="inlineStr">
        <is>
          <t>1</t>
        </is>
      </c>
      <c r="BG107" s="24" t="inlineStr">
        <is>
          <t>cs2-tiered-elo-v6</t>
        </is>
      </c>
      <c r="BH107" s="24" t="inlineStr">
        <is>
          <t>2026-10-12T16:53:49.232687Z</t>
        </is>
      </c>
      <c r="BI107" s="24" t="inlineStr">
        <is>
          <t>["same_event","same_team_same_day","same_league_same_day"]</t>
        </is>
      </c>
      <c r="BJ107" s="25" t="n"/>
      <c r="BK107" s="26" t="n">
        <v>-203</v>
      </c>
      <c r="BL107" s="27" t="n">
        <v>1.492611</v>
      </c>
      <c r="BM107" s="28" t="n">
        <v>0.669967</v>
      </c>
      <c r="BN107" s="28" t="n"/>
      <c r="BO107" s="28" t="n"/>
      <c r="BP107" s="25" t="n"/>
      <c r="BQ107" s="27" t="n">
        <v>1.492611</v>
      </c>
      <c r="BR107" s="28" t="n">
        <v>0.67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False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n"/>
      <c r="DK107" s="24" t="n"/>
      <c r="DL107" s="24" t="n"/>
      <c r="DM107" s="24" t="n"/>
      <c r="DN107" s="24" t="n"/>
      <c r="DO107" s="24" t="n"/>
      <c r="DP107" s="24" t="n"/>
      <c r="DQ107" s="24" t="inlineStr">
        <is>
          <t>{"artifact_hash": "a0465555c428c09019a66b6329616143a97515bbc6fa310fe8b21099a260dbfe", "away_team": "Bounty Hunters Esports", "event_id": "155630", "event_start_utc": "2026-10-12T21:00:00Z", "features": {"away_elo": 1696.683692, "away_history_count": 330, "home_elo": 1769.800227, "home_history_count": 312}, "historical_source_observation_times_verified": false, "home_team": "Galorys", "inference_inputs": {"book_state": {"games_played": {"bo3:1:10049": 312, "bo3:1:6282": 330}, "inactivity_half_life_days": null, "inactivity_max_pull": null, "k": 40.0, "last_match_utc": {"bo3:1:10049": "2026-10-11T21:10:00Z", "bo3:1:6282": "2026-10-11T21:00:00Z"}, "minimum_reliable_games": null, "platt_intercept": 0.06980754087244778, "platt_slope": 0.8754642190395835, "ratings": {"bo3:1:10049": 1769.800227, "bo3:1:6282": 1696.683692},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"2026-10-12T16:51:27.199169+00:00", "team_ids": ["bo3:1:10049", "bo3:1:6282"]}, "market_type": "moneyline", "model_version": "cs2-tiered-elo-v6", "observed_at_utc": "2026-10-12T16:51:27.199169+00:00", "probabilities": {"away": 0.408752, "home": 0.591248}, "replay_scope": "Exact serving book state, calibration, temperature, inactivity reference and thin-history adjustments; training provenance not certified.", "schema": "esports-elo-replay-v1", "snapshot_hash": "b301f54635097abbc37b4121e2ff51598552383095ca0825a1faa4fa36395b79", "sport": "CS2"}</t>
        </is>
      </c>
    </row>
    <row r="108" ht="36" customHeight="1">
      <c r="A108" s="24" t="inlineStr">
        <is>
          <t>533da5bba7664ab1</t>
        </is>
      </c>
      <c r="B108" s="24" t="inlineStr">
        <is>
          <t>2026-10-12T16:56:10.273313Z</t>
        </is>
      </c>
      <c r="C108" s="24" t="inlineStr">
        <is>
          <t>2026-10-12T21:00:00Z</t>
        </is>
      </c>
      <c r="D108" s="24" t="inlineStr">
        <is>
          <t>155630</t>
        </is>
      </c>
      <c r="E108" s="24" t="inlineStr">
        <is>
          <t>CS2</t>
        </is>
      </c>
      <c r="F108" s="24" t="inlineStr">
        <is>
          <t>Bounty Hunters Esports</t>
        </is>
      </c>
      <c r="G108" s="24" t="inlineStr">
        <is>
          <t>Galorys</t>
        </is>
      </c>
      <c r="H108" s="24" t="inlineStr">
        <is>
          <t>total</t>
        </is>
      </c>
      <c r="I108" s="24" t="inlineStr">
        <is>
          <t>under</t>
        </is>
      </c>
      <c r="J108" s="25" t="n">
        <v>2.5</v>
      </c>
      <c r="K108" s="24" t="inlineStr">
        <is>
          <t>polymarket_us</t>
        </is>
      </c>
      <c r="L108" s="26" t="n">
        <v>-144</v>
      </c>
      <c r="M108" s="27" t="n">
        <v>1.694444</v>
      </c>
      <c r="N108" s="28" t="n">
        <v>0.590164</v>
      </c>
      <c r="O108" s="28" t="n">
        <v>0.507475</v>
      </c>
      <c r="P108" s="28" t="n"/>
      <c r="Q108" s="28" t="n">
        <v>-0.082689</v>
      </c>
      <c r="R108" s="26" t="n">
        <v>0</v>
      </c>
      <c r="S108" s="29" t="n">
        <v>1</v>
      </c>
      <c r="T108" s="24" t="inlineStr">
        <is>
          <t>cs2-total-tiered-elo-v6</t>
        </is>
      </c>
      <c r="U108" s="24" t="inlineStr">
        <is>
          <t>settled</t>
        </is>
      </c>
      <c r="V108" s="24" t="inlineStr">
        <is>
          <t>loss</t>
        </is>
      </c>
      <c r="W108" s="26" t="n">
        <v>1</v>
      </c>
      <c r="X108" s="26" t="n">
        <v>2</v>
      </c>
      <c r="Y108" s="25" t="n"/>
      <c r="Z108" s="26" t="n"/>
      <c r="AA108" s="28" t="n"/>
      <c r="AB108" s="28" t="n"/>
      <c r="AC108" s="30" t="n">
        <v>-1</v>
      </c>
      <c r="AD108" s="24" t="inlineStr">
        <is>
          <t>2026-10-13T04:37:53.331584Z</t>
        </is>
      </c>
      <c r="AE108" s="31" t="inlineStr">
        <is>
          <t>Neutral Elo baseline; executable ask 0.5900 (market_slug=tsc-cs2-gls-bhe-2026-10-12-tot-2pt5).</t>
        </is>
      </c>
      <c r="AF108" s="31" t="inlineStr">
        <is>
          <t>Config-promoted esports baseline; gates enforced at log time.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paper_call</t>
        </is>
      </c>
      <c r="AL108" s="26" t="n">
        <v>4</v>
      </c>
      <c r="AM108" s="24" t="inlineStr">
        <is>
          <t>RESEARCH_OBSERVATION</t>
        </is>
      </c>
      <c r="AN108" s="24" t="inlineStr">
        <is>
          <t>CALL</t>
        </is>
      </c>
      <c r="AO108" s="24" t="inlineStr">
        <is>
          <t>PAPER_CALL_LOW_EDGE</t>
        </is>
      </c>
      <c r="AP108" s="24" t="inlineStr">
        <is>
          <t>Bounty Hunters Esports</t>
        </is>
      </c>
      <c r="AQ108" s="24" t="inlineStr">
        <is>
          <t>Bounty Hunters Esports</t>
        </is>
      </c>
      <c r="AR108" s="24" t="inlineStr">
        <is>
          <t>Bounty Hunters Esports</t>
        </is>
      </c>
      <c r="AS108" s="24" t="inlineStr">
        <is>
          <t>Galorys</t>
        </is>
      </c>
      <c r="AT108" s="24" t="inlineStr">
        <is>
          <t>Galorys</t>
        </is>
      </c>
      <c r="AU108" s="24" t="inlineStr">
        <is>
          <t>Galorys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a0465555c428c09019a66b6329616143a97515bbc6fa310fe8b21099a260dbfe</t>
        </is>
      </c>
      <c r="BB108" s="24" t="inlineStr">
        <is>
          <t>neutral_elo</t>
        </is>
      </c>
      <c r="BC108" s="24" t="inlineStr">
        <is>
          <t>cs2-total-tiered-elo-v6</t>
        </is>
      </c>
      <c r="BD108" s="24" t="inlineStr">
        <is>
          <t>a0465555c428c09019a66b6329616143a97515bbc6fa310fe8b21099a260dbfe</t>
        </is>
      </c>
      <c r="BE108" s="24" t="inlineStr">
        <is>
          <t>1</t>
        </is>
      </c>
      <c r="BF108" s="24" t="inlineStr">
        <is>
          <t>1</t>
        </is>
      </c>
      <c r="BG108" s="24" t="inlineStr">
        <is>
          <t>cs2-total-tiered-elo-v6</t>
        </is>
      </c>
      <c r="BH108" s="24" t="inlineStr">
        <is>
          <t>2026-10-12T16:53:49.367352Z</t>
        </is>
      </c>
      <c r="BI108" s="24" t="inlineStr">
        <is>
          <t>["same_event","same_team_same_day","same_league_same_day"]</t>
        </is>
      </c>
      <c r="BJ108" s="25" t="n">
        <v>2.5</v>
      </c>
      <c r="BK108" s="26" t="n">
        <v>-144</v>
      </c>
      <c r="BL108" s="27" t="n">
        <v>1.694444</v>
      </c>
      <c r="BM108" s="28" t="n">
        <v>0.590164</v>
      </c>
      <c r="BN108" s="28" t="n"/>
      <c r="BO108" s="28" t="n"/>
      <c r="BP108" s="25" t="n"/>
      <c r="BQ108" s="27" t="n"/>
      <c r="BR108" s="28" t="n"/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False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n"/>
      <c r="DK108" s="24" t="n"/>
      <c r="DL108" s="24" t="n"/>
      <c r="DM108" s="24" t="n"/>
      <c r="DN108" s="24" t="n"/>
      <c r="DO108" s="24" t="n"/>
      <c r="DP108" s="24" t="n"/>
      <c r="DQ108" s="24" t="n"/>
    </row>
    <row r="109" ht="36" customHeight="1">
      <c r="A109" s="24" t="inlineStr">
        <is>
          <t>42ec06f787874dad</t>
        </is>
      </c>
      <c r="B109" s="24" t="inlineStr">
        <is>
          <t>2026-10-12T22:33:13.668143Z</t>
        </is>
      </c>
      <c r="C109" s="24" t="inlineStr">
        <is>
          <t>2026-10-13T01:00:00Z</t>
        </is>
      </c>
      <c r="D109" s="24" t="inlineStr">
        <is>
          <t>154375</t>
        </is>
      </c>
      <c r="E109" s="24" t="inlineStr">
        <is>
          <t>CS2</t>
        </is>
      </c>
      <c r="F109" s="24" t="inlineStr">
        <is>
          <t>Zomblers</t>
        </is>
      </c>
      <c r="G109" s="24" t="inlineStr">
        <is>
          <t>Chicken Coop Esports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-178</v>
      </c>
      <c r="M109" s="27" t="n">
        <v>1.561798</v>
      </c>
      <c r="N109" s="28" t="n">
        <v>0.640288</v>
      </c>
      <c r="O109" s="28" t="n">
        <v>0.522445</v>
      </c>
      <c r="P109" s="28" t="n"/>
      <c r="Q109" s="28" t="n">
        <v>-0.117843</v>
      </c>
      <c r="R109" s="26" t="n">
        <v>0</v>
      </c>
      <c r="S109" s="29" t="n">
        <v>1</v>
      </c>
      <c r="T109" s="24" t="inlineStr">
        <is>
          <t>cs2-tiered-elo-v6</t>
        </is>
      </c>
      <c r="U109" s="24" t="inlineStr">
        <is>
          <t>settled</t>
        </is>
      </c>
      <c r="V109" s="24" t="inlineStr">
        <is>
          <t>win</t>
        </is>
      </c>
      <c r="W109" s="26" t="n">
        <v>0</v>
      </c>
      <c r="X109" s="26" t="n">
        <v>1</v>
      </c>
      <c r="Y109" s="25" t="n"/>
      <c r="Z109" s="26" t="n">
        <v>-178</v>
      </c>
      <c r="AA109" s="28" t="n">
        <v>0.64</v>
      </c>
      <c r="AB109" s="28" t="n">
        <v>-0.000288</v>
      </c>
      <c r="AC109" s="30" t="n">
        <v>0.5618</v>
      </c>
      <c r="AD109" s="24" t="inlineStr">
        <is>
          <t>2026-10-13T04:37:56.674171Z</t>
        </is>
      </c>
      <c r="AE109" s="31" t="inlineStr">
        <is>
          <t>Neutral Elo baseline; executable ask 0.6400 (market_slug=aec-cs2-cce-zomb-2026-10-13).</t>
        </is>
      </c>
      <c r="AF109" s="31" t="inlineStr">
        <is>
          <t>Config-promoted esports baseline; gates enforced at log time.</t>
        </is>
      </c>
      <c r="AG109" s="24" t="inlineStr">
        <is>
          <t>not_applicable</t>
        </is>
      </c>
      <c r="AH109" s="24" t="n"/>
      <c r="AI109" s="31" t="n"/>
      <c r="AJ109" s="31" t="n"/>
      <c r="AK109" s="24" t="inlineStr">
        <is>
          <t>paper_call</t>
        </is>
      </c>
      <c r="AL109" s="26" t="n">
        <v>4</v>
      </c>
      <c r="AM109" s="24" t="inlineStr">
        <is>
          <t>RESEARCH_OBSERVATION</t>
        </is>
      </c>
      <c r="AN109" s="24" t="inlineStr">
        <is>
          <t>CALL</t>
        </is>
      </c>
      <c r="AO109" s="24" t="inlineStr">
        <is>
          <t>PAPER_CALL_LOW_EDGE</t>
        </is>
      </c>
      <c r="AP109" s="24" t="inlineStr">
        <is>
          <t>Zomblers</t>
        </is>
      </c>
      <c r="AQ109" s="24" t="inlineStr">
        <is>
          <t>Zomblers</t>
        </is>
      </c>
      <c r="AR109" s="24" t="inlineStr">
        <is>
          <t>Zomblers</t>
        </is>
      </c>
      <c r="AS109" s="24" t="inlineStr">
        <is>
          <t>Chicken Coop Esports</t>
        </is>
      </c>
      <c r="AT109" s="24" t="inlineStr">
        <is>
          <t>Chicken Coop Esports</t>
        </is>
      </c>
      <c r="AU109" s="24" t="inlineStr">
        <is>
          <t>Chicken Coop Esports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52475b3450f81f01a6156a9a14ab541c78ea8530e709107548f2d449b043d625</t>
        </is>
      </c>
      <c r="BB109" s="24" t="inlineStr">
        <is>
          <t>neutral_elo</t>
        </is>
      </c>
      <c r="BC109" s="24" t="inlineStr">
        <is>
          <t>cs2-tiered-elo-v6</t>
        </is>
      </c>
      <c r="BD109" s="24" t="inlineStr">
        <is>
          <t>52475b3450f81f01a6156a9a14ab541c78ea8530e709107548f2d449b043d625</t>
        </is>
      </c>
      <c r="BE109" s="24" t="inlineStr">
        <is>
          <t>1</t>
        </is>
      </c>
      <c r="BF109" s="24" t="inlineStr">
        <is>
          <t>1</t>
        </is>
      </c>
      <c r="BG109" s="24" t="inlineStr">
        <is>
          <t>cs2-tiered-elo-v6</t>
        </is>
      </c>
      <c r="BH109" s="24" t="inlineStr">
        <is>
          <t>2026-10-12T22:27:44.687544Z</t>
        </is>
      </c>
      <c r="BI109" s="24" t="inlineStr">
        <is>
          <t>["same_event","same_team_same_day","same_league_same_day"]</t>
        </is>
      </c>
      <c r="BJ109" s="25" t="n"/>
      <c r="BK109" s="26" t="n">
        <v>-178</v>
      </c>
      <c r="BL109" s="27" t="n">
        <v>1.561798</v>
      </c>
      <c r="BM109" s="28" t="n">
        <v>0.640288</v>
      </c>
      <c r="BN109" s="28" t="n"/>
      <c r="BO109" s="28" t="n"/>
      <c r="BP109" s="25" t="n"/>
      <c r="BQ109" s="27" t="n">
        <v>1.561798</v>
      </c>
      <c r="BR109" s="28" t="n">
        <v>0.64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False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n"/>
      <c r="DK109" s="24" t="n"/>
      <c r="DL109" s="24" t="n"/>
      <c r="DM109" s="24" t="n"/>
      <c r="DN109" s="24" t="n"/>
      <c r="DO109" s="24" t="n"/>
      <c r="DP109" s="24" t="n"/>
      <c r="DQ109" s="24" t="inlineStr">
        <is>
          <t>{"artifact_hash": "52475b3450f81f01a6156a9a14ab541c78ea8530e709107548f2d449b043d625", "away_team": "Zomblers", "event_id": "154375", "event_start_utc": "2026-10-13T01:00:00Z", "features": {"away_elo": 1560.934274, "away_history_count": 137, "home_elo": 1568.510286, "home_history_count": 99}, "historical_source_observation_times_verified": false, "home_team": "Chicken Coop Esports", "inference_inputs": {"book_state": {"games_played": {"bo3:1:18964": 99, "bo3:1:5745": 137}, "inactivity_half_life_days": null, "inactivity_max_pull": null, "k": 40.0, "last_match_utc": {"bo3:1:18964": "2026-10-11T01:00:00Z", "bo3:1:5745": "2026-10-11T01:10:00Z"}, "minimum_reliable_games": null, "platt_intercept": 0.06857030098666637, "platt_slope": 0.874019985078185, "ratings": {"bo3:1:18964": 1568.510286, "bo3:1:5745": 1560.934274},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"2026-10-12T22:27:24.432580+00:00", "team_ids": ["bo3:1:18964", "bo3:1:5745"]}, "market_type": "moneyline", "model_version": "cs2-tiered-elo-v6", "observed_at_utc": "2026-10-12T22:27:24.432580+00:00", "probabilities": {"away": 0.477555, "home": 0.522445}, "replay_scope": "Exact serving book state, calibration, temperature, inactivity reference and thin-history adjustments; training provenance not certified.", "schema": "esports-elo-replay-v1", "snapshot_hash": "c33729fdb70acd521dc2b1bece56196cd68fe382c4c022ceba0cc200037359b8", "sport": "CS2"}</t>
        </is>
      </c>
    </row>
    <row r="110" ht="36" customHeight="1">
      <c r="A110" s="24" t="inlineStr">
        <is>
          <t>40b28bd428e04b87</t>
        </is>
      </c>
      <c r="B110" s="24" t="inlineStr">
        <is>
          <t>2026-10-12T22:33:13.668143Z</t>
        </is>
      </c>
      <c r="C110" s="24" t="inlineStr">
        <is>
          <t>2026-10-13T01:00:00Z</t>
        </is>
      </c>
      <c r="D110" s="24" t="inlineStr">
        <is>
          <t>156107</t>
        </is>
      </c>
      <c r="E110" s="24" t="inlineStr">
        <is>
          <t>CS2</t>
        </is>
      </c>
      <c r="F110" s="24" t="inlineStr">
        <is>
          <t>Iowa Stormboar</t>
        </is>
      </c>
      <c r="G110" s="24" t="inlineStr">
        <is>
          <t>Overtake</t>
        </is>
      </c>
      <c r="H110" s="24" t="inlineStr">
        <is>
          <t>moneyline</t>
        </is>
      </c>
      <c r="I110" s="24" t="inlineStr">
        <is>
          <t>away</t>
        </is>
      </c>
      <c r="J110" s="25" t="n"/>
      <c r="K110" s="24" t="inlineStr">
        <is>
          <t>polymarket_us</t>
        </is>
      </c>
      <c r="L110" s="26" t="n">
        <v>-117</v>
      </c>
      <c r="M110" s="27" t="n">
        <v>1.854701</v>
      </c>
      <c r="N110" s="28" t="n">
        <v>0.539171</v>
      </c>
      <c r="O110" s="28" t="n">
        <v>0.513066</v>
      </c>
      <c r="P110" s="28" t="n"/>
      <c r="Q110" s="28" t="n">
        <v>-0.026105</v>
      </c>
      <c r="R110" s="26" t="n">
        <v>7</v>
      </c>
      <c r="S110" s="29" t="n">
        <v>1</v>
      </c>
      <c r="T110" s="24" t="inlineStr">
        <is>
          <t>cs2-tiered-elo-v6</t>
        </is>
      </c>
      <c r="U110" s="24" t="inlineStr">
        <is>
          <t>settled</t>
        </is>
      </c>
      <c r="V110" s="24" t="inlineStr">
        <is>
          <t>loss</t>
        </is>
      </c>
      <c r="W110" s="26" t="n">
        <v>0</v>
      </c>
      <c r="X110" s="26" t="n">
        <v>1</v>
      </c>
      <c r="Y110" s="25" t="n"/>
      <c r="Z110" s="26" t="n">
        <v>-117</v>
      </c>
      <c r="AA110" s="28" t="n">
        <v>0.54</v>
      </c>
      <c r="AB110" s="28" t="n">
        <v>0.000829</v>
      </c>
      <c r="AC110" s="30" t="n">
        <v>-1</v>
      </c>
      <c r="AD110" s="24" t="inlineStr">
        <is>
          <t>2026-10-13T04:38:04.540772Z</t>
        </is>
      </c>
      <c r="AE110" s="31" t="inlineStr">
        <is>
          <t>Neutral Elo baseline; executable ask 0.5400 (market_slug=aec-cs2-ot-iowa-2026-10-13).</t>
        </is>
      </c>
      <c r="AF110" s="31" t="inlineStr">
        <is>
          <t>Config-promoted esports baseline; gates enforced at log time.</t>
        </is>
      </c>
      <c r="AG110" s="24" t="inlineStr">
        <is>
          <t>review_required</t>
        </is>
      </c>
      <c r="AH110" s="24" t="n"/>
      <c r="AI110" s="31" t="n"/>
      <c r="AJ110" s="31" t="n"/>
      <c r="AK110" s="24" t="inlineStr">
        <is>
          <t>paper_call</t>
        </is>
      </c>
      <c r="AL110" s="26" t="n">
        <v>4</v>
      </c>
      <c r="AM110" s="24" t="inlineStr">
        <is>
          <t>RESEARCH_OBSERVATION</t>
        </is>
      </c>
      <c r="AN110" s="24" t="inlineStr">
        <is>
          <t>CALL</t>
        </is>
      </c>
      <c r="AO110" s="24" t="inlineStr">
        <is>
          <t>PAPER_CALL_LOW_EDGE</t>
        </is>
      </c>
      <c r="AP110" s="24" t="inlineStr">
        <is>
          <t>Iowa Stormboar</t>
        </is>
      </c>
      <c r="AQ110" s="24" t="inlineStr">
        <is>
          <t>Iowa Stormboar</t>
        </is>
      </c>
      <c r="AR110" s="24" t="inlineStr">
        <is>
          <t>Iowa Stormboar</t>
        </is>
      </c>
      <c r="AS110" s="24" t="inlineStr">
        <is>
          <t>Overtake</t>
        </is>
      </c>
      <c r="AT110" s="24" t="inlineStr">
        <is>
          <t>Overtake</t>
        </is>
      </c>
      <c r="AU110" s="24" t="inlineStr">
        <is>
          <t>Overtake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52475b3450f81f01a6156a9a14ab541c78ea8530e709107548f2d449b043d625</t>
        </is>
      </c>
      <c r="BB110" s="24" t="inlineStr">
        <is>
          <t>neutral_elo</t>
        </is>
      </c>
      <c r="BC110" s="24" t="inlineStr">
        <is>
          <t>cs2-tiered-elo-v6</t>
        </is>
      </c>
      <c r="BD110" s="24" t="inlineStr">
        <is>
          <t>52475b3450f81f01a6156a9a14ab541c78ea8530e709107548f2d449b043d625</t>
        </is>
      </c>
      <c r="BE110" s="24" t="inlineStr">
        <is>
          <t>1</t>
        </is>
      </c>
      <c r="BF110" s="24" t="inlineStr">
        <is>
          <t>1</t>
        </is>
      </c>
      <c r="BG110" s="24" t="inlineStr">
        <is>
          <t>cs2-tiered-elo-v6</t>
        </is>
      </c>
      <c r="BH110" s="24" t="inlineStr">
        <is>
          <t>2026-10-12T22:28:44.932228Z</t>
        </is>
      </c>
      <c r="BI110" s="24" t="inlineStr">
        <is>
          <t>["same_event","same_team_same_day","same_league_same_day"]</t>
        </is>
      </c>
      <c r="BJ110" s="25" t="n"/>
      <c r="BK110" s="26" t="n">
        <v>-117</v>
      </c>
      <c r="BL110" s="27" t="n">
        <v>1.854701</v>
      </c>
      <c r="BM110" s="28" t="n">
        <v>0.539171</v>
      </c>
      <c r="BN110" s="28" t="n"/>
      <c r="BO110" s="28" t="n"/>
      <c r="BP110" s="25" t="n"/>
      <c r="BQ110" s="27" t="n">
        <v>1.854701</v>
      </c>
      <c r="BR110" s="28" t="n">
        <v>0.54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False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n"/>
      <c r="DK110" s="24" t="n"/>
      <c r="DL110" s="24" t="n"/>
      <c r="DM110" s="24" t="n"/>
      <c r="DN110" s="24" t="n"/>
      <c r="DO110" s="24" t="n"/>
      <c r="DP110" s="24" t="n"/>
      <c r="DQ110" s="24" t="inlineStr">
        <is>
          <t>{"artifact_hash": "52475b3450f81f01a6156a9a14ab541c78ea8530e709107548f2d449b043d625", "away_team": "Iowa Stormboar", "event_id": "156107", "event_start_utc": "2026-10-13T01:00:00Z", "features": {"away_elo": 1611.502739, "away_history_count": 29, "home_elo": 1585.399297, "home_history_count": 24}, "historical_source_observation_times_verified": false, "home_team": "Overtake", "inference_inputs": {"book_state": {"games_played": {"bo3:1:23579": 24, "bo3:1:24126": 29}, "inactivity_half_life_days": null, "inactivity_max_pull": null, "k": 40.0, "last_match_utc": {"bo3:1:23579": "2026-10-12T01:00:00Z", "bo3:1:24126": "2026-10-12T01:00:00Z"}, "minimum_reliable_games": null, "platt_intercept": 0.06857030098666637, "platt_slope": 0.874019985078185, "ratings": {"bo3:1:23579": 1585.399297, "bo3:1:24126": 1611.502739},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"2026-10-12T22:27:24.432580+00:00", "team_ids": ["bo3:1:23579", "bo3:1:24126"]}, "market_type": "moneyline", "model_version": "cs2-tiered-elo-v6", "observed_at_utc": "2026-10-12T22:27:24.432580+00:00", "probabilities": {"away": 0.513066, "home": 0.486934}, "replay_scope": "Exact serving book state, calibration, temperature, inactivity reference and thin-history adjustments; training provenance not certified.", "schema": "esports-elo-replay-v1", "snapshot_hash": "37c8a40793fdfeacbc0eb8f3ebeb8f902ced4834472806f91e8a16d0619dc916", "sport": "CS2"}</t>
        </is>
      </c>
    </row>
    <row r="111" ht="36" customHeight="1">
      <c r="A111" s="24" t="inlineStr">
        <is>
          <t>d69922e44ffe4937</t>
        </is>
      </c>
      <c r="B111" s="24" t="inlineStr">
        <is>
          <t>2026-10-13T05:57:51.431058Z</t>
        </is>
      </c>
      <c r="C111" s="24" t="inlineStr">
        <is>
          <t>2026-10-13T08:00:00Z</t>
        </is>
      </c>
      <c r="D111" s="24" t="inlineStr">
        <is>
          <t>156260</t>
        </is>
      </c>
      <c r="E111" s="24" t="inlineStr">
        <is>
          <t>CS2</t>
        </is>
      </c>
      <c r="F111" s="24" t="inlineStr">
        <is>
          <t>STATE</t>
        </is>
      </c>
      <c r="G111" s="24" t="inlineStr">
        <is>
          <t>WRAITH PCIFIC</t>
        </is>
      </c>
      <c r="H111" s="24" t="inlineStr">
        <is>
          <t>moneyline</t>
        </is>
      </c>
      <c r="I111" s="24" t="inlineStr">
        <is>
          <t>away</t>
        </is>
      </c>
      <c r="J111" s="25" t="n"/>
      <c r="K111" s="24" t="inlineStr">
        <is>
          <t>polymarket_us</t>
        </is>
      </c>
      <c r="L111" s="26" t="n">
        <v>-178</v>
      </c>
      <c r="M111" s="27" t="n">
        <v>1.561798</v>
      </c>
      <c r="N111" s="28" t="n">
        <v>0.640288</v>
      </c>
      <c r="O111" s="28" t="n">
        <v>0.546366</v>
      </c>
      <c r="P111" s="28" t="n"/>
      <c r="Q111" s="28" t="n">
        <v>-0.09392200000000001</v>
      </c>
      <c r="R111" s="26" t="n">
        <v>0</v>
      </c>
      <c r="S111" s="29" t="n">
        <v>1</v>
      </c>
      <c r="T111" s="24" t="inlineStr">
        <is>
          <t>cs2-tiered-elo-v6</t>
        </is>
      </c>
      <c r="U111" s="24" t="inlineStr">
        <is>
          <t>settled</t>
        </is>
      </c>
      <c r="V111" s="24" t="inlineStr">
        <is>
          <t>loss</t>
        </is>
      </c>
      <c r="W111" s="26" t="n">
        <v>0</v>
      </c>
      <c r="X111" s="26" t="n">
        <v>1</v>
      </c>
      <c r="Y111" s="25" t="n"/>
      <c r="Z111" s="26" t="n"/>
      <c r="AA111" s="28" t="n"/>
      <c r="AB111" s="28" t="n"/>
      <c r="AC111" s="30" t="n">
        <v>-1</v>
      </c>
      <c r="AD111" s="24" t="inlineStr">
        <is>
          <t>2026-10-13T16:15:45.996722Z</t>
        </is>
      </c>
      <c r="AE111" s="31" t="inlineStr">
        <is>
          <t>Neutral Elo baseline; executable ask 0.6400 (market_slug=aec-cs2-pcific-sta-2026-10-13).</t>
        </is>
      </c>
      <c r="AF111" s="31" t="inlineStr">
        <is>
          <t>Config-promoted esports baseline; gates enforced at log time.</t>
        </is>
      </c>
      <c r="AG111" s="24" t="inlineStr">
        <is>
          <t>review_required</t>
        </is>
      </c>
      <c r="AH111" s="24" t="n"/>
      <c r="AI111" s="31" t="n"/>
      <c r="AJ111" s="31" t="n"/>
      <c r="AK111" s="24" t="inlineStr">
        <is>
          <t>paper_call</t>
        </is>
      </c>
      <c r="AL111" s="26" t="n">
        <v>4</v>
      </c>
      <c r="AM111" s="24" t="inlineStr">
        <is>
          <t>RESEARCH_OBSERVATION</t>
        </is>
      </c>
      <c r="AN111" s="24" t="inlineStr">
        <is>
          <t>CALL</t>
        </is>
      </c>
      <c r="AO111" s="24" t="inlineStr">
        <is>
          <t>PAPER_CALL_LOW_EDGE</t>
        </is>
      </c>
      <c r="AP111" s="24" t="inlineStr">
        <is>
          <t>STATE</t>
        </is>
      </c>
      <c r="AQ111" s="24" t="inlineStr">
        <is>
          <t>STATE</t>
        </is>
      </c>
      <c r="AR111" s="24" t="inlineStr">
        <is>
          <t>STATE</t>
        </is>
      </c>
      <c r="AS111" s="24" t="inlineStr">
        <is>
          <t>WRAITH PCIFIC</t>
        </is>
      </c>
      <c r="AT111" s="24" t="inlineStr">
        <is>
          <t>WRAITH PCIFIC</t>
        </is>
      </c>
      <c r="AU111" s="24" t="inlineStr">
        <is>
          <t>WRAITH PCIFIC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f97bacb04ad333c4a023074fb8df169a82f7f877e5ea739487b03b9205ade2be</t>
        </is>
      </c>
      <c r="BB111" s="24" t="inlineStr">
        <is>
          <t>neutral_elo</t>
        </is>
      </c>
      <c r="BC111" s="24" t="inlineStr">
        <is>
          <t>cs2-tiered-elo-v6</t>
        </is>
      </c>
      <c r="BD111" s="24" t="inlineStr">
        <is>
          <t>f97bacb04ad333c4a023074fb8df169a82f7f877e5ea739487b03b9205ade2be</t>
        </is>
      </c>
      <c r="BE111" s="24" t="inlineStr">
        <is>
          <t>1</t>
        </is>
      </c>
      <c r="BF111" s="24" t="inlineStr">
        <is>
          <t>1</t>
        </is>
      </c>
      <c r="BG111" s="24" t="inlineStr">
        <is>
          <t>cs2-tiered-elo-v6</t>
        </is>
      </c>
      <c r="BH111" s="24" t="inlineStr">
        <is>
          <t>2026-10-13T05:50:34.502487Z</t>
        </is>
      </c>
      <c r="BI111" s="24" t="inlineStr">
        <is>
          <t>["same_event","same_team_same_day","same_league_same_day"]</t>
        </is>
      </c>
      <c r="BJ111" s="25" t="n"/>
      <c r="BK111" s="26" t="n">
        <v>-178</v>
      </c>
      <c r="BL111" s="27" t="n">
        <v>1.561798</v>
      </c>
      <c r="BM111" s="28" t="n">
        <v>0.640288</v>
      </c>
      <c r="BN111" s="28" t="n"/>
      <c r="BO111" s="28" t="n"/>
      <c r="BP111" s="25" t="n"/>
      <c r="BQ111" s="27" t="n"/>
      <c r="BR111" s="28" t="n"/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False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n"/>
      <c r="DK111" s="24" t="n"/>
      <c r="DL111" s="24" t="n"/>
      <c r="DM111" s="24" t="n"/>
      <c r="DN111" s="24" t="n"/>
      <c r="DO111" s="24" t="n"/>
      <c r="DP111" s="24" t="n"/>
      <c r="DQ111" s="24" t="inlineStr">
        <is>
          <t>{"artifact_hash": "f97bacb04ad333c4a023074fb8df169a82f7f877e5ea739487b03b9205ade2be", "away_team": "STATE", "event_id": "156260", "event_start_utc": "2026-10-13T08:00:00Z", "features": {"away_elo": 1703.478181, "away_history_count": 525, "home_elo": 1647.18913, "home_history_count": 134}, "historical_source_observation_times_verified": false, "home_team": "WRAITH PCIFIC", "inference_inputs": {"book_state": {"games_played": {"bo3:1:10493": 525, "bo3:1:6255": 134}, "inactivity_half_life_days": null, "inactivity_max_pull": null, "k": 40.0, "last_match_utc": {"bo3:1:10493": "2026-10-12T08:10:00Z", "bo3:1:6255": "2026-10-11T08:30:00Z"}, "minimum_reliable_games": null, "platt_intercept": 0.06808033243282507, "platt_slope": 0.8743073074219846, "ratings": {"bo3:1:10493": 1703.478181, "bo3:1:6255": 1647.18913},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"2026-10-13T05:50:34.442602+00:00", "team_ids": ["bo3:1:6255", "bo3:1:10493"]}, "market_type": "moneyline", "model_version": "cs2-tiered-elo-v6", "observed_at_utc": "2026-10-13T05:50:34.442602+00:00", "probabilities": {"away": 0.546366, "home": 0.453634}, "replay_scope": "Exact serving book state, calibration, temperature, inactivity reference and thin-history adjustments; training provenance not certified.", "schema": "esports-elo-replay-v1", "snapshot_hash": "8572a5ee03e9d00897b2e43e2feaf44818633b71fbe9541a87388ea79ef1d076", "sport": "CS2"}</t>
        </is>
      </c>
    </row>
    <row r="112" ht="36" customHeight="1">
      <c r="A112" s="24" t="inlineStr">
        <is>
          <t>ec308063aa7347eb</t>
        </is>
      </c>
      <c r="B112" s="24" t="inlineStr">
        <is>
          <t>2026-10-13T05:57:51.431058Z</t>
        </is>
      </c>
      <c r="C112" s="24" t="inlineStr">
        <is>
          <t>2026-10-13T08:00:00Z</t>
        </is>
      </c>
      <c r="D112" s="24" t="inlineStr">
        <is>
          <t>157355</t>
        </is>
      </c>
      <c r="E112" s="24" t="inlineStr">
        <is>
          <t>CS2</t>
        </is>
      </c>
      <c r="F112" s="24" t="inlineStr">
        <is>
          <t>Spirit Academy</t>
        </is>
      </c>
      <c r="G112" s="24" t="inlineStr">
        <is>
          <t>BakS eSports</t>
        </is>
      </c>
      <c r="H112" s="24" t="inlineStr">
        <is>
          <t>moneyline</t>
        </is>
      </c>
      <c r="I112" s="24" t="inlineStr">
        <is>
          <t>away</t>
        </is>
      </c>
      <c r="J112" s="25" t="n"/>
      <c r="K112" s="24" t="inlineStr">
        <is>
          <t>polymarket_us</t>
        </is>
      </c>
      <c r="L112" s="26" t="n">
        <v>117</v>
      </c>
      <c r="M112" s="27" t="n">
        <v>2.17</v>
      </c>
      <c r="N112" s="28" t="n">
        <v>0.460829</v>
      </c>
      <c r="O112" s="28" t="n">
        <v>0.646798</v>
      </c>
      <c r="P112" s="28" t="n"/>
      <c r="Q112" s="28" t="n">
        <v>0.185969</v>
      </c>
      <c r="R112" s="26" t="n">
        <v>100</v>
      </c>
      <c r="S112" s="29" t="n">
        <v>2</v>
      </c>
      <c r="T112" s="24" t="inlineStr">
        <is>
          <t>cs2-tiered-elo-v6</t>
        </is>
      </c>
      <c r="U112" s="24" t="inlineStr">
        <is>
          <t>settled</t>
        </is>
      </c>
      <c r="V112" s="24" t="inlineStr">
        <is>
          <t>loss</t>
        </is>
      </c>
      <c r="W112" s="26" t="n">
        <v>0</v>
      </c>
      <c r="X112" s="26" t="n">
        <v>1</v>
      </c>
      <c r="Y112" s="25" t="n"/>
      <c r="Z112" s="26" t="n"/>
      <c r="AA112" s="28" t="n"/>
      <c r="AB112" s="28" t="n"/>
      <c r="AC112" s="30" t="n">
        <v>-2</v>
      </c>
      <c r="AD112" s="24" t="inlineStr">
        <is>
          <t>2026-10-13T10:08:02.500543Z</t>
        </is>
      </c>
      <c r="AE112" s="31" t="inlineStr">
        <is>
          <t>Neutral Elo baseline; executable ask 0.4600 (market_slug=aec-cs2-baks-tsa-2026-10-13).</t>
        </is>
      </c>
      <c r="AF112" s="31" t="inlineStr">
        <is>
          <t>Config-promoted esports baseline; gates enforced at log time.</t>
        </is>
      </c>
      <c r="AG112" s="24" t="inlineStr">
        <is>
          <t>review_required</t>
        </is>
      </c>
      <c r="AH112" s="24" t="n"/>
      <c r="AI112" s="31" t="n"/>
      <c r="AJ112" s="31" t="n"/>
      <c r="AK112" s="24" t="inlineStr">
        <is>
          <t>model_qualified</t>
        </is>
      </c>
      <c r="AL112" s="26" t="n">
        <v>4</v>
      </c>
      <c r="AM112" s="24" t="inlineStr">
        <is>
          <t>QUALIFIED_SHADOW_CALL</t>
        </is>
      </c>
      <c r="AN112" s="24" t="inlineStr">
        <is>
          <t>CALL</t>
        </is>
      </c>
      <c r="AO112" s="24" t="inlineStr">
        <is>
          <t>QUALIFIED</t>
        </is>
      </c>
      <c r="AP112" s="24" t="inlineStr">
        <is>
          <t>Spirit Academy</t>
        </is>
      </c>
      <c r="AQ112" s="24" t="inlineStr">
        <is>
          <t>Spirit Academy</t>
        </is>
      </c>
      <c r="AR112" s="24" t="inlineStr">
        <is>
          <t>Spirit Academy</t>
        </is>
      </c>
      <c r="AS112" s="24" t="inlineStr">
        <is>
          <t>BakS eSports</t>
        </is>
      </c>
      <c r="AT112" s="24" t="inlineStr">
        <is>
          <t>BakS eSports</t>
        </is>
      </c>
      <c r="AU112" s="24" t="inlineStr">
        <is>
          <t>BakS eSports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f97bacb04ad333c4a023074fb8df169a82f7f877e5ea739487b03b9205ade2be</t>
        </is>
      </c>
      <c r="BB112" s="24" t="inlineStr">
        <is>
          <t>neutral_elo</t>
        </is>
      </c>
      <c r="BC112" s="24" t="inlineStr">
        <is>
          <t>cs2-tiered-elo-v6</t>
        </is>
      </c>
      <c r="BD112" s="24" t="inlineStr">
        <is>
          <t>f97bacb04ad333c4a023074fb8df169a82f7f877e5ea739487b03b9205ade2be</t>
        </is>
      </c>
      <c r="BE112" s="24" t="inlineStr">
        <is>
          <t>1</t>
        </is>
      </c>
      <c r="BF112" s="24" t="inlineStr">
        <is>
          <t>1</t>
        </is>
      </c>
      <c r="BG112" s="24" t="inlineStr">
        <is>
          <t>cs2-tiered-elo-v6</t>
        </is>
      </c>
      <c r="BH112" s="24" t="inlineStr">
        <is>
          <t>2026-10-13T05:51:15.004145Z</t>
        </is>
      </c>
      <c r="BI112" s="24" t="inlineStr">
        <is>
          <t>["same_event","same_team_same_day","same_league_same_day"]</t>
        </is>
      </c>
      <c r="BJ112" s="25" t="n"/>
      <c r="BK112" s="26" t="n">
        <v>117</v>
      </c>
      <c r="BL112" s="27" t="n">
        <v>2.17</v>
      </c>
      <c r="BM112" s="28" t="n">
        <v>0.460829</v>
      </c>
      <c r="BN112" s="28" t="n"/>
      <c r="BO112" s="28" t="n"/>
      <c r="BP112" s="25" t="n"/>
      <c r="BQ112" s="27" t="n"/>
      <c r="BR112" s="28" t="n"/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True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n"/>
      <c r="DK112" s="24" t="n"/>
      <c r="DL112" s="24" t="n"/>
      <c r="DM112" s="24" t="n"/>
      <c r="DN112" s="24" t="n"/>
      <c r="DO112" s="24" t="n"/>
      <c r="DP112" s="24" t="n"/>
      <c r="DQ112" s="24" t="inlineStr">
        <is>
          <t>{"artifact_hash": "f97bacb04ad333c4a023074fb8df169a82f7f877e5ea739487b03b9205ade2be", "away_team": "Spirit Academy", "event_id": "157355", "event_start_utc": "2026-10-13T08:00:00Z", "features": {"away_elo": 1759.75712, "away_history_count": 271, "home_elo": 1616.126785, "home_history_count": 165}, "historical_source_observation_times_verified": false, "home_team": "BakS eSports", "inference_inputs": {"book_state": {"games_played": {"bo3:1:1309": 271, "bo3:1:2924": 165}, "inactivity_half_life_days": null, "inactivity_max_pull": null, "k": 40.0, "last_match_utc": {"bo3:1:1309": "2026-10-11T14:20:00Z", "bo3:1:2924": "2026-09-26T17:40:00Z"}, "minimum_reliable_games": null, "platt_intercept": 0.06808033243282507, "platt_slope": 0.8743073074219846, "ratings": {"bo3:1:1309": 1759.75712, "bo3:1:2924": 1616.126785},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"2026-10-13T05:50:34.442602+00:00", "team_ids": ["bo3:1:2924", "bo3:1:1309"]}, "market_type": "moneyline", "model_version": "cs2-tiered-elo-v6", "observed_at_utc": "2026-10-13T05:50:34.442602+00:00", "probabilities": {"away": 0.646798, "home": 0.353202}, "replay_scope": "Exact serving book state, calibration, temperature, inactivity reference and thin-history adjustments; training provenance not certified.", "schema": "esports-elo-replay-v1", "snapshot_hash": "13b5d96bd452a10d7dce8fe9d5bc0f3b96b6066a9dbb45e5b959ed2198e5cd3c", "sport": "CS2"}</t>
        </is>
      </c>
    </row>
    <row r="113" ht="36" customHeight="1">
      <c r="A113" s="24" t="inlineStr">
        <is>
          <t>d8aee530ff384a38</t>
        </is>
      </c>
      <c r="B113" s="24" t="inlineStr">
        <is>
          <t>2026-10-13T05:57:51.431058Z</t>
        </is>
      </c>
      <c r="C113" s="24" t="inlineStr">
        <is>
          <t>2026-10-13T10:00:00Z</t>
        </is>
      </c>
      <c r="D113" s="24" t="inlineStr">
        <is>
          <t>152578</t>
        </is>
      </c>
      <c r="E113" s="24" t="inlineStr">
        <is>
          <t>CS2</t>
        </is>
      </c>
      <c r="F113" s="24" t="inlineStr">
        <is>
          <t>JiJieHao</t>
        </is>
      </c>
      <c r="G113" s="24" t="inlineStr">
        <is>
          <t>100 Thieves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-203</v>
      </c>
      <c r="M113" s="27" t="n">
        <v>1.492611</v>
      </c>
      <c r="N113" s="28" t="n">
        <v>0.669967</v>
      </c>
      <c r="O113" s="28" t="n">
        <v>0.53612</v>
      </c>
      <c r="P113" s="28" t="n"/>
      <c r="Q113" s="28" t="n">
        <v>-0.133847</v>
      </c>
      <c r="R113" s="26" t="n">
        <v>0</v>
      </c>
      <c r="S113" s="29" t="n">
        <v>1</v>
      </c>
      <c r="T113" s="24" t="inlineStr">
        <is>
          <t>cs2-tiered-elo-v6</t>
        </is>
      </c>
      <c r="U113" s="24" t="inlineStr">
        <is>
          <t>settled</t>
        </is>
      </c>
      <c r="V113" s="24" t="inlineStr">
        <is>
          <t>win</t>
        </is>
      </c>
      <c r="W113" s="26" t="n">
        <v>0</v>
      </c>
      <c r="X113" s="26" t="n">
        <v>1</v>
      </c>
      <c r="Y113" s="25" t="n"/>
      <c r="Z113" s="26" t="n">
        <v>-203</v>
      </c>
      <c r="AA113" s="28" t="n">
        <v>0.67</v>
      </c>
      <c r="AB113" s="28" t="n">
        <v>3.3e-05</v>
      </c>
      <c r="AC113" s="30" t="n">
        <v>0.4926</v>
      </c>
      <c r="AD113" s="24" t="inlineStr">
        <is>
          <t>2026-10-13T16:15:51.133607Z</t>
        </is>
      </c>
      <c r="AE113" s="31" t="inlineStr">
        <is>
          <t>Neutral Elo baseline; executable ask 0.6700 (market_slug=aec-cs2-100t-jjh-2026-10-13).</t>
        </is>
      </c>
      <c r="AF113" s="31" t="inlineStr">
        <is>
          <t>Config-promoted esports baseline; gates enforced at log time.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paper_call</t>
        </is>
      </c>
      <c r="AL113" s="26" t="n">
        <v>4</v>
      </c>
      <c r="AM113" s="24" t="inlineStr">
        <is>
          <t>RESEARCH_OBSERVATION</t>
        </is>
      </c>
      <c r="AN113" s="24" t="inlineStr">
        <is>
          <t>CALL</t>
        </is>
      </c>
      <c r="AO113" s="24" t="inlineStr">
        <is>
          <t>PAPER_CALL_LOW_EDGE</t>
        </is>
      </c>
      <c r="AP113" s="24" t="inlineStr">
        <is>
          <t>JiJieHao</t>
        </is>
      </c>
      <c r="AQ113" s="24" t="inlineStr">
        <is>
          <t>JiJieHao</t>
        </is>
      </c>
      <c r="AR113" s="24" t="inlineStr">
        <is>
          <t>JiJieHao</t>
        </is>
      </c>
      <c r="AS113" s="24" t="inlineStr">
        <is>
          <t>100 Thieves</t>
        </is>
      </c>
      <c r="AT113" s="24" t="inlineStr">
        <is>
          <t>100 Thieves</t>
        </is>
      </c>
      <c r="AU113" s="24" t="inlineStr">
        <is>
          <t>100 Thieves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f97bacb04ad333c4a023074fb8df169a82f7f877e5ea739487b03b9205ade2be</t>
        </is>
      </c>
      <c r="BB113" s="24" t="inlineStr">
        <is>
          <t>neutral_elo</t>
        </is>
      </c>
      <c r="BC113" s="24" t="inlineStr">
        <is>
          <t>cs2-tiered-elo-v6</t>
        </is>
      </c>
      <c r="BD113" s="24" t="inlineStr">
        <is>
          <t>f97bacb04ad333c4a023074fb8df169a82f7f877e5ea739487b03b9205ade2be</t>
        </is>
      </c>
      <c r="BE113" s="24" t="inlineStr">
        <is>
          <t>1</t>
        </is>
      </c>
      <c r="BF113" s="24" t="inlineStr">
        <is>
          <t>1</t>
        </is>
      </c>
      <c r="BG113" s="24" t="inlineStr">
        <is>
          <t>cs2-tiered-elo-v6</t>
        </is>
      </c>
      <c r="BH113" s="24" t="inlineStr">
        <is>
          <t>2026-10-13T05:52:46.710072Z</t>
        </is>
      </c>
      <c r="BI113" s="24" t="inlineStr">
        <is>
          <t>["same_event","same_team_same_day","same_league_same_day"]</t>
        </is>
      </c>
      <c r="BJ113" s="25" t="n"/>
      <c r="BK113" s="26" t="n">
        <v>-203</v>
      </c>
      <c r="BL113" s="27" t="n">
        <v>1.492611</v>
      </c>
      <c r="BM113" s="28" t="n">
        <v>0.669967</v>
      </c>
      <c r="BN113" s="28" t="n"/>
      <c r="BO113" s="28" t="n"/>
      <c r="BP113" s="25" t="n"/>
      <c r="BQ113" s="27" t="n">
        <v>1.492611</v>
      </c>
      <c r="BR113" s="28" t="n">
        <v>0.67</v>
      </c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False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n"/>
      <c r="DK113" s="24" t="n"/>
      <c r="DL113" s="24" t="n"/>
      <c r="DM113" s="24" t="n"/>
      <c r="DN113" s="24" t="n"/>
      <c r="DO113" s="24" t="n"/>
      <c r="DP113" s="24" t="n"/>
      <c r="DQ113" s="24" t="inlineStr">
        <is>
          <t>{"artifact_hash": "f97bacb04ad333c4a023074fb8df169a82f7f877e5ea739487b03b9205ade2be", "away_team": "JiJieHao", "event_id": "152578", "event_start_utc": "2026-10-13T10:00:00Z", "features": {"away_elo": 1862.319316, "away_history_count": 182, "home_elo": 1885.070525, "home_history_count": 86}, "historical_source_observation_times_verified": false, "home_team": "100 Thieves", "inference_inputs": {"book_state": {"games_played": {"bo3:1:3869": 182, "bo3:1:464": 86}, "inactivity_half_life_days": null, "inactivity_max_pull": null, "k": 40.0, "last_match_utc": {"bo3:1:3869": "2026-10-03T12:30:00Z", "bo3:1:464": "2026-10-03T09:00:00Z"}, "minimum_reliable_games": null, "platt_intercept": 0.06808033243282507, "platt_slope": 0.8743073074219846, "ratings": {"bo3:1:3869": 1862.319316, "bo3:1:464": 1885.070525},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"2026-10-13T05:50:34.442602+00:00", "team_ids": ["bo3:1:464", "bo3:1:3869"]}, "market_type": "moneyline", "model_version": "cs2-tiered-elo-v6", "observed_at_utc": "2026-10-13T05:50:34.442602+00:00", "probabilities": {"away": 0.46388, "home": 0.53612}, "replay_scope": "Exact serving book state, calibration, temperature, inactivity reference and thin-history adjustments; training provenance not certified.", "schema": "esports-elo-replay-v1", "snapshot_hash": "7f4f7522246277f7d305340c12db6fbf26ccbb5a614d2e7d8d1d6951d6331bff", "sport": "CS2"}</t>
        </is>
      </c>
    </row>
    <row r="114" ht="36" customHeight="1">
      <c r="A114" s="24" t="inlineStr">
        <is>
          <t>28033464935f4f7a</t>
        </is>
      </c>
      <c r="B114" s="24" t="inlineStr">
        <is>
          <t>2026-10-13T05:57:51.431058Z</t>
        </is>
      </c>
      <c r="C114" s="24" t="inlineStr">
        <is>
          <t>2026-10-13T10:00:00Z</t>
        </is>
      </c>
      <c r="D114" s="24" t="inlineStr">
        <is>
          <t>152578</t>
        </is>
      </c>
      <c r="E114" s="24" t="inlineStr">
        <is>
          <t>CS2</t>
        </is>
      </c>
      <c r="F114" s="24" t="inlineStr">
        <is>
          <t>JiJieHao</t>
        </is>
      </c>
      <c r="G114" s="24" t="inlineStr">
        <is>
          <t>100 Thieves</t>
        </is>
      </c>
      <c r="H114" s="24" t="inlineStr">
        <is>
          <t>total</t>
        </is>
      </c>
      <c r="I114" s="24" t="inlineStr">
        <is>
          <t>under</t>
        </is>
      </c>
      <c r="J114" s="25" t="n">
        <v>2.5</v>
      </c>
      <c r="K114" s="24" t="inlineStr">
        <is>
          <t>polymarket_us</t>
        </is>
      </c>
      <c r="L114" s="26" t="n">
        <v>-144</v>
      </c>
      <c r="M114" s="27" t="n">
        <v>1.694444</v>
      </c>
      <c r="N114" s="28" t="n">
        <v>0.590164</v>
      </c>
      <c r="O114" s="28" t="n">
        <v>0.501161</v>
      </c>
      <c r="P114" s="28" t="n"/>
      <c r="Q114" s="28" t="n">
        <v>-0.089003</v>
      </c>
      <c r="R114" s="26" t="n">
        <v>0</v>
      </c>
      <c r="S114" s="29" t="n">
        <v>1</v>
      </c>
      <c r="T114" s="24" t="inlineStr">
        <is>
          <t>cs2-total-tiered-elo-v6</t>
        </is>
      </c>
      <c r="U114" s="24" t="inlineStr">
        <is>
          <t>settled</t>
        </is>
      </c>
      <c r="V114" s="24" t="inlineStr">
        <is>
          <t>win</t>
        </is>
      </c>
      <c r="W114" s="26" t="n">
        <v>0</v>
      </c>
      <c r="X114" s="26" t="n">
        <v>2</v>
      </c>
      <c r="Y114" s="25" t="n"/>
      <c r="Z114" s="26" t="n"/>
      <c r="AA114" s="28" t="n"/>
      <c r="AB114" s="28" t="n"/>
      <c r="AC114" s="30" t="n">
        <v>0.6944</v>
      </c>
      <c r="AD114" s="24" t="inlineStr">
        <is>
          <t>2026-10-13T16:15:56.169739Z</t>
        </is>
      </c>
      <c r="AE114" s="31" t="inlineStr">
        <is>
          <t>Neutral Elo baseline; executable ask 0.5900 (market_slug=tsc-cs2-100t-jjh-2026-10-13-tot-2pt5).</t>
        </is>
      </c>
      <c r="AF114" s="31" t="inlineStr">
        <is>
          <t>Config-promoted esports baseline; gates enforced at log time.</t>
        </is>
      </c>
      <c r="AG114" s="24" t="inlineStr">
        <is>
          <t>not_applicable</t>
        </is>
      </c>
      <c r="AH114" s="24" t="n"/>
      <c r="AI114" s="31" t="n"/>
      <c r="AJ114" s="31" t="n"/>
      <c r="AK114" s="24" t="inlineStr">
        <is>
          <t>paper_call</t>
        </is>
      </c>
      <c r="AL114" s="26" t="n">
        <v>4</v>
      </c>
      <c r="AM114" s="24" t="inlineStr">
        <is>
          <t>RESEARCH_OBSERVATION</t>
        </is>
      </c>
      <c r="AN114" s="24" t="inlineStr">
        <is>
          <t>CALL</t>
        </is>
      </c>
      <c r="AO114" s="24" t="inlineStr">
        <is>
          <t>PAPER_CALL_LOW_EDGE</t>
        </is>
      </c>
      <c r="AP114" s="24" t="inlineStr">
        <is>
          <t>JiJieHao</t>
        </is>
      </c>
      <c r="AQ114" s="24" t="inlineStr">
        <is>
          <t>JiJieHao</t>
        </is>
      </c>
      <c r="AR114" s="24" t="inlineStr">
        <is>
          <t>JiJieHao</t>
        </is>
      </c>
      <c r="AS114" s="24" t="inlineStr">
        <is>
          <t>100 Thieves</t>
        </is>
      </c>
      <c r="AT114" s="24" t="inlineStr">
        <is>
          <t>100 Thieves</t>
        </is>
      </c>
      <c r="AU114" s="24" t="inlineStr">
        <is>
          <t>100 Thieves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f97bacb04ad333c4a023074fb8df169a82f7f877e5ea739487b03b9205ade2be</t>
        </is>
      </c>
      <c r="BB114" s="24" t="inlineStr">
        <is>
          <t>neutral_elo</t>
        </is>
      </c>
      <c r="BC114" s="24" t="inlineStr">
        <is>
          <t>cs2-total-tiered-elo-v6</t>
        </is>
      </c>
      <c r="BD114" s="24" t="inlineStr">
        <is>
          <t>f97bacb04ad333c4a023074fb8df169a82f7f877e5ea739487b03b9205ade2be</t>
        </is>
      </c>
      <c r="BE114" s="24" t="inlineStr">
        <is>
          <t>1</t>
        </is>
      </c>
      <c r="BF114" s="24" t="inlineStr">
        <is>
          <t>1</t>
        </is>
      </c>
      <c r="BG114" s="24" t="inlineStr">
        <is>
          <t>cs2-total-tiered-elo-v6</t>
        </is>
      </c>
      <c r="BH114" s="24" t="inlineStr">
        <is>
          <t>2026-10-13T05:52:56.849431Z</t>
        </is>
      </c>
      <c r="BI114" s="24" t="inlineStr">
        <is>
          <t>["same_event","same_team_same_day","same_league_same_day"]</t>
        </is>
      </c>
      <c r="BJ114" s="25" t="n">
        <v>2.5</v>
      </c>
      <c r="BK114" s="26" t="n">
        <v>-144</v>
      </c>
      <c r="BL114" s="27" t="n">
        <v>1.694444</v>
      </c>
      <c r="BM114" s="28" t="n">
        <v>0.590164</v>
      </c>
      <c r="BN114" s="28" t="n"/>
      <c r="BO114" s="28" t="n"/>
      <c r="BP114" s="25" t="n"/>
      <c r="BQ114" s="27" t="n"/>
      <c r="BR114" s="28" t="n"/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False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n"/>
      <c r="DK114" s="24" t="n"/>
      <c r="DL114" s="24" t="n"/>
      <c r="DM114" s="24" t="n"/>
      <c r="DN114" s="24" t="n"/>
      <c r="DO114" s="24" t="n"/>
      <c r="DP114" s="24" t="n"/>
      <c r="DQ114" s="24" t="n"/>
    </row>
    <row r="115" ht="36" customHeight="1">
      <c r="A115" s="24" t="inlineStr">
        <is>
          <t>d837d4e61c45495e</t>
        </is>
      </c>
      <c r="B115" s="24" t="inlineStr">
        <is>
          <t>2026-10-13T05:57:51.431058Z</t>
        </is>
      </c>
      <c r="C115" s="24" t="inlineStr">
        <is>
          <t>2026-10-13T10:00:00Z</t>
        </is>
      </c>
      <c r="D115" s="24" t="inlineStr">
        <is>
          <t>152579</t>
        </is>
      </c>
      <c r="E115" s="24" t="inlineStr">
        <is>
          <t>CS2</t>
        </is>
      </c>
      <c r="F115" s="24" t="inlineStr">
        <is>
          <t>BBL</t>
        </is>
      </c>
      <c r="G115" s="24" t="inlineStr">
        <is>
          <t>Liquid</t>
        </is>
      </c>
      <c r="H115" s="24" t="inlineStr">
        <is>
          <t>total</t>
        </is>
      </c>
      <c r="I115" s="24" t="inlineStr">
        <is>
          <t>under</t>
        </is>
      </c>
      <c r="J115" s="25" t="n">
        <v>2.5</v>
      </c>
      <c r="K115" s="24" t="inlineStr">
        <is>
          <t>polymarket_us</t>
        </is>
      </c>
      <c r="L115" s="26" t="n">
        <v>-133</v>
      </c>
      <c r="M115" s="27" t="n">
        <v>1.75188</v>
      </c>
      <c r="N115" s="28" t="n">
        <v>0.570815</v>
      </c>
      <c r="O115" s="28" t="n">
        <v>0.515598</v>
      </c>
      <c r="P115" s="28" t="n"/>
      <c r="Q115" s="28" t="n">
        <v>-0.055217</v>
      </c>
      <c r="R115" s="26" t="n">
        <v>0</v>
      </c>
      <c r="S115" s="29" t="n">
        <v>1</v>
      </c>
      <c r="T115" s="24" t="inlineStr">
        <is>
          <t>cs2-total-tiered-elo-v6</t>
        </is>
      </c>
      <c r="U115" s="24" t="inlineStr">
        <is>
          <t>settled</t>
        </is>
      </c>
      <c r="V115" s="24" t="inlineStr">
        <is>
          <t>loss</t>
        </is>
      </c>
      <c r="W115" s="26" t="n">
        <v>1</v>
      </c>
      <c r="X115" s="26" t="n">
        <v>2</v>
      </c>
      <c r="Y115" s="25" t="n"/>
      <c r="Z115" s="26" t="n"/>
      <c r="AA115" s="28" t="n"/>
      <c r="AB115" s="28" t="n"/>
      <c r="AC115" s="30" t="n">
        <v>-1</v>
      </c>
      <c r="AD115" s="24" t="inlineStr">
        <is>
          <t>2026-10-13T16:15:57.242021Z</t>
        </is>
      </c>
      <c r="AE115" s="31" t="inlineStr">
        <is>
          <t>Neutral Elo baseline; executable ask 0.5700 (market_slug=tsc-cs2-tl-bbc-2026-10-13-tot-2pt5).</t>
        </is>
      </c>
      <c r="AF115" s="31" t="inlineStr">
        <is>
          <t>Config-promoted esports baseline; gates enforced at log time.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paper_call</t>
        </is>
      </c>
      <c r="AL115" s="26" t="n">
        <v>4</v>
      </c>
      <c r="AM115" s="24" t="inlineStr">
        <is>
          <t>RESEARCH_OBSERVATION</t>
        </is>
      </c>
      <c r="AN115" s="24" t="inlineStr">
        <is>
          <t>CALL</t>
        </is>
      </c>
      <c r="AO115" s="24" t="inlineStr">
        <is>
          <t>PAPER_CALL_LOW_EDGE</t>
        </is>
      </c>
      <c r="AP115" s="24" t="inlineStr">
        <is>
          <t>BBL</t>
        </is>
      </c>
      <c r="AQ115" s="24" t="inlineStr">
        <is>
          <t>BBL</t>
        </is>
      </c>
      <c r="AR115" s="24" t="inlineStr">
        <is>
          <t>BBL</t>
        </is>
      </c>
      <c r="AS115" s="24" t="inlineStr">
        <is>
          <t>Liquid</t>
        </is>
      </c>
      <c r="AT115" s="24" t="inlineStr">
        <is>
          <t>Liquid</t>
        </is>
      </c>
      <c r="AU115" s="24" t="inlineStr">
        <is>
          <t>Liquid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f97bacb04ad333c4a023074fb8df169a82f7f877e5ea739487b03b9205ade2be</t>
        </is>
      </c>
      <c r="BB115" s="24" t="inlineStr">
        <is>
          <t>neutral_elo</t>
        </is>
      </c>
      <c r="BC115" s="24" t="inlineStr">
        <is>
          <t>cs2-total-tiered-elo-v6</t>
        </is>
      </c>
      <c r="BD115" s="24" t="inlineStr">
        <is>
          <t>f97bacb04ad333c4a023074fb8df169a82f7f877e5ea739487b03b9205ade2be</t>
        </is>
      </c>
      <c r="BE115" s="24" t="inlineStr">
        <is>
          <t>1</t>
        </is>
      </c>
      <c r="BF115" s="24" t="inlineStr">
        <is>
          <t>1</t>
        </is>
      </c>
      <c r="BG115" s="24" t="inlineStr">
        <is>
          <t>cs2-total-tiered-elo-v6</t>
        </is>
      </c>
      <c r="BH115" s="24" t="inlineStr">
        <is>
          <t>2026-10-13T05:53:48.631863Z</t>
        </is>
      </c>
      <c r="BI115" s="24" t="inlineStr">
        <is>
          <t>["same_event","same_team_same_day","same_league_same_day"]</t>
        </is>
      </c>
      <c r="BJ115" s="25" t="n">
        <v>2.5</v>
      </c>
      <c r="BK115" s="26" t="n">
        <v>-133</v>
      </c>
      <c r="BL115" s="27" t="n">
        <v>1.75188</v>
      </c>
      <c r="BM115" s="28" t="n">
        <v>0.570815</v>
      </c>
      <c r="BN115" s="28" t="n"/>
      <c r="BO115" s="28" t="n"/>
      <c r="BP115" s="25" t="n"/>
      <c r="BQ115" s="27" t="n"/>
      <c r="BR115" s="28" t="n"/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False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n"/>
      <c r="DK115" s="24" t="n"/>
      <c r="DL115" s="24" t="n"/>
      <c r="DM115" s="24" t="n"/>
      <c r="DN115" s="24" t="n"/>
      <c r="DO115" s="24" t="n"/>
      <c r="DP115" s="24" t="n"/>
      <c r="DQ115" s="24" t="n"/>
    </row>
    <row r="116" ht="36" customHeight="1">
      <c r="A116" s="24" t="inlineStr">
        <is>
          <t>61db7244dd1f4beb</t>
        </is>
      </c>
      <c r="B116" s="24" t="inlineStr">
        <is>
          <t>2026-10-13T05:57:51.431058Z</t>
        </is>
      </c>
      <c r="C116" s="24" t="inlineStr">
        <is>
          <t>2026-10-13T10:30:00Z</t>
        </is>
      </c>
      <c r="D116" s="24" t="inlineStr">
        <is>
          <t>156603</t>
        </is>
      </c>
      <c r="E116" s="24" t="inlineStr">
        <is>
          <t>CS2</t>
        </is>
      </c>
      <c r="F116" s="24" t="inlineStr">
        <is>
          <t>Vitality Academy</t>
        </is>
      </c>
      <c r="G116" s="24" t="inlineStr">
        <is>
          <t>ROUNDS</t>
        </is>
      </c>
      <c r="H116" s="24" t="inlineStr">
        <is>
          <t>moneyline</t>
        </is>
      </c>
      <c r="I116" s="24" t="inlineStr">
        <is>
          <t>away</t>
        </is>
      </c>
      <c r="J116" s="25" t="n"/>
      <c r="K116" s="24" t="inlineStr">
        <is>
          <t>polymarket_us</t>
        </is>
      </c>
      <c r="L116" s="26" t="n">
        <v>-122</v>
      </c>
      <c r="M116" s="27" t="n">
        <v>1.819672</v>
      </c>
      <c r="N116" s="28" t="n">
        <v>0.54955</v>
      </c>
      <c r="O116" s="28" t="n">
        <v>0.634356</v>
      </c>
      <c r="P116" s="28" t="n"/>
      <c r="Q116" s="28" t="n">
        <v>0.08480600000000001</v>
      </c>
      <c r="R116" s="26" t="n">
        <v>62</v>
      </c>
      <c r="S116" s="29" t="n">
        <v>1.25</v>
      </c>
      <c r="T116" s="24" t="inlineStr">
        <is>
          <t>cs2-tiered-elo-v6</t>
        </is>
      </c>
      <c r="U116" s="24" t="inlineStr">
        <is>
          <t>settled</t>
        </is>
      </c>
      <c r="V116" s="24" t="inlineStr">
        <is>
          <t>loss</t>
        </is>
      </c>
      <c r="W116" s="26" t="n">
        <v>0</v>
      </c>
      <c r="X116" s="26" t="n">
        <v>1</v>
      </c>
      <c r="Y116" s="25" t="n"/>
      <c r="Z116" s="26" t="n">
        <v>-122</v>
      </c>
      <c r="AA116" s="28" t="n">
        <v>0.55</v>
      </c>
      <c r="AB116" s="28" t="n">
        <v>0.00045</v>
      </c>
      <c r="AC116" s="30" t="n">
        <v>-1.25</v>
      </c>
      <c r="AD116" s="24" t="inlineStr">
        <is>
          <t>2026-10-13T16:15:58.355147Z</t>
        </is>
      </c>
      <c r="AE116" s="31" t="inlineStr">
        <is>
          <t>Neutral Elo baseline; executable ask 0.5500 (market_slug=aec-cs2-rgg-vita-2026-10-13).</t>
        </is>
      </c>
      <c r="AF116" s="31" t="inlineStr">
        <is>
          <t>Config-promoted esports baseline; gates enforced at log time.</t>
        </is>
      </c>
      <c r="AG116" s="24" t="inlineStr">
        <is>
          <t>review_required</t>
        </is>
      </c>
      <c r="AH116" s="24" t="n"/>
      <c r="AI116" s="31" t="n"/>
      <c r="AJ116" s="31" t="n"/>
      <c r="AK116" s="24" t="inlineStr">
        <is>
          <t>model_qualified</t>
        </is>
      </c>
      <c r="AL116" s="26" t="n">
        <v>4</v>
      </c>
      <c r="AM116" s="24" t="inlineStr">
        <is>
          <t>QUALIFIED_SHADOW_CALL</t>
        </is>
      </c>
      <c r="AN116" s="24" t="inlineStr">
        <is>
          <t>CALL</t>
        </is>
      </c>
      <c r="AO116" s="24" t="inlineStr">
        <is>
          <t>QUALIFIED</t>
        </is>
      </c>
      <c r="AP116" s="24" t="inlineStr">
        <is>
          <t>Vitality Academy</t>
        </is>
      </c>
      <c r="AQ116" s="24" t="inlineStr">
        <is>
          <t>Vitality Academy</t>
        </is>
      </c>
      <c r="AR116" s="24" t="inlineStr">
        <is>
          <t>Vitality Academy</t>
        </is>
      </c>
      <c r="AS116" s="24" t="inlineStr">
        <is>
          <t>ROUNDS</t>
        </is>
      </c>
      <c r="AT116" s="24" t="inlineStr">
        <is>
          <t>ROUNDS</t>
        </is>
      </c>
      <c r="AU116" s="24" t="inlineStr">
        <is>
          <t>ROUNDS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f97bacb04ad333c4a023074fb8df169a82f7f877e5ea739487b03b9205ade2be</t>
        </is>
      </c>
      <c r="BB116" s="24" t="inlineStr">
        <is>
          <t>neutral_elo</t>
        </is>
      </c>
      <c r="BC116" s="24" t="inlineStr">
        <is>
          <t>cs2-tiered-elo-v6</t>
        </is>
      </c>
      <c r="BD116" s="24" t="inlineStr">
        <is>
          <t>f97bacb04ad333c4a023074fb8df169a82f7f877e5ea739487b03b9205ade2be</t>
        </is>
      </c>
      <c r="BE116" s="24" t="inlineStr">
        <is>
          <t>1</t>
        </is>
      </c>
      <c r="BF116" s="24" t="inlineStr">
        <is>
          <t>1</t>
        </is>
      </c>
      <c r="BG116" s="24" t="inlineStr">
        <is>
          <t>cs2-tiered-elo-v6</t>
        </is>
      </c>
      <c r="BH116" s="24" t="inlineStr">
        <is>
          <t>2026-10-13T05:54:10.175890Z</t>
        </is>
      </c>
      <c r="BI116" s="24" t="inlineStr">
        <is>
          <t>["same_event","same_team_same_day","same_league_same_day"]</t>
        </is>
      </c>
      <c r="BJ116" s="25" t="n"/>
      <c r="BK116" s="26" t="n">
        <v>-122</v>
      </c>
      <c r="BL116" s="27" t="n">
        <v>1.819672</v>
      </c>
      <c r="BM116" s="28" t="n">
        <v>0.54955</v>
      </c>
      <c r="BN116" s="28" t="n"/>
      <c r="BO116" s="28" t="n"/>
      <c r="BP116" s="25" t="n"/>
      <c r="BQ116" s="27" t="n">
        <v>1.819672</v>
      </c>
      <c r="BR116" s="28" t="n">
        <v>0.55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True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n"/>
      <c r="DK116" s="24" t="n"/>
      <c r="DL116" s="24" t="n"/>
      <c r="DM116" s="24" t="n"/>
      <c r="DN116" s="24" t="n"/>
      <c r="DO116" s="24" t="n"/>
      <c r="DP116" s="24" t="n"/>
      <c r="DQ116" s="24" t="inlineStr">
        <is>
          <t>{"artifact_hash": "f97bacb04ad333c4a023074fb8df169a82f7f877e5ea739487b03b9205ade2be", "away_team": "Vitality Academy", "event_id": "156603", "event_start_utc": "2026-10-13T10:30:00Z", "features": {"away_elo": 1541.269995, "away_history_count": 23, "home_elo": 1393.757042, "home_history_count": 144}, "historical_source_observation_times_verified": false, "home_team": "ROUNDS", "inference_inputs": {"book_state": {"games_played": {"bo3:1:23335": 23, "bo3:1:5440": 144}, "inactivity_half_life_days": null, "inactivity_max_pull": null, "k": 40.0, "last_match_utc": {"bo3:1:23335": "2026-10-12T13:10:00Z", "bo3:1:5440": "2026-10-08T10:30:00Z"}, "minimum_reliable_games": null, "platt_intercept": 0.06808033243282507, "platt_slope": 0.8743073074219846, "ratings": {"bo3:1:23335": 1541.269995, "bo3:1:5440": 1393.757042},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"2026-10-13T05:50:34.442602+00:00", "team_ids": ["bo3:1:5440", "bo3:1:23335"]}, "market_type": "moneyline", "model_version": "cs2-tiered-elo-v6", "observed_at_utc": "2026-10-13T05:50:34.442602+00:00", "probabilities": {"away": 0.634356, "home": 0.365644}, "replay_scope": "Exact serving book state, calibration, temperature, inactivity reference and thin-history adjustments; training provenance not certified.", "schema": "esports-elo-replay-v1", "snapshot_hash": "bcc8b548b5697acb4cba7173f2ed3376af3084217dc97639877dbba84bea830a", "sport": "CS2"}</t>
        </is>
      </c>
    </row>
    <row r="117" ht="36" customHeight="1">
      <c r="A117" s="24" t="inlineStr">
        <is>
          <t>3d353e65fef44b26</t>
        </is>
      </c>
      <c r="B117" s="24" t="inlineStr">
        <is>
          <t>2026-10-13T05:57:51.431058Z</t>
        </is>
      </c>
      <c r="C117" s="24" t="inlineStr">
        <is>
          <t>2026-10-13T11:00:00Z</t>
        </is>
      </c>
      <c r="D117" s="24" t="inlineStr">
        <is>
          <t>157356</t>
        </is>
      </c>
      <c r="E117" s="24" t="inlineStr">
        <is>
          <t>CS2</t>
        </is>
      </c>
      <c r="F117" s="24" t="inlineStr">
        <is>
          <t>ILLYRIANS</t>
        </is>
      </c>
      <c r="G117" s="24" t="inlineStr">
        <is>
          <t>Bushido Wildcats</t>
        </is>
      </c>
      <c r="H117" s="24" t="inlineStr">
        <is>
          <t>moneyline</t>
        </is>
      </c>
      <c r="I117" s="24" t="inlineStr">
        <is>
          <t>home</t>
        </is>
      </c>
      <c r="J117" s="25" t="n"/>
      <c r="K117" s="24" t="inlineStr">
        <is>
          <t>polymarket_us</t>
        </is>
      </c>
      <c r="L117" s="26" t="n">
        <v>-127</v>
      </c>
      <c r="M117" s="27" t="n">
        <v>1.787402</v>
      </c>
      <c r="N117" s="28" t="n">
        <v>0.5594710000000001</v>
      </c>
      <c r="O117" s="28" t="n">
        <v>0.538944</v>
      </c>
      <c r="P117" s="28" t="n"/>
      <c r="Q117" s="28" t="n">
        <v>-0.020527</v>
      </c>
      <c r="R117" s="26" t="n">
        <v>10</v>
      </c>
      <c r="S117" s="29" t="n">
        <v>1</v>
      </c>
      <c r="T117" s="24" t="inlineStr">
        <is>
          <t>cs2-tiered-elo-v6</t>
        </is>
      </c>
      <c r="U117" s="24" t="inlineStr">
        <is>
          <t>settled</t>
        </is>
      </c>
      <c r="V117" s="24" t="inlineStr">
        <is>
          <t>loss</t>
        </is>
      </c>
      <c r="W117" s="26" t="n">
        <v>1</v>
      </c>
      <c r="X117" s="26" t="n">
        <v>0</v>
      </c>
      <c r="Y117" s="25" t="n"/>
      <c r="Z117" s="26" t="n">
        <v>-127</v>
      </c>
      <c r="AA117" s="28" t="n">
        <v>0.5600000000000001</v>
      </c>
      <c r="AB117" s="28" t="n">
        <v>0.000529</v>
      </c>
      <c r="AC117" s="30" t="n">
        <v>-1</v>
      </c>
      <c r="AD117" s="24" t="inlineStr">
        <is>
          <t>2026-10-13T16:16:03.470258Z</t>
        </is>
      </c>
      <c r="AE117" s="31" t="inlineStr">
        <is>
          <t>Neutral Elo baseline; executable ask 0.5600 (market_slug=aec-cs2-bw-ill-2026-10-13).</t>
        </is>
      </c>
      <c r="AF117" s="31" t="inlineStr">
        <is>
          <t>Config-promoted esports baseline; gates enforced at log time.</t>
        </is>
      </c>
      <c r="AG117" s="24" t="inlineStr">
        <is>
          <t>review_required</t>
        </is>
      </c>
      <c r="AH117" s="24" t="n"/>
      <c r="AI117" s="31" t="n"/>
      <c r="AJ117" s="31" t="n"/>
      <c r="AK117" s="24" t="inlineStr">
        <is>
          <t>paper_call</t>
        </is>
      </c>
      <c r="AL117" s="26" t="n">
        <v>4</v>
      </c>
      <c r="AM117" s="24" t="inlineStr">
        <is>
          <t>RESEARCH_OBSERVATION</t>
        </is>
      </c>
      <c r="AN117" s="24" t="inlineStr">
        <is>
          <t>CALL</t>
        </is>
      </c>
      <c r="AO117" s="24" t="inlineStr">
        <is>
          <t>PAPER_CALL_LOW_EDGE</t>
        </is>
      </c>
      <c r="AP117" s="24" t="inlineStr">
        <is>
          <t>ILLYRIANS</t>
        </is>
      </c>
      <c r="AQ117" s="24" t="inlineStr">
        <is>
          <t>ILLYRIANS</t>
        </is>
      </c>
      <c r="AR117" s="24" t="inlineStr">
        <is>
          <t>ILLYRIANS</t>
        </is>
      </c>
      <c r="AS117" s="24" t="inlineStr">
        <is>
          <t>Bushido Wildcats</t>
        </is>
      </c>
      <c r="AT117" s="24" t="inlineStr">
        <is>
          <t>Bushido Wildcats</t>
        </is>
      </c>
      <c r="AU117" s="24" t="inlineStr">
        <is>
          <t>Bushido Wildcats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f97bacb04ad333c4a023074fb8df169a82f7f877e5ea739487b03b9205ade2be</t>
        </is>
      </c>
      <c r="BB117" s="24" t="inlineStr">
        <is>
          <t>neutral_elo</t>
        </is>
      </c>
      <c r="BC117" s="24" t="inlineStr">
        <is>
          <t>cs2-tiered-elo-v6</t>
        </is>
      </c>
      <c r="BD117" s="24" t="inlineStr">
        <is>
          <t>f97bacb04ad333c4a023074fb8df169a82f7f877e5ea739487b03b9205ade2be</t>
        </is>
      </c>
      <c r="BE117" s="24" t="inlineStr">
        <is>
          <t>1</t>
        </is>
      </c>
      <c r="BF117" s="24" t="inlineStr">
        <is>
          <t>1</t>
        </is>
      </c>
      <c r="BG117" s="24" t="inlineStr">
        <is>
          <t>cs2-tiered-elo-v6</t>
        </is>
      </c>
      <c r="BH117" s="24" t="inlineStr">
        <is>
          <t>2026-10-13T05:54:30.681797Z</t>
        </is>
      </c>
      <c r="BI117" s="24" t="inlineStr">
        <is>
          <t>["same_event","same_team_same_day","same_league_same_day"]</t>
        </is>
      </c>
      <c r="BJ117" s="25" t="n"/>
      <c r="BK117" s="26" t="n">
        <v>-127</v>
      </c>
      <c r="BL117" s="27" t="n">
        <v>1.787402</v>
      </c>
      <c r="BM117" s="28" t="n">
        <v>0.5594710000000001</v>
      </c>
      <c r="BN117" s="28" t="n"/>
      <c r="BO117" s="28" t="n"/>
      <c r="BP117" s="25" t="n"/>
      <c r="BQ117" s="27" t="n">
        <v>1.787402</v>
      </c>
      <c r="BR117" s="28" t="n">
        <v>0.5600000000000001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False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n"/>
      <c r="DK117" s="24" t="n"/>
      <c r="DL117" s="24" t="n"/>
      <c r="DM117" s="24" t="n"/>
      <c r="DN117" s="24" t="n"/>
      <c r="DO117" s="24" t="n"/>
      <c r="DP117" s="24" t="n"/>
      <c r="DQ117" s="24" t="inlineStr">
        <is>
          <t>{"artifact_hash": "f97bacb04ad333c4a023074fb8df169a82f7f877e5ea739487b03b9205ade2be", "away_team": "ILLYRIANS", "event_id": "157356", "event_start_utc": "2026-10-13T11:00:00Z", "features": {"away_elo": 1583.44801, "away_history_count": 24, "home_elo": 1620.905701, "home_history_count": 218}, "historical_source_observation_times_verified": false, "home_team": "Bushido Wildcats", "inference_inputs": {"book_state": {"games_played": {"bo3:1:20792": 218, "bo3:1:3022": 24}, "inactivity_half_life_days": null, "inactivity_max_pull": null, "k": 40.0, "last_match_utc": {"bo3:1:20792": "2026-09-28T08:20:00Z", "bo3:1:3022": "2026-10-12T14:40:00Z"}, "minimum_reliable_games": null, "platt_intercept": 0.06808033243282507, "platt_slope": 0.8743073074219846, "ratings": {"bo3:1:20792": 1620.905701, "bo3:1:3022": 1583.44801},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"2026-10-13T05:50:34.442602+00:00", "team_ids": ["bo3:1:20792", "bo3:1:3022"]}, "market_type": "moneyline", "model_version": "cs2-tiered-elo-v6", "observed_at_utc": "2026-10-13T05:50:34.442602+00:00", "probabilities": {"away": 0.461056, "home": 0.538944}, "replay_scope": "Exact serving book state, calibration, temperature, inactivity reference and thin-history adjustments; training provenance not certified.", "schema": "esports-elo-replay-v1", "snapshot_hash": "40f60f9136a9bb3a8152a7a0766c21a1aa4e24044cc5ed81de5fd84bbf9c1ca0", "sport": "CS2"}</t>
        </is>
      </c>
    </row>
    <row r="118" ht="36" customHeight="1">
      <c r="A118" s="24" t="inlineStr">
        <is>
          <t>d98b98114a8848b9</t>
        </is>
      </c>
      <c r="B118" s="24" t="inlineStr">
        <is>
          <t>2026-10-13T11:26:21.346070Z</t>
        </is>
      </c>
      <c r="C118" s="24" t="inlineStr">
        <is>
          <t>2026-10-13T13:00:00Z</t>
        </is>
      </c>
      <c r="D118" s="24" t="inlineStr">
        <is>
          <t>156965</t>
        </is>
      </c>
      <c r="E118" s="24" t="inlineStr">
        <is>
          <t>CS2</t>
        </is>
      </c>
      <c r="F118" s="24" t="inlineStr">
        <is>
          <t>Martians</t>
        </is>
      </c>
      <c r="G118" s="24" t="inlineStr">
        <is>
          <t>QUINTESSÊNCIA</t>
        </is>
      </c>
      <c r="H118" s="24" t="inlineStr">
        <is>
          <t>total</t>
        </is>
      </c>
      <c r="I118" s="24" t="inlineStr">
        <is>
          <t>under</t>
        </is>
      </c>
      <c r="J118" s="25" t="n">
        <v>2.5</v>
      </c>
      <c r="K118" s="24" t="inlineStr">
        <is>
          <t>polymarket_us</t>
        </is>
      </c>
      <c r="L118" s="26" t="n">
        <v>-186</v>
      </c>
      <c r="M118" s="27" t="n">
        <v>1.537634</v>
      </c>
      <c r="N118" s="28" t="n">
        <v>0.65035</v>
      </c>
      <c r="O118" s="28" t="n">
        <v>0.519853</v>
      </c>
      <c r="P118" s="28" t="n"/>
      <c r="Q118" s="28" t="n">
        <v>-0.130497</v>
      </c>
      <c r="R118" s="26" t="n">
        <v>0</v>
      </c>
      <c r="S118" s="29" t="n">
        <v>1</v>
      </c>
      <c r="T118" s="24" t="inlineStr">
        <is>
          <t>cs2-total-tiered-elo-v6</t>
        </is>
      </c>
      <c r="U118" s="24" t="inlineStr">
        <is>
          <t>settled</t>
        </is>
      </c>
      <c r="V118" s="24" t="inlineStr">
        <is>
          <t>win</t>
        </is>
      </c>
      <c r="W118" s="26" t="n">
        <v>0</v>
      </c>
      <c r="X118" s="26" t="n">
        <v>2</v>
      </c>
      <c r="Y118" s="25" t="n"/>
      <c r="Z118" s="26" t="n"/>
      <c r="AA118" s="28" t="n"/>
      <c r="AB118" s="28" t="n"/>
      <c r="AC118" s="30" t="n">
        <v>0.5376</v>
      </c>
      <c r="AD118" s="24" t="inlineStr">
        <is>
          <t>2026-10-13T16:16:09.260905Z</t>
        </is>
      </c>
      <c r="AE118" s="31" t="inlineStr">
        <is>
          <t>Neutral Elo baseline; executable ask 0.6500 (market_slug=tsc-cs2-quin-mar-2026-10-13-tot-2pt5).</t>
        </is>
      </c>
      <c r="AF118" s="31" t="inlineStr">
        <is>
          <t>Config-promoted esports baseline; gates enforced at log time.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paper_call</t>
        </is>
      </c>
      <c r="AL118" s="26" t="n">
        <v>4</v>
      </c>
      <c r="AM118" s="24" t="inlineStr">
        <is>
          <t>RESEARCH_OBSERVATION</t>
        </is>
      </c>
      <c r="AN118" s="24" t="inlineStr">
        <is>
          <t>CALL</t>
        </is>
      </c>
      <c r="AO118" s="24" t="inlineStr">
        <is>
          <t>PAPER_CALL_LOW_EDGE</t>
        </is>
      </c>
      <c r="AP118" s="24" t="inlineStr">
        <is>
          <t>Martians</t>
        </is>
      </c>
      <c r="AQ118" s="24" t="inlineStr">
        <is>
          <t>Martians</t>
        </is>
      </c>
      <c r="AR118" s="24" t="inlineStr">
        <is>
          <t>Martians</t>
        </is>
      </c>
      <c r="AS118" s="24" t="inlineStr">
        <is>
          <t>QUINTESSÊNCIA</t>
        </is>
      </c>
      <c r="AT118" s="24" t="inlineStr">
        <is>
          <t>QUINTESSÊNCIA</t>
        </is>
      </c>
      <c r="AU118" s="24" t="inlineStr">
        <is>
          <t>QUINTESSÊNCIA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975c5563ceb50eaa975477b35bd006c3ff3c0310589c7786c55744ae24509272</t>
        </is>
      </c>
      <c r="BB118" s="24" t="inlineStr">
        <is>
          <t>neutral_elo</t>
        </is>
      </c>
      <c r="BC118" s="24" t="inlineStr">
        <is>
          <t>cs2-total-tiered-elo-v6</t>
        </is>
      </c>
      <c r="BD118" s="24" t="inlineStr">
        <is>
          <t>975c5563ceb50eaa975477b35bd006c3ff3c0310589c7786c55744ae24509272</t>
        </is>
      </c>
      <c r="BE118" s="24" t="inlineStr">
        <is>
          <t>1</t>
        </is>
      </c>
      <c r="BF118" s="24" t="inlineStr">
        <is>
          <t>1</t>
        </is>
      </c>
      <c r="BG118" s="24" t="inlineStr">
        <is>
          <t>cs2-total-tiered-elo-v6</t>
        </is>
      </c>
      <c r="BH118" s="24" t="inlineStr">
        <is>
          <t>2026-10-13T11:18:51.404017Z</t>
        </is>
      </c>
      <c r="BI118" s="24" t="inlineStr">
        <is>
          <t>["same_event","same_team_same_day","same_league_same_day"]</t>
        </is>
      </c>
      <c r="BJ118" s="25" t="n">
        <v>2.5</v>
      </c>
      <c r="BK118" s="26" t="n">
        <v>-186</v>
      </c>
      <c r="BL118" s="27" t="n">
        <v>1.537634</v>
      </c>
      <c r="BM118" s="28" t="n">
        <v>0.65035</v>
      </c>
      <c r="BN118" s="28" t="n"/>
      <c r="BO118" s="28" t="n"/>
      <c r="BP118" s="25" t="n"/>
      <c r="BQ118" s="27" t="n"/>
      <c r="BR118" s="28" t="n"/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False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n"/>
      <c r="DK118" s="24" t="n"/>
      <c r="DL118" s="24" t="n"/>
      <c r="DM118" s="24" t="n"/>
      <c r="DN118" s="24" t="n"/>
      <c r="DO118" s="24" t="n"/>
      <c r="DP118" s="24" t="n"/>
      <c r="DQ118" s="24" t="n"/>
    </row>
    <row r="119" ht="36" customHeight="1">
      <c r="A119" s="24" t="inlineStr">
        <is>
          <t>f4aaff033e6b4f40</t>
        </is>
      </c>
      <c r="B119" s="24" t="inlineStr">
        <is>
          <t>2026-10-13T11:26:21.346070Z</t>
        </is>
      </c>
      <c r="C119" s="24" t="inlineStr">
        <is>
          <t>2026-10-13T14:00:00Z</t>
        </is>
      </c>
      <c r="D119" s="24" t="inlineStr">
        <is>
          <t>157391</t>
        </is>
      </c>
      <c r="E119" s="24" t="inlineStr">
        <is>
          <t>CS2</t>
        </is>
      </c>
      <c r="F119" s="24" t="inlineStr">
        <is>
          <t>Saint Sinners</t>
        </is>
      </c>
      <c r="G119" s="24" t="inlineStr">
        <is>
          <t>Walczaki</t>
        </is>
      </c>
      <c r="H119" s="24" t="inlineStr">
        <is>
          <t>moneyline</t>
        </is>
      </c>
      <c r="I119" s="24" t="inlineStr">
        <is>
          <t>away</t>
        </is>
      </c>
      <c r="J119" s="25" t="n"/>
      <c r="K119" s="24" t="inlineStr">
        <is>
          <t>polymarket_us</t>
        </is>
      </c>
      <c r="L119" s="26" t="n">
        <v>104</v>
      </c>
      <c r="M119" s="27" t="n">
        <v>2.04</v>
      </c>
      <c r="N119" s="28" t="n">
        <v>0.490196</v>
      </c>
      <c r="O119" s="28" t="n">
        <v>0.508956</v>
      </c>
      <c r="P119" s="28" t="n"/>
      <c r="Q119" s="28" t="n">
        <v>0.01876</v>
      </c>
      <c r="R119" s="26" t="n">
        <v>29</v>
      </c>
      <c r="S119" s="29" t="n">
        <v>1</v>
      </c>
      <c r="T119" s="24" t="inlineStr">
        <is>
          <t>cs2-tiered-elo-v6</t>
        </is>
      </c>
      <c r="U119" s="24" t="inlineStr">
        <is>
          <t>settled</t>
        </is>
      </c>
      <c r="V119" s="24" t="inlineStr">
        <is>
          <t>push</t>
        </is>
      </c>
      <c r="W119" s="26" t="n"/>
      <c r="X119" s="26" t="n"/>
      <c r="Y119" s="25" t="n"/>
      <c r="Z119" s="26" t="n"/>
      <c r="AA119" s="28" t="n"/>
      <c r="AB119" s="28" t="n"/>
      <c r="AC119" s="30" t="n">
        <v>0</v>
      </c>
      <c r="AD119" s="24" t="inlineStr">
        <is>
          <t>2026-10-13T16:16:23.780407Z</t>
        </is>
      </c>
      <c r="AE119" s="31" t="inlineStr">
        <is>
          <t>Neutral Elo baseline; executable ask 0.4900 (market_slug=aec-cs2-wal-ssins-2026-10-13).</t>
        </is>
      </c>
      <c r="AF119" s="31" t="inlineStr">
        <is>
          <t>Config-promoted esports baseline; gates enforced at log time.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paper_call</t>
        </is>
      </c>
      <c r="AL119" s="26" t="n">
        <v>4</v>
      </c>
      <c r="AM119" s="24" t="inlineStr">
        <is>
          <t>RESEARCH_OBSERVATION</t>
        </is>
      </c>
      <c r="AN119" s="24" t="inlineStr">
        <is>
          <t>CALL</t>
        </is>
      </c>
      <c r="AO119" s="24" t="inlineStr">
        <is>
          <t>PAPER_CALL_LOW_EDGE</t>
        </is>
      </c>
      <c r="AP119" s="24" t="inlineStr">
        <is>
          <t>Saint Sinners</t>
        </is>
      </c>
      <c r="AQ119" s="24" t="inlineStr">
        <is>
          <t>Saint Sinners</t>
        </is>
      </c>
      <c r="AR119" s="24" t="inlineStr">
        <is>
          <t>Saint Sinners</t>
        </is>
      </c>
      <c r="AS119" s="24" t="inlineStr">
        <is>
          <t>Walczaki</t>
        </is>
      </c>
      <c r="AT119" s="24" t="inlineStr">
        <is>
          <t>Walczaki</t>
        </is>
      </c>
      <c r="AU119" s="24" t="inlineStr">
        <is>
          <t>Walczaki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975c5563ceb50eaa975477b35bd006c3ff3c0310589c7786c55744ae24509272</t>
        </is>
      </c>
      <c r="BB119" s="24" t="inlineStr">
        <is>
          <t>neutral_elo</t>
        </is>
      </c>
      <c r="BC119" s="24" t="inlineStr">
        <is>
          <t>cs2-tiered-elo-v6</t>
        </is>
      </c>
      <c r="BD119" s="24" t="inlineStr">
        <is>
          <t>975c5563ceb50eaa975477b35bd006c3ff3c0310589c7786c55744ae24509272</t>
        </is>
      </c>
      <c r="BE119" s="24" t="inlineStr">
        <is>
          <t>1</t>
        </is>
      </c>
      <c r="BF119" s="24" t="inlineStr">
        <is>
          <t>1</t>
        </is>
      </c>
      <c r="BG119" s="24" t="inlineStr">
        <is>
          <t>cs2-tiered-elo-v6</t>
        </is>
      </c>
      <c r="BH119" s="24" t="inlineStr">
        <is>
          <t>2026-10-13T11:19:01.132762Z</t>
        </is>
      </c>
      <c r="BI119" s="24" t="inlineStr">
        <is>
          <t>["same_event","same_team_same_day","same_league_same_day"]</t>
        </is>
      </c>
      <c r="BJ119" s="25" t="n"/>
      <c r="BK119" s="26" t="n">
        <v>104</v>
      </c>
      <c r="BL119" s="27" t="n">
        <v>2.04</v>
      </c>
      <c r="BM119" s="28" t="n">
        <v>0.490196</v>
      </c>
      <c r="BN119" s="28" t="n"/>
      <c r="BO119" s="28" t="n"/>
      <c r="BP119" s="25" t="n"/>
      <c r="BQ119" s="27" t="n"/>
      <c r="BR119" s="28" t="n"/>
      <c r="BS119" s="28" t="n"/>
      <c r="BT119" s="28" t="n"/>
      <c r="BU119" s="25" t="n"/>
      <c r="BV119" s="29" t="n"/>
      <c r="BW119" s="24" t="inlineStr">
        <is>
          <t>esports market terminal (MARKET_STATE_EXPIRED) with prices {'Walczaki': 0.54, 'Saint Sinners': 0.46}; BO3 has no confirming finished-match result either</t>
        </is>
      </c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True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n"/>
      <c r="DK119" s="24" t="n"/>
      <c r="DL119" s="24" t="n"/>
      <c r="DM119" s="24" t="n"/>
      <c r="DN119" s="24" t="n"/>
      <c r="DO119" s="24" t="n"/>
      <c r="DP119" s="24" t="n"/>
      <c r="DQ119" s="24" t="inlineStr">
        <is>
          <t>{"artifact_hash": "975c5563ceb50eaa975477b35bd006c3ff3c0310589c7786c55744ae24509272", "away_team": "Saint Sinners", "event_id": "157391", "event_start_utc": "2026-10-13T14:00:00Z", "features": {"away_elo": 1625.762783, "away_history_count": 21, "home_elo": 1642.125252, "home_history_count": 61}, "historical_source_observation_times_verified": false, "home_team": "Walczaki", "inference_inputs": {"book_state": {"games_played": {"bo3:1:23286": 61, "bo3:1:25223": 21}, "inactivity_half_life_days": null, "inactivity_max_pull": null, "k": 40.0, "last_match_utc": {"bo3:1:23286": "2026-09-02T18:20:00Z", "bo3:1:25223": "2026-10-12T08:10:00Z"}, "minimum_reliable_games": null, "platt_intercept": 0.0687319265238995, "platt_slope": 0.8742666836294105, "ratings": {"bo3:1:23286": 1642.125252, "bo3:1:25223": 1625.762783},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"2026-10-13T11:18:19.172613+00:00", "team_ids": ["bo3:1:23286", "bo3:1:25223"]}, "market_type": "moneyline", "model_version": "cs2-tiered-elo-v6", "observed_at_utc": "2026-10-13T11:18:19.172613+00:00", "probabilities": {"away": 0.508956, "home": 0.491044}, "replay_scope": "Exact serving book state, calibration, temperature, inactivity reference and thin-history adjustments; training provenance not certified.", "schema": "esports-elo-replay-v1", "snapshot_hash": "875f95bd0930b254c14b1d28c98913389d7653af820175c8b9fd0c21cd058ced", "sport": "CS2"}</t>
        </is>
      </c>
    </row>
    <row r="120" ht="36" customHeight="1">
      <c r="A120" s="24" t="inlineStr">
        <is>
          <t>0ea9093947134dc6</t>
        </is>
      </c>
      <c r="B120" s="24" t="inlineStr">
        <is>
          <t>2026-10-13T11:26:21.346070Z</t>
        </is>
      </c>
      <c r="C120" s="24" t="inlineStr">
        <is>
          <t>2026-10-13T16:00:00Z</t>
        </is>
      </c>
      <c r="D120" s="24" t="inlineStr">
        <is>
          <t>158033</t>
        </is>
      </c>
      <c r="E120" s="24" t="inlineStr">
        <is>
          <t>CS2</t>
        </is>
      </c>
      <c r="F120" s="24" t="inlineStr">
        <is>
          <t>eternal premium</t>
        </is>
      </c>
      <c r="G120" s="24" t="inlineStr">
        <is>
          <t>Revise</t>
        </is>
      </c>
      <c r="H120" s="24" t="inlineStr">
        <is>
          <t>moneyline</t>
        </is>
      </c>
      <c r="I120" s="24" t="inlineStr">
        <is>
          <t>home</t>
        </is>
      </c>
      <c r="J120" s="25" t="n"/>
      <c r="K120" s="24" t="inlineStr">
        <is>
          <t>polymarket_us</t>
        </is>
      </c>
      <c r="L120" s="26" t="n">
        <v>-117</v>
      </c>
      <c r="M120" s="27" t="n">
        <v>1.854701</v>
      </c>
      <c r="N120" s="28" t="n">
        <v>0.539171</v>
      </c>
      <c r="O120" s="28" t="n">
        <v>0.5157119999999999</v>
      </c>
      <c r="P120" s="28" t="n"/>
      <c r="Q120" s="28" t="n">
        <v>-0.023459</v>
      </c>
      <c r="R120" s="26" t="n">
        <v>8</v>
      </c>
      <c r="S120" s="29" t="n">
        <v>1</v>
      </c>
      <c r="T120" s="24" t="inlineStr">
        <is>
          <t>cs2-tiered-elo-v6</t>
        </is>
      </c>
      <c r="U120" s="24" t="inlineStr">
        <is>
          <t>settled</t>
        </is>
      </c>
      <c r="V120" s="24" t="inlineStr">
        <is>
          <t>loss</t>
        </is>
      </c>
      <c r="W120" s="26" t="n">
        <v>1</v>
      </c>
      <c r="X120" s="26" t="n">
        <v>0</v>
      </c>
      <c r="Y120" s="25" t="n"/>
      <c r="Z120" s="26" t="n">
        <v>-117</v>
      </c>
      <c r="AA120" s="28" t="n">
        <v>0.54</v>
      </c>
      <c r="AB120" s="28" t="n">
        <v>0.000829</v>
      </c>
      <c r="AC120" s="30" t="n">
        <v>-1</v>
      </c>
      <c r="AD120" s="24" t="inlineStr">
        <is>
          <t>2026-10-13T22:04:05.904687Z</t>
        </is>
      </c>
      <c r="AE120" s="31" t="inlineStr">
        <is>
          <t>Neutral Elo baseline; executable ask 0.5400 (market_slug=aec-cs2-revi-ep-2026-10-13).</t>
        </is>
      </c>
      <c r="AF120" s="31" t="inlineStr">
        <is>
          <t>Config-promoted esports baseline; gates enforced at log time.</t>
        </is>
      </c>
      <c r="AG120" s="24" t="inlineStr">
        <is>
          <t>review_required</t>
        </is>
      </c>
      <c r="AH120" s="24" t="n"/>
      <c r="AI120" s="31" t="n"/>
      <c r="AJ120" s="31" t="n"/>
      <c r="AK120" s="24" t="inlineStr">
        <is>
          <t>paper_call</t>
        </is>
      </c>
      <c r="AL120" s="26" t="n">
        <v>4</v>
      </c>
      <c r="AM120" s="24" t="inlineStr">
        <is>
          <t>RESEARCH_OBSERVATION</t>
        </is>
      </c>
      <c r="AN120" s="24" t="inlineStr">
        <is>
          <t>CALL</t>
        </is>
      </c>
      <c r="AO120" s="24" t="inlineStr">
        <is>
          <t>PAPER_CALL_LOW_EDGE</t>
        </is>
      </c>
      <c r="AP120" s="24" t="inlineStr">
        <is>
          <t>eternal premium</t>
        </is>
      </c>
      <c r="AQ120" s="24" t="inlineStr">
        <is>
          <t>eternal premium</t>
        </is>
      </c>
      <c r="AR120" s="24" t="inlineStr">
        <is>
          <t>eternal premium</t>
        </is>
      </c>
      <c r="AS120" s="24" t="inlineStr">
        <is>
          <t>Revise</t>
        </is>
      </c>
      <c r="AT120" s="24" t="inlineStr">
        <is>
          <t>Revise</t>
        </is>
      </c>
      <c r="AU120" s="24" t="inlineStr">
        <is>
          <t>Revise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975c5563ceb50eaa975477b35bd006c3ff3c0310589c7786c55744ae24509272</t>
        </is>
      </c>
      <c r="BB120" s="24" t="inlineStr">
        <is>
          <t>neutral_elo</t>
        </is>
      </c>
      <c r="BC120" s="24" t="inlineStr">
        <is>
          <t>cs2-tiered-elo-v6</t>
        </is>
      </c>
      <c r="BD120" s="24" t="inlineStr">
        <is>
          <t>975c5563ceb50eaa975477b35bd006c3ff3c0310589c7786c55744ae24509272</t>
        </is>
      </c>
      <c r="BE120" s="24" t="inlineStr">
        <is>
          <t>1</t>
        </is>
      </c>
      <c r="BF120" s="24" t="inlineStr">
        <is>
          <t>1</t>
        </is>
      </c>
      <c r="BG120" s="24" t="inlineStr">
        <is>
          <t>cs2-tiered-elo-v6</t>
        </is>
      </c>
      <c r="BH120" s="24" t="inlineStr">
        <is>
          <t>2026-10-13T11:20:02.871965Z</t>
        </is>
      </c>
      <c r="BI120" s="24" t="inlineStr">
        <is>
          <t>["same_event","same_team_same_day","same_league_same_day"]</t>
        </is>
      </c>
      <c r="BJ120" s="25" t="n"/>
      <c r="BK120" s="26" t="n">
        <v>-117</v>
      </c>
      <c r="BL120" s="27" t="n">
        <v>1.854701</v>
      </c>
      <c r="BM120" s="28" t="n">
        <v>0.539171</v>
      </c>
      <c r="BN120" s="28" t="n"/>
      <c r="BO120" s="28" t="n"/>
      <c r="BP120" s="25" t="n"/>
      <c r="BQ120" s="27" t="n">
        <v>1.854701</v>
      </c>
      <c r="BR120" s="28" t="n">
        <v>0.54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False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n"/>
      <c r="DK120" s="24" t="n"/>
      <c r="DL120" s="24" t="n"/>
      <c r="DM120" s="24" t="n"/>
      <c r="DN120" s="24" t="n"/>
      <c r="DO120" s="24" t="n"/>
      <c r="DP120" s="24" t="n"/>
      <c r="DQ120" s="24" t="inlineStr">
        <is>
          <t>{"artifact_hash": "975c5563ceb50eaa975477b35bd006c3ff3c0310589c7786c55744ae24509272", "away_team": "eternal premium", "event_id": "158033", "event_start_utc": "2026-10-13T16:00:00Z", "features": {"away_elo": 1492.777201, "away_history_count": 81, "home_elo": 1493.850027, "home_history_count": 16}, "historical_source_observation_times_verified": false, "home_team": "Revise", "inference_inputs": {"book_state": {"games_played": {"bo3:1:18841": 81, "bo3:1:25129": 16}, "inactivity_half_life_days": null, "inactivity_max_pull": null, "k": 40.0, "last_match_utc": {"bo3:1:18841": "2026-10-08T18:40:00Z", "bo3:1:25129": "2026-10-07T17:15:00Z"}, "minimum_reliable_games": null, "platt_intercept": 0.0687319265238995, "platt_slope": 0.8742666836294105, "ratings": {"bo3:1:18841": 1492.777201, "bo3:1:25129": 1493.850027},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"2026-10-13T11:18:19.172613+00:00", "team_ids": ["bo3:1:25129", "bo3:1:18841"]}, "market_type": "moneyline", "model_version": "cs2-tiered-elo-v6", "observed_at_utc": "2026-10-13T11:18:19.172613+00:00", "probabilities": {"away": 0.484288, "home": 0.515712}, "replay_scope": "Exact serving book state, calibration, temperature, inactivity reference and thin-history adjustments; training provenance not certified.", "schema": "esports-elo-replay-v1", "snapshot_hash": "3acd8a611f6b9c870831bdfd62671d4bb218d4173c7399a268b5a1ca6306944d", "sport": "CS2"}</t>
        </is>
      </c>
    </row>
    <row r="121" ht="36" customHeight="1">
      <c r="A121" s="24" t="inlineStr">
        <is>
          <t>3677102b5f0e4a68</t>
        </is>
      </c>
      <c r="B121" s="24" t="inlineStr">
        <is>
          <t>2026-10-13T17:05:51.730145Z</t>
        </is>
      </c>
      <c r="C121" s="24" t="inlineStr">
        <is>
          <t>2026-10-13T18:30:00Z</t>
        </is>
      </c>
      <c r="D121" s="24" t="inlineStr">
        <is>
          <t>158043</t>
        </is>
      </c>
      <c r="E121" s="24" t="inlineStr">
        <is>
          <t>CS2</t>
        </is>
      </c>
      <c r="F121" s="24" t="inlineStr">
        <is>
          <t>Dark Moon</t>
        </is>
      </c>
      <c r="G121" s="24" t="inlineStr">
        <is>
          <t>Young TigeRES</t>
        </is>
      </c>
      <c r="H121" s="24" t="inlineStr">
        <is>
          <t>moneyline</t>
        </is>
      </c>
      <c r="I121" s="24" t="inlineStr">
        <is>
          <t>home</t>
        </is>
      </c>
      <c r="J121" s="25" t="n"/>
      <c r="K121" s="24" t="inlineStr">
        <is>
          <t>polymarket_us</t>
        </is>
      </c>
      <c r="L121" s="26" t="n">
        <v>-186</v>
      </c>
      <c r="M121" s="27" t="n">
        <v>1.537634</v>
      </c>
      <c r="N121" s="28" t="n">
        <v>0.65035</v>
      </c>
      <c r="O121" s="28" t="n">
        <v>0.6588580000000001</v>
      </c>
      <c r="P121" s="28" t="n"/>
      <c r="Q121" s="28" t="n">
        <v>0.008508</v>
      </c>
      <c r="R121" s="26" t="n">
        <v>24</v>
      </c>
      <c r="S121" s="29" t="n">
        <v>1</v>
      </c>
      <c r="T121" s="24" t="inlineStr">
        <is>
          <t>cs2-tiered-elo-v6</t>
        </is>
      </c>
      <c r="U121" s="24" t="inlineStr">
        <is>
          <t>settled</t>
        </is>
      </c>
      <c r="V121" s="24" t="inlineStr">
        <is>
          <t>push</t>
        </is>
      </c>
      <c r="W121" s="26" t="n"/>
      <c r="X121" s="26" t="n"/>
      <c r="Y121" s="25" t="n"/>
      <c r="Z121" s="26" t="n"/>
      <c r="AA121" s="28" t="n"/>
      <c r="AB121" s="28" t="n"/>
      <c r="AC121" s="30" t="n">
        <v>0</v>
      </c>
      <c r="AD121" s="24" t="inlineStr">
        <is>
          <t>2026-10-13T22:04:20.787482Z</t>
        </is>
      </c>
      <c r="AE121" s="31" t="inlineStr">
        <is>
          <t>Neutral Elo baseline; executable ask 0.6500 (market_slug=aec-cs2-ytigeres-dm-2026-10-13).</t>
        </is>
      </c>
      <c r="AF121" s="31" t="inlineStr">
        <is>
          <t>Config-promoted esports baseline; gates enforced at log time.</t>
        </is>
      </c>
      <c r="AG121" s="24" t="inlineStr">
        <is>
          <t>not_applicable</t>
        </is>
      </c>
      <c r="AH121" s="24" t="n"/>
      <c r="AI121" s="31" t="n"/>
      <c r="AJ121" s="31" t="n"/>
      <c r="AK121" s="24" t="inlineStr">
        <is>
          <t>paper_call</t>
        </is>
      </c>
      <c r="AL121" s="26" t="n">
        <v>4</v>
      </c>
      <c r="AM121" s="24" t="inlineStr">
        <is>
          <t>RESEARCH_OBSERVATION</t>
        </is>
      </c>
      <c r="AN121" s="24" t="inlineStr">
        <is>
          <t>CALL</t>
        </is>
      </c>
      <c r="AO121" s="24" t="inlineStr">
        <is>
          <t>PAPER_CALL_LOW_EDGE</t>
        </is>
      </c>
      <c r="AP121" s="24" t="inlineStr">
        <is>
          <t>Dark Moon</t>
        </is>
      </c>
      <c r="AQ121" s="24" t="inlineStr">
        <is>
          <t>Dark Moon</t>
        </is>
      </c>
      <c r="AR121" s="24" t="inlineStr">
        <is>
          <t>Dark Moon</t>
        </is>
      </c>
      <c r="AS121" s="24" t="inlineStr">
        <is>
          <t>Young TigeRES</t>
        </is>
      </c>
      <c r="AT121" s="24" t="inlineStr">
        <is>
          <t>Young TigeRES</t>
        </is>
      </c>
      <c r="AU121" s="24" t="inlineStr">
        <is>
          <t>Young TigeRES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d6b3627d65f602a850a75b08e75d06be54aac29b8937b0e2bf3c0cd9d23b0efe</t>
        </is>
      </c>
      <c r="BB121" s="24" t="inlineStr">
        <is>
          <t>neutral_elo</t>
        </is>
      </c>
      <c r="BC121" s="24" t="inlineStr">
        <is>
          <t>cs2-tiered-elo-v6</t>
        </is>
      </c>
      <c r="BD121" s="24" t="inlineStr">
        <is>
          <t>d6b3627d65f602a850a75b08e75d06be54aac29b8937b0e2bf3c0cd9d23b0efe</t>
        </is>
      </c>
      <c r="BE121" s="24" t="inlineStr">
        <is>
          <t>1</t>
        </is>
      </c>
      <c r="BF121" s="24" t="inlineStr">
        <is>
          <t>1</t>
        </is>
      </c>
      <c r="BG121" s="24" t="inlineStr">
        <is>
          <t>cs2-tiered-elo-v6</t>
        </is>
      </c>
      <c r="BH121" s="24" t="inlineStr">
        <is>
          <t>2026-10-13T16:59:39.576947Z</t>
        </is>
      </c>
      <c r="BI121" s="24" t="inlineStr">
        <is>
          <t>["same_event","same_team_same_day","same_league_same_day"]</t>
        </is>
      </c>
      <c r="BJ121" s="25" t="n"/>
      <c r="BK121" s="26" t="n">
        <v>-186</v>
      </c>
      <c r="BL121" s="27" t="n">
        <v>1.537634</v>
      </c>
      <c r="BM121" s="28" t="n">
        <v>0.65035</v>
      </c>
      <c r="BN121" s="28" t="n"/>
      <c r="BO121" s="28" t="n"/>
      <c r="BP121" s="25" t="n"/>
      <c r="BQ121" s="27" t="n"/>
      <c r="BR121" s="28" t="n"/>
      <c r="BS121" s="28" t="n"/>
      <c r="BT121" s="28" t="n"/>
      <c r="BU121" s="25" t="n"/>
      <c r="BV121" s="29" t="n"/>
      <c r="BW121" s="24" t="inlineStr">
        <is>
          <t>esports market terminal (MARKET_STATE_EXPIRED) with prices {'Young TigeRES': 0.68, 'Dark Moon': 0.32}; BO3 has no confirming finished-match result either</t>
        </is>
      </c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True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n"/>
      <c r="DK121" s="24" t="n"/>
      <c r="DL121" s="24" t="n"/>
      <c r="DM121" s="24" t="n"/>
      <c r="DN121" s="24" t="n"/>
      <c r="DO121" s="24" t="n"/>
      <c r="DP121" s="24" t="n"/>
      <c r="DQ121" s="24" t="inlineStr">
        <is>
          <t>{"artifact_hash": "d6b3627d65f602a850a75b08e75d06be54aac29b8937b0e2bf3c0cd9d23b0efe", "away_team": "Dark Moon", "event_id": "158043", "event_start_utc": "2026-10-13T18:30:00Z", "features": {"away_elo": 1485.703656, "away_history_count": 27, "home_elo": 1638.068728, "home_history_count": 65}, "historical_source_observation_times_verified": false, "home_team": "Young TigeRES", "inference_inputs": {"book_state": {"games_played": {"bo3:1:21990": 65, "bo3:1:24014": 27}, "inactivity_half_life_days": null, "inactivity_max_pull": null, "k": 40.0, "last_match_utc": {"bo3:1:21990": "2026-10-06T18:45:00Z", "bo3:1:24014": "2026-09-14T17:55:00Z"}, "minimum_reliable_games": null, "platt_intercept": 0.06849952222113126, "platt_slope": 0.8731634603758667, "ratings": {"bo3:1:21990": 1638.068728, "bo3:1:24014": 1485.703656},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["bo3:1:21990", "bo3:1:24014"]}, "market_type": "moneyline", "model_version": "cs2-tiered-elo-v6", "observed_at_utc": "2026-10-13T16:58:36.998591+00:00", "probabilities": {"away": 0.341142, "home": 0.658858}, "replay_scope": "Exact serving book state, calibration, temperature, inactivity reference and thin-history adjustments; training provenance not certified.", "schema": "esports-elo-replay-v1", "snapshot_hash": "b8f98d30f72f46b883f21357930e67b7d7969a357aa73ef96e955485a653c69c", "sport": "CS2"}</t>
        </is>
      </c>
    </row>
    <row r="122" ht="36" customHeight="1">
      <c r="A122" s="24" t="inlineStr">
        <is>
          <t>5ed84417771d4a91</t>
        </is>
      </c>
      <c r="B122" s="24" t="inlineStr">
        <is>
          <t>2026-10-13T17:05:51.730145Z</t>
        </is>
      </c>
      <c r="C122" s="24" t="inlineStr">
        <is>
          <t>2026-10-13T18:30:00Z</t>
        </is>
      </c>
      <c r="D122" s="24" t="inlineStr">
        <is>
          <t>158049</t>
        </is>
      </c>
      <c r="E122" s="24" t="inlineStr">
        <is>
          <t>CS2</t>
        </is>
      </c>
      <c r="F122" s="24" t="inlineStr">
        <is>
          <t>6666</t>
        </is>
      </c>
      <c r="G122" s="24" t="inlineStr">
        <is>
          <t>KUUSAMO.gg</t>
        </is>
      </c>
      <c r="H122" s="24" t="inlineStr">
        <is>
          <t>moneyline</t>
        </is>
      </c>
      <c r="I122" s="24" t="inlineStr">
        <is>
          <t>away</t>
        </is>
      </c>
      <c r="J122" s="25" t="n"/>
      <c r="K122" s="24" t="inlineStr">
        <is>
          <t>polymarket_us</t>
        </is>
      </c>
      <c r="L122" s="26" t="n">
        <v>-223</v>
      </c>
      <c r="M122" s="27" t="n">
        <v>1.44843</v>
      </c>
      <c r="N122" s="28" t="n">
        <v>0.690402</v>
      </c>
      <c r="O122" s="28" t="n">
        <v>0.723283</v>
      </c>
      <c r="P122" s="28" t="n"/>
      <c r="Q122" s="28" t="n">
        <v>0.032881</v>
      </c>
      <c r="R122" s="26" t="n">
        <v>36</v>
      </c>
      <c r="S122" s="29" t="n">
        <v>1</v>
      </c>
      <c r="T122" s="24" t="inlineStr">
        <is>
          <t>cs2-tiered-elo-v6</t>
        </is>
      </c>
      <c r="U122" s="24" t="inlineStr">
        <is>
          <t>settled</t>
        </is>
      </c>
      <c r="V122" s="24" t="inlineStr">
        <is>
          <t>push</t>
        </is>
      </c>
      <c r="W122" s="26" t="n"/>
      <c r="X122" s="26" t="n"/>
      <c r="Y122" s="25" t="n"/>
      <c r="Z122" s="26" t="n"/>
      <c r="AA122" s="28" t="n"/>
      <c r="AB122" s="28" t="n"/>
      <c r="AC122" s="30" t="n">
        <v>0</v>
      </c>
      <c r="AD122" s="24" t="inlineStr">
        <is>
          <t>2026-10-13T22:04:30.258046Z</t>
        </is>
      </c>
      <c r="AE122" s="31" t="inlineStr">
        <is>
          <t>Neutral Elo baseline; executable ask 0.6900 (market_slug=aec-cs2-ksm-6666-2026-10-13).</t>
        </is>
      </c>
      <c r="AF122" s="31" t="inlineStr">
        <is>
          <t>Config-promoted esports baseline; gates enforced at log time.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4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6666</t>
        </is>
      </c>
      <c r="AQ122" s="24" t="inlineStr">
        <is>
          <t>6666</t>
        </is>
      </c>
      <c r="AR122" s="24" t="inlineStr">
        <is>
          <t>6666</t>
        </is>
      </c>
      <c r="AS122" s="24" t="inlineStr">
        <is>
          <t>KUUSAMO.gg</t>
        </is>
      </c>
      <c r="AT122" s="24" t="inlineStr">
        <is>
          <t>KUUSAMO.gg</t>
        </is>
      </c>
      <c r="AU122" s="24" t="inlineStr">
        <is>
          <t>KUUSAMO.gg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d6b3627d65f602a850a75b08e75d06be54aac29b8937b0e2bf3c0cd9d23b0efe</t>
        </is>
      </c>
      <c r="BB122" s="24" t="inlineStr">
        <is>
          <t>neutral_elo</t>
        </is>
      </c>
      <c r="BC122" s="24" t="inlineStr">
        <is>
          <t>cs2-tiered-elo-v6</t>
        </is>
      </c>
      <c r="BD122" s="24" t="inlineStr">
        <is>
          <t>d6b3627d65f602a850a75b08e75d06be54aac29b8937b0e2bf3c0cd9d23b0efe</t>
        </is>
      </c>
      <c r="BE122" s="24" t="inlineStr">
        <is>
          <t>1</t>
        </is>
      </c>
      <c r="BF122" s="24" t="inlineStr">
        <is>
          <t>1</t>
        </is>
      </c>
      <c r="BG122" s="24" t="inlineStr">
        <is>
          <t>cs2-tiered-elo-v6</t>
        </is>
      </c>
      <c r="BH122" s="24" t="inlineStr">
        <is>
          <t>2026-10-13T16:59:49.953712Z</t>
        </is>
      </c>
      <c r="BI122" s="24" t="inlineStr">
        <is>
          <t>["same_event","same_team_same_day","same_league_same_day"]</t>
        </is>
      </c>
      <c r="BJ122" s="25" t="n"/>
      <c r="BK122" s="26" t="n">
        <v>-223</v>
      </c>
      <c r="BL122" s="27" t="n">
        <v>1.44843</v>
      </c>
      <c r="BM122" s="28" t="n">
        <v>0.690402</v>
      </c>
      <c r="BN122" s="28" t="n"/>
      <c r="BO122" s="28" t="n"/>
      <c r="BP122" s="25" t="n"/>
      <c r="BQ122" s="27" t="n"/>
      <c r="BR122" s="28" t="n"/>
      <c r="BS122" s="28" t="n"/>
      <c r="BT122" s="28" t="n"/>
      <c r="BU122" s="25" t="n"/>
      <c r="BV122" s="29" t="n"/>
      <c r="BW122" s="24" t="inlineStr">
        <is>
          <t>esports market terminal (MARKET_STATE_EXPIRED) with prices {'KUUSAMO.gg': 0.45, '6666': 0.55}; BO3 has no confirming finished-match result either</t>
        </is>
      </c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True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n"/>
      <c r="DK122" s="24" t="n"/>
      <c r="DL122" s="24" t="n"/>
      <c r="DM122" s="24" t="n"/>
      <c r="DN122" s="24" t="n"/>
      <c r="DO122" s="24" t="n"/>
      <c r="DP122" s="24" t="n"/>
      <c r="DQ122" s="24" t="inlineStr">
        <is>
          <t>{"artifact_hash": "d6b3627d65f602a850a75b08e75d06be54aac29b8937b0e2bf3c0cd9d23b0efe", "away_team": "6666", "event_id": "158049", "event_start_utc": "2026-10-13T18:30:00Z", "features": {"away_elo": 1694.621066, "away_history_count": 37, "home_elo": 1447.941841, "home_history_count": 127}, "historical_source_observation_times_verified": false, "home_team": "KUUSAMO.gg", "inference_inputs": {"book_state": {"games_played": {"bo3:1:24507": 37, "bo3:1:2868": 127}, "inactivity_half_life_days": null, "inactivity_max_pull": null, "k": 40.0, "last_match_utc": {"bo3:1:24507": "2026-10-12T18:00:00Z", "bo3:1:2868": "2026-09-30T10:10:00Z"}, "minimum_reliable_games": null, "platt_intercept": 0.06849952222113126, "platt_slope": 0.8731634603758667, "ratings": {"bo3:1:24507": 1694.621066, "bo3:1:2868": 1447.941841},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["bo3:1:2868", "bo3:1:24507"]}, "market_type": "moneyline", "model_version": "cs2-tiered-elo-v6", "observed_at_utc": "2026-10-13T16:58:36.998591+00:00", "probabilities": {"away": 0.723283, "home": 0.276717}, "replay_scope": "Exact serving book state, calibration, temperature, inactivity reference and thin-history adjustments; training provenance not certified.", "schema": "esports-elo-replay-v1", "snapshot_hash": "21f0cf092cf41782d9477b97155298f57ec41b9c49821a98706df00e88edfac0", "sport": "CS2"}</t>
        </is>
      </c>
    </row>
    <row r="123" ht="36" customHeight="1">
      <c r="A123" s="24" t="inlineStr">
        <is>
          <t>dd9e657c2b7344ab</t>
        </is>
      </c>
      <c r="B123" s="24" t="inlineStr">
        <is>
          <t>2026-10-13T17:05:51.730145Z</t>
        </is>
      </c>
      <c r="C123" s="24" t="inlineStr">
        <is>
          <t>2026-10-13T18:30:00Z</t>
        </is>
      </c>
      <c r="D123" s="24" t="inlineStr">
        <is>
          <t>158070</t>
        </is>
      </c>
      <c r="E123" s="24" t="inlineStr">
        <is>
          <t>CS2</t>
        </is>
      </c>
      <c r="F123" s="24" t="inlineStr">
        <is>
          <t>A Great Chaos</t>
        </is>
      </c>
      <c r="G123" s="24" t="inlineStr">
        <is>
          <t>Revise</t>
        </is>
      </c>
      <c r="H123" s="24" t="inlineStr">
        <is>
          <t>moneyline</t>
        </is>
      </c>
      <c r="I123" s="24" t="inlineStr">
        <is>
          <t>home</t>
        </is>
      </c>
      <c r="J123" s="25" t="n"/>
      <c r="K123" s="24" t="inlineStr">
        <is>
          <t>polymarket_us</t>
        </is>
      </c>
      <c r="L123" s="26" t="n">
        <v>-203</v>
      </c>
      <c r="M123" s="27" t="n">
        <v>1.492611</v>
      </c>
      <c r="N123" s="28" t="n">
        <v>0.669967</v>
      </c>
      <c r="O123" s="28" t="n">
        <v>0.658381</v>
      </c>
      <c r="P123" s="28" t="n"/>
      <c r="Q123" s="28" t="n">
        <v>-0.011586</v>
      </c>
      <c r="R123" s="26" t="n">
        <v>14</v>
      </c>
      <c r="S123" s="29" t="n">
        <v>1</v>
      </c>
      <c r="T123" s="24" t="inlineStr">
        <is>
          <t>cs2-tiered-elo-v6</t>
        </is>
      </c>
      <c r="U123" s="24" t="inlineStr">
        <is>
          <t>settled</t>
        </is>
      </c>
      <c r="V123" s="24" t="inlineStr">
        <is>
          <t>loss</t>
        </is>
      </c>
      <c r="W123" s="26" t="n">
        <v>1</v>
      </c>
      <c r="X123" s="26" t="n">
        <v>0</v>
      </c>
      <c r="Y123" s="25" t="n"/>
      <c r="Z123" s="26" t="n">
        <v>-203</v>
      </c>
      <c r="AA123" s="28" t="n">
        <v>0.67</v>
      </c>
      <c r="AB123" s="28" t="n">
        <v>3.3e-05</v>
      </c>
      <c r="AC123" s="30" t="n">
        <v>-1</v>
      </c>
      <c r="AD123" s="24" t="inlineStr">
        <is>
          <t>2026-10-13T22:04:31.608251Z</t>
        </is>
      </c>
      <c r="AE123" s="31" t="inlineStr">
        <is>
          <t>Neutral Elo baseline; executable ask 0.6700 (market_slug=aec-cs2-revi-agc-2026-10-13).</t>
        </is>
      </c>
      <c r="AF123" s="31" t="inlineStr">
        <is>
          <t>Config-promoted esports baseline; gates enforced at log time.</t>
        </is>
      </c>
      <c r="AG123" s="24" t="inlineStr">
        <is>
          <t>review_required</t>
        </is>
      </c>
      <c r="AH123" s="24" t="n"/>
      <c r="AI123" s="31" t="n"/>
      <c r="AJ123" s="31" t="n"/>
      <c r="AK123" s="24" t="inlineStr">
        <is>
          <t>paper_call</t>
        </is>
      </c>
      <c r="AL123" s="26" t="n">
        <v>4</v>
      </c>
      <c r="AM123" s="24" t="inlineStr">
        <is>
          <t>RESEARCH_OBSERVATION</t>
        </is>
      </c>
      <c r="AN123" s="24" t="inlineStr">
        <is>
          <t>CALL</t>
        </is>
      </c>
      <c r="AO123" s="24" t="inlineStr">
        <is>
          <t>PAPER_CALL_LOW_EDGE</t>
        </is>
      </c>
      <c r="AP123" s="24" t="inlineStr">
        <is>
          <t>A Great Chaos</t>
        </is>
      </c>
      <c r="AQ123" s="24" t="inlineStr">
        <is>
          <t>A Great Chaos</t>
        </is>
      </c>
      <c r="AR123" s="24" t="inlineStr">
        <is>
          <t>A Great Chaos</t>
        </is>
      </c>
      <c r="AS123" s="24" t="inlineStr">
        <is>
          <t>Revise</t>
        </is>
      </c>
      <c r="AT123" s="24" t="inlineStr">
        <is>
          <t>Revise</t>
        </is>
      </c>
      <c r="AU123" s="24" t="inlineStr">
        <is>
          <t>Revise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d6b3627d65f602a850a75b08e75d06be54aac29b8937b0e2bf3c0cd9d23b0efe</t>
        </is>
      </c>
      <c r="BB123" s="24" t="inlineStr">
        <is>
          <t>neutral_elo</t>
        </is>
      </c>
      <c r="BC123" s="24" t="inlineStr">
        <is>
          <t>cs2-tiered-elo-v6</t>
        </is>
      </c>
      <c r="BD123" s="24" t="inlineStr">
        <is>
          <t>d6b3627d65f602a850a75b08e75d06be54aac29b8937b0e2bf3c0cd9d23b0efe</t>
        </is>
      </c>
      <c r="BE123" s="24" t="inlineStr">
        <is>
          <t>1</t>
        </is>
      </c>
      <c r="BF123" s="24" t="inlineStr">
        <is>
          <t>1</t>
        </is>
      </c>
      <c r="BG123" s="24" t="inlineStr">
        <is>
          <t>cs2-tiered-elo-v6</t>
        </is>
      </c>
      <c r="BH123" s="24" t="inlineStr">
        <is>
          <t>2026-10-13T17:00:00.361175Z</t>
        </is>
      </c>
      <c r="BI123" s="24" t="inlineStr">
        <is>
          <t>["same_event","same_team_same_day","same_league_same_day"]</t>
        </is>
      </c>
      <c r="BJ123" s="25" t="n"/>
      <c r="BK123" s="26" t="n">
        <v>-203</v>
      </c>
      <c r="BL123" s="27" t="n">
        <v>1.492611</v>
      </c>
      <c r="BM123" s="28" t="n">
        <v>0.669967</v>
      </c>
      <c r="BN123" s="28" t="n"/>
      <c r="BO123" s="28" t="n"/>
      <c r="BP123" s="25" t="n"/>
      <c r="BQ123" s="27" t="n">
        <v>1.492611</v>
      </c>
      <c r="BR123" s="28" t="n">
        <v>0.67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False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n"/>
      <c r="DK123" s="24" t="n"/>
      <c r="DL123" s="24" t="n"/>
      <c r="DM123" s="24" t="n"/>
      <c r="DN123" s="24" t="n"/>
      <c r="DO123" s="24" t="n"/>
      <c r="DP123" s="24" t="n"/>
      <c r="DQ123" s="24" t="inlineStr">
        <is>
          <t>{"artifact_hash": "d6b3627d65f602a850a75b08e75d06be54aac29b8937b0e2bf3c0cd9d23b0efe", "away_team": "A Great Chaos", "event_id": "158070", "event_start_utc": "2026-10-13T18:30:00Z", "features": {"away_elo": 1346.999447, "away_history_count": 29, "home_elo": 1493.924666, "home_history_count": 16}, "historical_source_observation_times_verified": false, "home_team": "Revise", "inference_inputs": {"book_state": {"games_played": {"bo3:1:21915": 29, "bo3:1:25129": 16}, "inactivity_half_life_days": null, "inactivity_max_pull": null, "k": 40.0, "last_match_utc": {"bo3:1:21915": "2026-10-08T16:10:00Z", "bo3:1:25129": "2026-10-07T17:15:00Z"}, "minimum_reliable_games": null, "platt_intercept": 0.06849952222113126, "platt_slope": 0.8731634603758667, "ratings": {"bo3:1:21915": 1346.999447, "bo3:1:25129": 1493.924666},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["bo3:1:25129", "bo3:1:21915"]}, "market_type": "moneyline", "model_version": "cs2-tiered-elo-v6", "observed_at_utc": "2026-10-13T16:58:36.998591+00:00", "probabilities": {"away": 0.341619, "home": 0.658381}, "replay_scope": "Exact serving book state, calibration, temperature, inactivity reference and thin-history adjustments; training provenance not certified.", "schema": "esports-elo-replay-v1", "snapshot_hash": "18a1c3af3a800ae0b404265d7ff27cd194f2068005d3a844f73955ba7ab8cff7", "sport": "CS2"}</t>
        </is>
      </c>
    </row>
    <row r="124" ht="36" customHeight="1">
      <c r="A124" s="24" t="inlineStr">
        <is>
          <t>da8688e57d7a4afb</t>
        </is>
      </c>
      <c r="B124" s="24" t="inlineStr">
        <is>
          <t>2026-10-13T17:05:51.730145Z</t>
        </is>
      </c>
      <c r="C124" s="24" t="inlineStr">
        <is>
          <t>2026-10-13T18:30:00Z</t>
        </is>
      </c>
      <c r="D124" s="24" t="inlineStr">
        <is>
          <t>158071</t>
        </is>
      </c>
      <c r="E124" s="24" t="inlineStr">
        <is>
          <t>CS2</t>
        </is>
      </c>
      <c r="F124" s="24" t="inlineStr">
        <is>
          <t>ENRAGE</t>
        </is>
      </c>
      <c r="G124" s="24" t="inlineStr">
        <is>
          <t>SINQU</t>
        </is>
      </c>
      <c r="H124" s="24" t="inlineStr">
        <is>
          <t>moneyline</t>
        </is>
      </c>
      <c r="I124" s="24" t="inlineStr">
        <is>
          <t>away</t>
        </is>
      </c>
      <c r="J124" s="25" t="n"/>
      <c r="K124" s="24" t="inlineStr">
        <is>
          <t>polymarket_us</t>
        </is>
      </c>
      <c r="L124" s="26" t="n">
        <v>-170</v>
      </c>
      <c r="M124" s="27" t="n">
        <v>1.588235</v>
      </c>
      <c r="N124" s="28" t="n">
        <v>0.62963</v>
      </c>
      <c r="O124" s="28" t="n">
        <v>0.627403</v>
      </c>
      <c r="P124" s="28" t="n"/>
      <c r="Q124" s="28" t="n">
        <v>-0.002227</v>
      </c>
      <c r="R124" s="26" t="n">
        <v>19</v>
      </c>
      <c r="S124" s="29" t="n">
        <v>1</v>
      </c>
      <c r="T124" s="24" t="inlineStr">
        <is>
          <t>cs2-tiered-elo-v6</t>
        </is>
      </c>
      <c r="U124" s="24" t="inlineStr">
        <is>
          <t>settled</t>
        </is>
      </c>
      <c r="V124" s="24" t="inlineStr">
        <is>
          <t>push</t>
        </is>
      </c>
      <c r="W124" s="26" t="n"/>
      <c r="X124" s="26" t="n"/>
      <c r="Y124" s="25" t="n"/>
      <c r="Z124" s="26" t="n"/>
      <c r="AA124" s="28" t="n"/>
      <c r="AB124" s="28" t="n"/>
      <c r="AC124" s="30" t="n">
        <v>0</v>
      </c>
      <c r="AD124" s="24" t="inlineStr">
        <is>
          <t>2026-10-13T22:04:45.634759Z</t>
        </is>
      </c>
      <c r="AE124" s="31" t="inlineStr">
        <is>
          <t>Neutral Elo baseline; executable ask 0.6300 (market_slug=aec-cs2-sinqu-enr-2026-10-13).</t>
        </is>
      </c>
      <c r="AF124" s="31" t="inlineStr">
        <is>
          <t>Config-promoted esports baseline; gates enforced at log time.</t>
        </is>
      </c>
      <c r="AG124" s="24" t="inlineStr">
        <is>
          <t>not_applicable</t>
        </is>
      </c>
      <c r="AH124" s="24" t="n"/>
      <c r="AI124" s="31" t="n"/>
      <c r="AJ124" s="31" t="n"/>
      <c r="AK124" s="24" t="inlineStr">
        <is>
          <t>paper_call</t>
        </is>
      </c>
      <c r="AL124" s="26" t="n">
        <v>4</v>
      </c>
      <c r="AM124" s="24" t="inlineStr">
        <is>
          <t>RESEARCH_OBSERVATION</t>
        </is>
      </c>
      <c r="AN124" s="24" t="inlineStr">
        <is>
          <t>CALL</t>
        </is>
      </c>
      <c r="AO124" s="24" t="inlineStr">
        <is>
          <t>PAPER_CALL_LOW_EDGE</t>
        </is>
      </c>
      <c r="AP124" s="24" t="inlineStr">
        <is>
          <t>ENRAGE</t>
        </is>
      </c>
      <c r="AQ124" s="24" t="inlineStr">
        <is>
          <t>ENRAGE</t>
        </is>
      </c>
      <c r="AR124" s="24" t="inlineStr">
        <is>
          <t>ENRAGE</t>
        </is>
      </c>
      <c r="AS124" s="24" t="inlineStr">
        <is>
          <t>SINQU</t>
        </is>
      </c>
      <c r="AT124" s="24" t="inlineStr">
        <is>
          <t>SINQU</t>
        </is>
      </c>
      <c r="AU124" s="24" t="inlineStr">
        <is>
          <t>SINQU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d6b3627d65f602a850a75b08e75d06be54aac29b8937b0e2bf3c0cd9d23b0efe</t>
        </is>
      </c>
      <c r="BB124" s="24" t="inlineStr">
        <is>
          <t>neutral_elo</t>
        </is>
      </c>
      <c r="BC124" s="24" t="inlineStr">
        <is>
          <t>cs2-tiered-elo-v6</t>
        </is>
      </c>
      <c r="BD124" s="24" t="inlineStr">
        <is>
          <t>d6b3627d65f602a850a75b08e75d06be54aac29b8937b0e2bf3c0cd9d23b0efe</t>
        </is>
      </c>
      <c r="BE124" s="24" t="inlineStr">
        <is>
          <t>1</t>
        </is>
      </c>
      <c r="BF124" s="24" t="inlineStr">
        <is>
          <t>1</t>
        </is>
      </c>
      <c r="BG124" s="24" t="inlineStr">
        <is>
          <t>cs2-tiered-elo-v6</t>
        </is>
      </c>
      <c r="BH124" s="24" t="inlineStr">
        <is>
          <t>2026-10-13T17:00:00.462480Z</t>
        </is>
      </c>
      <c r="BI124" s="24" t="inlineStr">
        <is>
          <t>["same_event","same_team_same_day","same_league_same_day"]</t>
        </is>
      </c>
      <c r="BJ124" s="25" t="n"/>
      <c r="BK124" s="26" t="n">
        <v>-170</v>
      </c>
      <c r="BL124" s="27" t="n">
        <v>1.588235</v>
      </c>
      <c r="BM124" s="28" t="n">
        <v>0.62963</v>
      </c>
      <c r="BN124" s="28" t="n"/>
      <c r="BO124" s="28" t="n"/>
      <c r="BP124" s="25" t="n"/>
      <c r="BQ124" s="27" t="n"/>
      <c r="BR124" s="28" t="n"/>
      <c r="BS124" s="28" t="n"/>
      <c r="BT124" s="28" t="n"/>
      <c r="BU124" s="25" t="n"/>
      <c r="BV124" s="29" t="n"/>
      <c r="BW124" s="24" t="inlineStr">
        <is>
          <t>esports market terminal (MARKET_STATE_EXPIRED) with prices {'SINQU': 0.58, 'ENRAGE': 0.42}; BO3 has no confirming finished-match result either</t>
        </is>
      </c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False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n"/>
      <c r="DK124" s="24" t="n"/>
      <c r="DL124" s="24" t="n"/>
      <c r="DM124" s="24" t="n"/>
      <c r="DN124" s="24" t="n"/>
      <c r="DO124" s="24" t="n"/>
      <c r="DP124" s="24" t="n"/>
      <c r="DQ124" s="24" t="inlineStr">
        <is>
          <t>{"artifact_hash": "d6b3627d65f602a850a75b08e75d06be54aac29b8937b0e2bf3c0cd9d23b0efe", "away_team": "ENRAGE", "event_id": "158071", "event_start_utc": "2026-10-13T18:30:00Z", "features": {"away_elo": 1416.863794, "away_history_count": 54, "home_elo": 1291.632337, "home_history_count": 58}, "historical_source_observation_times_verified": false, "home_team": "SINQU", "inference_inputs": {"book_state": {"games_played": {"bo3:1:22190": 58, "bo3:1:420": 54}, "inactivity_half_life_days": null, "inactivity_max_pull": null, "k": 40.0, "last_match_utc": {"bo3:1:22190": "2026-10-07T12:35:00Z", "bo3:1:420": "2026-09-05T17:45:00Z"}, "minimum_reliable_games": null, "platt_intercept": 0.06849952222113126, "platt_slope": 0.8731634603758667, "ratings": {"bo3:1:22190": 1291.632337, "bo3:1:420": 1416.863794},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["bo3:1:22190", "bo3:1:420"]}, "market_type": "moneyline", "model_version": "cs2-tiered-elo-v6", "observed_at_utc": "2026-10-13T16:58:36.998591+00:00", "probabilities": {"away": 0.627403, "home": 0.372597}, "replay_scope": "Exact serving book state, calibration, temperature, inactivity reference and thin-history adjustments; training provenance not certified.", "schema": "esports-elo-replay-v1", "snapshot_hash": "58ae459dd6b6f75ab1e8071132a726cb80993967df0bc04f2c563d6f0e2c9bfc", "sport": "CS2"}</t>
        </is>
      </c>
    </row>
    <row r="125" ht="36" customHeight="1">
      <c r="A125" s="24" t="inlineStr">
        <is>
          <t>85a0d499651042a2</t>
        </is>
      </c>
      <c r="B125" s="24" t="inlineStr">
        <is>
          <t>2026-10-13T17:05:51.730145Z</t>
        </is>
      </c>
      <c r="C125" s="24" t="inlineStr">
        <is>
          <t>2026-10-13T18:30:00Z</t>
        </is>
      </c>
      <c r="D125" s="24" t="inlineStr">
        <is>
          <t>158072</t>
        </is>
      </c>
      <c r="E125" s="24" t="inlineStr">
        <is>
          <t>CS2</t>
        </is>
      </c>
      <c r="F125" s="24" t="inlineStr">
        <is>
          <t>Rcave</t>
        </is>
      </c>
      <c r="G125" s="24" t="inlineStr">
        <is>
          <t>overTIME</t>
        </is>
      </c>
      <c r="H125" s="24" t="inlineStr">
        <is>
          <t>moneyline</t>
        </is>
      </c>
      <c r="I125" s="24" t="inlineStr">
        <is>
          <t>home</t>
        </is>
      </c>
      <c r="J125" s="25" t="n"/>
      <c r="K125" s="24" t="inlineStr">
        <is>
          <t>polymarket_us</t>
        </is>
      </c>
      <c r="L125" s="26" t="n">
        <v>127</v>
      </c>
      <c r="M125" s="27" t="n">
        <v>2.27</v>
      </c>
      <c r="N125" s="28" t="n">
        <v>0.440529</v>
      </c>
      <c r="O125" s="28" t="n">
        <v>0.612001</v>
      </c>
      <c r="P125" s="28" t="n"/>
      <c r="Q125" s="28" t="n">
        <v>0.171472</v>
      </c>
      <c r="R125" s="26" t="n">
        <v>100</v>
      </c>
      <c r="S125" s="29" t="n">
        <v>1.75</v>
      </c>
      <c r="T125" s="24" t="inlineStr">
        <is>
          <t>cs2-tiered-elo-v6</t>
        </is>
      </c>
      <c r="U125" s="24" t="inlineStr">
        <is>
          <t>settled</t>
        </is>
      </c>
      <c r="V125" s="24" t="inlineStr">
        <is>
          <t>push</t>
        </is>
      </c>
      <c r="W125" s="26" t="n"/>
      <c r="X125" s="26" t="n"/>
      <c r="Y125" s="25" t="n"/>
      <c r="Z125" s="26" t="n"/>
      <c r="AA125" s="28" t="n"/>
      <c r="AB125" s="28" t="n"/>
      <c r="AC125" s="30" t="n">
        <v>0</v>
      </c>
      <c r="AD125" s="24" t="inlineStr">
        <is>
          <t>2026-10-13T22:04:55.783828Z</t>
        </is>
      </c>
      <c r="AE125" s="31" t="inlineStr">
        <is>
          <t>Neutral Elo baseline; executable ask 0.4400 (market_slug=aec-cs2-ove-rcave-2026-10-13).</t>
        </is>
      </c>
      <c r="AF125" s="31" t="inlineStr">
        <is>
          <t>Config-promoted esports baseline; gates enforced at log time.</t>
        </is>
      </c>
      <c r="AG125" s="24" t="inlineStr">
        <is>
          <t>not_applicable</t>
        </is>
      </c>
      <c r="AH125" s="24" t="n"/>
      <c r="AI125" s="31" t="n"/>
      <c r="AJ125" s="31" t="n"/>
      <c r="AK125" s="24" t="inlineStr">
        <is>
          <t>model_qualified</t>
        </is>
      </c>
      <c r="AL125" s="26" t="n">
        <v>4</v>
      </c>
      <c r="AM125" s="24" t="inlineStr">
        <is>
          <t>QUALIFIED_SHADOW_CALL</t>
        </is>
      </c>
      <c r="AN125" s="24" t="inlineStr">
        <is>
          <t>CALL</t>
        </is>
      </c>
      <c r="AO125" s="24" t="inlineStr">
        <is>
          <t>QUALIFIED</t>
        </is>
      </c>
      <c r="AP125" s="24" t="inlineStr">
        <is>
          <t>Rcave</t>
        </is>
      </c>
      <c r="AQ125" s="24" t="inlineStr">
        <is>
          <t>Rcave</t>
        </is>
      </c>
      <c r="AR125" s="24" t="inlineStr">
        <is>
          <t>Rcave</t>
        </is>
      </c>
      <c r="AS125" s="24" t="inlineStr">
        <is>
          <t>overTIME</t>
        </is>
      </c>
      <c r="AT125" s="24" t="inlineStr">
        <is>
          <t>overTIME</t>
        </is>
      </c>
      <c r="AU125" s="24" t="inlineStr">
        <is>
          <t>overTIME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d6b3627d65f602a850a75b08e75d06be54aac29b8937b0e2bf3c0cd9d23b0efe</t>
        </is>
      </c>
      <c r="BB125" s="24" t="inlineStr">
        <is>
          <t>neutral_elo</t>
        </is>
      </c>
      <c r="BC125" s="24" t="inlineStr">
        <is>
          <t>cs2-tiered-elo-v6</t>
        </is>
      </c>
      <c r="BD125" s="24" t="inlineStr">
        <is>
          <t>d6b3627d65f602a850a75b08e75d06be54aac29b8937b0e2bf3c0cd9d23b0efe</t>
        </is>
      </c>
      <c r="BE125" s="24" t="inlineStr">
        <is>
          <t>1</t>
        </is>
      </c>
      <c r="BF125" s="24" t="inlineStr">
        <is>
          <t>1</t>
        </is>
      </c>
      <c r="BG125" s="24" t="inlineStr">
        <is>
          <t>cs2-tiered-elo-v6</t>
        </is>
      </c>
      <c r="BH125" s="24" t="inlineStr">
        <is>
          <t>2026-10-13T17:00:00.568860Z</t>
        </is>
      </c>
      <c r="BI125" s="24" t="inlineStr">
        <is>
          <t>["same_event","same_team_same_day","same_league_same_day"]</t>
        </is>
      </c>
      <c r="BJ125" s="25" t="n"/>
      <c r="BK125" s="26" t="n">
        <v>127</v>
      </c>
      <c r="BL125" s="27" t="n">
        <v>2.27</v>
      </c>
      <c r="BM125" s="28" t="n">
        <v>0.440529</v>
      </c>
      <c r="BN125" s="28" t="n"/>
      <c r="BO125" s="28" t="n"/>
      <c r="BP125" s="25" t="n"/>
      <c r="BQ125" s="27" t="n"/>
      <c r="BR125" s="28" t="n"/>
      <c r="BS125" s="28" t="n"/>
      <c r="BT125" s="28" t="n"/>
      <c r="BU125" s="25" t="n"/>
      <c r="BV125" s="29" t="n"/>
      <c r="BW125" s="24" t="inlineStr">
        <is>
          <t>esports market terminal (MARKET_STATE_EXPIRED) with prices {'overTIME': 0.56, 'Rcave': 0.44}; BO3 has no confirming finished-match result either</t>
        </is>
      </c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True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n"/>
      <c r="DK125" s="24" t="n"/>
      <c r="DL125" s="24" t="n"/>
      <c r="DM125" s="24" t="n"/>
      <c r="DN125" s="24" t="n"/>
      <c r="DO125" s="24" t="n"/>
      <c r="DP125" s="24" t="n"/>
      <c r="DQ125" s="24" t="inlineStr">
        <is>
          <t>{"artifact_hash": "d6b3627d65f602a850a75b08e75d06be54aac29b8937b0e2bf3c0cd9d23b0efe", "away_team": "Rcave", "event_id": "158072", "event_start_utc": "2026-10-13T18:30:00Z", "features": {"away_elo": 1330.006594, "away_history_count": 10, "home_elo": 1484.640099, "home_history_count": 3}, "historical_source_observation_times_verified": false, "home_team": "overTIME", "inference_inputs": {"book_state": {"games_played": {"bo3:1:22011": 10, "bo3:1:25370": 3}, "inactivity_half_life_days": null, "inactivity_max_pull": null, "k": 40.0, "last_match_utc": {"bo3:1:22011": "2026-10-12T17:00:00Z", "bo3:1:25370": "2026-09-27T18:00:00Z"}, "minimum_reliable_games": null, "platt_intercept": 0.06849952222113126, "platt_slope": 0.8731634603758667, "ratings": {"bo3:1:22011": 1330.006594, "bo3:1:25370": 1484.640099},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["bo3:1:25370", "bo3:1:22011"]}, "market_type": "moneyline", "model_version": "cs2-tiered-elo-v6", "observed_at_utc": "2026-10-13T16:58:36.998591+00:00", "probabilities": {"away": 0.387999, "home": 0.612001}, "replay_scope": "Exact serving book state, calibration, temperature, inactivity reference and thin-history adjustments; training provenance not certified.", "schema": "esports-elo-replay-v1", "snapshot_hash": "261a592033b5ffef4ed018230e30874faa12d5baa73f52d59f8809804b6420d2", "sport": "CS2"}</t>
        </is>
      </c>
    </row>
    <row r="126" ht="36" customHeight="1">
      <c r="A126" s="24" t="inlineStr">
        <is>
          <t>037c42eca2314c8e</t>
        </is>
      </c>
      <c r="B126" s="24" t="inlineStr">
        <is>
          <t>2026-10-13T17:05:51.730145Z</t>
        </is>
      </c>
      <c r="C126" s="24" t="inlineStr">
        <is>
          <t>2026-10-13T18:30:00Z</t>
        </is>
      </c>
      <c r="D126" s="24" t="inlineStr">
        <is>
          <t>158074</t>
        </is>
      </c>
      <c r="E126" s="24" t="inlineStr">
        <is>
          <t>CS2</t>
        </is>
      </c>
      <c r="F126" s="24" t="inlineStr">
        <is>
          <t>Fire Flux Esports</t>
        </is>
      </c>
      <c r="G126" s="24" t="inlineStr">
        <is>
          <t>OldBoys</t>
        </is>
      </c>
      <c r="H126" s="24" t="inlineStr">
        <is>
          <t>moneyline</t>
        </is>
      </c>
      <c r="I126" s="24" t="inlineStr">
        <is>
          <t>away</t>
        </is>
      </c>
      <c r="J126" s="25" t="n"/>
      <c r="K126" s="24" t="inlineStr">
        <is>
          <t>polymarket_us</t>
        </is>
      </c>
      <c r="L126" s="26" t="n">
        <v>-133</v>
      </c>
      <c r="M126" s="27" t="n">
        <v>1.75188</v>
      </c>
      <c r="N126" s="28" t="n">
        <v>0.570815</v>
      </c>
      <c r="O126" s="28" t="n">
        <v>0.642609</v>
      </c>
      <c r="P126" s="28" t="n"/>
      <c r="Q126" s="28" t="n">
        <v>0.071794</v>
      </c>
      <c r="R126" s="26" t="n">
        <v>56</v>
      </c>
      <c r="S126" s="29" t="n">
        <v>1.25</v>
      </c>
      <c r="T126" s="24" t="inlineStr">
        <is>
          <t>cs2-tiered-elo-v6</t>
        </is>
      </c>
      <c r="U126" s="24" t="inlineStr">
        <is>
          <t>settled</t>
        </is>
      </c>
      <c r="V126" s="24" t="inlineStr">
        <is>
          <t>push</t>
        </is>
      </c>
      <c r="W126" s="26" t="n"/>
      <c r="X126" s="26" t="n"/>
      <c r="Y126" s="25" t="n"/>
      <c r="Z126" s="26" t="n"/>
      <c r="AA126" s="28" t="n"/>
      <c r="AB126" s="28" t="n"/>
      <c r="AC126" s="30" t="n">
        <v>0</v>
      </c>
      <c r="AD126" s="24" t="inlineStr">
        <is>
          <t>2026-10-13T22:05:04.464049Z</t>
        </is>
      </c>
      <c r="AE126" s="31" t="inlineStr">
        <is>
          <t>Neutral Elo baseline; executable ask 0.5700 (market_slug=aec-cs2-oboys-ff-2026-10-13).</t>
        </is>
      </c>
      <c r="AF126" s="31" t="inlineStr">
        <is>
          <t>Config-promoted esports baseline; gates enforced at log time.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model_qualified</t>
        </is>
      </c>
      <c r="AL126" s="26" t="n">
        <v>4</v>
      </c>
      <c r="AM126" s="24" t="inlineStr">
        <is>
          <t>QUALIFIED_SHADOW_CALL</t>
        </is>
      </c>
      <c r="AN126" s="24" t="inlineStr">
        <is>
          <t>CALL</t>
        </is>
      </c>
      <c r="AO126" s="24" t="inlineStr">
        <is>
          <t>QUALIFIED</t>
        </is>
      </c>
      <c r="AP126" s="24" t="inlineStr">
        <is>
          <t>Fire Flux Esports</t>
        </is>
      </c>
      <c r="AQ126" s="24" t="inlineStr">
        <is>
          <t>Fire Flux Esports</t>
        </is>
      </c>
      <c r="AR126" s="24" t="inlineStr">
        <is>
          <t>Fire Flux Esports</t>
        </is>
      </c>
      <c r="AS126" s="24" t="inlineStr">
        <is>
          <t>OldBoys</t>
        </is>
      </c>
      <c r="AT126" s="24" t="inlineStr">
        <is>
          <t>OldBoys</t>
        </is>
      </c>
      <c r="AU126" s="24" t="inlineStr">
        <is>
          <t>OldBoys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d6b3627d65f602a850a75b08e75d06be54aac29b8937b0e2bf3c0cd9d23b0efe</t>
        </is>
      </c>
      <c r="BB126" s="24" t="inlineStr">
        <is>
          <t>neutral_elo</t>
        </is>
      </c>
      <c r="BC126" s="24" t="inlineStr">
        <is>
          <t>cs2-tiered-elo-v6</t>
        </is>
      </c>
      <c r="BD126" s="24" t="inlineStr">
        <is>
          <t>d6b3627d65f602a850a75b08e75d06be54aac29b8937b0e2bf3c0cd9d23b0efe</t>
        </is>
      </c>
      <c r="BE126" s="24" t="inlineStr">
        <is>
          <t>1</t>
        </is>
      </c>
      <c r="BF126" s="24" t="inlineStr">
        <is>
          <t>1</t>
        </is>
      </c>
      <c r="BG126" s="24" t="inlineStr">
        <is>
          <t>cs2-tiered-elo-v6</t>
        </is>
      </c>
      <c r="BH126" s="24" t="inlineStr">
        <is>
          <t>2026-10-13T17:00:00.670434Z</t>
        </is>
      </c>
      <c r="BI126" s="24" t="inlineStr">
        <is>
          <t>["same_event","same_team_same_day","same_league_same_day"]</t>
        </is>
      </c>
      <c r="BJ126" s="25" t="n"/>
      <c r="BK126" s="26" t="n">
        <v>-133</v>
      </c>
      <c r="BL126" s="27" t="n">
        <v>1.75188</v>
      </c>
      <c r="BM126" s="28" t="n">
        <v>0.570815</v>
      </c>
      <c r="BN126" s="28" t="n"/>
      <c r="BO126" s="28" t="n"/>
      <c r="BP126" s="25" t="n"/>
      <c r="BQ126" s="27" t="n"/>
      <c r="BR126" s="28" t="n"/>
      <c r="BS126" s="28" t="n"/>
      <c r="BT126" s="28" t="n"/>
      <c r="BU126" s="25" t="n"/>
      <c r="BV126" s="29" t="n"/>
      <c r="BW126" s="24" t="inlineStr">
        <is>
          <t>esports market terminal (MARKET_STATE_EXPIRED) with prices {'OldBoys': 0.46, 'Fire Flux Esports': 0.54}; BO3 has no confirming finished-match result either</t>
        </is>
      </c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True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n"/>
      <c r="DK126" s="24" t="n"/>
      <c r="DL126" s="24" t="n"/>
      <c r="DM126" s="24" t="n"/>
      <c r="DN126" s="24" t="n"/>
      <c r="DO126" s="24" t="n"/>
      <c r="DP126" s="24" t="n"/>
      <c r="DQ126" s="24" t="inlineStr">
        <is>
          <t>{"artifact_hash": "d6b3627d65f602a850a75b08e75d06be54aac29b8937b0e2bf3c0cd9d23b0efe", "away_team": "Fire Flux Esports", "event_id": "158074", "event_start_utc": "2026-10-13T18:30:00Z", "features": {"away_elo": 1708.634319, "away_history_count": 323, "home_elo": 1509.981698, "home_history_count": 5}, "historical_source_observation_times_verified": false, "home_team": "OldBoys", "inference_inputs": {"book_state": {"games_played": {"bo3:1:16724": 323, "bo3:1:23440": 5}, "inactivity_half_life_days": null, "inactivity_max_pull": null, "k": 40.0, "last_match_utc": {"bo3:1:16724": "2026-10-12T11:10:00Z", "bo3:1:23440": "2026-05-21T18:50:00Z"}, "minimum_reliable_games": null, "platt_intercept": 0.06849952222113126, "platt_slope": 0.8731634603758667, "ratings": {"bo3:1:16724": 1708.634319, "bo3:1:23440": 1509.981698},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["bo3:1:23440", "bo3:1:16724"]}, "market_type": "moneyline", "model_version": "cs2-tiered-elo-v6", "observed_at_utc": "2026-10-13T16:58:36.998591+00:00", "probabilities": {"away": 0.642609, "home": 0.357391}, "replay_scope": "Exact serving book state, calibration, temperature, inactivity reference and thin-history adjustments; training provenance not certified.", "schema": "esports-elo-replay-v1", "snapshot_hash": "15f58f985dc0c08c3929975a37823f40b95e53ba87d5502642c593b93cf9230d", "sport": "CS2"}</t>
        </is>
      </c>
    </row>
    <row r="127" ht="36" customHeight="1">
      <c r="A127" s="24" t="inlineStr">
        <is>
          <t>952ab74d5088405e</t>
        </is>
      </c>
      <c r="B127" s="24" t="inlineStr">
        <is>
          <t>2026-10-13T17:05:51.730145Z</t>
        </is>
      </c>
      <c r="C127" s="24" t="inlineStr">
        <is>
          <t>2026-10-13T18:30:00Z</t>
        </is>
      </c>
      <c r="D127" s="24" t="inlineStr">
        <is>
          <t>158075</t>
        </is>
      </c>
      <c r="E127" s="24" t="inlineStr">
        <is>
          <t>CS2</t>
        </is>
      </c>
      <c r="F127" s="24" t="inlineStr">
        <is>
          <t>ZOTIX</t>
        </is>
      </c>
      <c r="G127" s="24" t="inlineStr">
        <is>
          <t>LPH Gaming</t>
        </is>
      </c>
      <c r="H127" s="24" t="inlineStr">
        <is>
          <t>moneyline</t>
        </is>
      </c>
      <c r="I127" s="24" t="inlineStr">
        <is>
          <t>home</t>
        </is>
      </c>
      <c r="J127" s="25" t="n"/>
      <c r="K127" s="24" t="inlineStr">
        <is>
          <t>polymarket_us</t>
        </is>
      </c>
      <c r="L127" s="26" t="n">
        <v>-144</v>
      </c>
      <c r="M127" s="27" t="n">
        <v>1.694444</v>
      </c>
      <c r="N127" s="28" t="n">
        <v>0.590164</v>
      </c>
      <c r="O127" s="28" t="n">
        <v>0.561546</v>
      </c>
      <c r="P127" s="28" t="n"/>
      <c r="Q127" s="28" t="n">
        <v>-0.028618</v>
      </c>
      <c r="R127" s="26" t="n">
        <v>6</v>
      </c>
      <c r="S127" s="29" t="n">
        <v>1</v>
      </c>
      <c r="T127" s="24" t="inlineStr">
        <is>
          <t>cs2-tiered-elo-v6</t>
        </is>
      </c>
      <c r="U127" s="24" t="inlineStr">
        <is>
          <t>settled</t>
        </is>
      </c>
      <c r="V127" s="24" t="inlineStr">
        <is>
          <t>win</t>
        </is>
      </c>
      <c r="W127" s="26" t="n">
        <v>0</v>
      </c>
      <c r="X127" s="26" t="n">
        <v>1</v>
      </c>
      <c r="Y127" s="25" t="n"/>
      <c r="Z127" s="26" t="n">
        <v>-144</v>
      </c>
      <c r="AA127" s="28" t="n">
        <v>0.59</v>
      </c>
      <c r="AB127" s="28" t="n">
        <v>-0.000164</v>
      </c>
      <c r="AC127" s="30" t="n">
        <v>0.6944</v>
      </c>
      <c r="AD127" s="24" t="inlineStr">
        <is>
          <t>2026-10-13T22:05:05.570259Z</t>
        </is>
      </c>
      <c r="AE127" s="31" t="inlineStr">
        <is>
          <t>Neutral Elo baseline; executable ask 0.5900 (market_slug=aec-cs2-lph-zotix-2026-10-13).</t>
        </is>
      </c>
      <c r="AF127" s="31" t="inlineStr">
        <is>
          <t>Config-promoted esports baseline; gates enforced at log time.</t>
        </is>
      </c>
      <c r="AG127" s="24" t="inlineStr">
        <is>
          <t>not_applicable</t>
        </is>
      </c>
      <c r="AH127" s="24" t="n"/>
      <c r="AI127" s="31" t="n"/>
      <c r="AJ127" s="31" t="n"/>
      <c r="AK127" s="24" t="inlineStr">
        <is>
          <t>paper_call</t>
        </is>
      </c>
      <c r="AL127" s="26" t="n">
        <v>4</v>
      </c>
      <c r="AM127" s="24" t="inlineStr">
        <is>
          <t>RESEARCH_OBSERVATION</t>
        </is>
      </c>
      <c r="AN127" s="24" t="inlineStr">
        <is>
          <t>CALL</t>
        </is>
      </c>
      <c r="AO127" s="24" t="inlineStr">
        <is>
          <t>PAPER_CALL_LOW_EDGE</t>
        </is>
      </c>
      <c r="AP127" s="24" t="inlineStr">
        <is>
          <t>ZOTIX</t>
        </is>
      </c>
      <c r="AQ127" s="24" t="inlineStr">
        <is>
          <t>ZOTIX</t>
        </is>
      </c>
      <c r="AR127" s="24" t="inlineStr">
        <is>
          <t>ZOTIX</t>
        </is>
      </c>
      <c r="AS127" s="24" t="inlineStr">
        <is>
          <t>LPH Gaming</t>
        </is>
      </c>
      <c r="AT127" s="24" t="inlineStr">
        <is>
          <t>LPH Gaming</t>
        </is>
      </c>
      <c r="AU127" s="24" t="inlineStr">
        <is>
          <t>LPH Gaming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d6b3627d65f602a850a75b08e75d06be54aac29b8937b0e2bf3c0cd9d23b0efe</t>
        </is>
      </c>
      <c r="BB127" s="24" t="inlineStr">
        <is>
          <t>neutral_elo</t>
        </is>
      </c>
      <c r="BC127" s="24" t="inlineStr">
        <is>
          <t>cs2-tiered-elo-v6</t>
        </is>
      </c>
      <c r="BD127" s="24" t="inlineStr">
        <is>
          <t>d6b3627d65f602a850a75b08e75d06be54aac29b8937b0e2bf3c0cd9d23b0efe</t>
        </is>
      </c>
      <c r="BE127" s="24" t="inlineStr">
        <is>
          <t>1</t>
        </is>
      </c>
      <c r="BF127" s="24" t="inlineStr">
        <is>
          <t>1</t>
        </is>
      </c>
      <c r="BG127" s="24" t="inlineStr">
        <is>
          <t>cs2-tiered-elo-v6</t>
        </is>
      </c>
      <c r="BH127" s="24" t="inlineStr">
        <is>
          <t>2026-10-13T17:00:20.161939Z</t>
        </is>
      </c>
      <c r="BI127" s="24" t="inlineStr">
        <is>
          <t>["same_event","same_team_same_day","same_league_same_day"]</t>
        </is>
      </c>
      <c r="BJ127" s="25" t="n"/>
      <c r="BK127" s="26" t="n">
        <v>-144</v>
      </c>
      <c r="BL127" s="27" t="n">
        <v>1.694444</v>
      </c>
      <c r="BM127" s="28" t="n">
        <v>0.590164</v>
      </c>
      <c r="BN127" s="28" t="n"/>
      <c r="BO127" s="28" t="n"/>
      <c r="BP127" s="25" t="n"/>
      <c r="BQ127" s="27" t="n">
        <v>1.694444</v>
      </c>
      <c r="BR127" s="28" t="n">
        <v>0.59</v>
      </c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False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n"/>
      <c r="DK127" s="24" t="n"/>
      <c r="DL127" s="24" t="n"/>
      <c r="DM127" s="24" t="n"/>
      <c r="DN127" s="24" t="n"/>
      <c r="DO127" s="24" t="n"/>
      <c r="DP127" s="24" t="n"/>
      <c r="DQ127" s="24" t="inlineStr">
        <is>
          <t>{"artifact_hash": "d6b3627d65f602a850a75b08e75d06be54aac29b8937b0e2bf3c0cd9d23b0efe", "away_team": "ZOTIX", "event_id": "158075", "event_start_utc": "2026-10-13T18:30:00Z", "features": {"away_elo": 1503.046472, "away_history_count": 78, "home_elo": 1548.832722, "home_history_count": 128}, "historical_source_observation_times_verified": false, "home_team": "LPH Gaming", "inference_inputs": {"book_state": {"games_played": {"bo3:1:20582": 128, "bo3:1:6277": 78}, "inactivity_half_life_days": null, "inactivity_max_pull": null, "k": 40.0, "last_match_utc": {"bo3:1:20582": "2026-10-10T12:20:00Z", "bo3:1:6277": "2026-10-10T17:40:00Z"}, "minimum_reliable_games": null, "platt_intercept": 0.06849952222113126, "platt_slope": 0.8731634603758667, "ratings": {"bo3:1:20582": 1548.832722, "bo3:1:6277": 1503.046472},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["bo3:1:20582", "bo3:1:6277"]}, "market_type": "moneyline", "model_version": "cs2-tiered-elo-v6", "observed_at_utc": "2026-10-13T16:58:36.998591+00:00", "probabilities": {"away": 0.438454, "home": 0.561546}, "replay_scope": "Exact serving book state, calibration, temperature, inactivity reference and thin-history adjustments; training provenance not certified.", "schema": "esports-elo-replay-v1", "snapshot_hash": "619ba162639b7e6697659f0751d0280e110b7859dc515d3156b2c788a716b11f", "sport": "CS2"}</t>
        </is>
      </c>
    </row>
    <row r="128" ht="36" customHeight="1">
      <c r="A128" s="24" t="inlineStr">
        <is>
          <t>46ff6697a24a4c88</t>
        </is>
      </c>
      <c r="B128" s="24" t="inlineStr">
        <is>
          <t>2026-10-13T17:05:51.730145Z</t>
        </is>
      </c>
      <c r="C128" s="24" t="inlineStr">
        <is>
          <t>2026-10-13T18:30:00Z</t>
        </is>
      </c>
      <c r="D128" s="24" t="inlineStr">
        <is>
          <t>158076</t>
        </is>
      </c>
      <c r="E128" s="24" t="inlineStr">
        <is>
          <t>CS2</t>
        </is>
      </c>
      <c r="F128" s="24" t="inlineStr">
        <is>
          <t>Regnum4Games</t>
        </is>
      </c>
      <c r="G128" s="24" t="inlineStr">
        <is>
          <t>BANGARANGA</t>
        </is>
      </c>
      <c r="H128" s="24" t="inlineStr">
        <is>
          <t>moneyline</t>
        </is>
      </c>
      <c r="I128" s="24" t="inlineStr">
        <is>
          <t>home</t>
        </is>
      </c>
      <c r="J128" s="25" t="n"/>
      <c r="K128" s="24" t="inlineStr">
        <is>
          <t>polymarket_us</t>
        </is>
      </c>
      <c r="L128" s="26" t="n">
        <v>-223</v>
      </c>
      <c r="M128" s="27" t="n">
        <v>1.44843</v>
      </c>
      <c r="N128" s="28" t="n">
        <v>0.690402</v>
      </c>
      <c r="O128" s="28" t="n">
        <v>0.561074</v>
      </c>
      <c r="P128" s="28" t="n"/>
      <c r="Q128" s="28" t="n">
        <v>-0.129328</v>
      </c>
      <c r="R128" s="26" t="n">
        <v>0</v>
      </c>
      <c r="S128" s="29" t="n">
        <v>1</v>
      </c>
      <c r="T128" s="24" t="inlineStr">
        <is>
          <t>cs2-tiered-elo-v6</t>
        </is>
      </c>
      <c r="U128" s="24" t="inlineStr">
        <is>
          <t>settled</t>
        </is>
      </c>
      <c r="V128" s="24" t="inlineStr">
        <is>
          <t>win</t>
        </is>
      </c>
      <c r="W128" s="26" t="n">
        <v>0</v>
      </c>
      <c r="X128" s="26" t="n">
        <v>1</v>
      </c>
      <c r="Y128" s="25" t="n"/>
      <c r="Z128" s="26" t="n">
        <v>-270</v>
      </c>
      <c r="AA128" s="28" t="n">
        <v>0.73</v>
      </c>
      <c r="AB128" s="28" t="n">
        <v>0.039598</v>
      </c>
      <c r="AC128" s="30" t="n">
        <v>0.4484</v>
      </c>
      <c r="AD128" s="24" t="inlineStr">
        <is>
          <t>2026-10-13T22:05:11.145018Z</t>
        </is>
      </c>
      <c r="AE128" s="31" t="inlineStr">
        <is>
          <t>Neutral Elo baseline; executable ask 0.6900 (market_slug=aec-cs2-bang-r4g-2026-10-13).</t>
        </is>
      </c>
      <c r="AF128" s="31" t="inlineStr">
        <is>
          <t>Config-promoted esports baseline; gates enforced at log time.</t>
        </is>
      </c>
      <c r="AG128" s="24" t="inlineStr">
        <is>
          <t>not_applicable</t>
        </is>
      </c>
      <c r="AH128" s="24" t="n"/>
      <c r="AI128" s="31" t="n"/>
      <c r="AJ128" s="31" t="n"/>
      <c r="AK128" s="24" t="inlineStr">
        <is>
          <t>paper_call</t>
        </is>
      </c>
      <c r="AL128" s="26" t="n">
        <v>4</v>
      </c>
      <c r="AM128" s="24" t="inlineStr">
        <is>
          <t>RESEARCH_OBSERVATION</t>
        </is>
      </c>
      <c r="AN128" s="24" t="inlineStr">
        <is>
          <t>CALL</t>
        </is>
      </c>
      <c r="AO128" s="24" t="inlineStr">
        <is>
          <t>PAPER_CALL_LOW_EDGE</t>
        </is>
      </c>
      <c r="AP128" s="24" t="inlineStr">
        <is>
          <t>Regnum4Games</t>
        </is>
      </c>
      <c r="AQ128" s="24" t="inlineStr">
        <is>
          <t>Regnum4Games</t>
        </is>
      </c>
      <c r="AR128" s="24" t="inlineStr">
        <is>
          <t>Regnum4Games</t>
        </is>
      </c>
      <c r="AS128" s="24" t="inlineStr">
        <is>
          <t>BANGARANGA</t>
        </is>
      </c>
      <c r="AT128" s="24" t="inlineStr">
        <is>
          <t>BANGARANGA</t>
        </is>
      </c>
      <c r="AU128" s="24" t="inlineStr">
        <is>
          <t>BANGARANGA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d6b3627d65f602a850a75b08e75d06be54aac29b8937b0e2bf3c0cd9d23b0efe</t>
        </is>
      </c>
      <c r="BB128" s="24" t="inlineStr">
        <is>
          <t>neutral_elo</t>
        </is>
      </c>
      <c r="BC128" s="24" t="inlineStr">
        <is>
          <t>cs2-tiered-elo-v6</t>
        </is>
      </c>
      <c r="BD128" s="24" t="inlineStr">
        <is>
          <t>d6b3627d65f602a850a75b08e75d06be54aac29b8937b0e2bf3c0cd9d23b0efe</t>
        </is>
      </c>
      <c r="BE128" s="24" t="inlineStr">
        <is>
          <t>1</t>
        </is>
      </c>
      <c r="BF128" s="24" t="inlineStr">
        <is>
          <t>1</t>
        </is>
      </c>
      <c r="BG128" s="24" t="inlineStr">
        <is>
          <t>cs2-tiered-elo-v6</t>
        </is>
      </c>
      <c r="BH128" s="24" t="inlineStr">
        <is>
          <t>2026-10-13T17:00:20.554160Z</t>
        </is>
      </c>
      <c r="BI128" s="24" t="inlineStr">
        <is>
          <t>["same_event","same_team_same_day","same_league_same_day"]</t>
        </is>
      </c>
      <c r="BJ128" s="25" t="n"/>
      <c r="BK128" s="26" t="n">
        <v>-223</v>
      </c>
      <c r="BL128" s="27" t="n">
        <v>1.44843</v>
      </c>
      <c r="BM128" s="28" t="n">
        <v>0.690402</v>
      </c>
      <c r="BN128" s="28" t="n"/>
      <c r="BO128" s="28" t="n"/>
      <c r="BP128" s="25" t="n"/>
      <c r="BQ128" s="27" t="n">
        <v>1.37037</v>
      </c>
      <c r="BR128" s="28" t="n">
        <v>0.73</v>
      </c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False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n"/>
      <c r="DK128" s="24" t="n"/>
      <c r="DL128" s="24" t="n"/>
      <c r="DM128" s="24" t="n"/>
      <c r="DN128" s="24" t="n"/>
      <c r="DO128" s="24" t="n"/>
      <c r="DP128" s="24" t="n"/>
      <c r="DQ128" s="24" t="inlineStr">
        <is>
          <t>{"artifact_hash": "d6b3627d65f602a850a75b08e75d06be54aac29b8937b0e2bf3c0cd9d23b0efe", "away_team": "Regnum4Games", "event_id": "158076", "event_start_utc": "2026-10-13T18:30:00Z", "features": {"away_elo": 1407.95469, "away_history_count": 31, "home_elo": 1476.41192, "home_history_count": 3}, "historical_source_observation_times_verified": false, "home_team": "BANGARANGA", "inference_inputs": {"book_state": {"games_played": {"bo3:1:11165": 31, "bo3:1:25135": 3}, "inactivity_half_life_days": null, "inactivity_max_pull": null, "k": 40.0, "last_match_utc": {"bo3:1:11165": "2026-10-12T16:10:00Z", "bo3:1:25135": "2026-08-19T18:15:00Z"}, "minimum_reliable_games": null, "platt_intercept": 0.06849952222113126, "platt_slope": 0.8731634603758667, "ratings": {"bo3:1:11165": 1407.95469, "bo3:1:25135": 1476.41192},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["bo3:1:25135", "bo3:1:11165"]}, "market_type": "moneyline", "model_version": "cs2-tiered-elo-v6", "observed_at_utc": "2026-10-13T16:58:36.998591+00:00", "probabilities": {"away": 0.438926, "home": 0.561074}, "replay_scope": "Exact serving book state, calibration, temperature, inactivity reference and thin-history adjustments; training provenance not certified.", "schema": "esports-elo-replay-v1", "snapshot_hash": "4b16bb5a7df323b361e4502760159bc543ed3e55c9f64cbc0f6373fe0f488023", "sport": "CS2"}</t>
        </is>
      </c>
    </row>
    <row r="129" ht="36" customHeight="1">
      <c r="A129" s="24" t="inlineStr">
        <is>
          <t>7b893226257841a2</t>
        </is>
      </c>
      <c r="B129" s="24" t="inlineStr">
        <is>
          <t>2026-10-13T17:05:51.730145Z</t>
        </is>
      </c>
      <c r="C129" s="24" t="inlineStr">
        <is>
          <t>2026-10-13T18:30:00Z</t>
        </is>
      </c>
      <c r="D129" s="24" t="inlineStr">
        <is>
          <t>158107</t>
        </is>
      </c>
      <c r="E129" s="24" t="inlineStr">
        <is>
          <t>CS2</t>
        </is>
      </c>
      <c r="F129" s="24" t="inlineStr">
        <is>
          <t>team_NeoLife</t>
        </is>
      </c>
      <c r="G129" s="24" t="inlineStr">
        <is>
          <t>XI Esport</t>
        </is>
      </c>
      <c r="H129" s="24" t="inlineStr">
        <is>
          <t>moneyline</t>
        </is>
      </c>
      <c r="I129" s="24" t="inlineStr">
        <is>
          <t>home</t>
        </is>
      </c>
      <c r="J129" s="25" t="n"/>
      <c r="K129" s="24" t="inlineStr">
        <is>
          <t>polymarket_us</t>
        </is>
      </c>
      <c r="L129" s="26" t="n">
        <v>223</v>
      </c>
      <c r="M129" s="27" t="n">
        <v>3.23</v>
      </c>
      <c r="N129" s="28" t="n">
        <v>0.309598</v>
      </c>
      <c r="O129" s="28" t="n">
        <v>0.519823</v>
      </c>
      <c r="P129" s="28" t="n"/>
      <c r="Q129" s="28" t="n">
        <v>0.210225</v>
      </c>
      <c r="R129" s="26" t="n">
        <v>100</v>
      </c>
      <c r="S129" s="29" t="n">
        <v>2</v>
      </c>
      <c r="T129" s="24" t="inlineStr">
        <is>
          <t>cs2-tiered-elo-v6</t>
        </is>
      </c>
      <c r="U129" s="24" t="inlineStr">
        <is>
          <t>settled</t>
        </is>
      </c>
      <c r="V129" s="24" t="inlineStr">
        <is>
          <t>push</t>
        </is>
      </c>
      <c r="W129" s="26" t="n"/>
      <c r="X129" s="26" t="n"/>
      <c r="Y129" s="25" t="n"/>
      <c r="Z129" s="26" t="n"/>
      <c r="AA129" s="28" t="n"/>
      <c r="AB129" s="28" t="n"/>
      <c r="AC129" s="30" t="n">
        <v>0</v>
      </c>
      <c r="AD129" s="24" t="inlineStr">
        <is>
          <t>2026-10-13T22:05:25.358601Z</t>
        </is>
      </c>
      <c r="AE129" s="31" t="inlineStr">
        <is>
          <t>Neutral Elo baseline; executable ask 0.3100 (market_slug=aec-cs2-xi-tne-2026-10-13).</t>
        </is>
      </c>
      <c r="AF129" s="31" t="inlineStr">
        <is>
          <t>Config-promoted esports baseline; gates enforced at log time.</t>
        </is>
      </c>
      <c r="AG129" s="24" t="inlineStr">
        <is>
          <t>not_applicable</t>
        </is>
      </c>
      <c r="AH129" s="24" t="n"/>
      <c r="AI129" s="31" t="n"/>
      <c r="AJ129" s="31" t="n"/>
      <c r="AK129" s="24" t="inlineStr">
        <is>
          <t>paper_call</t>
        </is>
      </c>
      <c r="AL129" s="26" t="n">
        <v>4</v>
      </c>
      <c r="AM129" s="24" t="inlineStr">
        <is>
          <t>RESEARCH_OBSERVATION</t>
        </is>
      </c>
      <c r="AN129" s="24" t="inlineStr">
        <is>
          <t>CALL</t>
        </is>
      </c>
      <c r="AO129" s="24" t="inlineStr">
        <is>
          <t>PAPER_CALL_MODEL_UNVALIDATED</t>
        </is>
      </c>
      <c r="AP129" s="24" t="inlineStr">
        <is>
          <t>team_NeoLife</t>
        </is>
      </c>
      <c r="AQ129" s="24" t="inlineStr">
        <is>
          <t>team_NeoLife</t>
        </is>
      </c>
      <c r="AR129" s="24" t="inlineStr">
        <is>
          <t>team_NeoLife</t>
        </is>
      </c>
      <c r="AS129" s="24" t="inlineStr">
        <is>
          <t>XI Esport</t>
        </is>
      </c>
      <c r="AT129" s="24" t="inlineStr">
        <is>
          <t>XI Esport</t>
        </is>
      </c>
      <c r="AU129" s="24" t="inlineStr">
        <is>
          <t>XI Esport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d6b3627d65f602a850a75b08e75d06be54aac29b8937b0e2bf3c0cd9d23b0efe</t>
        </is>
      </c>
      <c r="BB129" s="24" t="inlineStr">
        <is>
          <t>neutral_elo</t>
        </is>
      </c>
      <c r="BC129" s="24" t="inlineStr">
        <is>
          <t>cs2-tiered-elo-v6</t>
        </is>
      </c>
      <c r="BD129" s="24" t="inlineStr">
        <is>
          <t>d6b3627d65f602a850a75b08e75d06be54aac29b8937b0e2bf3c0cd9d23b0efe</t>
        </is>
      </c>
      <c r="BE129" s="24" t="inlineStr">
        <is>
          <t>1</t>
        </is>
      </c>
      <c r="BF129" s="24" t="inlineStr">
        <is>
          <t>1</t>
        </is>
      </c>
      <c r="BG129" s="24" t="inlineStr">
        <is>
          <t>cs2-tiered-elo-v6</t>
        </is>
      </c>
      <c r="BH129" s="24" t="inlineStr">
        <is>
          <t>2026-10-13T17:00:20.631924Z</t>
        </is>
      </c>
      <c r="BI129" s="24" t="inlineStr">
        <is>
          <t>["same_event","same_team_same_day","same_league_same_day"]</t>
        </is>
      </c>
      <c r="BJ129" s="25" t="n"/>
      <c r="BK129" s="26" t="n">
        <v>223</v>
      </c>
      <c r="BL129" s="27" t="n">
        <v>3.23</v>
      </c>
      <c r="BM129" s="28" t="n">
        <v>0.309598</v>
      </c>
      <c r="BN129" s="28" t="n"/>
      <c r="BO129" s="28" t="n"/>
      <c r="BP129" s="25" t="n"/>
      <c r="BQ129" s="27" t="n"/>
      <c r="BR129" s="28" t="n"/>
      <c r="BS129" s="28" t="n"/>
      <c r="BT129" s="28" t="n"/>
      <c r="BU129" s="25" t="n"/>
      <c r="BV129" s="29" t="n"/>
      <c r="BW129" s="24" t="inlineStr">
        <is>
          <t>esports market terminal (MARKET_STATE_EXPIRED) with prices {'XI Esport': 0.39, 'team_NeoLife': 0.61}; BO3 has no confirming finished-match result either</t>
        </is>
      </c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True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n"/>
      <c r="DK129" s="24" t="n"/>
      <c r="DL129" s="24" t="n"/>
      <c r="DM129" s="24" t="n"/>
      <c r="DN129" s="24" t="n"/>
      <c r="DO129" s="24" t="n"/>
      <c r="DP129" s="24" t="n"/>
      <c r="DQ129" s="24" t="inlineStr">
        <is>
          <t>{"artifact_hash": "d6b3627d65f602a850a75b08e75d06be54aac29b8937b0e2bf3c0cd9d23b0efe", "away_team": "team_NeoLife", "event_id": "158107", "event_start_utc": "2026-10-13T18:30:00Z", "features": {"away_elo": 1500.0, "away_history_count": 0, "home_elo": 1523.925075, "home_history_count": 366}, "historical_source_observation_times_verified": false, "home_team": "XI Esport", "inference_inputs": {"book_state": {"games_played": {"bo3:1:3708": 366}, "inactivity_half_life_days": null, "inactivity_max_pull": null, "k": 40.0, "last_match_utc": {"bo3:1:3708": "2026-10-12T14:10:00Z"}, "minimum_reliable_games": null, "platt_intercept": 0.06849952222113126, "platt_slope": 0.8731634603758667, "ratings": {"bo3:1:3708": 1523.925075},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["bo3:1:3708", "unknown:teamneolife"]}, "market_type": "moneyline", "model_version": "cs2-tiered-elo-v6", "observed_at_utc": "2026-10-13T16:58:36.998591+00:00", "probabilities": {"away": 0.480177, "home": 0.519823}, "replay_scope": "Exact serving book state, calibration, temperature, inactivity reference and thin-history adjustments; training provenance not certified.", "schema": "esports-elo-replay-v1", "snapshot_hash": "bc84c78942f447eeef115edc9f409837c0d59891597b5c434ac14854eb160707", "sport": "CS2"}</t>
        </is>
      </c>
    </row>
    <row r="130" ht="36" customHeight="1">
      <c r="A130" s="24" t="inlineStr">
        <is>
          <t>0a7ca2202b744e29</t>
        </is>
      </c>
      <c r="B130" s="24" t="inlineStr">
        <is>
          <t>2026-10-13T17:05:51.730145Z</t>
        </is>
      </c>
      <c r="C130" s="24" t="inlineStr">
        <is>
          <t>2026-10-13T19:00:00Z</t>
        </is>
      </c>
      <c r="D130" s="24" t="inlineStr">
        <is>
          <t>156966</t>
        </is>
      </c>
      <c r="E130" s="24" t="inlineStr">
        <is>
          <t>CS2</t>
        </is>
      </c>
      <c r="F130" s="24" t="inlineStr">
        <is>
          <t>Los Niños</t>
        </is>
      </c>
      <c r="G130" s="24" t="inlineStr">
        <is>
          <t>Grêmio Esports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polymarket_us</t>
        </is>
      </c>
      <c r="L130" s="26" t="n">
        <v>-163</v>
      </c>
      <c r="M130" s="27" t="n">
        <v>1.613497</v>
      </c>
      <c r="N130" s="28" t="n">
        <v>0.619772</v>
      </c>
      <c r="O130" s="28" t="n">
        <v>0.525564</v>
      </c>
      <c r="P130" s="28" t="n"/>
      <c r="Q130" s="28" t="n">
        <v>-0.094208</v>
      </c>
      <c r="R130" s="26" t="n">
        <v>0</v>
      </c>
      <c r="S130" s="29" t="n">
        <v>1</v>
      </c>
      <c r="T130" s="24" t="inlineStr">
        <is>
          <t>cs2-tiered-elo-v6</t>
        </is>
      </c>
      <c r="U130" s="24" t="inlineStr">
        <is>
          <t>settled</t>
        </is>
      </c>
      <c r="V130" s="24" t="inlineStr">
        <is>
          <t>loss</t>
        </is>
      </c>
      <c r="W130" s="26" t="n">
        <v>1</v>
      </c>
      <c r="X130" s="26" t="n">
        <v>0</v>
      </c>
      <c r="Y130" s="25" t="n"/>
      <c r="Z130" s="26" t="n">
        <v>-163</v>
      </c>
      <c r="AA130" s="28" t="n">
        <v>0.62</v>
      </c>
      <c r="AB130" s="28" t="n">
        <v>0.000228</v>
      </c>
      <c r="AC130" s="30" t="n">
        <v>-1</v>
      </c>
      <c r="AD130" s="24" t="inlineStr">
        <is>
          <t>2026-10-14T04:32:19.413940Z</t>
        </is>
      </c>
      <c r="AE130" s="31" t="inlineStr">
        <is>
          <t>Neutral Elo baseline; executable ask 0.6200 (market_slug=aec-cs2-ger-ln-2026-10-13).</t>
        </is>
      </c>
      <c r="AF130" s="31" t="inlineStr">
        <is>
          <t>Config-promoted esports baseline; gates enforced at log time.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paper_call</t>
        </is>
      </c>
      <c r="AL130" s="26" t="n">
        <v>4</v>
      </c>
      <c r="AM130" s="24" t="inlineStr">
        <is>
          <t>RESEARCH_OBSERVATION</t>
        </is>
      </c>
      <c r="AN130" s="24" t="inlineStr">
        <is>
          <t>CALL</t>
        </is>
      </c>
      <c r="AO130" s="24" t="inlineStr">
        <is>
          <t>PAPER_CALL_MODEL_UNVALIDATED</t>
        </is>
      </c>
      <c r="AP130" s="24" t="inlineStr">
        <is>
          <t>Los Niños</t>
        </is>
      </c>
      <c r="AQ130" s="24" t="inlineStr">
        <is>
          <t>Los Niños</t>
        </is>
      </c>
      <c r="AR130" s="24" t="inlineStr">
        <is>
          <t>Los Niños</t>
        </is>
      </c>
      <c r="AS130" s="24" t="inlineStr">
        <is>
          <t>Grêmio Esports</t>
        </is>
      </c>
      <c r="AT130" s="24" t="inlineStr">
        <is>
          <t>Grêmio Esports</t>
        </is>
      </c>
      <c r="AU130" s="24" t="inlineStr">
        <is>
          <t>Grêmio Esports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d6b3627d65f602a850a75b08e75d06be54aac29b8937b0e2bf3c0cd9d23b0efe</t>
        </is>
      </c>
      <c r="BB130" s="24" t="inlineStr">
        <is>
          <t>neutral_elo</t>
        </is>
      </c>
      <c r="BC130" s="24" t="inlineStr">
        <is>
          <t>cs2-tiered-elo-v6</t>
        </is>
      </c>
      <c r="BD130" s="24" t="inlineStr">
        <is>
          <t>d6b3627d65f602a850a75b08e75d06be54aac29b8937b0e2bf3c0cd9d23b0efe</t>
        </is>
      </c>
      <c r="BE130" s="24" t="inlineStr">
        <is>
          <t>1</t>
        </is>
      </c>
      <c r="BF130" s="24" t="inlineStr">
        <is>
          <t>1</t>
        </is>
      </c>
      <c r="BG130" s="24" t="inlineStr">
        <is>
          <t>cs2-tiered-elo-v6</t>
        </is>
      </c>
      <c r="BH130" s="24" t="inlineStr">
        <is>
          <t>2026-10-13T17:00:30.779253Z</t>
        </is>
      </c>
      <c r="BI130" s="24" t="inlineStr">
        <is>
          <t>["same_event","same_team_same_day","same_league_same_day"]</t>
        </is>
      </c>
      <c r="BJ130" s="25" t="n"/>
      <c r="BK130" s="26" t="n">
        <v>-163</v>
      </c>
      <c r="BL130" s="27" t="n">
        <v>1.613497</v>
      </c>
      <c r="BM130" s="28" t="n">
        <v>0.619772</v>
      </c>
      <c r="BN130" s="28" t="n"/>
      <c r="BO130" s="28" t="n"/>
      <c r="BP130" s="25" t="n"/>
      <c r="BQ130" s="27" t="n">
        <v>1.613497</v>
      </c>
      <c r="BR130" s="28" t="n">
        <v>0.62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False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n"/>
      <c r="DK130" s="24" t="n"/>
      <c r="DL130" s="24" t="n"/>
      <c r="DM130" s="24" t="n"/>
      <c r="DN130" s="24" t="n"/>
      <c r="DO130" s="24" t="n"/>
      <c r="DP130" s="24" t="n"/>
      <c r="DQ130" s="24" t="inlineStr">
        <is>
          <t>{"artifact_hash": "d6b3627d65f602a850a75b08e75d06be54aac29b8937b0e2bf3c0cd9d23b0efe", "away_team": "Los Ni\u00f1os", "event_id": "156966", "event_start_utc": "2026-10-13T19:00:00Z", "features": {"away_elo": 1456.641117, "away_history_count": 2, "home_elo": 1500.0, "home_history_count": 0}, "historical_source_observation_times_verified": false, "home_team": "Gr\u00eamio Esports", "inference_inputs": {"book_state": {"games_played": {"bo3:1:25310": 2}, "inactivity_half_life_days": null, "inactivity_max_pull": null, "k": 40.0, "last_match_utc": {"bo3:1:25310": "2026-09-16T21:00:00Z"}, "minimum_reliable_games": null, "platt_intercept": 0.06849952222113126, "platt_slope": 0.8731634603758667, "ratings": {"bo3:1:25310": 1456.641117},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["unknown:gremioesports", "bo3:1:25310"]}, "market_type": "moneyline", "model_version": "cs2-tiered-elo-v6", "observed_at_utc": "2026-10-13T16:58:36.998591+00:00", "probabilities": {"away": 0.474436, "home": 0.525564}, "replay_scope": "Exact serving book state, calibration, temperature, inactivity reference and thin-history adjustments; training provenance not certified.", "schema": "esports-elo-replay-v1", "snapshot_hash": "78ce56e743df64a028ce41bbac4c24eccd8624deb2048ee35abc2986ffc6afd5", "sport": "CS2"}</t>
        </is>
      </c>
    </row>
    <row r="131" ht="36" customHeight="1">
      <c r="A131" s="24" t="inlineStr">
        <is>
          <t>b223108666104c41</t>
        </is>
      </c>
      <c r="B131" s="24" t="inlineStr">
        <is>
          <t>2026-10-13T17:05:51.730145Z</t>
        </is>
      </c>
      <c r="C131" s="24" t="inlineStr">
        <is>
          <t>2026-10-13T21:00:00Z</t>
        </is>
      </c>
      <c r="D131" s="24" t="inlineStr">
        <is>
          <t>157555</t>
        </is>
      </c>
      <c r="E131" s="24" t="inlineStr">
        <is>
          <t>CS2</t>
        </is>
      </c>
      <c r="F131" s="24" t="inlineStr">
        <is>
          <t>Galorys</t>
        </is>
      </c>
      <c r="G131" s="24" t="inlineStr">
        <is>
          <t>ex-Keyd Stars</t>
        </is>
      </c>
      <c r="H131" s="24" t="inlineStr">
        <is>
          <t>moneyline</t>
        </is>
      </c>
      <c r="I131" s="24" t="inlineStr">
        <is>
          <t>away</t>
        </is>
      </c>
      <c r="J131" s="25" t="n"/>
      <c r="K131" s="24" t="inlineStr">
        <is>
          <t>polymarket_us</t>
        </is>
      </c>
      <c r="L131" s="26" t="n">
        <v>-213</v>
      </c>
      <c r="M131" s="27" t="n">
        <v>1.469484</v>
      </c>
      <c r="N131" s="28" t="n">
        <v>0.680511</v>
      </c>
      <c r="O131" s="28" t="n">
        <v>0.653881</v>
      </c>
      <c r="P131" s="28" t="n"/>
      <c r="Q131" s="28" t="n">
        <v>-0.02663</v>
      </c>
      <c r="R131" s="26" t="n">
        <v>7</v>
      </c>
      <c r="S131" s="29" t="n">
        <v>1</v>
      </c>
      <c r="T131" s="24" t="inlineStr">
        <is>
          <t>cs2-tiered-elo-v6</t>
        </is>
      </c>
      <c r="U131" s="24" t="inlineStr">
        <is>
          <t>settled</t>
        </is>
      </c>
      <c r="V131" s="24" t="inlineStr">
        <is>
          <t>win</t>
        </is>
      </c>
      <c r="W131" s="26" t="n">
        <v>1</v>
      </c>
      <c r="X131" s="26" t="n">
        <v>0</v>
      </c>
      <c r="Y131" s="25" t="n"/>
      <c r="Z131" s="26" t="n">
        <v>-213</v>
      </c>
      <c r="AA131" s="28" t="n">
        <v>0.68</v>
      </c>
      <c r="AB131" s="28" t="n">
        <v>-0.000511</v>
      </c>
      <c r="AC131" s="30" t="n">
        <v>0.4695</v>
      </c>
      <c r="AD131" s="24" t="inlineStr">
        <is>
          <t>2026-10-14T04:32:27.761160Z</t>
        </is>
      </c>
      <c r="AE131" s="31" t="inlineStr">
        <is>
          <t>Neutral Elo baseline; executable ask 0.6800 (market_slug=aec-cs2-eks-gls-2026-10-13).</t>
        </is>
      </c>
      <c r="AF131" s="31" t="inlineStr">
        <is>
          <t>Config-promoted esports baseline; gates enforced at log time.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paper_call</t>
        </is>
      </c>
      <c r="AL131" s="26" t="n">
        <v>4</v>
      </c>
      <c r="AM131" s="24" t="inlineStr">
        <is>
          <t>RESEARCH_OBSERVATION</t>
        </is>
      </c>
      <c r="AN131" s="24" t="inlineStr">
        <is>
          <t>CALL</t>
        </is>
      </c>
      <c r="AO131" s="24" t="inlineStr">
        <is>
          <t>PAPER_CALL_LOW_EDGE</t>
        </is>
      </c>
      <c r="AP131" s="24" t="inlineStr">
        <is>
          <t>Galorys</t>
        </is>
      </c>
      <c r="AQ131" s="24" t="inlineStr">
        <is>
          <t>Galorys</t>
        </is>
      </c>
      <c r="AR131" s="24" t="inlineStr">
        <is>
          <t>Galorys</t>
        </is>
      </c>
      <c r="AS131" s="24" t="inlineStr">
        <is>
          <t>ex-Keyd Stars</t>
        </is>
      </c>
      <c r="AT131" s="24" t="inlineStr">
        <is>
          <t>ex-Keyd Stars</t>
        </is>
      </c>
      <c r="AU131" s="24" t="inlineStr">
        <is>
          <t>ex-Keyd Stars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d6b3627d65f602a850a75b08e75d06be54aac29b8937b0e2bf3c0cd9d23b0efe</t>
        </is>
      </c>
      <c r="BB131" s="24" t="inlineStr">
        <is>
          <t>neutral_elo</t>
        </is>
      </c>
      <c r="BC131" s="24" t="inlineStr">
        <is>
          <t>cs2-tiered-elo-v6</t>
        </is>
      </c>
      <c r="BD131" s="24" t="inlineStr">
        <is>
          <t>d6b3627d65f602a850a75b08e75d06be54aac29b8937b0e2bf3c0cd9d23b0efe</t>
        </is>
      </c>
      <c r="BE131" s="24" t="inlineStr">
        <is>
          <t>1</t>
        </is>
      </c>
      <c r="BF131" s="24" t="inlineStr">
        <is>
          <t>1</t>
        </is>
      </c>
      <c r="BG131" s="24" t="inlineStr">
        <is>
          <t>cs2-tiered-elo-v6</t>
        </is>
      </c>
      <c r="BH131" s="24" t="inlineStr">
        <is>
          <t>2026-10-13T17:00:30.988650Z</t>
        </is>
      </c>
      <c r="BI131" s="24" t="inlineStr">
        <is>
          <t>["same_event","same_team_same_day","same_league_same_day"]</t>
        </is>
      </c>
      <c r="BJ131" s="25" t="n"/>
      <c r="BK131" s="26" t="n">
        <v>-213</v>
      </c>
      <c r="BL131" s="27" t="n">
        <v>1.469484</v>
      </c>
      <c r="BM131" s="28" t="n">
        <v>0.680511</v>
      </c>
      <c r="BN131" s="28" t="n"/>
      <c r="BO131" s="28" t="n"/>
      <c r="BP131" s="25" t="n"/>
      <c r="BQ131" s="27" t="n">
        <v>1.469484</v>
      </c>
      <c r="BR131" s="28" t="n">
        <v>0.68</v>
      </c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False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n"/>
      <c r="DK131" s="24" t="n"/>
      <c r="DL131" s="24" t="n"/>
      <c r="DM131" s="24" t="n"/>
      <c r="DN131" s="24" t="n"/>
      <c r="DO131" s="24" t="n"/>
      <c r="DP131" s="24" t="n"/>
      <c r="DQ131" s="24" t="inlineStr">
        <is>
          <t>{"artifact_hash": "d6b3627d65f602a850a75b08e75d06be54aac29b8937b0e2bf3c0cd9d23b0efe", "away_team": "Galorys", "event_id": "157555", "event_start_utc": "2026-10-13T21:00:00Z", "features": {"away_elo": 1790.308515, "away_history_count": 313, "home_elo": 1584.684396, "home_history_count": 6}, "historical_source_observation_times_verified": false, "home_team": "ex-Keyd Stars", "inference_inputs": {"book_state": {"games_played": {"bo3:1:10049": 313, "bo3:1:21424": 6}, "inactivity_half_life_days": null, "inactivity_max_pull": null, "k": 40.0, "last_match_utc": {"bo3:1:10049": "2026-10-12T21:00:00Z", "bo3:1:21424": "2026-10-12T21:00:00Z"}, "minimum_reliable_games": null, "platt_intercept": 0.06849952222113126, "platt_slope": 0.8731634603758667, "ratings": {"bo3:1:10049": 1790.308515, "bo3:1:21424": 1584.684396},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["bo3:1:21424", "bo3:1:10049"]}, "market_type": "moneyline", "model_version": "cs2-tiered-elo-v6", "observed_at_utc": "2026-10-13T16:58:36.998591+00:00", "probabilities": {"away": 0.653881, "home": 0.346119}, "replay_scope": "Exact serving book state, calibration, temperature, inactivity reference and thin-history adjustments; training provenance not certified.", "schema": "esports-elo-replay-v1", "snapshot_hash": "9d04e4be079545b00a5eb9ee7be73f431aa54c610f4a11588e7dc04d85526b70", "sport": "CS2"}</t>
        </is>
      </c>
    </row>
    <row r="132" ht="36" customHeight="1">
      <c r="A132" s="24" t="inlineStr">
        <is>
          <t>0258d9c7292148a0</t>
        </is>
      </c>
      <c r="B132" s="24" t="inlineStr">
        <is>
          <t>2026-10-13T17:05:51.730145Z</t>
        </is>
      </c>
      <c r="C132" s="24" t="inlineStr">
        <is>
          <t>2026-10-13T22:00:00Z</t>
        </is>
      </c>
      <c r="D132" s="24" t="inlineStr">
        <is>
          <t>157271</t>
        </is>
      </c>
      <c r="E132" s="24" t="inlineStr">
        <is>
          <t>CS2</t>
        </is>
      </c>
      <c r="F132" s="24" t="inlineStr">
        <is>
          <t>SUKEBAN</t>
        </is>
      </c>
      <c r="G132" s="24" t="inlineStr">
        <is>
          <t>your end</t>
        </is>
      </c>
      <c r="H132" s="24" t="inlineStr">
        <is>
          <t>moneyline</t>
        </is>
      </c>
      <c r="I132" s="24" t="inlineStr">
        <is>
          <t>home</t>
        </is>
      </c>
      <c r="J132" s="25" t="n"/>
      <c r="K132" s="24" t="inlineStr">
        <is>
          <t>polymarket_us</t>
        </is>
      </c>
      <c r="L132" s="26" t="n">
        <v>-170</v>
      </c>
      <c r="M132" s="27" t="n">
        <v>1.588235</v>
      </c>
      <c r="N132" s="28" t="n">
        <v>0.62963</v>
      </c>
      <c r="O132" s="28" t="n">
        <v>0.5082449999999999</v>
      </c>
      <c r="P132" s="28" t="n"/>
      <c r="Q132" s="28" t="n">
        <v>-0.121385</v>
      </c>
      <c r="R132" s="26" t="n">
        <v>0</v>
      </c>
      <c r="S132" s="29" t="n">
        <v>1</v>
      </c>
      <c r="T132" s="24" t="inlineStr">
        <is>
          <t>cs2-tiered-elo-v6</t>
        </is>
      </c>
      <c r="U132" s="24" t="inlineStr">
        <is>
          <t>settled</t>
        </is>
      </c>
      <c r="V132" s="24" t="inlineStr">
        <is>
          <t>push</t>
        </is>
      </c>
      <c r="W132" s="26" t="n"/>
      <c r="X132" s="26" t="n"/>
      <c r="Y132" s="25" t="n"/>
      <c r="Z132" s="26" t="n"/>
      <c r="AA132" s="28" t="n"/>
      <c r="AB132" s="28" t="n"/>
      <c r="AC132" s="30" t="n">
        <v>0</v>
      </c>
      <c r="AD132" s="24" t="inlineStr">
        <is>
          <t>2026-10-13T22:05:35.017280Z</t>
        </is>
      </c>
      <c r="AE132" s="31" t="inlineStr">
        <is>
          <t>Neutral Elo baseline; executable ask 0.6300 (market_slug=aec-cs2-yeo-suke-2026-10-13).</t>
        </is>
      </c>
      <c r="AF132" s="31" t="inlineStr">
        <is>
          <t>Config-promoted esports baseline; gates enforced at log time.</t>
        </is>
      </c>
      <c r="AG132" s="24" t="inlineStr">
        <is>
          <t>not_applicable</t>
        </is>
      </c>
      <c r="AH132" s="24" t="n"/>
      <c r="AI132" s="31" t="n"/>
      <c r="AJ132" s="31" t="n"/>
      <c r="AK132" s="24" t="inlineStr">
        <is>
          <t>paper_call</t>
        </is>
      </c>
      <c r="AL132" s="26" t="n">
        <v>4</v>
      </c>
      <c r="AM132" s="24" t="inlineStr">
        <is>
          <t>RESEARCH_OBSERVATION</t>
        </is>
      </c>
      <c r="AN132" s="24" t="inlineStr">
        <is>
          <t>CALL</t>
        </is>
      </c>
      <c r="AO132" s="24" t="inlineStr">
        <is>
          <t>PAPER_CALL_MODEL_UNVALIDATED</t>
        </is>
      </c>
      <c r="AP132" s="24" t="inlineStr">
        <is>
          <t>SUKEBAN</t>
        </is>
      </c>
      <c r="AQ132" s="24" t="inlineStr">
        <is>
          <t>SUKEBAN</t>
        </is>
      </c>
      <c r="AR132" s="24" t="inlineStr">
        <is>
          <t>SUKEBAN</t>
        </is>
      </c>
      <c r="AS132" s="24" t="inlineStr">
        <is>
          <t>your end</t>
        </is>
      </c>
      <c r="AT132" s="24" t="inlineStr">
        <is>
          <t>your end</t>
        </is>
      </c>
      <c r="AU132" s="24" t="inlineStr">
        <is>
          <t>your end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d6b3627d65f602a850a75b08e75d06be54aac29b8937b0e2bf3c0cd9d23b0efe</t>
        </is>
      </c>
      <c r="BB132" s="24" t="inlineStr">
        <is>
          <t>neutral_elo</t>
        </is>
      </c>
      <c r="BC132" s="24" t="inlineStr">
        <is>
          <t>cs2-tiered-elo-v6</t>
        </is>
      </c>
      <c r="BD132" s="24" t="inlineStr">
        <is>
          <t>d6b3627d65f602a850a75b08e75d06be54aac29b8937b0e2bf3c0cd9d23b0efe</t>
        </is>
      </c>
      <c r="BE132" s="24" t="inlineStr">
        <is>
          <t>1</t>
        </is>
      </c>
      <c r="BF132" s="24" t="inlineStr">
        <is>
          <t>1</t>
        </is>
      </c>
      <c r="BG132" s="24" t="inlineStr">
        <is>
          <t>cs2-tiered-elo-v6</t>
        </is>
      </c>
      <c r="BH132" s="24" t="inlineStr">
        <is>
          <t>2026-10-13T17:01:01.589330Z</t>
        </is>
      </c>
      <c r="BI132" s="24" t="inlineStr">
        <is>
          <t>["same_event","same_team_same_day","same_league_same_day"]</t>
        </is>
      </c>
      <c r="BJ132" s="25" t="n"/>
      <c r="BK132" s="26" t="n">
        <v>-170</v>
      </c>
      <c r="BL132" s="27" t="n">
        <v>1.588235</v>
      </c>
      <c r="BM132" s="28" t="n">
        <v>0.62963</v>
      </c>
      <c r="BN132" s="28" t="n"/>
      <c r="BO132" s="28" t="n"/>
      <c r="BP132" s="25" t="n"/>
      <c r="BQ132" s="27" t="n"/>
      <c r="BR132" s="28" t="n"/>
      <c r="BS132" s="28" t="n"/>
      <c r="BT132" s="28" t="n"/>
      <c r="BU132" s="25" t="n"/>
      <c r="BV132" s="29" t="n"/>
      <c r="BW132" s="24" t="inlineStr">
        <is>
          <t>esports market terminal (MARKET_STATE_EXPIRED) with prices {}; BO3 has no confirming finished-match result either</t>
        </is>
      </c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False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n"/>
      <c r="DK132" s="24" t="n"/>
      <c r="DL132" s="24" t="n"/>
      <c r="DM132" s="24" t="n"/>
      <c r="DN132" s="24" t="n"/>
      <c r="DO132" s="24" t="n"/>
      <c r="DP132" s="24" t="n"/>
      <c r="DQ132" s="24" t="inlineStr">
        <is>
          <t>{"artifact_hash": "d6b3627d65f602a850a75b08e75d06be54aac29b8937b0e2bf3c0cd9d23b0efe", "away_team": "SUKEBAN", "event_id": "157271", "event_start_utc": "2026-10-13T22:00:00Z", "features": {"away_elo": 1500.0, "away_history_count": 0, "home_elo": 1502.162179, "home_history_count": 8}, "historical_source_observation_times_verified": false, "home_team": "your end", "inference_inputs": {"book_state": {"games_played": {"bo3:1:25268": 8}, "inactivity_half_life_days": null, "inactivity_max_pull": null, "k": 40.0, "last_match_utc": {"bo3:1:25268": "2026-09-26T16:20:00Z"}, "minimum_reliable_games": null, "platt_intercept": 0.06849952222113126, "platt_slope": 0.8731634603758667, "ratings": {"bo3:1:25268": 1502.162179},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["bo3:1:25268", "unknown:sukeban"]}, "market_type": "moneyline", "model_version": "cs2-tiered-elo-v6", "observed_at_utc": "2026-10-13T16:58:36.998591+00:00", "probabilities": {"away": 0.491755, "home": 0.508245}, "replay_scope": "Exact serving book state, calibration, temperature, inactivity reference and thin-history adjustments; training provenance not certified.", "schema": "esports-elo-replay-v1", "snapshot_hash": "b5749675822dd2f1989d2be233b97ae9f9e39bb1d5ee81b7cff020f5ca6150d2", "sport": "CS2"}</t>
        </is>
      </c>
    </row>
    <row r="133" ht="36" customHeight="1">
      <c r="A133" s="24" t="inlineStr">
        <is>
          <t>5183eb1dacec460b</t>
        </is>
      </c>
      <c r="B133" s="24" t="inlineStr">
        <is>
          <t>2026-10-13T22:38:44.831854Z</t>
        </is>
      </c>
      <c r="C133" s="24" t="inlineStr">
        <is>
          <t>2026-10-14T01:00:00Z</t>
        </is>
      </c>
      <c r="D133" s="24" t="inlineStr">
        <is>
          <t>157860</t>
        </is>
      </c>
      <c r="E133" s="24" t="inlineStr">
        <is>
          <t>CS2</t>
        </is>
      </c>
      <c r="F133" s="24" t="inlineStr">
        <is>
          <t>Overtake</t>
        </is>
      </c>
      <c r="G133" s="24" t="inlineStr">
        <is>
          <t>Zomblers</t>
        </is>
      </c>
      <c r="H133" s="24" t="inlineStr">
        <is>
          <t>total</t>
        </is>
      </c>
      <c r="I133" s="24" t="inlineStr">
        <is>
          <t>under</t>
        </is>
      </c>
      <c r="J133" s="25" t="n">
        <v>2.5</v>
      </c>
      <c r="K133" s="24" t="inlineStr">
        <is>
          <t>polymarket_us</t>
        </is>
      </c>
      <c r="L133" s="26" t="n">
        <v>-150</v>
      </c>
      <c r="M133" s="27" t="n">
        <v>1.666667</v>
      </c>
      <c r="N133" s="28" t="n">
        <v>0.6</v>
      </c>
      <c r="O133" s="28" t="n">
        <v>0.504069</v>
      </c>
      <c r="P133" s="28" t="n"/>
      <c r="Q133" s="28" t="n">
        <v>-0.095931</v>
      </c>
      <c r="R133" s="26" t="n">
        <v>0</v>
      </c>
      <c r="S133" s="29" t="n">
        <v>1</v>
      </c>
      <c r="T133" s="24" t="inlineStr">
        <is>
          <t>cs2-total-tiered-elo-v6</t>
        </is>
      </c>
      <c r="U133" s="24" t="inlineStr">
        <is>
          <t>settled</t>
        </is>
      </c>
      <c r="V133" s="24" t="inlineStr">
        <is>
          <t>win</t>
        </is>
      </c>
      <c r="W133" s="26" t="n">
        <v>0</v>
      </c>
      <c r="X133" s="26" t="n">
        <v>2</v>
      </c>
      <c r="Y133" s="25" t="n"/>
      <c r="Z133" s="26" t="n"/>
      <c r="AA133" s="28" t="n"/>
      <c r="AB133" s="28" t="n"/>
      <c r="AC133" s="30" t="n">
        <v>0.6667</v>
      </c>
      <c r="AD133" s="24" t="inlineStr">
        <is>
          <t>2026-10-14T04:32:36.758836Z</t>
        </is>
      </c>
      <c r="AE133" s="31" t="inlineStr">
        <is>
          <t>Neutral Elo baseline; executable ask 0.6000 (market_slug=tsc-cs2-zomb-ot-2026-10-14-tot-2pt5).</t>
        </is>
      </c>
      <c r="AF133" s="31" t="inlineStr">
        <is>
          <t>Config-promoted esports baseline; gates enforced at log time.</t>
        </is>
      </c>
      <c r="AG133" s="24" t="inlineStr">
        <is>
          <t>not_applicable</t>
        </is>
      </c>
      <c r="AH133" s="24" t="n"/>
      <c r="AI133" s="31" t="n"/>
      <c r="AJ133" s="31" t="n"/>
      <c r="AK133" s="24" t="inlineStr">
        <is>
          <t>paper_call</t>
        </is>
      </c>
      <c r="AL133" s="26" t="n">
        <v>4</v>
      </c>
      <c r="AM133" s="24" t="inlineStr">
        <is>
          <t>RESEARCH_OBSERVATION</t>
        </is>
      </c>
      <c r="AN133" s="24" t="inlineStr">
        <is>
          <t>CALL</t>
        </is>
      </c>
      <c r="AO133" s="24" t="inlineStr">
        <is>
          <t>PAPER_CALL_LOW_EDGE</t>
        </is>
      </c>
      <c r="AP133" s="24" t="inlineStr">
        <is>
          <t>Overtake</t>
        </is>
      </c>
      <c r="AQ133" s="24" t="inlineStr">
        <is>
          <t>Overtake</t>
        </is>
      </c>
      <c r="AR133" s="24" t="inlineStr">
        <is>
          <t>Overtake</t>
        </is>
      </c>
      <c r="AS133" s="24" t="inlineStr">
        <is>
          <t>Zomblers</t>
        </is>
      </c>
      <c r="AT133" s="24" t="inlineStr">
        <is>
          <t>Zomblers</t>
        </is>
      </c>
      <c r="AU133" s="24" t="inlineStr">
        <is>
          <t>Zomblers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21a244e029d58075f561215535923b540359cdf781049d520ffd534a32f40de5</t>
        </is>
      </c>
      <c r="BB133" s="24" t="inlineStr">
        <is>
          <t>neutral_elo</t>
        </is>
      </c>
      <c r="BC133" s="24" t="inlineStr">
        <is>
          <t>cs2-total-tiered-elo-v6</t>
        </is>
      </c>
      <c r="BD133" s="24" t="inlineStr">
        <is>
          <t>21a244e029d58075f561215535923b540359cdf781049d520ffd534a32f40de5</t>
        </is>
      </c>
      <c r="BE133" s="24" t="inlineStr">
        <is>
          <t>1</t>
        </is>
      </c>
      <c r="BF133" s="24" t="inlineStr">
        <is>
          <t>1</t>
        </is>
      </c>
      <c r="BG133" s="24" t="inlineStr">
        <is>
          <t>cs2-total-tiered-elo-v6</t>
        </is>
      </c>
      <c r="BH133" s="24" t="inlineStr">
        <is>
          <t>2026-10-13T22:29:08.132079Z</t>
        </is>
      </c>
      <c r="BI133" s="24" t="inlineStr">
        <is>
          <t>["same_event","same_team_same_day","same_league_same_day"]</t>
        </is>
      </c>
      <c r="BJ133" s="25" t="n">
        <v>2.5</v>
      </c>
      <c r="BK133" s="26" t="n">
        <v>-150</v>
      </c>
      <c r="BL133" s="27" t="n">
        <v>1.666667</v>
      </c>
      <c r="BM133" s="28" t="n">
        <v>0.6</v>
      </c>
      <c r="BN133" s="28" t="n"/>
      <c r="BO133" s="28" t="n"/>
      <c r="BP133" s="25" t="n"/>
      <c r="BQ133" s="27" t="n"/>
      <c r="BR133" s="28" t="n"/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False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n"/>
      <c r="DK133" s="24" t="n"/>
      <c r="DL133" s="24" t="n"/>
      <c r="DM133" s="24" t="n"/>
      <c r="DN133" s="24" t="n"/>
      <c r="DO133" s="24" t="n"/>
      <c r="DP133" s="24" t="n"/>
      <c r="DQ133" s="24" t="n"/>
    </row>
    <row r="134" ht="36" customHeight="1">
      <c r="A134" s="24" t="inlineStr">
        <is>
          <t>7886d48fc4c740fb</t>
        </is>
      </c>
      <c r="B134" s="24" t="inlineStr">
        <is>
          <t>2026-10-13T22:38:44.831854Z</t>
        </is>
      </c>
      <c r="C134" s="24" t="inlineStr">
        <is>
          <t>2026-10-14T01:00:00Z</t>
        </is>
      </c>
      <c r="D134" s="24" t="inlineStr">
        <is>
          <t>157860</t>
        </is>
      </c>
      <c r="E134" s="24" t="inlineStr">
        <is>
          <t>CS2</t>
        </is>
      </c>
      <c r="F134" s="24" t="inlineStr">
        <is>
          <t>Overtake</t>
        </is>
      </c>
      <c r="G134" s="24" t="inlineStr">
        <is>
          <t>Zomblers</t>
        </is>
      </c>
      <c r="H134" s="24" t="inlineStr">
        <is>
          <t>moneyline</t>
        </is>
      </c>
      <c r="I134" s="24" t="inlineStr">
        <is>
          <t>away</t>
        </is>
      </c>
      <c r="J134" s="25" t="n"/>
      <c r="K134" s="24" t="inlineStr">
        <is>
          <t>polymarket_us</t>
        </is>
      </c>
      <c r="L134" s="26" t="n">
        <v>-194</v>
      </c>
      <c r="M134" s="27" t="n">
        <v>1.515464</v>
      </c>
      <c r="N134" s="28" t="n">
        <v>0.659864</v>
      </c>
      <c r="O134" s="28" t="n">
        <v>0.567475</v>
      </c>
      <c r="P134" s="28" t="n"/>
      <c r="Q134" s="28" t="n">
        <v>-0.092389</v>
      </c>
      <c r="R134" s="26" t="n">
        <v>0</v>
      </c>
      <c r="S134" s="29" t="n">
        <v>1</v>
      </c>
      <c r="T134" s="24" t="inlineStr">
        <is>
          <t>cs2-tiered-elo-v6</t>
        </is>
      </c>
      <c r="U134" s="24" t="inlineStr">
        <is>
          <t>settled</t>
        </is>
      </c>
      <c r="V134" s="24" t="inlineStr">
        <is>
          <t>win</t>
        </is>
      </c>
      <c r="W134" s="26" t="n">
        <v>1</v>
      </c>
      <c r="X134" s="26" t="n">
        <v>0</v>
      </c>
      <c r="Y134" s="25" t="n"/>
      <c r="Z134" s="26" t="n">
        <v>-194</v>
      </c>
      <c r="AA134" s="28" t="n">
        <v>0.66</v>
      </c>
      <c r="AB134" s="28" t="n">
        <v>0.000136</v>
      </c>
      <c r="AC134" s="30" t="n">
        <v>0.5155</v>
      </c>
      <c r="AD134" s="24" t="inlineStr">
        <is>
          <t>2026-10-14T04:32:38.610311Z</t>
        </is>
      </c>
      <c r="AE134" s="31" t="inlineStr">
        <is>
          <t>Neutral Elo baseline; executable ask 0.6600 (market_slug=aec-cs2-zomb-ot-2026-10-14).</t>
        </is>
      </c>
      <c r="AF134" s="31" t="inlineStr">
        <is>
          <t>Config-promoted esports baseline; gates enforced at log time.</t>
        </is>
      </c>
      <c r="AG134" s="24" t="inlineStr">
        <is>
          <t>not_applicable</t>
        </is>
      </c>
      <c r="AH134" s="24" t="n"/>
      <c r="AI134" s="31" t="n"/>
      <c r="AJ134" s="31" t="n"/>
      <c r="AK134" s="24" t="inlineStr">
        <is>
          <t>paper_call</t>
        </is>
      </c>
      <c r="AL134" s="26" t="n">
        <v>4</v>
      </c>
      <c r="AM134" s="24" t="inlineStr">
        <is>
          <t>RESEARCH_OBSERVATION</t>
        </is>
      </c>
      <c r="AN134" s="24" t="inlineStr">
        <is>
          <t>CALL</t>
        </is>
      </c>
      <c r="AO134" s="24" t="inlineStr">
        <is>
          <t>PAPER_CALL_LOW_EDGE</t>
        </is>
      </c>
      <c r="AP134" s="24" t="inlineStr">
        <is>
          <t>Overtake</t>
        </is>
      </c>
      <c r="AQ134" s="24" t="inlineStr">
        <is>
          <t>Overtake</t>
        </is>
      </c>
      <c r="AR134" s="24" t="inlineStr">
        <is>
          <t>Overtake</t>
        </is>
      </c>
      <c r="AS134" s="24" t="inlineStr">
        <is>
          <t>Zomblers</t>
        </is>
      </c>
      <c r="AT134" s="24" t="inlineStr">
        <is>
          <t>Zomblers</t>
        </is>
      </c>
      <c r="AU134" s="24" t="inlineStr">
        <is>
          <t>Zomblers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21a244e029d58075f561215535923b540359cdf781049d520ffd534a32f40de5</t>
        </is>
      </c>
      <c r="BB134" s="24" t="inlineStr">
        <is>
          <t>neutral_elo</t>
        </is>
      </c>
      <c r="BC134" s="24" t="inlineStr">
        <is>
          <t>cs2-tiered-elo-v6</t>
        </is>
      </c>
      <c r="BD134" s="24" t="inlineStr">
        <is>
          <t>21a244e029d58075f561215535923b540359cdf781049d520ffd534a32f40de5</t>
        </is>
      </c>
      <c r="BE134" s="24" t="inlineStr">
        <is>
          <t>1</t>
        </is>
      </c>
      <c r="BF134" s="24" t="inlineStr">
        <is>
          <t>1</t>
        </is>
      </c>
      <c r="BG134" s="24" t="inlineStr">
        <is>
          <t>cs2-tiered-elo-v6</t>
        </is>
      </c>
      <c r="BH134" s="24" t="inlineStr">
        <is>
          <t>2026-10-13T22:29:18.449132Z</t>
        </is>
      </c>
      <c r="BI134" s="24" t="inlineStr">
        <is>
          <t>["same_event","same_team_same_day","same_league_same_day"]</t>
        </is>
      </c>
      <c r="BJ134" s="25" t="n"/>
      <c r="BK134" s="26" t="n">
        <v>-194</v>
      </c>
      <c r="BL134" s="27" t="n">
        <v>1.515464</v>
      </c>
      <c r="BM134" s="28" t="n">
        <v>0.659864</v>
      </c>
      <c r="BN134" s="28" t="n"/>
      <c r="BO134" s="28" t="n"/>
      <c r="BP134" s="25" t="n"/>
      <c r="BQ134" s="27" t="n">
        <v>1.515464</v>
      </c>
      <c r="BR134" s="28" t="n">
        <v>0.66</v>
      </c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False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n"/>
      <c r="DK134" s="24" t="n"/>
      <c r="DL134" s="24" t="n"/>
      <c r="DM134" s="24" t="n"/>
      <c r="DN134" s="24" t="n"/>
      <c r="DO134" s="24" t="n"/>
      <c r="DP134" s="24" t="n"/>
      <c r="DQ134" s="24" t="inlineStr">
        <is>
          <t>{"artifact_hash": "21a244e029d58075f561215535923b540359cdf781049d520ffd534a32f40de5", "away_team": "Overtake", "event_id": "157860", "event_start_utc": "2026-10-14T01:00:00Z", "features": {"away_elo": 1613.266675, "away_history_count": 25, "home_elo": 1535.44123, "home_history_count": 138}, "historical_source_observation_times_verified": false, "home_team": "Zomblers", "inference_inputs": {"book_state": {"games_played": {"bo3:1:23579": 25, "bo3:1:5745": 138}, "inactivity_half_life_days": null, "inactivity_max_pull": null, "k": 40.0, "last_match_utc": {"bo3:1:23579": "2026-10-13T01:00:00Z", "bo3:1:5745": "2026-10-13T01:10:00Z"}, "minimum_reliable_games": null, "platt_intercept": 0.06816528215678655, "platt_slope": 0.8746273142827576, "ratings": {"bo3:1:23579": 1613.266675, "bo3:1:5745": 1535.44123},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["bo3:1:5745", "bo3:1:23579"]}, "market_type": "moneyline", "model_version": "cs2-tiered-elo-v6", "observed_at_utc": "2026-10-13T22:29:07.911078+00:00", "probabilities": {"away": 0.567475, "home": 0.432525}, "replay_scope": "Exact serving book state, calibration, temperature, inactivity reference and thin-history adjustments; training provenance not certified.", "schema": "esports-elo-replay-v1", "snapshot_hash": "4a0e51f47ed201fe7059c73c3367d04e6d10a72489828cb4f0c7cfff546bbc64", "sport": "CS2"}</t>
        </is>
      </c>
    </row>
    <row r="135" ht="36" customHeight="1">
      <c r="A135" s="24" t="inlineStr">
        <is>
          <t>630e4054c4a542fc</t>
        </is>
      </c>
      <c r="B135" s="24" t="inlineStr">
        <is>
          <t>2026-10-13T22:38:44.831854Z</t>
        </is>
      </c>
      <c r="C135" s="24" t="inlineStr">
        <is>
          <t>2026-10-14T08:00:00Z</t>
        </is>
      </c>
      <c r="D135" s="24" t="inlineStr">
        <is>
          <t>157358</t>
        </is>
      </c>
      <c r="E135" s="24" t="inlineStr">
        <is>
          <t>CS2</t>
        </is>
      </c>
      <c r="F135" s="24" t="inlineStr">
        <is>
          <t>Lavked</t>
        </is>
      </c>
      <c r="G135" s="24" t="inlineStr">
        <is>
          <t>Gothic</t>
        </is>
      </c>
      <c r="H135" s="24" t="inlineStr">
        <is>
          <t>moneyline</t>
        </is>
      </c>
      <c r="I135" s="24" t="inlineStr">
        <is>
          <t>away</t>
        </is>
      </c>
      <c r="J135" s="25" t="n"/>
      <c r="K135" s="24" t="inlineStr">
        <is>
          <t>polymarket_us</t>
        </is>
      </c>
      <c r="L135" s="26" t="n">
        <v>-117</v>
      </c>
      <c r="M135" s="27" t="n">
        <v>1.854701</v>
      </c>
      <c r="N135" s="28" t="n">
        <v>0.539171</v>
      </c>
      <c r="O135" s="28" t="n">
        <v>0.525718</v>
      </c>
      <c r="P135" s="28" t="n"/>
      <c r="Q135" s="28" t="n">
        <v>-0.013453</v>
      </c>
      <c r="R135" s="26" t="n">
        <v>13</v>
      </c>
      <c r="S135" s="29" t="n">
        <v>1</v>
      </c>
      <c r="T135" s="24" t="inlineStr">
        <is>
          <t>cs2-tiered-elo-v6</t>
        </is>
      </c>
      <c r="U135" s="24" t="inlineStr">
        <is>
          <t>open</t>
        </is>
      </c>
      <c r="V135" s="24" t="n"/>
      <c r="W135" s="26" t="n"/>
      <c r="X135" s="26" t="n"/>
      <c r="Y135" s="25" t="n"/>
      <c r="Z135" s="26" t="n"/>
      <c r="AA135" s="28" t="n"/>
      <c r="AB135" s="28" t="n"/>
      <c r="AC135" s="30" t="n"/>
      <c r="AD135" s="24" t="n"/>
      <c r="AE135" s="31" t="inlineStr">
        <is>
          <t>Neutral Elo baseline; executable ask 0.5400 (market_slug=aec-cs2-goth-lav-2026-10-14).</t>
        </is>
      </c>
      <c r="AF135" s="31" t="inlineStr">
        <is>
          <t>Config-promoted esports baseline; gates enforced at log time.</t>
        </is>
      </c>
      <c r="AG135" s="24" t="inlineStr">
        <is>
          <t>not_applicable</t>
        </is>
      </c>
      <c r="AH135" s="24" t="n"/>
      <c r="AI135" s="31" t="n"/>
      <c r="AJ135" s="31" t="n"/>
      <c r="AK135" s="24" t="inlineStr">
        <is>
          <t>paper_call</t>
        </is>
      </c>
      <c r="AL135" s="26" t="n">
        <v>4</v>
      </c>
      <c r="AM135" s="24" t="inlineStr">
        <is>
          <t>RESEARCH_OBSERVATION</t>
        </is>
      </c>
      <c r="AN135" s="24" t="inlineStr">
        <is>
          <t>CALL</t>
        </is>
      </c>
      <c r="AO135" s="24" t="inlineStr">
        <is>
          <t>PAPER_CALL_LOW_EDGE</t>
        </is>
      </c>
      <c r="AP135" s="24" t="inlineStr">
        <is>
          <t>Lavked</t>
        </is>
      </c>
      <c r="AQ135" s="24" t="inlineStr">
        <is>
          <t>Lavked</t>
        </is>
      </c>
      <c r="AR135" s="24" t="inlineStr">
        <is>
          <t>Lavked</t>
        </is>
      </c>
      <c r="AS135" s="24" t="inlineStr">
        <is>
          <t>Gothic</t>
        </is>
      </c>
      <c r="AT135" s="24" t="inlineStr">
        <is>
          <t>Gothic</t>
        </is>
      </c>
      <c r="AU135" s="24" t="inlineStr">
        <is>
          <t>Gothic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21a244e029d58075f561215535923b540359cdf781049d520ffd534a32f40de5</t>
        </is>
      </c>
      <c r="BB135" s="24" t="inlineStr">
        <is>
          <t>neutral_elo</t>
        </is>
      </c>
      <c r="BC135" s="24" t="inlineStr">
        <is>
          <t>cs2-tiered-elo-v6</t>
        </is>
      </c>
      <c r="BD135" s="24" t="inlineStr">
        <is>
          <t>21a244e029d58075f561215535923b540359cdf781049d520ffd534a32f40de5</t>
        </is>
      </c>
      <c r="BE135" s="24" t="inlineStr">
        <is>
          <t>1</t>
        </is>
      </c>
      <c r="BF135" s="24" t="inlineStr">
        <is>
          <t>1</t>
        </is>
      </c>
      <c r="BG135" s="24" t="inlineStr">
        <is>
          <t>cs2-tiered-elo-v6</t>
        </is>
      </c>
      <c r="BH135" s="24" t="inlineStr">
        <is>
          <t>2026-10-13T22:30:28.144639Z</t>
        </is>
      </c>
      <c r="BI135" s="24" t="inlineStr">
        <is>
          <t>["same_event","same_team_same_day","same_league_same_day"]</t>
        </is>
      </c>
      <c r="BJ135" s="25" t="n"/>
      <c r="BK135" s="26" t="n">
        <v>-117</v>
      </c>
      <c r="BL135" s="27" t="n">
        <v>1.854701</v>
      </c>
      <c r="BM135" s="28" t="n">
        <v>0.539171</v>
      </c>
      <c r="BN135" s="28" t="n"/>
      <c r="BO135" s="28" t="n"/>
      <c r="BP135" s="25" t="n"/>
      <c r="BQ135" s="27" t="n"/>
      <c r="BR135" s="28" t="n"/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False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n"/>
      <c r="DK135" s="24" t="n"/>
      <c r="DL135" s="24" t="n"/>
      <c r="DM135" s="24" t="n"/>
      <c r="DN135" s="24" t="n"/>
      <c r="DO135" s="24" t="n"/>
      <c r="DP135" s="24" t="n"/>
      <c r="DQ135" s="24" t="inlineStr">
        <is>
          <t>{"artifact_hash": "21a244e029d58075f561215535923b540359cdf781049d520ffd534a32f40de5", "away_team": "Lavked", "event_id": "157358", "event_start_utc": "2026-10-14T08:00:00Z", "features": {"away_elo": 1562.723044, "away_history_count": 122, "home_elo": 1519.966768, "home_history_count": 7}, "historical_source_observation_times_verified": false, "home_team": "Gothic", "inference_inputs": {"book_state": {"games_played": {"bo3:1:23078": 122, "bo3:1:25275": 7}, "inactivity_half_life_days": null, "inactivity_max_pull": null, "k": 40.0, "last_match_utc": {"bo3:1:23078": "2026-10-11T17:10:00Z", "bo3:1:25275": "2026-10-11T11:00:00Z"}, "minimum_reliable_games": null, "platt_intercept": 0.06816528215678655, "platt_slope": 0.8746273142827576, "ratings": {"bo3:1:23078": 1562.723044, "bo3:1:25275": 1519.966768},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["bo3:1:25275", "bo3:1:23078"]}, "market_type": "moneyline", "model_version": "cs2-tiered-elo-v6", "observed_at_utc": "2026-10-13T22:29:07.911078+00:00", "probabilities": {"away": 0.525718, "home": 0.474282}, "replay_scope": "Exact serving book state, calibration, temperature, inactivity reference and thin-history adjustments; training provenance not certified.", "schema": "esports-elo-replay-v1", "snapshot_hash": "38470c58dfdf2ab5b6defadd5fd729bee2e1b52f764d45bf2f093eb2198df0fb", "sport": "CS2"}</t>
        </is>
      </c>
    </row>
    <row r="136" ht="36" customHeight="1">
      <c r="A136" s="24" t="inlineStr">
        <is>
          <t>e05fff0d29a04037</t>
        </is>
      </c>
      <c r="B136" s="24" t="inlineStr">
        <is>
          <t>2026-10-13T22:38:44.831854Z</t>
        </is>
      </c>
      <c r="C136" s="24" t="inlineStr">
        <is>
          <t>2026-10-14T08:00:00Z</t>
        </is>
      </c>
      <c r="D136" s="24" t="inlineStr">
        <is>
          <t>157861</t>
        </is>
      </c>
      <c r="E136" s="24" t="inlineStr">
        <is>
          <t>CS2</t>
        </is>
      </c>
      <c r="F136" s="24" t="inlineStr">
        <is>
          <t>6666</t>
        </is>
      </c>
      <c r="G136" s="24" t="inlineStr">
        <is>
          <t>GenOne</t>
        </is>
      </c>
      <c r="H136" s="24" t="inlineStr">
        <is>
          <t>moneyline</t>
        </is>
      </c>
      <c r="I136" s="24" t="inlineStr">
        <is>
          <t>home</t>
        </is>
      </c>
      <c r="J136" s="25" t="n"/>
      <c r="K136" s="24" t="inlineStr">
        <is>
          <t>polymarket_us</t>
        </is>
      </c>
      <c r="L136" s="26" t="n">
        <v>-163</v>
      </c>
      <c r="M136" s="27" t="n">
        <v>1.613497</v>
      </c>
      <c r="N136" s="28" t="n">
        <v>0.619772</v>
      </c>
      <c r="O136" s="28" t="n">
        <v>0.502013</v>
      </c>
      <c r="P136" s="28" t="n"/>
      <c r="Q136" s="28" t="n">
        <v>-0.117759</v>
      </c>
      <c r="R136" s="26" t="n">
        <v>0</v>
      </c>
      <c r="S136" s="29" t="n">
        <v>1</v>
      </c>
      <c r="T136" s="24" t="inlineStr">
        <is>
          <t>cs2-tiered-elo-v6</t>
        </is>
      </c>
      <c r="U136" s="24" t="inlineStr">
        <is>
          <t>open</t>
        </is>
      </c>
      <c r="V136" s="24" t="n"/>
      <c r="W136" s="26" t="n"/>
      <c r="X136" s="26" t="n"/>
      <c r="Y136" s="25" t="n"/>
      <c r="Z136" s="26" t="n"/>
      <c r="AA136" s="28" t="n"/>
      <c r="AB136" s="28" t="n"/>
      <c r="AC136" s="30" t="n"/>
      <c r="AD136" s="24" t="n"/>
      <c r="AE136" s="31" t="inlineStr">
        <is>
          <t>Neutral Elo baseline; executable ask 0.6200 (market_slug=aec-cs2-g1-6666-2026-10-14).</t>
        </is>
      </c>
      <c r="AF136" s="31" t="inlineStr">
        <is>
          <t>Config-promoted esports baseline; gates enforced at log time.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paper_call</t>
        </is>
      </c>
      <c r="AL136" s="26" t="n">
        <v>4</v>
      </c>
      <c r="AM136" s="24" t="inlineStr">
        <is>
          <t>RESEARCH_OBSERVATION</t>
        </is>
      </c>
      <c r="AN136" s="24" t="inlineStr">
        <is>
          <t>CALL</t>
        </is>
      </c>
      <c r="AO136" s="24" t="inlineStr">
        <is>
          <t>PAPER_CALL_LOW_EDGE</t>
        </is>
      </c>
      <c r="AP136" s="24" t="inlineStr">
        <is>
          <t>6666</t>
        </is>
      </c>
      <c r="AQ136" s="24" t="inlineStr">
        <is>
          <t>6666</t>
        </is>
      </c>
      <c r="AR136" s="24" t="inlineStr">
        <is>
          <t>6666</t>
        </is>
      </c>
      <c r="AS136" s="24" t="inlineStr">
        <is>
          <t>GenOne</t>
        </is>
      </c>
      <c r="AT136" s="24" t="inlineStr">
        <is>
          <t>GenOne</t>
        </is>
      </c>
      <c r="AU136" s="24" t="inlineStr">
        <is>
          <t>GenOne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21a244e029d58075f561215535923b540359cdf781049d520ffd534a32f40de5</t>
        </is>
      </c>
      <c r="BB136" s="24" t="inlineStr">
        <is>
          <t>neutral_elo</t>
        </is>
      </c>
      <c r="BC136" s="24" t="inlineStr">
        <is>
          <t>cs2-tiered-elo-v6</t>
        </is>
      </c>
      <c r="BD136" s="24" t="inlineStr">
        <is>
          <t>21a244e029d58075f561215535923b540359cdf781049d520ffd534a32f40de5</t>
        </is>
      </c>
      <c r="BE136" s="24" t="inlineStr">
        <is>
          <t>1</t>
        </is>
      </c>
      <c r="BF136" s="24" t="inlineStr">
        <is>
          <t>1</t>
        </is>
      </c>
      <c r="BG136" s="24" t="inlineStr">
        <is>
          <t>cs2-tiered-elo-v6</t>
        </is>
      </c>
      <c r="BH136" s="24" t="inlineStr">
        <is>
          <t>2026-10-13T22:30:48.854407Z</t>
        </is>
      </c>
      <c r="BI136" s="24" t="inlineStr">
        <is>
          <t>["same_event","same_team_same_day","same_league_same_day"]</t>
        </is>
      </c>
      <c r="BJ136" s="25" t="n"/>
      <c r="BK136" s="26" t="n">
        <v>-163</v>
      </c>
      <c r="BL136" s="27" t="n">
        <v>1.613497</v>
      </c>
      <c r="BM136" s="28" t="n">
        <v>0.619772</v>
      </c>
      <c r="BN136" s="28" t="n"/>
      <c r="BO136" s="28" t="n"/>
      <c r="BP136" s="25" t="n"/>
      <c r="BQ136" s="27" t="n"/>
      <c r="BR136" s="28" t="n"/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False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n"/>
      <c r="DK136" s="24" t="n"/>
      <c r="DL136" s="24" t="n"/>
      <c r="DM136" s="24" t="n"/>
      <c r="DN136" s="24" t="n"/>
      <c r="DO136" s="24" t="n"/>
      <c r="DP136" s="24" t="n"/>
      <c r="DQ136" s="24" t="inlineStr">
        <is>
          <t>{"artifact_hash": "21a244e029d58075f561215535923b540359cdf781049d520ffd534a32f40de5", "away_team": "6666", "event_id": "157861", "event_start_utc": "2026-10-14T08:00:00Z", "features": {"away_elo": 1681.928565, "away_history_count": 38, "home_elo": 1671.902053, "home_history_count": 472}, "historical_source_observation_times_verified": false, "home_team": "GenOne", "inference_inputs": {"book_state": {"games_played": {"bo3:1:1406": 472, "bo3:1:24507": 38}, "inactivity_half_life_days": null, "inactivity_max_pull": null, "k": 40.0, "last_match_utc": {"bo3:1:1406": "2026-10-12T15:50:00Z", "bo3:1:24507": "2026-10-13T17:00:00Z"}, "minimum_reliable_games": null, "platt_intercept": 0.06816528215678655, "platt_slope": 0.8746273142827576, "ratings": {"bo3:1:1406": 1671.902053, "bo3:1:24507": 1681.928565},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["bo3:1:1406", "bo3:1:24507"]}, "market_type": "moneyline", "model_version": "cs2-tiered-elo-v6", "observed_at_utc": "2026-10-13T22:29:07.911078+00:00", "probabilities": {"away": 0.497987, "home": 0.502013}, "replay_scope": "Exact serving book state, calibration, temperature, inactivity reference and thin-history adjustments; training provenance not certified.", "schema": "esports-elo-replay-v1", "snapshot_hash": "dd88004fc423e84f3129a72adfb257fe3e5acb95e801068956a3affa355b4ebd", "sport": "CS2"}</t>
        </is>
      </c>
    </row>
    <row r="137" ht="36" customHeight="1">
      <c r="A137" s="24" t="inlineStr">
        <is>
          <t>68c2a37c49de481e</t>
        </is>
      </c>
      <c r="B137" s="24" t="inlineStr">
        <is>
          <t>2026-10-13T22:38:44.831854Z</t>
        </is>
      </c>
      <c r="C137" s="24" t="inlineStr">
        <is>
          <t>2026-10-14T08:30:00Z</t>
        </is>
      </c>
      <c r="D137" s="24" t="inlineStr">
        <is>
          <t>154535</t>
        </is>
      </c>
      <c r="E137" s="24" t="inlineStr">
        <is>
          <t>CS2</t>
        </is>
      </c>
      <c r="F137" s="24" t="inlineStr">
        <is>
          <t>Aurora Gaming</t>
        </is>
      </c>
      <c r="G137" s="24" t="inlineStr">
        <is>
          <t>9z</t>
        </is>
      </c>
      <c r="H137" s="24" t="inlineStr">
        <is>
          <t>total</t>
        </is>
      </c>
      <c r="I137" s="24" t="inlineStr">
        <is>
          <t>under</t>
        </is>
      </c>
      <c r="J137" s="25" t="n">
        <v>2.5</v>
      </c>
      <c r="K137" s="24" t="inlineStr">
        <is>
          <t>polymarket_us</t>
        </is>
      </c>
      <c r="L137" s="26" t="n">
        <v>-163</v>
      </c>
      <c r="M137" s="27" t="n">
        <v>1.613497</v>
      </c>
      <c r="N137" s="28" t="n">
        <v>0.619772</v>
      </c>
      <c r="O137" s="28" t="n">
        <v>0.548671</v>
      </c>
      <c r="P137" s="28" t="n"/>
      <c r="Q137" s="28" t="n">
        <v>-0.071101</v>
      </c>
      <c r="R137" s="26" t="n">
        <v>0</v>
      </c>
      <c r="S137" s="29" t="n">
        <v>1</v>
      </c>
      <c r="T137" s="24" t="inlineStr">
        <is>
          <t>cs2-total-tiered-elo-v6</t>
        </is>
      </c>
      <c r="U137" s="24" t="inlineStr">
        <is>
          <t>open</t>
        </is>
      </c>
      <c r="V137" s="24" t="n"/>
      <c r="W137" s="26" t="n"/>
      <c r="X137" s="26" t="n"/>
      <c r="Y137" s="25" t="n"/>
      <c r="Z137" s="26" t="n"/>
      <c r="AA137" s="28" t="n"/>
      <c r="AB137" s="28" t="n"/>
      <c r="AC137" s="30" t="n"/>
      <c r="AD137" s="24" t="n"/>
      <c r="AE137" s="31" t="inlineStr">
        <is>
          <t>Neutral Elo baseline; executable ask 0.6200 (market_slug=tsc-cs2-9z-aur-2026-10-14-tot-2pt5).</t>
        </is>
      </c>
      <c r="AF137" s="31" t="inlineStr">
        <is>
          <t>Config-promoted esports baseline; gates enforced at log time.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paper_call</t>
        </is>
      </c>
      <c r="AL137" s="26" t="n">
        <v>4</v>
      </c>
      <c r="AM137" s="24" t="inlineStr">
        <is>
          <t>RESEARCH_OBSERVATION</t>
        </is>
      </c>
      <c r="AN137" s="24" t="inlineStr">
        <is>
          <t>CALL</t>
        </is>
      </c>
      <c r="AO137" s="24" t="inlineStr">
        <is>
          <t>PAPER_CALL_LOW_EDGE</t>
        </is>
      </c>
      <c r="AP137" s="24" t="inlineStr">
        <is>
          <t>Aurora Gaming</t>
        </is>
      </c>
      <c r="AQ137" s="24" t="inlineStr">
        <is>
          <t>Aurora Gaming</t>
        </is>
      </c>
      <c r="AR137" s="24" t="inlineStr">
        <is>
          <t>Aurora Gaming</t>
        </is>
      </c>
      <c r="AS137" s="24" t="inlineStr">
        <is>
          <t>9z</t>
        </is>
      </c>
      <c r="AT137" s="24" t="inlineStr">
        <is>
          <t>9z</t>
        </is>
      </c>
      <c r="AU137" s="24" t="inlineStr">
        <is>
          <t>9z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21a244e029d58075f561215535923b540359cdf781049d520ffd534a32f40de5</t>
        </is>
      </c>
      <c r="BB137" s="24" t="inlineStr">
        <is>
          <t>neutral_elo</t>
        </is>
      </c>
      <c r="BC137" s="24" t="inlineStr">
        <is>
          <t>cs2-total-tiered-elo-v6</t>
        </is>
      </c>
      <c r="BD137" s="24" t="inlineStr">
        <is>
          <t>21a244e029d58075f561215535923b540359cdf781049d520ffd534a32f40de5</t>
        </is>
      </c>
      <c r="BE137" s="24" t="inlineStr">
        <is>
          <t>1</t>
        </is>
      </c>
      <c r="BF137" s="24" t="inlineStr">
        <is>
          <t>1</t>
        </is>
      </c>
      <c r="BG137" s="24" t="inlineStr">
        <is>
          <t>cs2-total-tiered-elo-v6</t>
        </is>
      </c>
      <c r="BH137" s="24" t="inlineStr">
        <is>
          <t>2026-10-13T22:31:19.935072Z</t>
        </is>
      </c>
      <c r="BI137" s="24" t="inlineStr">
        <is>
          <t>["same_event","same_team_same_day","same_league_same_day"]</t>
        </is>
      </c>
      <c r="BJ137" s="25" t="n">
        <v>2.5</v>
      </c>
      <c r="BK137" s="26" t="n">
        <v>-163</v>
      </c>
      <c r="BL137" s="27" t="n">
        <v>1.613497</v>
      </c>
      <c r="BM137" s="28" t="n">
        <v>0.619772</v>
      </c>
      <c r="BN137" s="28" t="n"/>
      <c r="BO137" s="28" t="n"/>
      <c r="BP137" s="25" t="n"/>
      <c r="BQ137" s="27" t="n"/>
      <c r="BR137" s="28" t="n"/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False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n"/>
      <c r="DK137" s="24" t="n"/>
      <c r="DL137" s="24" t="n"/>
      <c r="DM137" s="24" t="n"/>
      <c r="DN137" s="24" t="n"/>
      <c r="DO137" s="24" t="n"/>
      <c r="DP137" s="24" t="n"/>
      <c r="DQ137" s="24" t="n"/>
    </row>
    <row r="138" ht="36" customHeight="1">
      <c r="A138" s="24" t="inlineStr">
        <is>
          <t>cda05585d5674af4</t>
        </is>
      </c>
      <c r="B138" s="24" t="inlineStr">
        <is>
          <t>2026-10-13T22:38:44.831854Z</t>
        </is>
      </c>
      <c r="C138" s="24" t="inlineStr">
        <is>
          <t>2026-10-14T10:00:00Z</t>
        </is>
      </c>
      <c r="D138" s="24" t="inlineStr">
        <is>
          <t>154600</t>
        </is>
      </c>
      <c r="E138" s="24" t="inlineStr">
        <is>
          <t>CS2</t>
        </is>
      </c>
      <c r="F138" s="24" t="inlineStr">
        <is>
          <t>fnatic</t>
        </is>
      </c>
      <c r="G138" s="24" t="inlineStr">
        <is>
          <t>HOTU</t>
        </is>
      </c>
      <c r="H138" s="24" t="inlineStr">
        <is>
          <t>total</t>
        </is>
      </c>
      <c r="I138" s="24" t="inlineStr">
        <is>
          <t>under</t>
        </is>
      </c>
      <c r="J138" s="25" t="n">
        <v>2.5</v>
      </c>
      <c r="K138" s="24" t="inlineStr">
        <is>
          <t>polymarket_us</t>
        </is>
      </c>
      <c r="L138" s="26" t="n">
        <v>-127</v>
      </c>
      <c r="M138" s="27" t="n">
        <v>1.787402</v>
      </c>
      <c r="N138" s="28" t="n">
        <v>0.5594710000000001</v>
      </c>
      <c r="O138" s="28" t="n">
        <v>0.500099</v>
      </c>
      <c r="P138" s="28" t="n"/>
      <c r="Q138" s="28" t="n">
        <v>-0.059372</v>
      </c>
      <c r="R138" s="26" t="n">
        <v>0</v>
      </c>
      <c r="S138" s="29" t="n">
        <v>1</v>
      </c>
      <c r="T138" s="24" t="inlineStr">
        <is>
          <t>cs2-total-tiered-elo-v6</t>
        </is>
      </c>
      <c r="U138" s="24" t="inlineStr">
        <is>
          <t>open</t>
        </is>
      </c>
      <c r="V138" s="24" t="n"/>
      <c r="W138" s="26" t="n"/>
      <c r="X138" s="26" t="n"/>
      <c r="Y138" s="25" t="n"/>
      <c r="Z138" s="26" t="n"/>
      <c r="AA138" s="28" t="n"/>
      <c r="AB138" s="28" t="n"/>
      <c r="AC138" s="30" t="n"/>
      <c r="AD138" s="24" t="n"/>
      <c r="AE138" s="31" t="inlineStr">
        <is>
          <t>Neutral Elo baseline; executable ask 0.5600 (market_slug=tsc-cs2-hotu-fnc-2026-10-14-tot-2pt5).</t>
        </is>
      </c>
      <c r="AF138" s="31" t="inlineStr">
        <is>
          <t>Config-promoted esports baseline; gates enforced at log time.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paper_call</t>
        </is>
      </c>
      <c r="AL138" s="26" t="n">
        <v>4</v>
      </c>
      <c r="AM138" s="24" t="inlineStr">
        <is>
          <t>RESEARCH_OBSERVATION</t>
        </is>
      </c>
      <c r="AN138" s="24" t="inlineStr">
        <is>
          <t>CALL</t>
        </is>
      </c>
      <c r="AO138" s="24" t="inlineStr">
        <is>
          <t>PAPER_CALL_LOW_EDGE</t>
        </is>
      </c>
      <c r="AP138" s="24" t="inlineStr">
        <is>
          <t>fnatic</t>
        </is>
      </c>
      <c r="AQ138" s="24" t="inlineStr">
        <is>
          <t>fnatic</t>
        </is>
      </c>
      <c r="AR138" s="24" t="inlineStr">
        <is>
          <t>fnatic</t>
        </is>
      </c>
      <c r="AS138" s="24" t="inlineStr">
        <is>
          <t>HOTU</t>
        </is>
      </c>
      <c r="AT138" s="24" t="inlineStr">
        <is>
          <t>HOTU</t>
        </is>
      </c>
      <c r="AU138" s="24" t="inlineStr">
        <is>
          <t>HOTU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21a244e029d58075f561215535923b540359cdf781049d520ffd534a32f40de5</t>
        </is>
      </c>
      <c r="BB138" s="24" t="inlineStr">
        <is>
          <t>neutral_elo</t>
        </is>
      </c>
      <c r="BC138" s="24" t="inlineStr">
        <is>
          <t>cs2-total-tiered-elo-v6</t>
        </is>
      </c>
      <c r="BD138" s="24" t="inlineStr">
        <is>
          <t>21a244e029d58075f561215535923b540359cdf781049d520ffd534a32f40de5</t>
        </is>
      </c>
      <c r="BE138" s="24" t="inlineStr">
        <is>
          <t>1</t>
        </is>
      </c>
      <c r="BF138" s="24" t="inlineStr">
        <is>
          <t>1</t>
        </is>
      </c>
      <c r="BG138" s="24" t="inlineStr">
        <is>
          <t>cs2-total-tiered-elo-v6</t>
        </is>
      </c>
      <c r="BH138" s="24" t="inlineStr">
        <is>
          <t>2026-10-13T22:32:22.495588Z</t>
        </is>
      </c>
      <c r="BI138" s="24" t="inlineStr">
        <is>
          <t>["same_event","same_team_same_day","same_league_same_day"]</t>
        </is>
      </c>
      <c r="BJ138" s="25" t="n">
        <v>2.5</v>
      </c>
      <c r="BK138" s="26" t="n">
        <v>-127</v>
      </c>
      <c r="BL138" s="27" t="n">
        <v>1.787402</v>
      </c>
      <c r="BM138" s="28" t="n">
        <v>0.5594710000000001</v>
      </c>
      <c r="BN138" s="28" t="n"/>
      <c r="BO138" s="28" t="n"/>
      <c r="BP138" s="25" t="n"/>
      <c r="BQ138" s="27" t="n"/>
      <c r="BR138" s="28" t="n"/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False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n"/>
      <c r="DK138" s="24" t="n"/>
      <c r="DL138" s="24" t="n"/>
      <c r="DM138" s="24" t="n"/>
      <c r="DN138" s="24" t="n"/>
      <c r="DO138" s="24" t="n"/>
      <c r="DP138" s="24" t="n"/>
      <c r="DQ138" s="24" t="n"/>
    </row>
    <row r="139" ht="36" customHeight="1">
      <c r="A139" s="24" t="inlineStr">
        <is>
          <t>1f6370fee5d94736</t>
        </is>
      </c>
      <c r="B139" s="24" t="inlineStr">
        <is>
          <t>2026-10-13T22:38:44.831854Z</t>
        </is>
      </c>
      <c r="C139" s="24" t="inlineStr">
        <is>
          <t>2026-10-14T10:00:00Z</t>
        </is>
      </c>
      <c r="D139" s="24" t="inlineStr">
        <is>
          <t>154600</t>
        </is>
      </c>
      <c r="E139" s="24" t="inlineStr">
        <is>
          <t>CS2</t>
        </is>
      </c>
      <c r="F139" s="24" t="inlineStr">
        <is>
          <t>fnatic</t>
        </is>
      </c>
      <c r="G139" s="24" t="inlineStr">
        <is>
          <t>HOTU</t>
        </is>
      </c>
      <c r="H139" s="24" t="inlineStr">
        <is>
          <t>moneyline</t>
        </is>
      </c>
      <c r="I139" s="24" t="inlineStr">
        <is>
          <t>away</t>
        </is>
      </c>
      <c r="J139" s="25" t="n"/>
      <c r="K139" s="24" t="inlineStr">
        <is>
          <t>polymarket_us</t>
        </is>
      </c>
      <c r="L139" s="26" t="n">
        <v>-117</v>
      </c>
      <c r="M139" s="27" t="n">
        <v>1.854701</v>
      </c>
      <c r="N139" s="28" t="n">
        <v>0.539171</v>
      </c>
      <c r="O139" s="28" t="n">
        <v>0.510527</v>
      </c>
      <c r="P139" s="28" t="n"/>
      <c r="Q139" s="28" t="n">
        <v>-0.028644</v>
      </c>
      <c r="R139" s="26" t="n">
        <v>6</v>
      </c>
      <c r="S139" s="29" t="n">
        <v>1</v>
      </c>
      <c r="T139" s="24" t="inlineStr">
        <is>
          <t>cs2-tiered-elo-v6</t>
        </is>
      </c>
      <c r="U139" s="24" t="inlineStr">
        <is>
          <t>open</t>
        </is>
      </c>
      <c r="V139" s="24" t="n"/>
      <c r="W139" s="26" t="n"/>
      <c r="X139" s="26" t="n"/>
      <c r="Y139" s="25" t="n"/>
      <c r="Z139" s="26" t="n"/>
      <c r="AA139" s="28" t="n"/>
      <c r="AB139" s="28" t="n"/>
      <c r="AC139" s="30" t="n"/>
      <c r="AD139" s="24" t="n"/>
      <c r="AE139" s="31" t="inlineStr">
        <is>
          <t>Neutral Elo baseline; executable ask 0.5400 (market_slug=aec-cs2-hotu-fnc-2026-10-14).</t>
        </is>
      </c>
      <c r="AF139" s="31" t="inlineStr">
        <is>
          <t>Config-promoted esports baseline; gates enforced at log time.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paper_call</t>
        </is>
      </c>
      <c r="AL139" s="26" t="n">
        <v>4</v>
      </c>
      <c r="AM139" s="24" t="inlineStr">
        <is>
          <t>RESEARCH_OBSERVATION</t>
        </is>
      </c>
      <c r="AN139" s="24" t="inlineStr">
        <is>
          <t>CALL</t>
        </is>
      </c>
      <c r="AO139" s="24" t="inlineStr">
        <is>
          <t>PAPER_CALL_LOW_EDGE</t>
        </is>
      </c>
      <c r="AP139" s="24" t="inlineStr">
        <is>
          <t>fnatic</t>
        </is>
      </c>
      <c r="AQ139" s="24" t="inlineStr">
        <is>
          <t>fnatic</t>
        </is>
      </c>
      <c r="AR139" s="24" t="inlineStr">
        <is>
          <t>fnatic</t>
        </is>
      </c>
      <c r="AS139" s="24" t="inlineStr">
        <is>
          <t>HOTU</t>
        </is>
      </c>
      <c r="AT139" s="24" t="inlineStr">
        <is>
          <t>HOTU</t>
        </is>
      </c>
      <c r="AU139" s="24" t="inlineStr">
        <is>
          <t>HOTU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21a244e029d58075f561215535923b540359cdf781049d520ffd534a32f40de5</t>
        </is>
      </c>
      <c r="BB139" s="24" t="inlineStr">
        <is>
          <t>neutral_elo</t>
        </is>
      </c>
      <c r="BC139" s="24" t="inlineStr">
        <is>
          <t>cs2-tiered-elo-v6</t>
        </is>
      </c>
      <c r="BD139" s="24" t="inlineStr">
        <is>
          <t>21a244e029d58075f561215535923b540359cdf781049d520ffd534a32f40de5</t>
        </is>
      </c>
      <c r="BE139" s="24" t="inlineStr">
        <is>
          <t>1</t>
        </is>
      </c>
      <c r="BF139" s="24" t="inlineStr">
        <is>
          <t>1</t>
        </is>
      </c>
      <c r="BG139" s="24" t="inlineStr">
        <is>
          <t>cs2-tiered-elo-v6</t>
        </is>
      </c>
      <c r="BH139" s="24" t="inlineStr">
        <is>
          <t>2026-10-13T22:32:22.553820Z</t>
        </is>
      </c>
      <c r="BI139" s="24" t="inlineStr">
        <is>
          <t>["same_event","same_team_same_day","same_league_same_day"]</t>
        </is>
      </c>
      <c r="BJ139" s="25" t="n"/>
      <c r="BK139" s="26" t="n">
        <v>-117</v>
      </c>
      <c r="BL139" s="27" t="n">
        <v>1.854701</v>
      </c>
      <c r="BM139" s="28" t="n">
        <v>0.539171</v>
      </c>
      <c r="BN139" s="28" t="n"/>
      <c r="BO139" s="28" t="n"/>
      <c r="BP139" s="25" t="n"/>
      <c r="BQ139" s="27" t="n"/>
      <c r="BR139" s="28" t="n"/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False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n"/>
      <c r="DK139" s="24" t="n"/>
      <c r="DL139" s="24" t="n"/>
      <c r="DM139" s="24" t="n"/>
      <c r="DN139" s="24" t="n"/>
      <c r="DO139" s="24" t="n"/>
      <c r="DP139" s="24" t="n"/>
      <c r="DQ139" s="24" t="inlineStr">
        <is>
          <t>{"artifact_hash": "21a244e029d58075f561215535923b540359cdf781049d520ffd534a32f40de5", "away_team": "fnatic", "event_id": "154600", "event_start_utc": "2026-10-14T10:00:00Z", "features": {"away_elo": 1927.166299, "away_history_count": 322, "home_elo": 1902.991706, "home_history_count": 267}, "historical_source_observation_times_verified": false, "home_team": "HOTU", "inference_inputs": {"book_state": {"games_played": {"bo3:1:2720": 267, "bo3:1:786": 322}, "inactivity_half_life_days": null, "inactivity_max_pull": null, "k": 40.0, "last_match_utc": {"bo3:1:2720": "2026-10-10T10:00:00Z", "bo3:1:786": "2026-10-10T10:00:00Z"}, "minimum_reliable_games": null, "platt_intercept": 0.06816528215678655, "platt_slope": 0.8746273142827576, "ratings": {"bo3:1:2720": 1902.991706, "bo3:1:786": 1927.166299},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["bo3:1:2720", "bo3:1:786"]}, "market_type": "moneyline", "model_version": "cs2-tiered-elo-v6", "observed_at_utc": "2026-10-13T22:29:07.911078+00:00", "probabilities": {"away": 0.510527, "home": 0.489473}, "replay_scope": "Exact serving book state, calibration, temperature, inactivity reference and thin-history adjustments; training provenance not certified.", "schema": "esports-elo-replay-v1", "snapshot_hash": "55b27ab49774f2cfed2350503a772c977dd0496ccbb56a77d48d970aa3f564a8", "sport": "CS2"}</t>
        </is>
      </c>
    </row>
    <row r="140" ht="36" customHeight="1">
      <c r="A140" s="24" t="inlineStr">
        <is>
          <t>a648b59098ab492c</t>
        </is>
      </c>
      <c r="B140" s="24" t="inlineStr">
        <is>
          <t>2026-10-13T22:38:44.831854Z</t>
        </is>
      </c>
      <c r="C140" s="24" t="inlineStr">
        <is>
          <t>2026-10-14T10:30:00Z</t>
        </is>
      </c>
      <c r="D140" s="24" t="inlineStr">
        <is>
          <t>156609</t>
        </is>
      </c>
      <c r="E140" s="24" t="inlineStr">
        <is>
          <t>CS2</t>
        </is>
      </c>
      <c r="F140" s="24" t="inlineStr">
        <is>
          <t>Bread Eaters Esports</t>
        </is>
      </c>
      <c r="G140" s="24" t="inlineStr">
        <is>
          <t>EAC Extra</t>
        </is>
      </c>
      <c r="H140" s="24" t="inlineStr">
        <is>
          <t>moneyline</t>
        </is>
      </c>
      <c r="I140" s="24" t="inlineStr">
        <is>
          <t>home</t>
        </is>
      </c>
      <c r="J140" s="25" t="n"/>
      <c r="K140" s="24" t="inlineStr">
        <is>
          <t>polymarket_us</t>
        </is>
      </c>
      <c r="L140" s="26" t="n">
        <v>-170</v>
      </c>
      <c r="M140" s="27" t="n">
        <v>1.588235</v>
      </c>
      <c r="N140" s="28" t="n">
        <v>0.62963</v>
      </c>
      <c r="O140" s="28" t="n">
        <v>0.53684</v>
      </c>
      <c r="P140" s="28" t="n"/>
      <c r="Q140" s="28" t="n">
        <v>-0.09279</v>
      </c>
      <c r="R140" s="26" t="n">
        <v>0</v>
      </c>
      <c r="S140" s="29" t="n">
        <v>1</v>
      </c>
      <c r="T140" s="24" t="inlineStr">
        <is>
          <t>cs2-tiered-elo-v6</t>
        </is>
      </c>
      <c r="U140" s="24" t="inlineStr">
        <is>
          <t>open</t>
        </is>
      </c>
      <c r="V140" s="24" t="n"/>
      <c r="W140" s="26" t="n"/>
      <c r="X140" s="26" t="n"/>
      <c r="Y140" s="25" t="n"/>
      <c r="Z140" s="26" t="n"/>
      <c r="AA140" s="28" t="n"/>
      <c r="AB140" s="28" t="n"/>
      <c r="AC140" s="30" t="n"/>
      <c r="AD140" s="24" t="n"/>
      <c r="AE140" s="31" t="inlineStr">
        <is>
          <t>Neutral Elo baseline; executable ask 0.6300 (market_slug=aec-cs2-eace-bee-2026-10-14).</t>
        </is>
      </c>
      <c r="AF140" s="31" t="inlineStr">
        <is>
          <t>Config-promoted esports baseline; gates enforced at log time.</t>
        </is>
      </c>
      <c r="AG140" s="24" t="inlineStr">
        <is>
          <t>not_applicable</t>
        </is>
      </c>
      <c r="AH140" s="24" t="n"/>
      <c r="AI140" s="31" t="n"/>
      <c r="AJ140" s="31" t="n"/>
      <c r="AK140" s="24" t="inlineStr">
        <is>
          <t>paper_call</t>
        </is>
      </c>
      <c r="AL140" s="26" t="n">
        <v>4</v>
      </c>
      <c r="AM140" s="24" t="inlineStr">
        <is>
          <t>RESEARCH_OBSERVATION</t>
        </is>
      </c>
      <c r="AN140" s="24" t="inlineStr">
        <is>
          <t>CALL</t>
        </is>
      </c>
      <c r="AO140" s="24" t="inlineStr">
        <is>
          <t>PAPER_CALL_LOW_EDGE</t>
        </is>
      </c>
      <c r="AP140" s="24" t="inlineStr">
        <is>
          <t>Bread Eaters Esports</t>
        </is>
      </c>
      <c r="AQ140" s="24" t="inlineStr">
        <is>
          <t>Bread Eaters Esports</t>
        </is>
      </c>
      <c r="AR140" s="24" t="inlineStr">
        <is>
          <t>Bread Eaters Esports</t>
        </is>
      </c>
      <c r="AS140" s="24" t="inlineStr">
        <is>
          <t>EAC Extra</t>
        </is>
      </c>
      <c r="AT140" s="24" t="inlineStr">
        <is>
          <t>EAC Extra</t>
        </is>
      </c>
      <c r="AU140" s="24" t="inlineStr">
        <is>
          <t>EAC Extra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21a244e029d58075f561215535923b540359cdf781049d520ffd534a32f40de5</t>
        </is>
      </c>
      <c r="BB140" s="24" t="inlineStr">
        <is>
          <t>neutral_elo</t>
        </is>
      </c>
      <c r="BC140" s="24" t="inlineStr">
        <is>
          <t>cs2-tiered-elo-v6</t>
        </is>
      </c>
      <c r="BD140" s="24" t="inlineStr">
        <is>
          <t>21a244e029d58075f561215535923b540359cdf781049d520ffd534a32f40de5</t>
        </is>
      </c>
      <c r="BE140" s="24" t="inlineStr">
        <is>
          <t>1</t>
        </is>
      </c>
      <c r="BF140" s="24" t="inlineStr">
        <is>
          <t>1</t>
        </is>
      </c>
      <c r="BG140" s="24" t="inlineStr">
        <is>
          <t>cs2-tiered-elo-v6</t>
        </is>
      </c>
      <c r="BH140" s="24" t="inlineStr">
        <is>
          <t>2026-10-13T22:33:33.948006Z</t>
        </is>
      </c>
      <c r="BI140" s="24" t="inlineStr">
        <is>
          <t>["same_event","same_team_same_day","same_league_same_day"]</t>
        </is>
      </c>
      <c r="BJ140" s="25" t="n"/>
      <c r="BK140" s="26" t="n">
        <v>-170</v>
      </c>
      <c r="BL140" s="27" t="n">
        <v>1.588235</v>
      </c>
      <c r="BM140" s="28" t="n">
        <v>0.62963</v>
      </c>
      <c r="BN140" s="28" t="n"/>
      <c r="BO140" s="28" t="n"/>
      <c r="BP140" s="25" t="n"/>
      <c r="BQ140" s="27" t="n"/>
      <c r="BR140" s="28" t="n"/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False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n"/>
      <c r="DK140" s="24" t="n"/>
      <c r="DL140" s="24" t="n"/>
      <c r="DM140" s="24" t="n"/>
      <c r="DN140" s="24" t="n"/>
      <c r="DO140" s="24" t="n"/>
      <c r="DP140" s="24" t="n"/>
      <c r="DQ140" s="24" t="inlineStr">
        <is>
          <t>{"artifact_hash": "21a244e029d58075f561215535923b540359cdf781049d520ffd534a32f40de5", "away_team": "Bread Eaters Esports", "event_id": "156609", "event_start_utc": "2026-10-14T10:30:00Z", "features": {"away_elo": 1498.749903, "away_history_count": 4, "home_elo": 1535.88104, "home_history_count": 34}, "historical_source_observation_times_verified": false, "home_team": "EAC Extra", "inference_inputs": {"book_state": {"games_played": {"bo3:1:25008": 34, "bo3:1:25395": 4}, "inactivity_half_life_days": null, "inactivity_max_pull": null, "k": 40.0, "last_match_utc": {"bo3:1:25008": "2026-10-10T10:30:00Z", "bo3:1:25395": "2026-10-12T08:25:00Z"}, "minimum_reliable_games": null, "platt_intercept": 0.06816528215678655, "platt_slope": 0.8746273142827576, "ratings": {"bo3:1:25008": 1535.88104, "bo3:1:25395": 1498.749903},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["bo3:1:25008", "bo3:1:25395"]}, "market_type": "moneyline", "model_version": "cs2-tiered-elo-v6", "observed_at_utc": "2026-10-13T22:29:07.911078+00:00", "probabilities": {"away": 0.46316, "home": 0.53684}, "replay_scope": "Exact serving book state, calibration, temperature, inactivity reference and thin-history adjustments; training provenance not certified.", "schema": "esports-elo-replay-v1", "snapshot_hash": "56dd270c1fd3df54f8bd37261678a756b5935a486d91d2a42dbe362cef93c2be", "sport": "CS2"}</t>
        </is>
      </c>
    </row>
    <row r="141" ht="36" customHeight="1">
      <c r="A141" s="24" t="inlineStr">
        <is>
          <t>c109a0420fe84e1b</t>
        </is>
      </c>
      <c r="B141" s="24" t="inlineStr">
        <is>
          <t>2026-10-13T22:38:44.831854Z</t>
        </is>
      </c>
      <c r="C141" s="24" t="inlineStr">
        <is>
          <t>2026-10-14T11:00:00Z</t>
        </is>
      </c>
      <c r="D141" s="24" t="inlineStr">
        <is>
          <t>157862</t>
        </is>
      </c>
      <c r="E141" s="24" t="inlineStr">
        <is>
          <t>CS2</t>
        </is>
      </c>
      <c r="F141" s="24" t="inlineStr">
        <is>
          <t>BakS eSports</t>
        </is>
      </c>
      <c r="G141" s="24" t="inlineStr">
        <is>
          <t>Bushido Wildcats</t>
        </is>
      </c>
      <c r="H141" s="24" t="inlineStr">
        <is>
          <t>moneyline</t>
        </is>
      </c>
      <c r="I141" s="24" t="inlineStr">
        <is>
          <t>away</t>
        </is>
      </c>
      <c r="J141" s="25" t="n"/>
      <c r="K141" s="24" t="inlineStr">
        <is>
          <t>polymarket_us</t>
        </is>
      </c>
      <c r="L141" s="26" t="n">
        <v>-144</v>
      </c>
      <c r="M141" s="27" t="n">
        <v>1.694444</v>
      </c>
      <c r="N141" s="28" t="n">
        <v>0.590164</v>
      </c>
      <c r="O141" s="28" t="n">
        <v>0.549037</v>
      </c>
      <c r="P141" s="28" t="n"/>
      <c r="Q141" s="28" t="n">
        <v>-0.041127</v>
      </c>
      <c r="R141" s="26" t="n">
        <v>0</v>
      </c>
      <c r="S141" s="29" t="n">
        <v>1</v>
      </c>
      <c r="T141" s="24" t="inlineStr">
        <is>
          <t>cs2-tiered-elo-v6</t>
        </is>
      </c>
      <c r="U141" s="24" t="inlineStr">
        <is>
          <t>open</t>
        </is>
      </c>
      <c r="V141" s="24" t="n"/>
      <c r="W141" s="26" t="n"/>
      <c r="X141" s="26" t="n"/>
      <c r="Y141" s="25" t="n"/>
      <c r="Z141" s="26" t="n"/>
      <c r="AA141" s="28" t="n"/>
      <c r="AB141" s="28" t="n"/>
      <c r="AC141" s="30" t="n"/>
      <c r="AD141" s="24" t="n"/>
      <c r="AE141" s="31" t="inlineStr">
        <is>
          <t>Neutral Elo baseline; executable ask 0.5900 (market_slug=aec-cs2-bw-baks-2026-10-14).</t>
        </is>
      </c>
      <c r="AF141" s="31" t="inlineStr">
        <is>
          <t>Config-promoted esports baseline; gates enforced at log time.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paper_call</t>
        </is>
      </c>
      <c r="AL141" s="26" t="n">
        <v>4</v>
      </c>
      <c r="AM141" s="24" t="inlineStr">
        <is>
          <t>RESEARCH_OBSERVATION</t>
        </is>
      </c>
      <c r="AN141" s="24" t="inlineStr">
        <is>
          <t>CALL</t>
        </is>
      </c>
      <c r="AO141" s="24" t="inlineStr">
        <is>
          <t>PAPER_CALL_LOW_EDGE</t>
        </is>
      </c>
      <c r="AP141" s="24" t="inlineStr">
        <is>
          <t>BakS eSports</t>
        </is>
      </c>
      <c r="AQ141" s="24" t="inlineStr">
        <is>
          <t>BakS eSports</t>
        </is>
      </c>
      <c r="AR141" s="24" t="inlineStr">
        <is>
          <t>BakS eSports</t>
        </is>
      </c>
      <c r="AS141" s="24" t="inlineStr">
        <is>
          <t>Bushido Wildcats</t>
        </is>
      </c>
      <c r="AT141" s="24" t="inlineStr">
        <is>
          <t>Bushido Wildcats</t>
        </is>
      </c>
      <c r="AU141" s="24" t="inlineStr">
        <is>
          <t>Bushido Wildcats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21a244e029d58075f561215535923b540359cdf781049d520ffd534a32f40de5</t>
        </is>
      </c>
      <c r="BB141" s="24" t="inlineStr">
        <is>
          <t>neutral_elo</t>
        </is>
      </c>
      <c r="BC141" s="24" t="inlineStr">
        <is>
          <t>cs2-tiered-elo-v6</t>
        </is>
      </c>
      <c r="BD141" s="24" t="inlineStr">
        <is>
          <t>21a244e029d58075f561215535923b540359cdf781049d520ffd534a32f40de5</t>
        </is>
      </c>
      <c r="BE141" s="24" t="inlineStr">
        <is>
          <t>1</t>
        </is>
      </c>
      <c r="BF141" s="24" t="inlineStr">
        <is>
          <t>1</t>
        </is>
      </c>
      <c r="BG141" s="24" t="inlineStr">
        <is>
          <t>cs2-tiered-elo-v6</t>
        </is>
      </c>
      <c r="BH141" s="24" t="inlineStr">
        <is>
          <t>2026-10-13T22:34:46.609615Z</t>
        </is>
      </c>
      <c r="BI141" s="24" t="inlineStr">
        <is>
          <t>["same_event","same_team_same_day","same_league_same_day"]</t>
        </is>
      </c>
      <c r="BJ141" s="25" t="n"/>
      <c r="BK141" s="26" t="n">
        <v>-144</v>
      </c>
      <c r="BL141" s="27" t="n">
        <v>1.694444</v>
      </c>
      <c r="BM141" s="28" t="n">
        <v>0.590164</v>
      </c>
      <c r="BN141" s="28" t="n"/>
      <c r="BO141" s="28" t="n"/>
      <c r="BP141" s="25" t="n"/>
      <c r="BQ141" s="27" t="n"/>
      <c r="BR141" s="28" t="n"/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False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n"/>
      <c r="DK141" s="24" t="n"/>
      <c r="DL141" s="24" t="n"/>
      <c r="DM141" s="24" t="n"/>
      <c r="DN141" s="24" t="n"/>
      <c r="DO141" s="24" t="n"/>
      <c r="DP141" s="24" t="n"/>
      <c r="DQ141" s="24" t="inlineStr">
        <is>
          <t>{"artifact_hash": "21a244e029d58075f561215535923b540359cdf781049d520ffd534a32f40de5", "away_team": "BakS eSports", "event_id": "157862", "event_start_utc": "2026-10-14T11:00:00Z", "features": {"away_elo": 1652.176773, "away_history_count": 166, "home_elo": 1592.079131, "home_history_count": 219}, "historical_source_observation_times_verified": false, "home_team": "Bushido Wildcats", "inference_inputs": {"book_state": {"games_played": {"bo3:1:20792": 219, "bo3:1:2924": 166}, "inactivity_half_life_days": null, "inactivity_max_pull": null, "k": 40.0, "last_match_utc": {"bo3:1:20792": "2026-10-13T11:00:00Z", "bo3:1:2924": "2026-10-13T08:00:00Z"}, "minimum_reliable_games": null, "platt_intercept": 0.06816528215678655, "platt_slope": 0.8746273142827576, "ratings": {"bo3:1:20792": 1592.079131, "bo3:1:2924": 1652.176773},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["bo3:1:20792", "bo3:1:2924"]}, "market_type": "moneyline", "model_version": "cs2-tiered-elo-v6", "observed_at_utc": "2026-10-13T22:29:07.911078+00:00", "probabilities": {"away": 0.549037, "home": 0.450963}, "replay_scope": "Exact serving book state, calibration, temperature, inactivity reference and thin-history adjustments; training provenance not certified.", "schema": "esports-elo-replay-v1", "snapshot_hash": "86d9af3bc2dd331e3245b1f031ec2824a457f6ce219f0091419f58e2228fae8c", "sport": "CS2"}</t>
        </is>
      </c>
    </row>
    <row r="142" ht="36" customHeight="1">
      <c r="A142" s="24" t="inlineStr">
        <is>
          <t>a80dd38fcc224273</t>
        </is>
      </c>
      <c r="B142" s="24" t="inlineStr">
        <is>
          <t>2026-10-13T22:38:44.831854Z</t>
        </is>
      </c>
      <c r="C142" s="24" t="inlineStr">
        <is>
          <t>2026-10-14T13:00:00Z</t>
        </is>
      </c>
      <c r="D142" s="24" t="inlineStr">
        <is>
          <t>157272</t>
        </is>
      </c>
      <c r="E142" s="24" t="inlineStr">
        <is>
          <t>CS2</t>
        </is>
      </c>
      <c r="F142" s="24" t="inlineStr">
        <is>
          <t>realgotis22</t>
        </is>
      </c>
      <c r="G142" s="24" t="inlineStr">
        <is>
          <t>Blitzkrieg</t>
        </is>
      </c>
      <c r="H142" s="24" t="inlineStr">
        <is>
          <t>moneyline</t>
        </is>
      </c>
      <c r="I142" s="24" t="inlineStr">
        <is>
          <t>away</t>
        </is>
      </c>
      <c r="J142" s="25" t="n"/>
      <c r="K142" s="24" t="inlineStr">
        <is>
          <t>polymarket_us</t>
        </is>
      </c>
      <c r="L142" s="26" t="n">
        <v>-122</v>
      </c>
      <c r="M142" s="27" t="n">
        <v>1.819672</v>
      </c>
      <c r="N142" s="28" t="n">
        <v>0.54955</v>
      </c>
      <c r="O142" s="28" t="n">
        <v>0.657821</v>
      </c>
      <c r="P142" s="28" t="n"/>
      <c r="Q142" s="28" t="n">
        <v>0.108271</v>
      </c>
      <c r="R142" s="26" t="n">
        <v>74</v>
      </c>
      <c r="S142" s="29" t="n">
        <v>1.5</v>
      </c>
      <c r="T142" s="24" t="inlineStr">
        <is>
          <t>cs2-tiered-elo-v6</t>
        </is>
      </c>
      <c r="U142" s="24" t="inlineStr">
        <is>
          <t>open</t>
        </is>
      </c>
      <c r="V142" s="24" t="n"/>
      <c r="W142" s="26" t="n"/>
      <c r="X142" s="26" t="n"/>
      <c r="Y142" s="25" t="n"/>
      <c r="Z142" s="26" t="n"/>
      <c r="AA142" s="28" t="n"/>
      <c r="AB142" s="28" t="n"/>
      <c r="AC142" s="30" t="n"/>
      <c r="AD142" s="24" t="n"/>
      <c r="AE142" s="31" t="inlineStr">
        <is>
          <t>Neutral Elo baseline; executable ask 0.5500 (market_slug=aec-cs2-bk-rea-2026-10-14).</t>
        </is>
      </c>
      <c r="AF142" s="31" t="inlineStr">
        <is>
          <t>Config-promoted esports baseline; gates enforced at log time.</t>
        </is>
      </c>
      <c r="AG142" s="24" t="inlineStr">
        <is>
          <t>not_applicable</t>
        </is>
      </c>
      <c r="AH142" s="24" t="n"/>
      <c r="AI142" s="31" t="n"/>
      <c r="AJ142" s="31" t="n"/>
      <c r="AK142" s="24" t="inlineStr">
        <is>
          <t>model_qualified</t>
        </is>
      </c>
      <c r="AL142" s="26" t="n">
        <v>4</v>
      </c>
      <c r="AM142" s="24" t="inlineStr">
        <is>
          <t>QUALIFIED_SHADOW_CALL</t>
        </is>
      </c>
      <c r="AN142" s="24" t="inlineStr">
        <is>
          <t>CALL</t>
        </is>
      </c>
      <c r="AO142" s="24" t="inlineStr">
        <is>
          <t>QUALIFIED</t>
        </is>
      </c>
      <c r="AP142" s="24" t="inlineStr">
        <is>
          <t>realgotis22</t>
        </is>
      </c>
      <c r="AQ142" s="24" t="inlineStr">
        <is>
          <t>realgotis22</t>
        </is>
      </c>
      <c r="AR142" s="24" t="inlineStr">
        <is>
          <t>realgotis22</t>
        </is>
      </c>
      <c r="AS142" s="24" t="inlineStr">
        <is>
          <t>Blitzkrieg</t>
        </is>
      </c>
      <c r="AT142" s="24" t="inlineStr">
        <is>
          <t>Blitzkrieg</t>
        </is>
      </c>
      <c r="AU142" s="24" t="inlineStr">
        <is>
          <t>Blitzkrieg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21a244e029d58075f561215535923b540359cdf781049d520ffd534a32f40de5</t>
        </is>
      </c>
      <c r="BB142" s="24" t="inlineStr">
        <is>
          <t>neutral_elo</t>
        </is>
      </c>
      <c r="BC142" s="24" t="inlineStr">
        <is>
          <t>cs2-tiered-elo-v6</t>
        </is>
      </c>
      <c r="BD142" s="24" t="inlineStr">
        <is>
          <t>21a244e029d58075f561215535923b540359cdf781049d520ffd534a32f40de5</t>
        </is>
      </c>
      <c r="BE142" s="24" t="inlineStr">
        <is>
          <t>1</t>
        </is>
      </c>
      <c r="BF142" s="24" t="inlineStr">
        <is>
          <t>1</t>
        </is>
      </c>
      <c r="BG142" s="24" t="inlineStr">
        <is>
          <t>cs2-tiered-elo-v6</t>
        </is>
      </c>
      <c r="BH142" s="24" t="inlineStr">
        <is>
          <t>2026-10-13T22:34:56.975938Z</t>
        </is>
      </c>
      <c r="BI142" s="24" t="inlineStr">
        <is>
          <t>["same_event","same_team_same_day","same_league_same_day"]</t>
        </is>
      </c>
      <c r="BJ142" s="25" t="n"/>
      <c r="BK142" s="26" t="n">
        <v>-122</v>
      </c>
      <c r="BL142" s="27" t="n">
        <v>1.819672</v>
      </c>
      <c r="BM142" s="28" t="n">
        <v>0.54955</v>
      </c>
      <c r="BN142" s="28" t="n"/>
      <c r="BO142" s="28" t="n"/>
      <c r="BP142" s="25" t="n"/>
      <c r="BQ142" s="27" t="n"/>
      <c r="BR142" s="28" t="n"/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True</t>
        </is>
      </c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n"/>
      <c r="DK142" s="24" t="n"/>
      <c r="DL142" s="24" t="n"/>
      <c r="DM142" s="24" t="n"/>
      <c r="DN142" s="24" t="n"/>
      <c r="DO142" s="24" t="n"/>
      <c r="DP142" s="24" t="n"/>
      <c r="DQ142" s="24" t="inlineStr">
        <is>
          <t>{"artifact_hash": "21a244e029d58075f561215535923b540359cdf781049d520ffd534a32f40de5", "away_team": "realgotis22", "event_id": "157272", "event_start_utc": "2026-10-14T13:00:00Z", "features": {"away_elo": 1628.485971, "away_history_count": 189, "home_elo": 1350.457607, "home_history_count": 13}, "historical_source_observation_times_verified": false, "home_team": "Blitzkrieg", "inference_inputs": {"book_state": {"games_played": {"bo3:1:19951": 189, "bo3:1:4264": 13}, "inactivity_half_life_days": null, "inactivity_max_pull": null, "k": 40.0, "last_match_utc": {"bo3:1:19951": "2026-05-30T14:00:00Z", "bo3:1:4264": "2026-08-31T16:00:00Z"}, "minimum_reliable_games": null, "platt_intercept": 0.06816528215678655, "platt_slope": 0.8746273142827576, "ratings": {"bo3:1:19951": 1628.485971, "bo3:1:4264": 1350.457607},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["bo3:1:4264", "bo3:1:19951"]}, "market_type": "moneyline", "model_version": "cs2-tiered-elo-v6", "observed_at_utc": "2026-10-13T22:29:07.911078+00:00", "probabilities": {"away": 0.657821, "home": 0.342179}, "replay_scope": "Exact serving book state, calibration, temperature, inactivity reference and thin-history adjustments; training provenance not certified.", "schema": "esports-elo-replay-v1", "snapshot_hash": "96206caafeb8fd7823a208a1c38ccd1230f1dbb4324e22527e42bb1c9af7bac8", "sport": "CS2"}</t>
        </is>
      </c>
    </row>
    <row r="143" ht="36" customHeight="1">
      <c r="A143" s="24" t="inlineStr">
        <is>
          <t>3e6387b75c6f4963</t>
        </is>
      </c>
      <c r="B143" s="24" t="inlineStr">
        <is>
          <t>2026-10-13T22:38:44.831854Z</t>
        </is>
      </c>
      <c r="C143" s="24" t="inlineStr">
        <is>
          <t>2026-10-14T13:30:00Z</t>
        </is>
      </c>
      <c r="D143" s="24" t="inlineStr">
        <is>
          <t>154784</t>
        </is>
      </c>
      <c r="E143" s="24" t="inlineStr">
        <is>
          <t>CS2</t>
        </is>
      </c>
      <c r="F143" s="24" t="inlineStr">
        <is>
          <t>PARIVISION</t>
        </is>
      </c>
      <c r="G143" s="24" t="inlineStr">
        <is>
          <t>Legacy</t>
        </is>
      </c>
      <c r="H143" s="24" t="inlineStr">
        <is>
          <t>moneyline</t>
        </is>
      </c>
      <c r="I143" s="24" t="inlineStr">
        <is>
          <t>home</t>
        </is>
      </c>
      <c r="J143" s="25" t="n"/>
      <c r="K143" s="24" t="inlineStr">
        <is>
          <t>polymarket_us</t>
        </is>
      </c>
      <c r="L143" s="26" t="n">
        <v>-144</v>
      </c>
      <c r="M143" s="27" t="n">
        <v>1.694444</v>
      </c>
      <c r="N143" s="28" t="n">
        <v>0.590164</v>
      </c>
      <c r="O143" s="28" t="n">
        <v>0.565879</v>
      </c>
      <c r="P143" s="28" t="n"/>
      <c r="Q143" s="28" t="n">
        <v>-0.024285</v>
      </c>
      <c r="R143" s="26" t="n">
        <v>8</v>
      </c>
      <c r="S143" s="29" t="n">
        <v>1</v>
      </c>
      <c r="T143" s="24" t="inlineStr">
        <is>
          <t>cs2-tiered-elo-v6</t>
        </is>
      </c>
      <c r="U143" s="24" t="inlineStr">
        <is>
          <t>open</t>
        </is>
      </c>
      <c r="V143" s="24" t="n"/>
      <c r="W143" s="26" t="n"/>
      <c r="X143" s="26" t="n"/>
      <c r="Y143" s="25" t="n"/>
      <c r="Z143" s="26" t="n"/>
      <c r="AA143" s="28" t="n"/>
      <c r="AB143" s="28" t="n"/>
      <c r="AC143" s="30" t="n"/>
      <c r="AD143" s="24" t="n"/>
      <c r="AE143" s="31" t="inlineStr">
        <is>
          <t>Neutral Elo baseline; executable ask 0.5900 (market_slug=aec-cs2-lgc-prv-2026-10-14).</t>
        </is>
      </c>
      <c r="AF143" s="31" t="inlineStr">
        <is>
          <t>Config-promoted esports baseline; gates enforced at log time.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paper_call</t>
        </is>
      </c>
      <c r="AL143" s="26" t="n">
        <v>4</v>
      </c>
      <c r="AM143" s="24" t="inlineStr">
        <is>
          <t>RESEARCH_OBSERVATION</t>
        </is>
      </c>
      <c r="AN143" s="24" t="inlineStr">
        <is>
          <t>CALL</t>
        </is>
      </c>
      <c r="AO143" s="24" t="inlineStr">
        <is>
          <t>PAPER_CALL_LOW_EDGE</t>
        </is>
      </c>
      <c r="AP143" s="24" t="inlineStr">
        <is>
          <t>PARIVISION</t>
        </is>
      </c>
      <c r="AQ143" s="24" t="inlineStr">
        <is>
          <t>PARIVISION</t>
        </is>
      </c>
      <c r="AR143" s="24" t="inlineStr">
        <is>
          <t>PARIVISION</t>
        </is>
      </c>
      <c r="AS143" s="24" t="inlineStr">
        <is>
          <t>Legacy</t>
        </is>
      </c>
      <c r="AT143" s="24" t="inlineStr">
        <is>
          <t>Legacy</t>
        </is>
      </c>
      <c r="AU143" s="24" t="inlineStr">
        <is>
          <t>Legacy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21a244e029d58075f561215535923b540359cdf781049d520ffd534a32f40de5</t>
        </is>
      </c>
      <c r="BB143" s="24" t="inlineStr">
        <is>
          <t>neutral_elo</t>
        </is>
      </c>
      <c r="BC143" s="24" t="inlineStr">
        <is>
          <t>cs2-tiered-elo-v6</t>
        </is>
      </c>
      <c r="BD143" s="24" t="inlineStr">
        <is>
          <t>21a244e029d58075f561215535923b540359cdf781049d520ffd534a32f40de5</t>
        </is>
      </c>
      <c r="BE143" s="24" t="inlineStr">
        <is>
          <t>1</t>
        </is>
      </c>
      <c r="BF143" s="24" t="inlineStr">
        <is>
          <t>1</t>
        </is>
      </c>
      <c r="BG143" s="24" t="inlineStr">
        <is>
          <t>cs2-tiered-elo-v6</t>
        </is>
      </c>
      <c r="BH143" s="24" t="inlineStr">
        <is>
          <t>2026-10-13T22:35:17.807103Z</t>
        </is>
      </c>
      <c r="BI143" s="24" t="inlineStr">
        <is>
          <t>["same_event","same_team_same_day","same_league_same_day"]</t>
        </is>
      </c>
      <c r="BJ143" s="25" t="n"/>
      <c r="BK143" s="26" t="n">
        <v>-144</v>
      </c>
      <c r="BL143" s="27" t="n">
        <v>1.694444</v>
      </c>
      <c r="BM143" s="28" t="n">
        <v>0.590164</v>
      </c>
      <c r="BN143" s="28" t="n"/>
      <c r="BO143" s="28" t="n"/>
      <c r="BP143" s="25" t="n"/>
      <c r="BQ143" s="27" t="n"/>
      <c r="BR143" s="28" t="n"/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False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n"/>
      <c r="DK143" s="24" t="n"/>
      <c r="DL143" s="24" t="n"/>
      <c r="DM143" s="24" t="n"/>
      <c r="DN143" s="24" t="n"/>
      <c r="DO143" s="24" t="n"/>
      <c r="DP143" s="24" t="n"/>
      <c r="DQ143" s="24" t="inlineStr">
        <is>
          <t>{"artifact_hash": "21a244e029d58075f561215535923b540359cdf781049d520ffd534a32f40de5", "away_team": "PARIVISION", "event_id": "154784", "event_start_utc": "2026-10-14T13:30:00Z", "features": {"away_elo": 1996.647414, "away_history_count": 297, "home_elo": 2060.918049, "home_history_count": 304}, "historical_source_observation_times_verified": false, "home_team": "Legacy", "inference_inputs": {"book_state": {"games_played": {"bo3:1:8118": 304, "bo3:1:8171": 297}, "inactivity_half_life_days": null, "inactivity_max_pull": null, "k": 40.0, "last_match_utc": {"bo3:1:8118": "2026-10-06T17:00:00Z", "bo3:1:8171": "2026-10-09T11:30:00Z"}, "minimum_reliable_games": null, "platt_intercept": 0.06816528215678655, "platt_slope": 0.8746273142827576, "ratings": {"bo3:1:8118": 2060.918049, "bo3:1:8171": 1996.647414},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["bo3:1:8118", "bo3:1:8171"]}, "market_type": "moneyline", "model_version": "cs2-tiered-elo-v6", "observed_at_utc": "2026-10-13T22:29:07.911078+00:00", "probabilities": {"away": 0.434121, "home": 0.565879}, "replay_scope": "Exact serving book state, calibration, temperature, inactivity reference and thin-history adjustments; training provenance not certified.", "schema": "esports-elo-replay-v1", "snapshot_hash": "4ab4fd1a006265997209ae11a027a1ebac7bd1799e2204b07d48ce6c6ac970fe", "sport": "CS2"}</t>
        </is>
      </c>
    </row>
    <row r="144" ht="36" customHeight="1">
      <c r="A144" s="24" t="inlineStr">
        <is>
          <t>1cd70c2242074a0b</t>
        </is>
      </c>
      <c r="B144" s="24" t="inlineStr">
        <is>
          <t>2026-10-13T22:38:44.831854Z</t>
        </is>
      </c>
      <c r="C144" s="24" t="inlineStr">
        <is>
          <t>2026-10-14T14:00:00Z</t>
        </is>
      </c>
      <c r="D144" s="24" t="inlineStr">
        <is>
          <t>157360</t>
        </is>
      </c>
      <c r="E144" s="24" t="inlineStr">
        <is>
          <t>CS2</t>
        </is>
      </c>
      <c r="F144" s="24" t="inlineStr">
        <is>
          <t>The Last Resort</t>
        </is>
      </c>
      <c r="G144" s="24" t="inlineStr">
        <is>
          <t>G2 Ares</t>
        </is>
      </c>
      <c r="H144" s="24" t="inlineStr">
        <is>
          <t>moneyline</t>
        </is>
      </c>
      <c r="I144" s="24" t="inlineStr">
        <is>
          <t>home</t>
        </is>
      </c>
      <c r="J144" s="25" t="n"/>
      <c r="K144" s="24" t="inlineStr">
        <is>
          <t>polymarket_us</t>
        </is>
      </c>
      <c r="L144" s="26" t="n">
        <v>-213</v>
      </c>
      <c r="M144" s="27" t="n">
        <v>1.469484</v>
      </c>
      <c r="N144" s="28" t="n">
        <v>0.680511</v>
      </c>
      <c r="O144" s="28" t="n">
        <v>0.628134</v>
      </c>
      <c r="P144" s="28" t="n"/>
      <c r="Q144" s="28" t="n">
        <v>-0.052377</v>
      </c>
      <c r="R144" s="26" t="n">
        <v>0</v>
      </c>
      <c r="S144" s="29" t="n">
        <v>1</v>
      </c>
      <c r="T144" s="24" t="inlineStr">
        <is>
          <t>cs2-tiered-elo-v6</t>
        </is>
      </c>
      <c r="U144" s="24" t="inlineStr">
        <is>
          <t>open</t>
        </is>
      </c>
      <c r="V144" s="24" t="n"/>
      <c r="W144" s="26" t="n"/>
      <c r="X144" s="26" t="n"/>
      <c r="Y144" s="25" t="n"/>
      <c r="Z144" s="26" t="n"/>
      <c r="AA144" s="28" t="n"/>
      <c r="AB144" s="28" t="n"/>
      <c r="AC144" s="30" t="n"/>
      <c r="AD144" s="24" t="n"/>
      <c r="AE144" s="31" t="inlineStr">
        <is>
          <t>Neutral Elo baseline; executable ask 0.6800 (market_slug=aec-cs2-g2a-tlr-2026-10-14).</t>
        </is>
      </c>
      <c r="AF144" s="31" t="inlineStr">
        <is>
          <t>Config-promoted esports baseline; gates enforced at log time.</t>
        </is>
      </c>
      <c r="AG144" s="24" t="inlineStr">
        <is>
          <t>not_applicable</t>
        </is>
      </c>
      <c r="AH144" s="24" t="n"/>
      <c r="AI144" s="31" t="n"/>
      <c r="AJ144" s="31" t="n"/>
      <c r="AK144" s="24" t="inlineStr">
        <is>
          <t>paper_call</t>
        </is>
      </c>
      <c r="AL144" s="26" t="n">
        <v>4</v>
      </c>
      <c r="AM144" s="24" t="inlineStr">
        <is>
          <t>RESEARCH_OBSERVATION</t>
        </is>
      </c>
      <c r="AN144" s="24" t="inlineStr">
        <is>
          <t>CALL</t>
        </is>
      </c>
      <c r="AO144" s="24" t="inlineStr">
        <is>
          <t>PAPER_CALL_LOW_EDGE</t>
        </is>
      </c>
      <c r="AP144" s="24" t="inlineStr">
        <is>
          <t>The Last Resort</t>
        </is>
      </c>
      <c r="AQ144" s="24" t="inlineStr">
        <is>
          <t>The Last Resort</t>
        </is>
      </c>
      <c r="AR144" s="24" t="inlineStr">
        <is>
          <t>The Last Resort</t>
        </is>
      </c>
      <c r="AS144" s="24" t="inlineStr">
        <is>
          <t>G2 Ares</t>
        </is>
      </c>
      <c r="AT144" s="24" t="inlineStr">
        <is>
          <t>G2 Ares</t>
        </is>
      </c>
      <c r="AU144" s="24" t="inlineStr">
        <is>
          <t>G2 Ares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21a244e029d58075f561215535923b540359cdf781049d520ffd534a32f40de5</t>
        </is>
      </c>
      <c r="BB144" s="24" t="inlineStr">
        <is>
          <t>neutral_elo</t>
        </is>
      </c>
      <c r="BC144" s="24" t="inlineStr">
        <is>
          <t>cs2-tiered-elo-v6</t>
        </is>
      </c>
      <c r="BD144" s="24" t="inlineStr">
        <is>
          <t>21a244e029d58075f561215535923b540359cdf781049d520ffd534a32f40de5</t>
        </is>
      </c>
      <c r="BE144" s="24" t="inlineStr">
        <is>
          <t>1</t>
        </is>
      </c>
      <c r="BF144" s="24" t="inlineStr">
        <is>
          <t>1</t>
        </is>
      </c>
      <c r="BG144" s="24" t="inlineStr">
        <is>
          <t>cs2-tiered-elo-v6</t>
        </is>
      </c>
      <c r="BH144" s="24" t="inlineStr">
        <is>
          <t>2026-10-13T22:35:49.210423Z</t>
        </is>
      </c>
      <c r="BI144" s="24" t="inlineStr">
        <is>
          <t>["same_event","same_team_same_day","same_league_same_day"]</t>
        </is>
      </c>
      <c r="BJ144" s="25" t="n"/>
      <c r="BK144" s="26" t="n">
        <v>-213</v>
      </c>
      <c r="BL144" s="27" t="n">
        <v>1.469484</v>
      </c>
      <c r="BM144" s="28" t="n">
        <v>0.680511</v>
      </c>
      <c r="BN144" s="28" t="n"/>
      <c r="BO144" s="28" t="n"/>
      <c r="BP144" s="25" t="n"/>
      <c r="BQ144" s="27" t="n"/>
      <c r="BR144" s="28" t="n"/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False</t>
        </is>
      </c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n"/>
      <c r="DK144" s="24" t="n"/>
      <c r="DL144" s="24" t="n"/>
      <c r="DM144" s="24" t="n"/>
      <c r="DN144" s="24" t="n"/>
      <c r="DO144" s="24" t="n"/>
      <c r="DP144" s="24" t="n"/>
      <c r="DQ144" s="24" t="inlineStr">
        <is>
          <t>{"artifact_hash": "21a244e029d58075f561215535923b540359cdf781049d520ffd534a32f40de5", "away_team": "The Last Resort", "event_id": "157360", "event_start_utc": "2026-10-14T14:00:00Z", "features": {"away_elo": 1467.951929, "away_history_count": 147, "home_elo": 1581.891651, "home_history_count": 284}, "historical_source_observation_times_verified": false, "home_team": "G2 Ares", "inference_inputs": {"book_state": {"games_played": {"bo3:1:10994": 284, "bo3:1:2740": 147}, "inactivity_half_life_days": null, "inactivity_max_pull": null, "k": 40.0, "last_match_utc": {"bo3:1:10994": "2026-10-09T17:30:00Z", "bo3:1:2740": "2026-10-08T13:00:00Z"}, "minimum_reliable_games": null, "platt_intercept": 0.06816528215678655, "platt_slope": 0.8746273142827576, "ratings": {"bo3:1:10994": 1581.891651, "bo3:1:2740": 1467.951929},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["bo3:1:10994", "bo3:1:2740"]}, "market_type": "moneyline", "model_version": "cs2-tiered-elo-v6", "observed_at_utc": "2026-10-13T22:29:07.911078+00:00", "probabilities": {"away": 0.371866, "home": 0.628134}, "replay_scope": "Exact serving book state, calibration, temperature, inactivity reference and thin-history adjustments; training provenance not certified.", "schema": "esports-elo-replay-v1", "snapshot_hash": "d2d9af04aa717b805d4231f3c9c722536fd672d7b88ccef6f0358a42302473cb", "sport": "CS2"}</t>
        </is>
      </c>
    </row>
    <row r="145" ht="36" customHeight="1">
      <c r="A145" s="24" t="inlineStr">
        <is>
          <t>76c4653da59d44c9</t>
        </is>
      </c>
      <c r="B145" s="24" t="inlineStr">
        <is>
          <t>2026-10-13T22:38:44.831854Z</t>
        </is>
      </c>
      <c r="C145" s="24" t="inlineStr">
        <is>
          <t>2026-10-14T16:00:00Z</t>
        </is>
      </c>
      <c r="D145" s="24" t="inlineStr">
        <is>
          <t>154958</t>
        </is>
      </c>
      <c r="E145" s="24" t="inlineStr">
        <is>
          <t>CS2</t>
        </is>
      </c>
      <c r="F145" s="24" t="inlineStr">
        <is>
          <t>Playing Ducks</t>
        </is>
      </c>
      <c r="G145" s="24" t="inlineStr">
        <is>
          <t>Sissi State Punks</t>
        </is>
      </c>
      <c r="H145" s="24" t="inlineStr">
        <is>
          <t>moneyline</t>
        </is>
      </c>
      <c r="I145" s="24" t="inlineStr">
        <is>
          <t>away</t>
        </is>
      </c>
      <c r="J145" s="25" t="n"/>
      <c r="K145" s="24" t="inlineStr">
        <is>
          <t>polymarket_us</t>
        </is>
      </c>
      <c r="L145" s="26" t="n">
        <v>117</v>
      </c>
      <c r="M145" s="27" t="n">
        <v>2.17</v>
      </c>
      <c r="N145" s="28" t="n">
        <v>0.460829</v>
      </c>
      <c r="O145" s="28" t="n">
        <v>0.595395</v>
      </c>
      <c r="P145" s="28" t="n"/>
      <c r="Q145" s="28" t="n">
        <v>0.134566</v>
      </c>
      <c r="R145" s="26" t="n">
        <v>87</v>
      </c>
      <c r="S145" s="29" t="n">
        <v>1.5</v>
      </c>
      <c r="T145" s="24" t="inlineStr">
        <is>
          <t>cs2-tiered-elo-v6</t>
        </is>
      </c>
      <c r="U145" s="24" t="inlineStr">
        <is>
          <t>open</t>
        </is>
      </c>
      <c r="V145" s="24" t="n"/>
      <c r="W145" s="26" t="n"/>
      <c r="X145" s="26" t="n"/>
      <c r="Y145" s="25" t="n"/>
      <c r="Z145" s="26" t="n"/>
      <c r="AA145" s="28" t="n"/>
      <c r="AB145" s="28" t="n"/>
      <c r="AC145" s="30" t="n"/>
      <c r="AD145" s="24" t="n"/>
      <c r="AE145" s="31" t="inlineStr">
        <is>
          <t>Neutral Elo baseline; executable ask 0.4600 (market_slug=aec-cs2-ssp-ducks-2026-10-14).</t>
        </is>
      </c>
      <c r="AF145" s="31" t="inlineStr">
        <is>
          <t>Config-promoted esports baseline; gates enforced at log time.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model_qualified</t>
        </is>
      </c>
      <c r="AL145" s="26" t="n">
        <v>4</v>
      </c>
      <c r="AM145" s="24" t="inlineStr">
        <is>
          <t>QUALIFIED_SHADOW_CALL</t>
        </is>
      </c>
      <c r="AN145" s="24" t="inlineStr">
        <is>
          <t>CALL</t>
        </is>
      </c>
      <c r="AO145" s="24" t="inlineStr">
        <is>
          <t>QUALIFIED</t>
        </is>
      </c>
      <c r="AP145" s="24" t="inlineStr">
        <is>
          <t>Playing Ducks</t>
        </is>
      </c>
      <c r="AQ145" s="24" t="inlineStr">
        <is>
          <t>Playing Ducks</t>
        </is>
      </c>
      <c r="AR145" s="24" t="inlineStr">
        <is>
          <t>Playing Ducks</t>
        </is>
      </c>
      <c r="AS145" s="24" t="inlineStr">
        <is>
          <t>Sissi State Punks</t>
        </is>
      </c>
      <c r="AT145" s="24" t="inlineStr">
        <is>
          <t>Sissi State Punks</t>
        </is>
      </c>
      <c r="AU145" s="24" t="inlineStr">
        <is>
          <t>Sissi State Punks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21a244e029d58075f561215535923b540359cdf781049d520ffd534a32f40de5</t>
        </is>
      </c>
      <c r="BB145" s="24" t="inlineStr">
        <is>
          <t>neutral_elo</t>
        </is>
      </c>
      <c r="BC145" s="24" t="inlineStr">
        <is>
          <t>cs2-tiered-elo-v6</t>
        </is>
      </c>
      <c r="BD145" s="24" t="inlineStr">
        <is>
          <t>21a244e029d58075f561215535923b540359cdf781049d520ffd534a32f40de5</t>
        </is>
      </c>
      <c r="BE145" s="24" t="inlineStr">
        <is>
          <t>1</t>
        </is>
      </c>
      <c r="BF145" s="24" t="inlineStr">
        <is>
          <t>1</t>
        </is>
      </c>
      <c r="BG145" s="24" t="inlineStr">
        <is>
          <t>cs2-tiered-elo-v6</t>
        </is>
      </c>
      <c r="BH145" s="24" t="inlineStr">
        <is>
          <t>2026-10-13T22:37:11.894822Z</t>
        </is>
      </c>
      <c r="BI145" s="24" t="inlineStr">
        <is>
          <t>["same_event","same_team_same_day","same_league_same_day"]</t>
        </is>
      </c>
      <c r="BJ145" s="25" t="n"/>
      <c r="BK145" s="26" t="n">
        <v>117</v>
      </c>
      <c r="BL145" s="27" t="n">
        <v>2.17</v>
      </c>
      <c r="BM145" s="28" t="n">
        <v>0.460829</v>
      </c>
      <c r="BN145" s="28" t="n"/>
      <c r="BO145" s="28" t="n"/>
      <c r="BP145" s="25" t="n"/>
      <c r="BQ145" s="27" t="n"/>
      <c r="BR145" s="28" t="n"/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True</t>
        </is>
      </c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n"/>
      <c r="DK145" s="24" t="n"/>
      <c r="DL145" s="24" t="n"/>
      <c r="DM145" s="24" t="n"/>
      <c r="DN145" s="24" t="n"/>
      <c r="DO145" s="24" t="n"/>
      <c r="DP145" s="24" t="n"/>
      <c r="DQ145" s="24" t="inlineStr">
        <is>
          <t>{"artifact_hash": "21a244e029d58075f561215535923b540359cdf781049d520ffd534a32f40de5", "away_team": "Playing Ducks", "event_id": "154958", "event_start_utc": "2026-10-14T16:00:00Z", "features": {"away_elo": 1482.311701, "away_history_count": 22, "home_elo": 1362.166392, "home_history_count": 42}, "historical_source_observation_times_verified": false, "home_team": "Sissi State Punks", "inference_inputs": {"book_state": {"games_played": {"bo3:1:1049": 42, "bo3:1:1545": 22}, "inactivity_half_life_days": null, "inactivity_max_pull": null, "k": 40.0, "last_match_utc": {"bo3:1:1049": "2026-09-28T16:15:00Z", "bo3:1:1545": "2026-10-05T18:00:00Z"}, "minimum_reliable_games": null, "platt_intercept": 0.06816528215678655, "platt_slope": 0.8746273142827576, "ratings": {"bo3:1:1049": 1362.166392, "bo3:1:1545": 1482.311701},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["bo3:1:1049", "bo3:1:1545"]}, "market_type": "moneyline", "model_version": "cs2-tiered-elo-v6", "observed_at_utc": "2026-10-13T22:29:07.911078+00:00", "probabilities": {"away": 0.595395, "home": 0.404605}, "replay_scope": "Exact serving book state, calibration, temperature, inactivity reference and thin-history adjustments; training provenance not certified.", "schema": "esports-elo-replay-v1", "snapshot_hash": "64a480fb303f3297f32b91d352c16164f76cd55bcc9d11a5fb1484a27199d109", "sport": "CS2"}</t>
        </is>
      </c>
    </row>
    <row r="146" ht="36" customHeight="1">
      <c r="A146" s="24" t="inlineStr">
        <is>
          <t>73ba385a460c4967</t>
        </is>
      </c>
      <c r="B146" s="24" t="inlineStr">
        <is>
          <t>2026-10-13T22:38:44.831854Z</t>
        </is>
      </c>
      <c r="C146" s="24" t="inlineStr">
        <is>
          <t>2026-10-14T22:00:00Z</t>
        </is>
      </c>
      <c r="D146" s="24" t="inlineStr">
        <is>
          <t>157275</t>
        </is>
      </c>
      <c r="E146" s="24" t="inlineStr">
        <is>
          <t>CS2</t>
        </is>
      </c>
      <c r="F146" s="24" t="inlineStr">
        <is>
          <t>A NATA</t>
        </is>
      </c>
      <c r="G146" s="24" t="inlineStr">
        <is>
          <t>Joga de terno</t>
        </is>
      </c>
      <c r="H146" s="24" t="inlineStr">
        <is>
          <t>moneyline</t>
        </is>
      </c>
      <c r="I146" s="24" t="inlineStr">
        <is>
          <t>away</t>
        </is>
      </c>
      <c r="J146" s="25" t="n"/>
      <c r="K146" s="24" t="inlineStr">
        <is>
          <t>polymarket_us</t>
        </is>
      </c>
      <c r="L146" s="26" t="n">
        <v>163</v>
      </c>
      <c r="M146" s="27" t="n">
        <v>2.63</v>
      </c>
      <c r="N146" s="28" t="n">
        <v>0.380228</v>
      </c>
      <c r="O146" s="28" t="n">
        <v>0.51072</v>
      </c>
      <c r="P146" s="28" t="n"/>
      <c r="Q146" s="28" t="n">
        <v>0.130492</v>
      </c>
      <c r="R146" s="26" t="n">
        <v>85</v>
      </c>
      <c r="S146" s="29" t="n">
        <v>1.5</v>
      </c>
      <c r="T146" s="24" t="inlineStr">
        <is>
          <t>cs2-tiered-elo-v6</t>
        </is>
      </c>
      <c r="U146" s="24" t="inlineStr">
        <is>
          <t>open</t>
        </is>
      </c>
      <c r="V146" s="24" t="n"/>
      <c r="W146" s="26" t="n"/>
      <c r="X146" s="26" t="n"/>
      <c r="Y146" s="25" t="n"/>
      <c r="Z146" s="26" t="n"/>
      <c r="AA146" s="28" t="n"/>
      <c r="AB146" s="28" t="n"/>
      <c r="AC146" s="30" t="n"/>
      <c r="AD146" s="24" t="n"/>
      <c r="AE146" s="31" t="inlineStr">
        <is>
          <t>Neutral Elo baseline; executable ask 0.3800 (market_slug=aec-cs2-jdt-ana-2026-10-14).</t>
        </is>
      </c>
      <c r="AF146" s="31" t="inlineStr">
        <is>
          <t>Config-promoted esports baseline; gates enforced at log time.</t>
        </is>
      </c>
      <c r="AG146" s="24" t="inlineStr">
        <is>
          <t>not_applicable</t>
        </is>
      </c>
      <c r="AH146" s="24" t="n"/>
      <c r="AI146" s="31" t="n"/>
      <c r="AJ146" s="31" t="n"/>
      <c r="AK146" s="24" t="inlineStr">
        <is>
          <t>paper_call</t>
        </is>
      </c>
      <c r="AL146" s="26" t="n">
        <v>4</v>
      </c>
      <c r="AM146" s="24" t="inlineStr">
        <is>
          <t>RESEARCH_OBSERVATION</t>
        </is>
      </c>
      <c r="AN146" s="24" t="inlineStr">
        <is>
          <t>CALL</t>
        </is>
      </c>
      <c r="AO146" s="24" t="inlineStr">
        <is>
          <t>PAPER_CALL_MODEL_UNVALIDATED</t>
        </is>
      </c>
      <c r="AP146" s="24" t="inlineStr">
        <is>
          <t>A NATA</t>
        </is>
      </c>
      <c r="AQ146" s="24" t="inlineStr">
        <is>
          <t>A NATA</t>
        </is>
      </c>
      <c r="AR146" s="24" t="inlineStr">
        <is>
          <t>A NATA</t>
        </is>
      </c>
      <c r="AS146" s="24" t="inlineStr">
        <is>
          <t>Joga de terno</t>
        </is>
      </c>
      <c r="AT146" s="24" t="inlineStr">
        <is>
          <t>Joga de terno</t>
        </is>
      </c>
      <c r="AU146" s="24" t="inlineStr">
        <is>
          <t>Joga de terno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shadow_qualified</t>
        </is>
      </c>
      <c r="BA146" s="24" t="inlineStr">
        <is>
          <t>21a244e029d58075f561215535923b540359cdf781049d520ffd534a32f40de5</t>
        </is>
      </c>
      <c r="BB146" s="24" t="inlineStr">
        <is>
          <t>neutral_elo</t>
        </is>
      </c>
      <c r="BC146" s="24" t="inlineStr">
        <is>
          <t>cs2-tiered-elo-v6</t>
        </is>
      </c>
      <c r="BD146" s="24" t="inlineStr">
        <is>
          <t>21a244e029d58075f561215535923b540359cdf781049d520ffd534a32f40de5</t>
        </is>
      </c>
      <c r="BE146" s="24" t="inlineStr">
        <is>
          <t>1</t>
        </is>
      </c>
      <c r="BF146" s="24" t="inlineStr">
        <is>
          <t>1</t>
        </is>
      </c>
      <c r="BG146" s="24" t="inlineStr">
        <is>
          <t>cs2-tiered-elo-v6</t>
        </is>
      </c>
      <c r="BH146" s="24" t="inlineStr">
        <is>
          <t>2026-10-13T22:38:34.462107Z</t>
        </is>
      </c>
      <c r="BI146" s="24" t="inlineStr">
        <is>
          <t>["same_event","same_team_same_day","same_league_same_day"]</t>
        </is>
      </c>
      <c r="BJ146" s="25" t="n"/>
      <c r="BK146" s="26" t="n">
        <v>163</v>
      </c>
      <c r="BL146" s="27" t="n">
        <v>2.63</v>
      </c>
      <c r="BM146" s="28" t="n">
        <v>0.380228</v>
      </c>
      <c r="BN146" s="28" t="n"/>
      <c r="BO146" s="28" t="n"/>
      <c r="BP146" s="25" t="n"/>
      <c r="BQ146" s="27" t="n"/>
      <c r="BR146" s="28" t="n"/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inlineStr">
        <is>
          <t>True</t>
        </is>
      </c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24" t="n"/>
      <c r="DD146" s="24" t="n"/>
      <c r="DE146" s="24" t="n"/>
      <c r="DF146" s="24" t="n"/>
      <c r="DG146" s="24" t="n"/>
      <c r="DH146" s="24" t="n"/>
      <c r="DI146" s="24" t="n"/>
      <c r="DJ146" s="24" t="n"/>
      <c r="DK146" s="24" t="n"/>
      <c r="DL146" s="24" t="n"/>
      <c r="DM146" s="24" t="n"/>
      <c r="DN146" s="24" t="n"/>
      <c r="DO146" s="24" t="n"/>
      <c r="DP146" s="24" t="n"/>
      <c r="DQ146" s="24" t="inlineStr">
        <is>
          <t>{"artifact_hash": "21a244e029d58075f561215535923b540359cdf781049d520ffd534a32f40de5", "away_team": "A NATA", "event_id": "157275", "event_start_utc": "2026-10-14T22:00:00Z", "features": {"away_elo": 1500.0, "away_history_count": 0, "home_elo": 1415.874603, "home_history_count": 62}, "historical_source_observation_times_verified": false, "home_team": "Joga de terno", "inference_inputs": {"book_state": {"games_played": {"bo3:1:10697": 62}, "inactivity_half_life_days": null, "inactivity_max_pull": null, "k": 40.0, "last_match_utc": {"bo3:1:10697": "2024-12-10T23:00:00Z"}, "minimum_reliable_games": null, "platt_intercept": 0.06816528215678655, "platt_slope": 0.8746273142827576, "ratings": {"bo3:1:10697": 1415.874603},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["bo3:1:10697", "unknown:anata"]}, "market_type": "moneyline", "model_version": "cs2-tiered-elo-v6", "observed_at_utc": "2026-10-13T22:29:07.911078+00:00", "probabilities": {"away": 0.51072, "home": 0.48928}, "replay_scope": "Exact serving book state, calibration, temperature, inactivity reference and thin-history adjustments; training provenance not certified.", "schema": "esports-elo-replay-v1", "snapshot_hash": "908c3baddf4ba86217f65d4048d17d9e667ec4670b15f66a739c226d8f898288", "sport": "CS2"}</t>
        </is>
      </c>
    </row>
    <row r="147" ht="36" customHeight="1">
      <c r="A147" s="24" t="inlineStr">
        <is>
          <t>c9ab96e31e2d4a50</t>
        </is>
      </c>
      <c r="B147" s="24" t="inlineStr">
        <is>
          <t>2026-10-14T06:03:43.455911Z</t>
        </is>
      </c>
      <c r="C147" s="24" t="inlineStr">
        <is>
          <t>2026-10-14T08:00:00Z</t>
        </is>
      </c>
      <c r="D147" s="24" t="inlineStr">
        <is>
          <t>156607</t>
        </is>
      </c>
      <c r="E147" s="24" t="inlineStr">
        <is>
          <t>CS2</t>
        </is>
      </c>
      <c r="F147" s="24" t="inlineStr">
        <is>
          <t>Sökerorg</t>
        </is>
      </c>
      <c r="G147" s="24" t="inlineStr">
        <is>
          <t>CTRL Esports</t>
        </is>
      </c>
      <c r="H147" s="24" t="inlineStr">
        <is>
          <t>moneyline</t>
        </is>
      </c>
      <c r="I147" s="24" t="inlineStr">
        <is>
          <t>home</t>
        </is>
      </c>
      <c r="J147" s="25" t="n"/>
      <c r="K147" s="24" t="inlineStr">
        <is>
          <t>polymarket_us</t>
        </is>
      </c>
      <c r="L147" s="26" t="n">
        <v>108</v>
      </c>
      <c r="M147" s="27" t="n">
        <v>2.08</v>
      </c>
      <c r="N147" s="28" t="n">
        <v>0.480769</v>
      </c>
      <c r="O147" s="28" t="n">
        <v>0.531111</v>
      </c>
      <c r="P147" s="28" t="n"/>
      <c r="Q147" s="28" t="n">
        <v>0.050342</v>
      </c>
      <c r="R147" s="26" t="n">
        <v>45</v>
      </c>
      <c r="S147" s="29" t="n">
        <v>1</v>
      </c>
      <c r="T147" s="24" t="inlineStr">
        <is>
          <t>cs2-tiered-elo-v6</t>
        </is>
      </c>
      <c r="U147" s="24" t="inlineStr">
        <is>
          <t>open</t>
        </is>
      </c>
      <c r="V147" s="24" t="n"/>
      <c r="W147" s="26" t="n"/>
      <c r="X147" s="26" t="n"/>
      <c r="Y147" s="25" t="n"/>
      <c r="Z147" s="26" t="n"/>
      <c r="AA147" s="28" t="n"/>
      <c r="AB147" s="28" t="n"/>
      <c r="AC147" s="30" t="n"/>
      <c r="AD147" s="24" t="n"/>
      <c r="AE147" s="31" t="inlineStr">
        <is>
          <t>Neutral Elo baseline; executable ask 0.4800 (market_slug=aec-cs2-cet-skr-2026-10-14).</t>
        </is>
      </c>
      <c r="AF147" s="31" t="inlineStr">
        <is>
          <t>Config-promoted esports baseline; gates enforced at log time.</t>
        </is>
      </c>
      <c r="AG147" s="24" t="inlineStr">
        <is>
          <t>not_applicable</t>
        </is>
      </c>
      <c r="AH147" s="24" t="n"/>
      <c r="AI147" s="31" t="n"/>
      <c r="AJ147" s="31" t="n"/>
      <c r="AK147" s="24" t="inlineStr">
        <is>
          <t>paper_call</t>
        </is>
      </c>
      <c r="AL147" s="26" t="n">
        <v>4</v>
      </c>
      <c r="AM147" s="24" t="inlineStr">
        <is>
          <t>RESEARCH_OBSERVATION</t>
        </is>
      </c>
      <c r="AN147" s="24" t="inlineStr">
        <is>
          <t>CALL</t>
        </is>
      </c>
      <c r="AO147" s="24" t="inlineStr">
        <is>
          <t>PAPER_CALL_MODEL_UNVALIDATED</t>
        </is>
      </c>
      <c r="AP147" s="24" t="inlineStr">
        <is>
          <t>Sökerorg</t>
        </is>
      </c>
      <c r="AQ147" s="24" t="inlineStr">
        <is>
          <t>Sökerorg</t>
        </is>
      </c>
      <c r="AR147" s="24" t="inlineStr">
        <is>
          <t>Sökerorg</t>
        </is>
      </c>
      <c r="AS147" s="24" t="inlineStr">
        <is>
          <t>CTRL Esports</t>
        </is>
      </c>
      <c r="AT147" s="24" t="inlineStr">
        <is>
          <t>CTRL Esports</t>
        </is>
      </c>
      <c r="AU147" s="24" t="inlineStr">
        <is>
          <t>CTRL Esports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shadow_qualified</t>
        </is>
      </c>
      <c r="BA147" s="24" t="inlineStr">
        <is>
          <t>642b63c565f5bb5fd7361cee049bb5868e1ce2884480d212d2362f634573bdf7</t>
        </is>
      </c>
      <c r="BB147" s="24" t="inlineStr">
        <is>
          <t>neutral_elo</t>
        </is>
      </c>
      <c r="BC147" s="24" t="inlineStr">
        <is>
          <t>cs2-tiered-elo-v6</t>
        </is>
      </c>
      <c r="BD147" s="24" t="inlineStr">
        <is>
          <t>642b63c565f5bb5fd7361cee049bb5868e1ce2884480d212d2362f634573bdf7</t>
        </is>
      </c>
      <c r="BE147" s="24" t="inlineStr">
        <is>
          <t>1</t>
        </is>
      </c>
      <c r="BF147" s="24" t="inlineStr">
        <is>
          <t>1</t>
        </is>
      </c>
      <c r="BG147" s="24" t="inlineStr">
        <is>
          <t>cs2-tiered-elo-v6</t>
        </is>
      </c>
      <c r="BH147" s="24" t="inlineStr">
        <is>
          <t>2026-10-14T05:52:34.675602Z</t>
        </is>
      </c>
      <c r="BI147" s="24" t="inlineStr">
        <is>
          <t>["same_event","same_team_same_day","same_league_same_day"]</t>
        </is>
      </c>
      <c r="BJ147" s="25" t="n"/>
      <c r="BK147" s="26" t="n">
        <v>108</v>
      </c>
      <c r="BL147" s="27" t="n">
        <v>2.08</v>
      </c>
      <c r="BM147" s="28" t="n">
        <v>0.480769</v>
      </c>
      <c r="BN147" s="28" t="n"/>
      <c r="BO147" s="28" t="n"/>
      <c r="BP147" s="25" t="n"/>
      <c r="BQ147" s="27" t="n"/>
      <c r="BR147" s="28" t="n"/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inlineStr">
        <is>
          <t>True</t>
        </is>
      </c>
      <c r="CT147" s="24" t="n"/>
      <c r="CU147" s="24" t="n"/>
      <c r="CV147" s="24" t="n"/>
      <c r="CW147" s="24" t="n"/>
      <c r="CX147" s="24" t="n"/>
      <c r="CY147" s="24" t="n"/>
      <c r="CZ147" s="24" t="n"/>
      <c r="DA147" s="24" t="n"/>
      <c r="DB147" s="24" t="n"/>
      <c r="DC147" s="24" t="n"/>
      <c r="DD147" s="24" t="n"/>
      <c r="DE147" s="24" t="n"/>
      <c r="DF147" s="24" t="n"/>
      <c r="DG147" s="24" t="n"/>
      <c r="DH147" s="24" t="n"/>
      <c r="DI147" s="24" t="n"/>
      <c r="DJ147" s="24" t="n"/>
      <c r="DK147" s="24" t="n"/>
      <c r="DL147" s="24" t="n"/>
      <c r="DM147" s="24" t="n"/>
      <c r="DN147" s="24" t="n"/>
      <c r="DO147" s="24" t="n"/>
      <c r="DP147" s="24" t="n"/>
      <c r="DQ147" s="24" t="inlineStr">
        <is>
          <t>{"artifact_hash": "642b63c565f5bb5fd7361cee049bb5868e1ce2884480d212d2362f634573bdf7", "away_team": "S\u00f6kerorg", "event_id": "156607", "event_start_utc": "2026-10-14T08:00:00Z", "features": {"away_elo": 1452.531883, "away_history_count": 4, "home_elo": 1500.0, "home_history_count": 0}, "historical_source_observation_times_verified": false, "home_team": "CTRL Esports", "inference_inputs": {"book_state": {"games_played": {"bo3:1:25400": 4}, "inactivity_half_life_days": null, "inactivity_max_pull": null, "k": 40.0, "last_match_utc": {"bo3:1:25400": "2026-10-08T13:00:00Z"}, "minimum_reliable_games": null, "platt_intercept": 0.06821870672347567, "platt_slope": 0.8748911450799665, "ratings": {"bo3:1:25400": 1452.531883},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"2026-10-14T05:52:14.154858+00:00", "team_ids": ["unknown:ctrlesports", "bo3:1:25400"]}, "market_type": "moneyline", "model_version": "cs2-tiered-elo-v6", "observed_at_utc": "2026-10-14T05:52:14.154858+00:00", "probabilities": {"away": 0.468889, "home": 0.531111}, "replay_scope": "Exact serving book state, calibration, temperature, inactivity reference and thin-history adjustments; training provenance not certified.", "schema": "esports-elo-replay-v1", "snapshot_hash": "8e9aafb743ee4bf33e66088136495d0001915ef2177d4e7411823bae9de7cd2f", "sport": "CS2"}</t>
        </is>
      </c>
    </row>
    <row r="148" ht="36" customHeight="1">
      <c r="A148" s="24" t="inlineStr">
        <is>
          <t>d5bc51aa97e64acf</t>
        </is>
      </c>
      <c r="B148" s="24" t="inlineStr">
        <is>
          <t>2026-10-14T06:03:43.455911Z</t>
        </is>
      </c>
      <c r="C148" s="24" t="inlineStr">
        <is>
          <t>2026-10-14T08:00:00Z</t>
        </is>
      </c>
      <c r="D148" s="24" t="inlineStr">
        <is>
          <t>156906</t>
        </is>
      </c>
      <c r="E148" s="24" t="inlineStr">
        <is>
          <t>CS2</t>
        </is>
      </c>
      <c r="F148" s="24" t="inlineStr">
        <is>
          <t>B8 Academy</t>
        </is>
      </c>
      <c r="G148" s="24" t="inlineStr">
        <is>
          <t>ENJOY</t>
        </is>
      </c>
      <c r="H148" s="24" t="inlineStr">
        <is>
          <t>moneyline</t>
        </is>
      </c>
      <c r="I148" s="24" t="inlineStr">
        <is>
          <t>home</t>
        </is>
      </c>
      <c r="J148" s="25" t="n"/>
      <c r="K148" s="24" t="inlineStr">
        <is>
          <t>polymarket_us</t>
        </is>
      </c>
      <c r="L148" s="26" t="n">
        <v>-170</v>
      </c>
      <c r="M148" s="27" t="n">
        <v>1.588235</v>
      </c>
      <c r="N148" s="28" t="n">
        <v>0.62963</v>
      </c>
      <c r="O148" s="28" t="n">
        <v>0.550806</v>
      </c>
      <c r="P148" s="28" t="n"/>
      <c r="Q148" s="28" t="n">
        <v>-0.07882400000000001</v>
      </c>
      <c r="R148" s="26" t="n">
        <v>0</v>
      </c>
      <c r="S148" s="29" t="n">
        <v>1</v>
      </c>
      <c r="T148" s="24" t="inlineStr">
        <is>
          <t>cs2-tiered-elo-v6</t>
        </is>
      </c>
      <c r="U148" s="24" t="inlineStr">
        <is>
          <t>open</t>
        </is>
      </c>
      <c r="V148" s="24" t="n"/>
      <c r="W148" s="26" t="n"/>
      <c r="X148" s="26" t="n"/>
      <c r="Y148" s="25" t="n"/>
      <c r="Z148" s="26" t="n"/>
      <c r="AA148" s="28" t="n"/>
      <c r="AB148" s="28" t="n"/>
      <c r="AC148" s="30" t="n"/>
      <c r="AD148" s="24" t="n"/>
      <c r="AE148" s="31" t="inlineStr">
        <is>
          <t>Neutral Elo baseline; executable ask 0.6300 (market_slug=aec-cs2-enjoy-b8a-2026-10-14).</t>
        </is>
      </c>
      <c r="AF148" s="31" t="inlineStr">
        <is>
          <t>Config-promoted esports baseline; gates enforced at log time.</t>
        </is>
      </c>
      <c r="AG148" s="24" t="inlineStr">
        <is>
          <t>not_applicable</t>
        </is>
      </c>
      <c r="AH148" s="24" t="n"/>
      <c r="AI148" s="31" t="n"/>
      <c r="AJ148" s="31" t="n"/>
      <c r="AK148" s="24" t="inlineStr">
        <is>
          <t>paper_call</t>
        </is>
      </c>
      <c r="AL148" s="26" t="n">
        <v>4</v>
      </c>
      <c r="AM148" s="24" t="inlineStr">
        <is>
          <t>RESEARCH_OBSERVATION</t>
        </is>
      </c>
      <c r="AN148" s="24" t="inlineStr">
        <is>
          <t>CALL</t>
        </is>
      </c>
      <c r="AO148" s="24" t="inlineStr">
        <is>
          <t>PAPER_CALL_LOW_EDGE</t>
        </is>
      </c>
      <c r="AP148" s="24" t="inlineStr">
        <is>
          <t>B8 Academy</t>
        </is>
      </c>
      <c r="AQ148" s="24" t="inlineStr">
        <is>
          <t>B8 Academy</t>
        </is>
      </c>
      <c r="AR148" s="24" t="inlineStr">
        <is>
          <t>B8 Academy</t>
        </is>
      </c>
      <c r="AS148" s="24" t="inlineStr">
        <is>
          <t>ENJOY</t>
        </is>
      </c>
      <c r="AT148" s="24" t="inlineStr">
        <is>
          <t>ENJOY</t>
        </is>
      </c>
      <c r="AU148" s="24" t="inlineStr">
        <is>
          <t>ENJOY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shadow_qualified</t>
        </is>
      </c>
      <c r="BA148" s="24" t="inlineStr">
        <is>
          <t>642b63c565f5bb5fd7361cee049bb5868e1ce2884480d212d2362f634573bdf7</t>
        </is>
      </c>
      <c r="BB148" s="24" t="inlineStr">
        <is>
          <t>neutral_elo</t>
        </is>
      </c>
      <c r="BC148" s="24" t="inlineStr">
        <is>
          <t>cs2-tiered-elo-v6</t>
        </is>
      </c>
      <c r="BD148" s="24" t="inlineStr">
        <is>
          <t>642b63c565f5bb5fd7361cee049bb5868e1ce2884480d212d2362f634573bdf7</t>
        </is>
      </c>
      <c r="BE148" s="24" t="inlineStr">
        <is>
          <t>1</t>
        </is>
      </c>
      <c r="BF148" s="24" t="inlineStr">
        <is>
          <t>1</t>
        </is>
      </c>
      <c r="BG148" s="24" t="inlineStr">
        <is>
          <t>cs2-tiered-elo-v6</t>
        </is>
      </c>
      <c r="BH148" s="24" t="inlineStr">
        <is>
          <t>2026-10-14T05:53:04.500324Z</t>
        </is>
      </c>
      <c r="BI148" s="24" t="inlineStr">
        <is>
          <t>["same_event","same_team_same_day","same_league_same_day"]</t>
        </is>
      </c>
      <c r="BJ148" s="25" t="n"/>
      <c r="BK148" s="26" t="n">
        <v>-170</v>
      </c>
      <c r="BL148" s="27" t="n">
        <v>1.588235</v>
      </c>
      <c r="BM148" s="28" t="n">
        <v>0.62963</v>
      </c>
      <c r="BN148" s="28" t="n"/>
      <c r="BO148" s="28" t="n"/>
      <c r="BP148" s="25" t="n"/>
      <c r="BQ148" s="27" t="n"/>
      <c r="BR148" s="28" t="n"/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inlineStr">
        <is>
          <t>False</t>
        </is>
      </c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/>
      <c r="DH148" s="24" t="n"/>
      <c r="DI148" s="24" t="n"/>
      <c r="DJ148" s="24" t="n"/>
      <c r="DK148" s="24" t="n"/>
      <c r="DL148" s="24" t="n"/>
      <c r="DM148" s="24" t="n"/>
      <c r="DN148" s="24" t="n"/>
      <c r="DO148" s="24" t="n"/>
      <c r="DP148" s="24" t="n"/>
      <c r="DQ148" s="24" t="inlineStr">
        <is>
          <t>{"artifact_hash": "642b63c565f5bb5fd7361cee049bb5868e1ce2884480d212d2362f634573bdf7", "away_team": "B8 Academy", "event_id": "156906", "event_start_utc": "2026-10-14T08:00:00Z", "features": {"away_elo": 1482.405877, "away_history_count": 84, "home_elo": 1517.818023, "home_history_count": 85}, "historical_source_observation_times_verified": false, "home_team": "ENJOY", "inference_inputs": {"book_state": {"games_played": {"bo3:1:10966": 85, "bo3:1:21936": 84}, "inactivity_half_life_days": null, "inactivity_max_pull": null, "k": 40.0, "last_match_utc": {"bo3:1:10966": "2026-10-12T08:10:00Z", "bo3:1:21936": "2026-10-08T16:10:00Z"}, "minimum_reliable_games": null, "platt_intercept": 0.06821870672347567, "platt_slope": 0.8748911450799665, "ratings": {"bo3:1:10966": 1517.818023, "bo3:1:21936": 1482.405877},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"2026-10-14T05:52:14.154858+00:00", "team_ids": ["bo3:1:10966", "bo3:1:21936"]}, "market_type": "moneyline", "model_version": "cs2-tiered-elo-v6", "observed_at_utc": "2026-10-14T05:52:14.154858+00:00", "probabilities": {"away": 0.449194, "home": 0.550806}, "replay_scope": "Exact serving book state, calibration, temperature, inactivity reference and thin-history adjustments; training provenance not certified.", "schema": "esports-elo-replay-v1", "snapshot_hash": "eea90a6e62a45839d43ed6441191eb36ba08555e1c31533996ab8bcbe9ea8bb8", "sport": "CS2"}</t>
        </is>
      </c>
    </row>
    <row r="149" ht="36" customHeight="1">
      <c r="A149" s="24" t="inlineStr">
        <is>
          <t>d60e6f0aaffc4617</t>
        </is>
      </c>
      <c r="B149" s="24" t="inlineStr">
        <is>
          <t>2026-10-14T06:03:43.455911Z</t>
        </is>
      </c>
      <c r="C149" s="24" t="inlineStr">
        <is>
          <t>2026-10-14T08:00:00Z</t>
        </is>
      </c>
      <c r="D149" s="24" t="inlineStr">
        <is>
          <t>157358</t>
        </is>
      </c>
      <c r="E149" s="24" t="inlineStr">
        <is>
          <t>CS2</t>
        </is>
      </c>
      <c r="F149" s="24" t="inlineStr">
        <is>
          <t>Lavked</t>
        </is>
      </c>
      <c r="G149" s="24" t="inlineStr">
        <is>
          <t>Gothic</t>
        </is>
      </c>
      <c r="H149" s="24" t="inlineStr">
        <is>
          <t>total</t>
        </is>
      </c>
      <c r="I149" s="24" t="inlineStr">
        <is>
          <t>under</t>
        </is>
      </c>
      <c r="J149" s="25" t="n">
        <v>2.5</v>
      </c>
      <c r="K149" s="24" t="inlineStr">
        <is>
          <t>polymarket_us</t>
        </is>
      </c>
      <c r="L149" s="26" t="n">
        <v>-127</v>
      </c>
      <c r="M149" s="27" t="n">
        <v>1.787402</v>
      </c>
      <c r="N149" s="28" t="n">
        <v>0.5594710000000001</v>
      </c>
      <c r="O149" s="28" t="n">
        <v>0.500583</v>
      </c>
      <c r="P149" s="28" t="n"/>
      <c r="Q149" s="28" t="n">
        <v>-0.058888</v>
      </c>
      <c r="R149" s="26" t="n">
        <v>0</v>
      </c>
      <c r="S149" s="29" t="n">
        <v>1</v>
      </c>
      <c r="T149" s="24" t="inlineStr">
        <is>
          <t>cs2-total-tiered-elo-v6</t>
        </is>
      </c>
      <c r="U149" s="24" t="inlineStr">
        <is>
          <t>open</t>
        </is>
      </c>
      <c r="V149" s="24" t="n"/>
      <c r="W149" s="26" t="n"/>
      <c r="X149" s="26" t="n"/>
      <c r="Y149" s="25" t="n"/>
      <c r="Z149" s="26" t="n"/>
      <c r="AA149" s="28" t="n"/>
      <c r="AB149" s="28" t="n"/>
      <c r="AC149" s="30" t="n"/>
      <c r="AD149" s="24" t="n"/>
      <c r="AE149" s="31" t="inlineStr">
        <is>
          <t>Neutral Elo baseline; executable ask 0.5600 (market_slug=tsc-cs2-goth-lav-2026-10-14-tot-2pt5).</t>
        </is>
      </c>
      <c r="AF149" s="31" t="inlineStr">
        <is>
          <t>Config-promoted esports baseline; gates enforced at log time.</t>
        </is>
      </c>
      <c r="AG149" s="24" t="inlineStr">
        <is>
          <t>not_applicable</t>
        </is>
      </c>
      <c r="AH149" s="24" t="n"/>
      <c r="AI149" s="31" t="n"/>
      <c r="AJ149" s="31" t="n"/>
      <c r="AK149" s="24" t="inlineStr">
        <is>
          <t>paper_call</t>
        </is>
      </c>
      <c r="AL149" s="26" t="n">
        <v>4</v>
      </c>
      <c r="AM149" s="24" t="inlineStr">
        <is>
          <t>RESEARCH_OBSERVATION</t>
        </is>
      </c>
      <c r="AN149" s="24" t="inlineStr">
        <is>
          <t>CALL</t>
        </is>
      </c>
      <c r="AO149" s="24" t="inlineStr">
        <is>
          <t>PAPER_CALL_LOW_EDGE</t>
        </is>
      </c>
      <c r="AP149" s="24" t="inlineStr">
        <is>
          <t>Lavked</t>
        </is>
      </c>
      <c r="AQ149" s="24" t="inlineStr">
        <is>
          <t>Lavked</t>
        </is>
      </c>
      <c r="AR149" s="24" t="inlineStr">
        <is>
          <t>Lavked</t>
        </is>
      </c>
      <c r="AS149" s="24" t="inlineStr">
        <is>
          <t>Gothic</t>
        </is>
      </c>
      <c r="AT149" s="24" t="inlineStr">
        <is>
          <t>Gothic</t>
        </is>
      </c>
      <c r="AU149" s="24" t="inlineStr">
        <is>
          <t>Gothic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shadow_qualified</t>
        </is>
      </c>
      <c r="BA149" s="24" t="inlineStr">
        <is>
          <t>642b63c565f5bb5fd7361cee049bb5868e1ce2884480d212d2362f634573bdf7</t>
        </is>
      </c>
      <c r="BB149" s="24" t="inlineStr">
        <is>
          <t>neutral_elo</t>
        </is>
      </c>
      <c r="BC149" s="24" t="inlineStr">
        <is>
          <t>cs2-total-tiered-elo-v6</t>
        </is>
      </c>
      <c r="BD149" s="24" t="inlineStr">
        <is>
          <t>642b63c565f5bb5fd7361cee049bb5868e1ce2884480d212d2362f634573bdf7</t>
        </is>
      </c>
      <c r="BE149" s="24" t="inlineStr">
        <is>
          <t>1</t>
        </is>
      </c>
      <c r="BF149" s="24" t="inlineStr">
        <is>
          <t>1</t>
        </is>
      </c>
      <c r="BG149" s="24" t="inlineStr">
        <is>
          <t>cs2-total-tiered-elo-v6</t>
        </is>
      </c>
      <c r="BH149" s="24" t="inlineStr">
        <is>
          <t>2026-10-14T05:53:46.757629Z</t>
        </is>
      </c>
      <c r="BI149" s="24" t="inlineStr">
        <is>
          <t>["same_event","same_team_same_day","same_league_same_day"]</t>
        </is>
      </c>
      <c r="BJ149" s="25" t="n">
        <v>2.5</v>
      </c>
      <c r="BK149" s="26" t="n">
        <v>-127</v>
      </c>
      <c r="BL149" s="27" t="n">
        <v>1.787402</v>
      </c>
      <c r="BM149" s="28" t="n">
        <v>0.5594710000000001</v>
      </c>
      <c r="BN149" s="28" t="n"/>
      <c r="BO149" s="28" t="n"/>
      <c r="BP149" s="25" t="n"/>
      <c r="BQ149" s="27" t="n"/>
      <c r="BR149" s="28" t="n"/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inlineStr">
        <is>
          <t>False</t>
        </is>
      </c>
      <c r="CT149" s="24" t="n"/>
      <c r="CU149" s="24" t="n"/>
      <c r="CV149" s="24" t="n"/>
      <c r="CW149" s="24" t="n"/>
      <c r="CX149" s="24" t="n"/>
      <c r="CY149" s="24" t="n"/>
      <c r="CZ149" s="24" t="n"/>
      <c r="DA149" s="24" t="n"/>
      <c r="DB149" s="24" t="n"/>
      <c r="DC149" s="24" t="n"/>
      <c r="DD149" s="24" t="n"/>
      <c r="DE149" s="24" t="n"/>
      <c r="DF149" s="24" t="n"/>
      <c r="DG149" s="24" t="n"/>
      <c r="DH149" s="24" t="n"/>
      <c r="DI149" s="24" t="n"/>
      <c r="DJ149" s="24" t="n"/>
      <c r="DK149" s="24" t="n"/>
      <c r="DL149" s="24" t="n"/>
      <c r="DM149" s="24" t="n"/>
      <c r="DN149" s="24" t="n"/>
      <c r="DO149" s="24" t="n"/>
      <c r="DP149" s="24" t="n"/>
      <c r="DQ149" s="24" t="n"/>
    </row>
    <row r="150" ht="36" customHeight="1">
      <c r="A150" s="24" t="inlineStr">
        <is>
          <t>ca6bb6b90b594d52</t>
        </is>
      </c>
      <c r="B150" s="24" t="inlineStr">
        <is>
          <t>2026-10-14T06:03:43.455911Z</t>
        </is>
      </c>
      <c r="C150" s="24" t="inlineStr">
        <is>
          <t>2026-10-14T10:30:00Z</t>
        </is>
      </c>
      <c r="D150" s="24" t="inlineStr">
        <is>
          <t>156609</t>
        </is>
      </c>
      <c r="E150" s="24" t="inlineStr">
        <is>
          <t>CS2</t>
        </is>
      </c>
      <c r="F150" s="24" t="inlineStr">
        <is>
          <t>Bread Eaters Esports</t>
        </is>
      </c>
      <c r="G150" s="24" t="inlineStr">
        <is>
          <t>EAC Extra</t>
        </is>
      </c>
      <c r="H150" s="24" t="inlineStr">
        <is>
          <t>total</t>
        </is>
      </c>
      <c r="I150" s="24" t="inlineStr">
        <is>
          <t>under</t>
        </is>
      </c>
      <c r="J150" s="25" t="n">
        <v>2.5</v>
      </c>
      <c r="K150" s="24" t="inlineStr">
        <is>
          <t>polymarket_us</t>
        </is>
      </c>
      <c r="L150" s="26" t="n">
        <v>-138</v>
      </c>
      <c r="M150" s="27" t="n">
        <v>1.724638</v>
      </c>
      <c r="N150" s="28" t="n">
        <v>0.579832</v>
      </c>
      <c r="O150" s="28" t="n">
        <v>0.501205</v>
      </c>
      <c r="P150" s="28" t="n"/>
      <c r="Q150" s="28" t="n">
        <v>-0.078627</v>
      </c>
      <c r="R150" s="26" t="n">
        <v>0</v>
      </c>
      <c r="S150" s="29" t="n">
        <v>1</v>
      </c>
      <c r="T150" s="24" t="inlineStr">
        <is>
          <t>cs2-total-tiered-elo-v6</t>
        </is>
      </c>
      <c r="U150" s="24" t="inlineStr">
        <is>
          <t>open</t>
        </is>
      </c>
      <c r="V150" s="24" t="n"/>
      <c r="W150" s="26" t="n"/>
      <c r="X150" s="26" t="n"/>
      <c r="Y150" s="25" t="n"/>
      <c r="Z150" s="26" t="n"/>
      <c r="AA150" s="28" t="n"/>
      <c r="AB150" s="28" t="n"/>
      <c r="AC150" s="30" t="n"/>
      <c r="AD150" s="24" t="n"/>
      <c r="AE150" s="31" t="inlineStr">
        <is>
          <t>Neutral Elo baseline; executable ask 0.5800 (market_slug=tsc-cs2-eace-bee-2026-10-14-tot-2pt5).</t>
        </is>
      </c>
      <c r="AF150" s="31" t="inlineStr">
        <is>
          <t>Config-promoted esports baseline; gates enforced at log time.</t>
        </is>
      </c>
      <c r="AG150" s="24" t="inlineStr">
        <is>
          <t>not_applicable</t>
        </is>
      </c>
      <c r="AH150" s="24" t="n"/>
      <c r="AI150" s="31" t="n"/>
      <c r="AJ150" s="31" t="n"/>
      <c r="AK150" s="24" t="inlineStr">
        <is>
          <t>paper_call</t>
        </is>
      </c>
      <c r="AL150" s="26" t="n">
        <v>4</v>
      </c>
      <c r="AM150" s="24" t="inlineStr">
        <is>
          <t>RESEARCH_OBSERVATION</t>
        </is>
      </c>
      <c r="AN150" s="24" t="inlineStr">
        <is>
          <t>CALL</t>
        </is>
      </c>
      <c r="AO150" s="24" t="inlineStr">
        <is>
          <t>PAPER_CALL_LOW_EDGE</t>
        </is>
      </c>
      <c r="AP150" s="24" t="inlineStr">
        <is>
          <t>Bread Eaters Esports</t>
        </is>
      </c>
      <c r="AQ150" s="24" t="inlineStr">
        <is>
          <t>Bread Eaters Esports</t>
        </is>
      </c>
      <c r="AR150" s="24" t="inlineStr">
        <is>
          <t>Bread Eaters Esports</t>
        </is>
      </c>
      <c r="AS150" s="24" t="inlineStr">
        <is>
          <t>EAC Extra</t>
        </is>
      </c>
      <c r="AT150" s="24" t="inlineStr">
        <is>
          <t>EAC Extra</t>
        </is>
      </c>
      <c r="AU150" s="24" t="inlineStr">
        <is>
          <t>EAC Extra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shadow_qualified</t>
        </is>
      </c>
      <c r="BA150" s="24" t="inlineStr">
        <is>
          <t>642b63c565f5bb5fd7361cee049bb5868e1ce2884480d212d2362f634573bdf7</t>
        </is>
      </c>
      <c r="BB150" s="24" t="inlineStr">
        <is>
          <t>neutral_elo</t>
        </is>
      </c>
      <c r="BC150" s="24" t="inlineStr">
        <is>
          <t>cs2-total-tiered-elo-v6</t>
        </is>
      </c>
      <c r="BD150" s="24" t="inlineStr">
        <is>
          <t>642b63c565f5bb5fd7361cee049bb5868e1ce2884480d212d2362f634573bdf7</t>
        </is>
      </c>
      <c r="BE150" s="24" t="inlineStr">
        <is>
          <t>1</t>
        </is>
      </c>
      <c r="BF150" s="24" t="inlineStr">
        <is>
          <t>1</t>
        </is>
      </c>
      <c r="BG150" s="24" t="inlineStr">
        <is>
          <t>cs2-total-tiered-elo-v6</t>
        </is>
      </c>
      <c r="BH150" s="24" t="inlineStr">
        <is>
          <t>2026-10-14T05:56:43.658008Z</t>
        </is>
      </c>
      <c r="BI150" s="24" t="inlineStr">
        <is>
          <t>["same_event","same_team_same_day","same_league_same_day"]</t>
        </is>
      </c>
      <c r="BJ150" s="25" t="n">
        <v>2.5</v>
      </c>
      <c r="BK150" s="26" t="n">
        <v>-138</v>
      </c>
      <c r="BL150" s="27" t="n">
        <v>1.724638</v>
      </c>
      <c r="BM150" s="28" t="n">
        <v>0.579832</v>
      </c>
      <c r="BN150" s="28" t="n"/>
      <c r="BO150" s="28" t="n"/>
      <c r="BP150" s="25" t="n"/>
      <c r="BQ150" s="27" t="n"/>
      <c r="BR150" s="28" t="n"/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inlineStr">
        <is>
          <t>False</t>
        </is>
      </c>
      <c r="CT150" s="24" t="n"/>
      <c r="CU150" s="24" t="n"/>
      <c r="CV150" s="24" t="n"/>
      <c r="CW150" s="24" t="n"/>
      <c r="CX150" s="24" t="n"/>
      <c r="CY150" s="24" t="n"/>
      <c r="CZ150" s="24" t="n"/>
      <c r="DA150" s="24" t="n"/>
      <c r="DB150" s="24" t="n"/>
      <c r="DC150" s="24" t="n"/>
      <c r="DD150" s="24" t="n"/>
      <c r="DE150" s="24" t="n"/>
      <c r="DF150" s="24" t="n"/>
      <c r="DG150" s="24" t="n"/>
      <c r="DH150" s="24" t="n"/>
      <c r="DI150" s="24" t="n"/>
      <c r="DJ150" s="24" t="n"/>
      <c r="DK150" s="24" t="n"/>
      <c r="DL150" s="24" t="n"/>
      <c r="DM150" s="24" t="n"/>
      <c r="DN150" s="24" t="n"/>
      <c r="DO150" s="24" t="n"/>
      <c r="DP150" s="24" t="n"/>
      <c r="DQ150" s="24" t="n"/>
    </row>
    <row r="151" ht="36" customHeight="1">
      <c r="A151" s="24" t="inlineStr">
        <is>
          <t>91f572d8d90a4704</t>
        </is>
      </c>
      <c r="B151" s="24" t="inlineStr">
        <is>
          <t>2026-10-14T06:03:43.455911Z</t>
        </is>
      </c>
      <c r="C151" s="24" t="inlineStr">
        <is>
          <t>2026-10-14T11:00:00Z</t>
        </is>
      </c>
      <c r="D151" s="24" t="inlineStr">
        <is>
          <t>154657</t>
        </is>
      </c>
      <c r="E151" s="24" t="inlineStr">
        <is>
          <t>CS2</t>
        </is>
      </c>
      <c r="F151" s="24" t="inlineStr">
        <is>
          <t>NIP</t>
        </is>
      </c>
      <c r="G151" s="24" t="inlineStr">
        <is>
          <t>Team Falcons</t>
        </is>
      </c>
      <c r="H151" s="24" t="inlineStr">
        <is>
          <t>total</t>
        </is>
      </c>
      <c r="I151" s="24" t="inlineStr">
        <is>
          <t>under</t>
        </is>
      </c>
      <c r="J151" s="25" t="n">
        <v>2.5</v>
      </c>
      <c r="K151" s="24" t="inlineStr">
        <is>
          <t>polymarket_us</t>
        </is>
      </c>
      <c r="L151" s="26" t="n">
        <v>-150</v>
      </c>
      <c r="M151" s="27" t="n">
        <v>1.666667</v>
      </c>
      <c r="N151" s="28" t="n">
        <v>0.6</v>
      </c>
      <c r="O151" s="28" t="n">
        <v>0.54065</v>
      </c>
      <c r="P151" s="28" t="n"/>
      <c r="Q151" s="28" t="n">
        <v>-0.05935</v>
      </c>
      <c r="R151" s="26" t="n">
        <v>0</v>
      </c>
      <c r="S151" s="29" t="n">
        <v>1</v>
      </c>
      <c r="T151" s="24" t="inlineStr">
        <is>
          <t>cs2-total-tiered-elo-v6</t>
        </is>
      </c>
      <c r="U151" s="24" t="inlineStr">
        <is>
          <t>open</t>
        </is>
      </c>
      <c r="V151" s="24" t="n"/>
      <c r="W151" s="26" t="n"/>
      <c r="X151" s="26" t="n"/>
      <c r="Y151" s="25" t="n"/>
      <c r="Z151" s="26" t="n"/>
      <c r="AA151" s="28" t="n"/>
      <c r="AB151" s="28" t="n"/>
      <c r="AC151" s="30" t="n"/>
      <c r="AD151" s="24" t="n"/>
      <c r="AE151" s="31" t="inlineStr">
        <is>
          <t>Neutral Elo baseline; executable ask 0.6000 (market_slug=tsc-cs2-fal-nip-2026-10-14-tot-2pt5).</t>
        </is>
      </c>
      <c r="AF151" s="31" t="inlineStr">
        <is>
          <t>Config-promoted esports baseline; gates enforced at log time.</t>
        </is>
      </c>
      <c r="AG151" s="24" t="inlineStr">
        <is>
          <t>not_applicable</t>
        </is>
      </c>
      <c r="AH151" s="24" t="n"/>
      <c r="AI151" s="31" t="n"/>
      <c r="AJ151" s="31" t="n"/>
      <c r="AK151" s="24" t="inlineStr">
        <is>
          <t>paper_call</t>
        </is>
      </c>
      <c r="AL151" s="26" t="n">
        <v>4</v>
      </c>
      <c r="AM151" s="24" t="inlineStr">
        <is>
          <t>RESEARCH_OBSERVATION</t>
        </is>
      </c>
      <c r="AN151" s="24" t="inlineStr">
        <is>
          <t>CALL</t>
        </is>
      </c>
      <c r="AO151" s="24" t="inlineStr">
        <is>
          <t>PAPER_CALL_LOW_EDGE</t>
        </is>
      </c>
      <c r="AP151" s="24" t="inlineStr">
        <is>
          <t>NIP</t>
        </is>
      </c>
      <c r="AQ151" s="24" t="inlineStr">
        <is>
          <t>NIP</t>
        </is>
      </c>
      <c r="AR151" s="24" t="inlineStr">
        <is>
          <t>NIP</t>
        </is>
      </c>
      <c r="AS151" s="24" t="inlineStr">
        <is>
          <t>Team Falcons</t>
        </is>
      </c>
      <c r="AT151" s="24" t="inlineStr">
        <is>
          <t>Team Falcons</t>
        </is>
      </c>
      <c r="AU151" s="24" t="inlineStr">
        <is>
          <t>Team Falcons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shadow_qualified</t>
        </is>
      </c>
      <c r="BA151" s="24" t="inlineStr">
        <is>
          <t>642b63c565f5bb5fd7361cee049bb5868e1ce2884480d212d2362f634573bdf7</t>
        </is>
      </c>
      <c r="BB151" s="24" t="inlineStr">
        <is>
          <t>neutral_elo</t>
        </is>
      </c>
      <c r="BC151" s="24" t="inlineStr">
        <is>
          <t>cs2-total-tiered-elo-v6</t>
        </is>
      </c>
      <c r="BD151" s="24" t="inlineStr">
        <is>
          <t>642b63c565f5bb5fd7361cee049bb5868e1ce2884480d212d2362f634573bdf7</t>
        </is>
      </c>
      <c r="BE151" s="24" t="inlineStr">
        <is>
          <t>1</t>
        </is>
      </c>
      <c r="BF151" s="24" t="inlineStr">
        <is>
          <t>1</t>
        </is>
      </c>
      <c r="BG151" s="24" t="inlineStr">
        <is>
          <t>cs2-total-tiered-elo-v6</t>
        </is>
      </c>
      <c r="BH151" s="24" t="inlineStr">
        <is>
          <t>2026-10-14T05:57:14.991445Z</t>
        </is>
      </c>
      <c r="BI151" s="24" t="inlineStr">
        <is>
          <t>["same_event","same_team_same_day","same_league_same_day"]</t>
        </is>
      </c>
      <c r="BJ151" s="25" t="n">
        <v>2.5</v>
      </c>
      <c r="BK151" s="26" t="n">
        <v>-150</v>
      </c>
      <c r="BL151" s="27" t="n">
        <v>1.666667</v>
      </c>
      <c r="BM151" s="28" t="n">
        <v>0.6</v>
      </c>
      <c r="BN151" s="28" t="n"/>
      <c r="BO151" s="28" t="n"/>
      <c r="BP151" s="25" t="n"/>
      <c r="BQ151" s="27" t="n"/>
      <c r="BR151" s="28" t="n"/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inlineStr">
        <is>
          <t>False</t>
        </is>
      </c>
      <c r="CT151" s="24" t="n"/>
      <c r="CU151" s="24" t="n"/>
      <c r="CV151" s="24" t="n"/>
      <c r="CW151" s="24" t="n"/>
      <c r="CX151" s="24" t="n"/>
      <c r="CY151" s="24" t="n"/>
      <c r="CZ151" s="24" t="n"/>
      <c r="DA151" s="24" t="n"/>
      <c r="DB151" s="24" t="n"/>
      <c r="DC151" s="24" t="n"/>
      <c r="DD151" s="24" t="n"/>
      <c r="DE151" s="24" t="n"/>
      <c r="DF151" s="24" t="n"/>
      <c r="DG151" s="24" t="n"/>
      <c r="DH151" s="24" t="n"/>
      <c r="DI151" s="24" t="n"/>
      <c r="DJ151" s="24" t="n"/>
      <c r="DK151" s="24" t="n"/>
      <c r="DL151" s="24" t="n"/>
      <c r="DM151" s="24" t="n"/>
      <c r="DN151" s="24" t="n"/>
      <c r="DO151" s="24" t="n"/>
      <c r="DP151" s="24" t="n"/>
      <c r="DQ151" s="24" t="n"/>
    </row>
    <row r="152" ht="36" customHeight="1">
      <c r="A152" s="24" t="inlineStr">
        <is>
          <t>14732293a9b64ca8</t>
        </is>
      </c>
      <c r="B152" s="24" t="inlineStr">
        <is>
          <t>2026-10-14T06:03:43.455911Z</t>
        </is>
      </c>
      <c r="C152" s="24" t="inlineStr">
        <is>
          <t>2026-10-14T11:00:00Z</t>
        </is>
      </c>
      <c r="D152" s="24" t="inlineStr">
        <is>
          <t>156908</t>
        </is>
      </c>
      <c r="E152" s="24" t="inlineStr">
        <is>
          <t>CS2</t>
        </is>
      </c>
      <c r="F152" s="24" t="inlineStr">
        <is>
          <t>6666</t>
        </is>
      </c>
      <c r="G152" s="24" t="inlineStr">
        <is>
          <t>los kogutos</t>
        </is>
      </c>
      <c r="H152" s="24" t="inlineStr">
        <is>
          <t>moneyline</t>
        </is>
      </c>
      <c r="I152" s="24" t="inlineStr">
        <is>
          <t>away</t>
        </is>
      </c>
      <c r="J152" s="25" t="n"/>
      <c r="K152" s="24" t="inlineStr">
        <is>
          <t>polymarket_us</t>
        </is>
      </c>
      <c r="L152" s="26" t="n">
        <v>117</v>
      </c>
      <c r="M152" s="27" t="n">
        <v>2.17</v>
      </c>
      <c r="N152" s="28" t="n">
        <v>0.460829</v>
      </c>
      <c r="O152" s="28" t="n">
        <v>0.650526</v>
      </c>
      <c r="P152" s="28" t="n"/>
      <c r="Q152" s="28" t="n">
        <v>0.189697</v>
      </c>
      <c r="R152" s="26" t="n">
        <v>100</v>
      </c>
      <c r="S152" s="29" t="n">
        <v>2</v>
      </c>
      <c r="T152" s="24" t="inlineStr">
        <is>
          <t>cs2-tiered-elo-v6</t>
        </is>
      </c>
      <c r="U152" s="24" t="inlineStr">
        <is>
          <t>open</t>
        </is>
      </c>
      <c r="V152" s="24" t="n"/>
      <c r="W152" s="26" t="n"/>
      <c r="X152" s="26" t="n"/>
      <c r="Y152" s="25" t="n"/>
      <c r="Z152" s="26" t="n"/>
      <c r="AA152" s="28" t="n"/>
      <c r="AB152" s="28" t="n"/>
      <c r="AC152" s="30" t="n"/>
      <c r="AD152" s="24" t="n"/>
      <c r="AE152" s="31" t="inlineStr">
        <is>
          <t>Neutral Elo baseline; executable ask 0.4600 (market_slug=aec-cs2-lk-6666-2026-10-14).</t>
        </is>
      </c>
      <c r="AF152" s="31" t="inlineStr">
        <is>
          <t>Config-promoted esports baseline; gates enforced at log time.</t>
        </is>
      </c>
      <c r="AG152" s="24" t="inlineStr">
        <is>
          <t>not_applicable</t>
        </is>
      </c>
      <c r="AH152" s="24" t="n"/>
      <c r="AI152" s="31" t="n"/>
      <c r="AJ152" s="31" t="n"/>
      <c r="AK152" s="24" t="inlineStr">
        <is>
          <t>model_qualified</t>
        </is>
      </c>
      <c r="AL152" s="26" t="n">
        <v>4</v>
      </c>
      <c r="AM152" s="24" t="inlineStr">
        <is>
          <t>QUALIFIED_SHADOW_CALL</t>
        </is>
      </c>
      <c r="AN152" s="24" t="inlineStr">
        <is>
          <t>CALL</t>
        </is>
      </c>
      <c r="AO152" s="24" t="inlineStr">
        <is>
          <t>QUALIFIED</t>
        </is>
      </c>
      <c r="AP152" s="24" t="inlineStr">
        <is>
          <t>6666</t>
        </is>
      </c>
      <c r="AQ152" s="24" t="inlineStr">
        <is>
          <t>6666</t>
        </is>
      </c>
      <c r="AR152" s="24" t="inlineStr">
        <is>
          <t>6666</t>
        </is>
      </c>
      <c r="AS152" s="24" t="inlineStr">
        <is>
          <t>los kogutos</t>
        </is>
      </c>
      <c r="AT152" s="24" t="inlineStr">
        <is>
          <t>los kogutos</t>
        </is>
      </c>
      <c r="AU152" s="24" t="inlineStr">
        <is>
          <t>los kogutos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shadow_qualified</t>
        </is>
      </c>
      <c r="BA152" s="24" t="inlineStr">
        <is>
          <t>642b63c565f5bb5fd7361cee049bb5868e1ce2884480d212d2362f634573bdf7</t>
        </is>
      </c>
      <c r="BB152" s="24" t="inlineStr">
        <is>
          <t>neutral_elo</t>
        </is>
      </c>
      <c r="BC152" s="24" t="inlineStr">
        <is>
          <t>cs2-tiered-elo-v6</t>
        </is>
      </c>
      <c r="BD152" s="24" t="inlineStr">
        <is>
          <t>642b63c565f5bb5fd7361cee049bb5868e1ce2884480d212d2362f634573bdf7</t>
        </is>
      </c>
      <c r="BE152" s="24" t="inlineStr">
        <is>
          <t>1</t>
        </is>
      </c>
      <c r="BF152" s="24" t="inlineStr">
        <is>
          <t>1</t>
        </is>
      </c>
      <c r="BG152" s="24" t="inlineStr">
        <is>
          <t>cs2-tiered-elo-v6</t>
        </is>
      </c>
      <c r="BH152" s="24" t="inlineStr">
        <is>
          <t>2026-10-14T05:57:56.430521Z</t>
        </is>
      </c>
      <c r="BI152" s="24" t="inlineStr">
        <is>
          <t>["same_event","same_team_same_day","same_league_same_day"]</t>
        </is>
      </c>
      <c r="BJ152" s="25" t="n"/>
      <c r="BK152" s="26" t="n">
        <v>117</v>
      </c>
      <c r="BL152" s="27" t="n">
        <v>2.17</v>
      </c>
      <c r="BM152" s="28" t="n">
        <v>0.460829</v>
      </c>
      <c r="BN152" s="28" t="n"/>
      <c r="BO152" s="28" t="n"/>
      <c r="BP152" s="25" t="n"/>
      <c r="BQ152" s="27" t="n"/>
      <c r="BR152" s="28" t="n"/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inlineStr">
        <is>
          <t>True</t>
        </is>
      </c>
      <c r="CT152" s="24" t="n"/>
      <c r="CU152" s="24" t="n"/>
      <c r="CV152" s="24" t="n"/>
      <c r="CW152" s="24" t="n"/>
      <c r="CX152" s="24" t="n"/>
      <c r="CY152" s="24" t="n"/>
      <c r="CZ152" s="24" t="n"/>
      <c r="DA152" s="24" t="n"/>
      <c r="DB152" s="24" t="n"/>
      <c r="DC152" s="24" t="n"/>
      <c r="DD152" s="24" t="n"/>
      <c r="DE152" s="24" t="n"/>
      <c r="DF152" s="24" t="n"/>
      <c r="DG152" s="24" t="n"/>
      <c r="DH152" s="24" t="n"/>
      <c r="DI152" s="24" t="n"/>
      <c r="DJ152" s="24" t="n"/>
      <c r="DK152" s="24" t="n"/>
      <c r="DL152" s="24" t="n"/>
      <c r="DM152" s="24" t="n"/>
      <c r="DN152" s="24" t="n"/>
      <c r="DO152" s="24" t="n"/>
      <c r="DP152" s="24" t="n"/>
      <c r="DQ152" s="24" t="inlineStr">
        <is>
          <t>{"artifact_hash": "642b63c565f5bb5fd7361cee049bb5868e1ce2884480d212d2362f634573bdf7", "away_team": "6666", "event_id": "156908", "event_start_utc": "2026-10-14T11:00:00Z", "features": {"away_elo": 1681.920979, "away_history_count": 38, "home_elo": 1522.414525, "home_history_count": 187}, "historical_source_observation_times_verified": false, "home_team": "los kogutos", "inference_inputs": {"book_state": {"games_played": {"bo3:1:1093": 187, "bo3:1:24507": 38}, "inactivity_half_life_days": null, "inactivity_max_pull": null, "k": 40.0, "last_match_utc": {"bo3:1:1093": "2026-10-11T16:25:00Z", "bo3:1:24507": "2026-10-13T17:00:00Z"}, "minimum_reliable_games": null, "platt_intercept": 0.06821870672347567, "platt_slope": 0.8748911450799665, "ratings": {"bo3:1:1093": 1522.414525, "bo3:1:24507": 1681.920979},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"2026-10-14T05:52:14.154858+00:00", "team_ids": ["bo3:1:1093", "bo3:1:24507"]}, "market_type": "moneyline", "model_version": "cs2-tiered-elo-v6", "observed_at_utc": "2026-10-14T05:52:14.154858+00:00", "probabilities": {"away": 0.650526, "home": 0.349474}, "replay_scope": "Exact serving book state, calibration, temperature, inactivity reference and thin-history adjustments; training provenance not certified.", "schema": "esports-elo-replay-v1", "snapshot_hash": "e1736e366ffc3e00b5d6423d98fb7909dc379218ce145d44ac462a20927b9191", "sport": "CS2"}</t>
        </is>
      </c>
    </row>
    <row r="153" ht="36" customHeight="1">
      <c r="A153" s="24" t="inlineStr">
        <is>
          <t>ecb3bd4b1cea486e</t>
        </is>
      </c>
      <c r="B153" s="24" t="inlineStr">
        <is>
          <t>2026-10-14T06:03:43.455911Z</t>
        </is>
      </c>
      <c r="C153" s="24" t="inlineStr">
        <is>
          <t>2026-10-14T11:00:00Z</t>
        </is>
      </c>
      <c r="D153" s="24" t="inlineStr">
        <is>
          <t>157359</t>
        </is>
      </c>
      <c r="E153" s="24" t="inlineStr">
        <is>
          <t>CS2</t>
        </is>
      </c>
      <c r="F153" s="24" t="inlineStr">
        <is>
          <t>mellren</t>
        </is>
      </c>
      <c r="G153" s="24" t="inlineStr">
        <is>
          <t>ex-RUSTEC</t>
        </is>
      </c>
      <c r="H153" s="24" t="inlineStr">
        <is>
          <t>moneyline</t>
        </is>
      </c>
      <c r="I153" s="24" t="inlineStr">
        <is>
          <t>home</t>
        </is>
      </c>
      <c r="J153" s="25" t="n"/>
      <c r="K153" s="24" t="inlineStr">
        <is>
          <t>polymarket_us</t>
        </is>
      </c>
      <c r="L153" s="26" t="n">
        <v>-194</v>
      </c>
      <c r="M153" s="27" t="n">
        <v>1.515464</v>
      </c>
      <c r="N153" s="28" t="n">
        <v>0.659864</v>
      </c>
      <c r="O153" s="28" t="n">
        <v>0.609986</v>
      </c>
      <c r="P153" s="28" t="n"/>
      <c r="Q153" s="28" t="n">
        <v>-0.049878</v>
      </c>
      <c r="R153" s="26" t="n">
        <v>0</v>
      </c>
      <c r="S153" s="29" t="n">
        <v>1</v>
      </c>
      <c r="T153" s="24" t="inlineStr">
        <is>
          <t>cs2-tiered-elo-v6</t>
        </is>
      </c>
      <c r="U153" s="24" t="inlineStr">
        <is>
          <t>open</t>
        </is>
      </c>
      <c r="V153" s="24" t="n"/>
      <c r="W153" s="26" t="n"/>
      <c r="X153" s="26" t="n"/>
      <c r="Y153" s="25" t="n"/>
      <c r="Z153" s="26" t="n"/>
      <c r="AA153" s="28" t="n"/>
      <c r="AB153" s="28" t="n"/>
      <c r="AC153" s="30" t="n"/>
      <c r="AD153" s="24" t="n"/>
      <c r="AE153" s="31" t="inlineStr">
        <is>
          <t>Neutral Elo baseline; executable ask 0.6600 (market_slug=aec-cs2-erx-mel-2026-10-14).</t>
        </is>
      </c>
      <c r="AF153" s="31" t="inlineStr">
        <is>
          <t>Config-promoted esports baseline; gates enforced at log time.</t>
        </is>
      </c>
      <c r="AG153" s="24" t="inlineStr">
        <is>
          <t>not_applicable</t>
        </is>
      </c>
      <c r="AH153" s="24" t="n"/>
      <c r="AI153" s="31" t="n"/>
      <c r="AJ153" s="31" t="n"/>
      <c r="AK153" s="24" t="inlineStr">
        <is>
          <t>paper_call</t>
        </is>
      </c>
      <c r="AL153" s="26" t="n">
        <v>4</v>
      </c>
      <c r="AM153" s="24" t="inlineStr">
        <is>
          <t>RESEARCH_OBSERVATION</t>
        </is>
      </c>
      <c r="AN153" s="24" t="inlineStr">
        <is>
          <t>CALL</t>
        </is>
      </c>
      <c r="AO153" s="24" t="inlineStr">
        <is>
          <t>PAPER_CALL_LOW_EDGE</t>
        </is>
      </c>
      <c r="AP153" s="24" t="inlineStr">
        <is>
          <t>mellren</t>
        </is>
      </c>
      <c r="AQ153" s="24" t="inlineStr">
        <is>
          <t>mellren</t>
        </is>
      </c>
      <c r="AR153" s="24" t="inlineStr">
        <is>
          <t>mellren</t>
        </is>
      </c>
      <c r="AS153" s="24" t="inlineStr">
        <is>
          <t>ex-RUSTEC</t>
        </is>
      </c>
      <c r="AT153" s="24" t="inlineStr">
        <is>
          <t>ex-RUSTEC</t>
        </is>
      </c>
      <c r="AU153" s="24" t="inlineStr">
        <is>
          <t>ex-RUSTEC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shadow_qualified</t>
        </is>
      </c>
      <c r="BA153" s="24" t="inlineStr">
        <is>
          <t>642b63c565f5bb5fd7361cee049bb5868e1ce2884480d212d2362f634573bdf7</t>
        </is>
      </c>
      <c r="BB153" s="24" t="inlineStr">
        <is>
          <t>neutral_elo</t>
        </is>
      </c>
      <c r="BC153" s="24" t="inlineStr">
        <is>
          <t>cs2-tiered-elo-v6</t>
        </is>
      </c>
      <c r="BD153" s="24" t="inlineStr">
        <is>
          <t>642b63c565f5bb5fd7361cee049bb5868e1ce2884480d212d2362f634573bdf7</t>
        </is>
      </c>
      <c r="BE153" s="24" t="inlineStr">
        <is>
          <t>1</t>
        </is>
      </c>
      <c r="BF153" s="24" t="inlineStr">
        <is>
          <t>1</t>
        </is>
      </c>
      <c r="BG153" s="24" t="inlineStr">
        <is>
          <t>cs2-tiered-elo-v6</t>
        </is>
      </c>
      <c r="BH153" s="24" t="inlineStr">
        <is>
          <t>2026-10-14T05:57:56.537626Z</t>
        </is>
      </c>
      <c r="BI153" s="24" t="inlineStr">
        <is>
          <t>["same_event","same_team_same_day","same_league_same_day"]</t>
        </is>
      </c>
      <c r="BJ153" s="25" t="n"/>
      <c r="BK153" s="26" t="n">
        <v>-194</v>
      </c>
      <c r="BL153" s="27" t="n">
        <v>1.515464</v>
      </c>
      <c r="BM153" s="28" t="n">
        <v>0.659864</v>
      </c>
      <c r="BN153" s="28" t="n"/>
      <c r="BO153" s="28" t="n"/>
      <c r="BP153" s="25" t="n"/>
      <c r="BQ153" s="27" t="n"/>
      <c r="BR153" s="28" t="n"/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inlineStr">
        <is>
          <t>False</t>
        </is>
      </c>
      <c r="CT153" s="24" t="n"/>
      <c r="CU153" s="24" t="n"/>
      <c r="CV153" s="24" t="n"/>
      <c r="CW153" s="24" t="n"/>
      <c r="CX153" s="24" t="n"/>
      <c r="CY153" s="24" t="n"/>
      <c r="CZ153" s="24" t="n"/>
      <c r="DA153" s="24" t="n"/>
      <c r="DB153" s="24" t="n"/>
      <c r="DC153" s="24" t="n"/>
      <c r="DD153" s="24" t="n"/>
      <c r="DE153" s="24" t="n"/>
      <c r="DF153" s="24" t="n"/>
      <c r="DG153" s="24" t="n"/>
      <c r="DH153" s="24" t="n"/>
      <c r="DI153" s="24" t="n"/>
      <c r="DJ153" s="24" t="n"/>
      <c r="DK153" s="24" t="n"/>
      <c r="DL153" s="24" t="n"/>
      <c r="DM153" s="24" t="n"/>
      <c r="DN153" s="24" t="n"/>
      <c r="DO153" s="24" t="n"/>
      <c r="DP153" s="24" t="n"/>
      <c r="DQ153" s="24" t="inlineStr">
        <is>
          <t>{"artifact_hash": "642b63c565f5bb5fd7361cee049bb5868e1ce2884480d212d2362f634573bdf7", "away_team": "mellren", "event_id": "157359", "event_start_utc": "2026-10-14T11:00:00Z", "features": {"away_elo": 1695.569989, "away_history_count": 56, "home_elo": 1787.204398, "home_history_count": 64}, "historical_source_observation_times_verified": false, "home_team": "ex-RUSTEC", "inference_inputs": {"book_state": {"games_played": {"bo3:1:23102": 56, "bo3:1:24857": 64}, "inactivity_half_life_days": null, "inactivity_max_pull": null, "k": 40.0, "last_match_utc": {"bo3:1:23102": "2026-10-12T11:10:00Z", "bo3:1:24857": "2026-10-12T21:20:00Z"}, "minimum_reliable_games": null, "platt_intercept": 0.06821870672347567, "platt_slope": 0.8748911450799665, "ratings": {"bo3:1:23102": 1695.569989, "bo3:1:24857": 1787.204398},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"2026-10-14T05:52:14.154858+00:00", "team_ids": ["bo3:1:24857", "bo3:1:23102"]}, "market_type": "moneyline", "model_version": "cs2-tiered-elo-v6", "observed_at_utc": "2026-10-14T05:52:14.154858+00:00", "probabilities": {"away": 0.390014, "home": 0.609986}, "replay_scope": "Exact serving book state, calibration, temperature, inactivity reference and thin-history adjustments; training provenance not certified.", "schema": "esports-elo-replay-v1", "snapshot_hash": "4cbaf57b6ec7114bf681f7b0ef94c1cbed7612634d1e05303e00b03b3e427663", "sport": "CS2"}</t>
        </is>
      </c>
    </row>
    <row r="154" ht="36" customHeight="1">
      <c r="A154" s="24" t="inlineStr">
        <is>
          <t>27c716a152f441c2</t>
        </is>
      </c>
      <c r="B154" s="24" t="inlineStr">
        <is>
          <t>2026-10-14T06:03:43.455911Z</t>
        </is>
      </c>
      <c r="C154" s="24" t="inlineStr">
        <is>
          <t>2026-10-14T13:30:00Z</t>
        </is>
      </c>
      <c r="D154" s="24" t="inlineStr">
        <is>
          <t>154784</t>
        </is>
      </c>
      <c r="E154" s="24" t="inlineStr">
        <is>
          <t>CS2</t>
        </is>
      </c>
      <c r="F154" s="24" t="inlineStr">
        <is>
          <t>PARIVISION</t>
        </is>
      </c>
      <c r="G154" s="24" t="inlineStr">
        <is>
          <t>Legacy</t>
        </is>
      </c>
      <c r="H154" s="24" t="inlineStr">
        <is>
          <t>total</t>
        </is>
      </c>
      <c r="I154" s="24" t="inlineStr">
        <is>
          <t>under</t>
        </is>
      </c>
      <c r="J154" s="25" t="n">
        <v>2.5</v>
      </c>
      <c r="K154" s="24" t="inlineStr">
        <is>
          <t>polymarket_us</t>
        </is>
      </c>
      <c r="L154" s="26" t="n">
        <v>-133</v>
      </c>
      <c r="M154" s="27" t="n">
        <v>1.75188</v>
      </c>
      <c r="N154" s="28" t="n">
        <v>0.570815</v>
      </c>
      <c r="O154" s="28" t="n">
        <v>0.503866</v>
      </c>
      <c r="P154" s="28" t="n"/>
      <c r="Q154" s="28" t="n">
        <v>-0.06694899999999999</v>
      </c>
      <c r="R154" s="26" t="n">
        <v>0</v>
      </c>
      <c r="S154" s="29" t="n">
        <v>1</v>
      </c>
      <c r="T154" s="24" t="inlineStr">
        <is>
          <t>cs2-total-tiered-elo-v6</t>
        </is>
      </c>
      <c r="U154" s="24" t="inlineStr">
        <is>
          <t>open</t>
        </is>
      </c>
      <c r="V154" s="24" t="n"/>
      <c r="W154" s="26" t="n"/>
      <c r="X154" s="26" t="n"/>
      <c r="Y154" s="25" t="n"/>
      <c r="Z154" s="26" t="n"/>
      <c r="AA154" s="28" t="n"/>
      <c r="AB154" s="28" t="n"/>
      <c r="AC154" s="30" t="n"/>
      <c r="AD154" s="24" t="n"/>
      <c r="AE154" s="31" t="inlineStr">
        <is>
          <t>Neutral Elo baseline; executable ask 0.5700 (market_slug=tsc-cs2-lgc-prv-2026-10-14-tot-2pt5).</t>
        </is>
      </c>
      <c r="AF154" s="31" t="inlineStr">
        <is>
          <t>Config-promoted esports baseline; gates enforced at log time.</t>
        </is>
      </c>
      <c r="AG154" s="24" t="inlineStr">
        <is>
          <t>not_applicable</t>
        </is>
      </c>
      <c r="AH154" s="24" t="n"/>
      <c r="AI154" s="31" t="n"/>
      <c r="AJ154" s="31" t="n"/>
      <c r="AK154" s="24" t="inlineStr">
        <is>
          <t>paper_call</t>
        </is>
      </c>
      <c r="AL154" s="26" t="n">
        <v>4</v>
      </c>
      <c r="AM154" s="24" t="inlineStr">
        <is>
          <t>RESEARCH_OBSERVATION</t>
        </is>
      </c>
      <c r="AN154" s="24" t="inlineStr">
        <is>
          <t>CALL</t>
        </is>
      </c>
      <c r="AO154" s="24" t="inlineStr">
        <is>
          <t>PAPER_CALL_LOW_EDGE</t>
        </is>
      </c>
      <c r="AP154" s="24" t="inlineStr">
        <is>
          <t>PARIVISION</t>
        </is>
      </c>
      <c r="AQ154" s="24" t="inlineStr">
        <is>
          <t>PARIVISION</t>
        </is>
      </c>
      <c r="AR154" s="24" t="inlineStr">
        <is>
          <t>PARIVISION</t>
        </is>
      </c>
      <c r="AS154" s="24" t="inlineStr">
        <is>
          <t>Legacy</t>
        </is>
      </c>
      <c r="AT154" s="24" t="inlineStr">
        <is>
          <t>Legacy</t>
        </is>
      </c>
      <c r="AU154" s="24" t="inlineStr">
        <is>
          <t>Legacy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shadow_qualified</t>
        </is>
      </c>
      <c r="BA154" s="24" t="inlineStr">
        <is>
          <t>642b63c565f5bb5fd7361cee049bb5868e1ce2884480d212d2362f634573bdf7</t>
        </is>
      </c>
      <c r="BB154" s="24" t="inlineStr">
        <is>
          <t>neutral_elo</t>
        </is>
      </c>
      <c r="BC154" s="24" t="inlineStr">
        <is>
          <t>cs2-total-tiered-elo-v6</t>
        </is>
      </c>
      <c r="BD154" s="24" t="inlineStr">
        <is>
          <t>642b63c565f5bb5fd7361cee049bb5868e1ce2884480d212d2362f634573bdf7</t>
        </is>
      </c>
      <c r="BE154" s="24" t="inlineStr">
        <is>
          <t>1</t>
        </is>
      </c>
      <c r="BF154" s="24" t="inlineStr">
        <is>
          <t>1</t>
        </is>
      </c>
      <c r="BG154" s="24" t="inlineStr">
        <is>
          <t>cs2-total-tiered-elo-v6</t>
        </is>
      </c>
      <c r="BH154" s="24" t="inlineStr">
        <is>
          <t>2026-10-14T05:59:08.842775Z</t>
        </is>
      </c>
      <c r="BI154" s="24" t="inlineStr">
        <is>
          <t>["same_event","same_team_same_day","same_league_same_day"]</t>
        </is>
      </c>
      <c r="BJ154" s="25" t="n">
        <v>2.5</v>
      </c>
      <c r="BK154" s="26" t="n">
        <v>-133</v>
      </c>
      <c r="BL154" s="27" t="n">
        <v>1.75188</v>
      </c>
      <c r="BM154" s="28" t="n">
        <v>0.570815</v>
      </c>
      <c r="BN154" s="28" t="n"/>
      <c r="BO154" s="28" t="n"/>
      <c r="BP154" s="25" t="n"/>
      <c r="BQ154" s="27" t="n"/>
      <c r="BR154" s="28" t="n"/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inlineStr">
        <is>
          <t>False</t>
        </is>
      </c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/>
      <c r="DH154" s="24" t="n"/>
      <c r="DI154" s="24" t="n"/>
      <c r="DJ154" s="24" t="n"/>
      <c r="DK154" s="24" t="n"/>
      <c r="DL154" s="24" t="n"/>
      <c r="DM154" s="24" t="n"/>
      <c r="DN154" s="24" t="n"/>
      <c r="DO154" s="24" t="n"/>
      <c r="DP154" s="24" t="n"/>
      <c r="DQ154" s="24" t="n"/>
    </row>
    <row r="155" ht="36" customHeight="1">
      <c r="A155" s="24" t="inlineStr">
        <is>
          <t>e4fa1647b7c44b1c</t>
        </is>
      </c>
      <c r="B155" s="24" t="inlineStr">
        <is>
          <t>2026-10-14T06:03:43.455911Z</t>
        </is>
      </c>
      <c r="C155" s="24" t="inlineStr">
        <is>
          <t>2026-10-14T14:00:00Z</t>
        </is>
      </c>
      <c r="D155" s="24" t="inlineStr">
        <is>
          <t>157863</t>
        </is>
      </c>
      <c r="E155" s="24" t="inlineStr">
        <is>
          <t>CS2</t>
        </is>
      </c>
      <c r="F155" s="24" t="inlineStr">
        <is>
          <t>FORZE Reload</t>
        </is>
      </c>
      <c r="G155" s="24" t="inlineStr">
        <is>
          <t>BET-M 33</t>
        </is>
      </c>
      <c r="H155" s="24" t="inlineStr">
        <is>
          <t>moneyline</t>
        </is>
      </c>
      <c r="I155" s="24" t="inlineStr">
        <is>
          <t>home</t>
        </is>
      </c>
      <c r="J155" s="25" t="n"/>
      <c r="K155" s="24" t="inlineStr">
        <is>
          <t>polymarket_us</t>
        </is>
      </c>
      <c r="L155" s="26" t="n">
        <v>-117</v>
      </c>
      <c r="M155" s="27" t="n">
        <v>1.854701</v>
      </c>
      <c r="N155" s="28" t="n">
        <v>0.539171</v>
      </c>
      <c r="O155" s="28" t="n">
        <v>0.590184</v>
      </c>
      <c r="P155" s="28" t="n"/>
      <c r="Q155" s="28" t="n">
        <v>0.051013</v>
      </c>
      <c r="R155" s="26" t="n">
        <v>46</v>
      </c>
      <c r="S155" s="29" t="n">
        <v>1</v>
      </c>
      <c r="T155" s="24" t="inlineStr">
        <is>
          <t>cs2-tiered-elo-v6</t>
        </is>
      </c>
      <c r="U155" s="24" t="inlineStr">
        <is>
          <t>open</t>
        </is>
      </c>
      <c r="V155" s="24" t="n"/>
      <c r="W155" s="26" t="n"/>
      <c r="X155" s="26" t="n"/>
      <c r="Y155" s="25" t="n"/>
      <c r="Z155" s="26" t="n"/>
      <c r="AA155" s="28" t="n"/>
      <c r="AB155" s="28" t="n"/>
      <c r="AC155" s="30" t="n"/>
      <c r="AD155" s="24" t="n"/>
      <c r="AE155" s="31" t="inlineStr">
        <is>
          <t>Neutral Elo baseline; executable ask 0.5400 (market_slug=aec-cs2-33-forzer-2026-10-14).</t>
        </is>
      </c>
      <c r="AF155" s="31" t="inlineStr">
        <is>
          <t>Config-promoted esports baseline; gates enforced at log time.</t>
        </is>
      </c>
      <c r="AG155" s="24" t="inlineStr">
        <is>
          <t>not_applicable</t>
        </is>
      </c>
      <c r="AH155" s="24" t="n"/>
      <c r="AI155" s="31" t="n"/>
      <c r="AJ155" s="31" t="n"/>
      <c r="AK155" s="24" t="inlineStr">
        <is>
          <t>model_qualified</t>
        </is>
      </c>
      <c r="AL155" s="26" t="n">
        <v>4</v>
      </c>
      <c r="AM155" s="24" t="inlineStr">
        <is>
          <t>QUALIFIED_SHADOW_CALL</t>
        </is>
      </c>
      <c r="AN155" s="24" t="inlineStr">
        <is>
          <t>CALL</t>
        </is>
      </c>
      <c r="AO155" s="24" t="inlineStr">
        <is>
          <t>QUALIFIED</t>
        </is>
      </c>
      <c r="AP155" s="24" t="inlineStr">
        <is>
          <t>FORZE Reload</t>
        </is>
      </c>
      <c r="AQ155" s="24" t="inlineStr">
        <is>
          <t>FORZE Reload</t>
        </is>
      </c>
      <c r="AR155" s="24" t="inlineStr">
        <is>
          <t>FORZE Reload</t>
        </is>
      </c>
      <c r="AS155" s="24" t="inlineStr">
        <is>
          <t>BET-M 33</t>
        </is>
      </c>
      <c r="AT155" s="24" t="inlineStr">
        <is>
          <t>BET-M 33</t>
        </is>
      </c>
      <c r="AU155" s="24" t="inlineStr">
        <is>
          <t>BET-M 33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shadow_qualified</t>
        </is>
      </c>
      <c r="BA155" s="24" t="inlineStr">
        <is>
          <t>642b63c565f5bb5fd7361cee049bb5868e1ce2884480d212d2362f634573bdf7</t>
        </is>
      </c>
      <c r="BB155" s="24" t="inlineStr">
        <is>
          <t>neutral_elo</t>
        </is>
      </c>
      <c r="BC155" s="24" t="inlineStr">
        <is>
          <t>cs2-tiered-elo-v6</t>
        </is>
      </c>
      <c r="BD155" s="24" t="inlineStr">
        <is>
          <t>642b63c565f5bb5fd7361cee049bb5868e1ce2884480d212d2362f634573bdf7</t>
        </is>
      </c>
      <c r="BE155" s="24" t="inlineStr">
        <is>
          <t>1</t>
        </is>
      </c>
      <c r="BF155" s="24" t="inlineStr">
        <is>
          <t>1</t>
        </is>
      </c>
      <c r="BG155" s="24" t="inlineStr">
        <is>
          <t>cs2-tiered-elo-v6</t>
        </is>
      </c>
      <c r="BH155" s="24" t="inlineStr">
        <is>
          <t>2026-10-14T05:59:50.745423Z</t>
        </is>
      </c>
      <c r="BI155" s="24" t="inlineStr">
        <is>
          <t>["same_event","same_team_same_day","same_league_same_day"]</t>
        </is>
      </c>
      <c r="BJ155" s="25" t="n"/>
      <c r="BK155" s="26" t="n">
        <v>-117</v>
      </c>
      <c r="BL155" s="27" t="n">
        <v>1.854701</v>
      </c>
      <c r="BM155" s="28" t="n">
        <v>0.539171</v>
      </c>
      <c r="BN155" s="28" t="n"/>
      <c r="BO155" s="28" t="n"/>
      <c r="BP155" s="25" t="n"/>
      <c r="BQ155" s="27" t="n"/>
      <c r="BR155" s="28" t="n"/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inlineStr">
        <is>
          <t>True</t>
        </is>
      </c>
      <c r="CT155" s="24" t="n"/>
      <c r="CU155" s="24" t="n"/>
      <c r="CV155" s="24" t="n"/>
      <c r="CW155" s="24" t="n"/>
      <c r="CX155" s="24" t="n"/>
      <c r="CY155" s="24" t="n"/>
      <c r="CZ155" s="24" t="n"/>
      <c r="DA155" s="24" t="n"/>
      <c r="DB155" s="24" t="n"/>
      <c r="DC155" s="24" t="n"/>
      <c r="DD155" s="24" t="n"/>
      <c r="DE155" s="24" t="n"/>
      <c r="DF155" s="24" t="n"/>
      <c r="DG155" s="24" t="n"/>
      <c r="DH155" s="24" t="n"/>
      <c r="DI155" s="24" t="n"/>
      <c r="DJ155" s="24" t="n"/>
      <c r="DK155" s="24" t="n"/>
      <c r="DL155" s="24" t="n"/>
      <c r="DM155" s="24" t="n"/>
      <c r="DN155" s="24" t="n"/>
      <c r="DO155" s="24" t="n"/>
      <c r="DP155" s="24" t="n"/>
      <c r="DQ155" s="24" t="inlineStr">
        <is>
          <t>{"artifact_hash": "642b63c565f5bb5fd7361cee049bb5868e1ce2884480d212d2362f634573bdf7", "away_team": "FORZE Reload", "event_id": "157863", "event_start_utc": "2026-10-14T14:00:00Z", "features": {"away_elo": 1675.326686, "away_history_count": 332, "home_elo": 1738.15062, "home_history_count": 178}, "historical_source_observation_times_verified": false, "home_team": "BET-M 33", "inference_inputs": {"book_state": {"games_played": {"bo3:1:10703": 332, "bo3:1:22191": 178}, "inactivity_half_life_days": null, "inactivity_max_pull": null, "k": 40.0, "last_match_utc": {"bo3:1:10703": "2026-10-04T13:45:00Z", "bo3:1:22191": "2026-10-11T17:00:00Z"}, "minimum_reliable_games": null, "platt_intercept": 0.06821870672347567, "platt_slope": 0.8748911450799665, "ratings": {"bo3:1:10703": 1675.326686, "bo3:1:22191": 1738.15062},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"2026-10-14T05:52:14.154858+00:00", "team_ids": ["bo3:1:22191", "bo3:1:10703"]}, "market_type": "moneyline", "model_version": "cs2-tiered-elo-v6", "observed_at_utc": "2026-10-14T05:52:14.154858+00:00", "probabilities": {"away": 0.409816, "home": 0.590184}, "replay_scope": "Exact serving book state, calibration, temperature, inactivity reference and thin-history adjustments; training provenance not certified.", "schema": "esports-elo-replay-v1", "snapshot_hash": "bbe81590e925cd7635614102892849d3282466b446d883131b13c185b4483323", "sport": "CS2"}</t>
        </is>
      </c>
    </row>
    <row r="156" ht="36" customHeight="1">
      <c r="A156" s="24" t="inlineStr">
        <is>
          <t>4069df6f77f5431a</t>
        </is>
      </c>
      <c r="B156" s="24" t="inlineStr">
        <is>
          <t>2026-10-14T06:03:43.455911Z</t>
        </is>
      </c>
      <c r="C156" s="24" t="inlineStr">
        <is>
          <t>2026-10-14T14:00:00Z</t>
        </is>
      </c>
      <c r="D156" s="24" t="inlineStr">
        <is>
          <t>159046</t>
        </is>
      </c>
      <c r="E156" s="24" t="inlineStr">
        <is>
          <t>CS2</t>
        </is>
      </c>
      <c r="F156" s="24" t="inlineStr">
        <is>
          <t>UPGRADE</t>
        </is>
      </c>
      <c r="G156" s="24" t="inlineStr">
        <is>
          <t>Butterfly</t>
        </is>
      </c>
      <c r="H156" s="24" t="inlineStr">
        <is>
          <t>moneyline</t>
        </is>
      </c>
      <c r="I156" s="24" t="inlineStr">
        <is>
          <t>home</t>
        </is>
      </c>
      <c r="J156" s="25" t="n"/>
      <c r="K156" s="24" t="inlineStr">
        <is>
          <t>polymarket_us</t>
        </is>
      </c>
      <c r="L156" s="26" t="n">
        <v>-108</v>
      </c>
      <c r="M156" s="27" t="n">
        <v>1.925926</v>
      </c>
      <c r="N156" s="28" t="n">
        <v>0.519231</v>
      </c>
      <c r="O156" s="28" t="n">
        <v>0.637364</v>
      </c>
      <c r="P156" s="28" t="n"/>
      <c r="Q156" s="28" t="n">
        <v>0.118133</v>
      </c>
      <c r="R156" s="26" t="n">
        <v>79</v>
      </c>
      <c r="S156" s="29" t="n">
        <v>1.5</v>
      </c>
      <c r="T156" s="24" t="inlineStr">
        <is>
          <t>cs2-tiered-elo-v6</t>
        </is>
      </c>
      <c r="U156" s="24" t="inlineStr">
        <is>
          <t>open</t>
        </is>
      </c>
      <c r="V156" s="24" t="n"/>
      <c r="W156" s="26" t="n"/>
      <c r="X156" s="26" t="n"/>
      <c r="Y156" s="25" t="n"/>
      <c r="Z156" s="26" t="n"/>
      <c r="AA156" s="28" t="n"/>
      <c r="AB156" s="28" t="n"/>
      <c r="AC156" s="30" t="n"/>
      <c r="AD156" s="24" t="n"/>
      <c r="AE156" s="31" t="inlineStr">
        <is>
          <t>Neutral Elo baseline; executable ask 0.5200 (market_slug=aec-cs2-btf-upg-2026-10-14).</t>
        </is>
      </c>
      <c r="AF156" s="31" t="inlineStr">
        <is>
          <t>Config-promoted esports baseline; gates enforced at log time.</t>
        </is>
      </c>
      <c r="AG156" s="24" t="inlineStr">
        <is>
          <t>not_applicable</t>
        </is>
      </c>
      <c r="AH156" s="24" t="n"/>
      <c r="AI156" s="31" t="n"/>
      <c r="AJ156" s="31" t="n"/>
      <c r="AK156" s="24" t="inlineStr">
        <is>
          <t>model_qualified</t>
        </is>
      </c>
      <c r="AL156" s="26" t="n">
        <v>4</v>
      </c>
      <c r="AM156" s="24" t="inlineStr">
        <is>
          <t>QUALIFIED_SHADOW_CALL</t>
        </is>
      </c>
      <c r="AN156" s="24" t="inlineStr">
        <is>
          <t>CALL</t>
        </is>
      </c>
      <c r="AO156" s="24" t="inlineStr">
        <is>
          <t>QUALIFIED</t>
        </is>
      </c>
      <c r="AP156" s="24" t="inlineStr">
        <is>
          <t>UPGRADE</t>
        </is>
      </c>
      <c r="AQ156" s="24" t="inlineStr">
        <is>
          <t>UPGRADE</t>
        </is>
      </c>
      <c r="AR156" s="24" t="inlineStr">
        <is>
          <t>UPGRADE</t>
        </is>
      </c>
      <c r="AS156" s="24" t="inlineStr">
        <is>
          <t>Butterfly</t>
        </is>
      </c>
      <c r="AT156" s="24" t="inlineStr">
        <is>
          <t>Butterfly</t>
        </is>
      </c>
      <c r="AU156" s="24" t="inlineStr">
        <is>
          <t>Butterfly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shadow_qualified</t>
        </is>
      </c>
      <c r="BA156" s="24" t="inlineStr">
        <is>
          <t>642b63c565f5bb5fd7361cee049bb5868e1ce2884480d212d2362f634573bdf7</t>
        </is>
      </c>
      <c r="BB156" s="24" t="inlineStr">
        <is>
          <t>neutral_elo</t>
        </is>
      </c>
      <c r="BC156" s="24" t="inlineStr">
        <is>
          <t>cs2-tiered-elo-v6</t>
        </is>
      </c>
      <c r="BD156" s="24" t="inlineStr">
        <is>
          <t>642b63c565f5bb5fd7361cee049bb5868e1ce2884480d212d2362f634573bdf7</t>
        </is>
      </c>
      <c r="BE156" s="24" t="inlineStr">
        <is>
          <t>1</t>
        </is>
      </c>
      <c r="BF156" s="24" t="inlineStr">
        <is>
          <t>1</t>
        </is>
      </c>
      <c r="BG156" s="24" t="inlineStr">
        <is>
          <t>cs2-tiered-elo-v6</t>
        </is>
      </c>
      <c r="BH156" s="24" t="inlineStr">
        <is>
          <t>2026-10-14T06:00:22.148335Z</t>
        </is>
      </c>
      <c r="BI156" s="24" t="inlineStr">
        <is>
          <t>["same_event","same_team_same_day","same_league_same_day"]</t>
        </is>
      </c>
      <c r="BJ156" s="25" t="n"/>
      <c r="BK156" s="26" t="n">
        <v>-108</v>
      </c>
      <c r="BL156" s="27" t="n">
        <v>1.925926</v>
      </c>
      <c r="BM156" s="28" t="n">
        <v>0.519231</v>
      </c>
      <c r="BN156" s="28" t="n"/>
      <c r="BO156" s="28" t="n"/>
      <c r="BP156" s="25" t="n"/>
      <c r="BQ156" s="27" t="n"/>
      <c r="BR156" s="28" t="n"/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inlineStr">
        <is>
          <t>True</t>
        </is>
      </c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24" t="n"/>
      <c r="DE156" s="24" t="n"/>
      <c r="DF156" s="24" t="n"/>
      <c r="DG156" s="24" t="n"/>
      <c r="DH156" s="24" t="n"/>
      <c r="DI156" s="24" t="n"/>
      <c r="DJ156" s="24" t="n"/>
      <c r="DK156" s="24" t="n"/>
      <c r="DL156" s="24" t="n"/>
      <c r="DM156" s="24" t="n"/>
      <c r="DN156" s="24" t="n"/>
      <c r="DO156" s="24" t="n"/>
      <c r="DP156" s="24" t="n"/>
      <c r="DQ156" s="24" t="inlineStr">
        <is>
          <t>{"artifact_hash": "642b63c565f5bb5fd7361cee049bb5868e1ce2884480d212d2362f634573bdf7", "away_team": "UPGRADE", "event_id": "159046", "event_start_utc": "2026-10-14T14:00:00Z", "features": {"away_elo": 1537.218061, "away_history_count": 11, "home_elo": 1660.985544, "home_history_count": 30}, "historical_source_observation_times_verified": false, "home_team": "Butterfly", "inference_inputs": {"book_state": {"games_played": {"bo3:1:24855": 30, "bo3:1:25212": 11}, "inactivity_half_life_days": null, "inactivity_max_pull": null, "k": 40.0, "last_match_utc": {"bo3:1:24855": "2026-10-06T14:00:00Z", "bo3:1:25212": "2026-09-25T14:45:00Z"}, "minimum_reliable_games": null, "platt_intercept": 0.06821870672347567, "platt_slope": 0.8748911450799665, "ratings": {"bo3:1:24855": 1660.985544, "bo3:1:25212": 1537.218061},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"2026-10-14T05:52:14.154858+00:00", "team_ids": ["bo3:1:24855", "bo3:1:25212"]}, "market_type": "moneyline", "model_version": "cs2-tiered-elo-v6", "observed_at_utc": "2026-10-14T05:52:14.154858+00:00", "probabilities": {"away": 0.362636, "home": 0.637364}, "replay_scope": "Exact serving book state, calibration, temperature, inactivity reference and thin-history adjustments; training provenance not certified.", "schema": "esports-elo-replay-v1", "snapshot_hash": "b7e859df509a56ba4bda50a559c47f8c4d8d4cfd98d4b4f89bf0e069551b98bd", "sport": "CS2"}</t>
        </is>
      </c>
    </row>
    <row r="157" ht="36" customHeight="1">
      <c r="A157" s="24" t="inlineStr">
        <is>
          <t>4c629f21f0ad470b</t>
        </is>
      </c>
      <c r="B157" s="24" t="inlineStr">
        <is>
          <t>2026-10-14T06:03:43.455911Z</t>
        </is>
      </c>
      <c r="C157" s="24" t="inlineStr">
        <is>
          <t>2026-10-14T14:00:00Z</t>
        </is>
      </c>
      <c r="D157" s="24" t="inlineStr">
        <is>
          <t>159047</t>
        </is>
      </c>
      <c r="E157" s="24" t="inlineStr">
        <is>
          <t>CS2</t>
        </is>
      </c>
      <c r="F157" s="24" t="inlineStr">
        <is>
          <t>Phantom</t>
        </is>
      </c>
      <c r="G157" s="24" t="inlineStr">
        <is>
          <t>Nuclear TigeRES</t>
        </is>
      </c>
      <c r="H157" s="24" t="inlineStr">
        <is>
          <t>moneyline</t>
        </is>
      </c>
      <c r="I157" s="24" t="inlineStr">
        <is>
          <t>home</t>
        </is>
      </c>
      <c r="J157" s="25" t="n"/>
      <c r="K157" s="24" t="inlineStr">
        <is>
          <t>polymarket_us</t>
        </is>
      </c>
      <c r="L157" s="26" t="n">
        <v>-144</v>
      </c>
      <c r="M157" s="27" t="n">
        <v>1.694444</v>
      </c>
      <c r="N157" s="28" t="n">
        <v>0.590164</v>
      </c>
      <c r="O157" s="28" t="n">
        <v>0.6723749999999999</v>
      </c>
      <c r="P157" s="28" t="n"/>
      <c r="Q157" s="28" t="n">
        <v>0.08221100000000001</v>
      </c>
      <c r="R157" s="26" t="n">
        <v>61</v>
      </c>
      <c r="S157" s="29" t="n">
        <v>1.25</v>
      </c>
      <c r="T157" s="24" t="inlineStr">
        <is>
          <t>cs2-tiered-elo-v6</t>
        </is>
      </c>
      <c r="U157" s="24" t="inlineStr">
        <is>
          <t>open</t>
        </is>
      </c>
      <c r="V157" s="24" t="n"/>
      <c r="W157" s="26" t="n"/>
      <c r="X157" s="26" t="n"/>
      <c r="Y157" s="25" t="n"/>
      <c r="Z157" s="26" t="n"/>
      <c r="AA157" s="28" t="n"/>
      <c r="AB157" s="28" t="n"/>
      <c r="AC157" s="30" t="n"/>
      <c r="AD157" s="24" t="n"/>
      <c r="AE157" s="31" t="inlineStr">
        <is>
          <t>Neutral Elo baseline; executable ask 0.5900 (market_slug=aec-cs2-ntr-pha-2026-10-14).</t>
        </is>
      </c>
      <c r="AF157" s="31" t="inlineStr">
        <is>
          <t>Config-promoted esports baseline; gates enforced at log time.</t>
        </is>
      </c>
      <c r="AG157" s="24" t="inlineStr">
        <is>
          <t>not_applicable</t>
        </is>
      </c>
      <c r="AH157" s="24" t="n"/>
      <c r="AI157" s="31" t="n"/>
      <c r="AJ157" s="31" t="n"/>
      <c r="AK157" s="24" t="inlineStr">
        <is>
          <t>model_qualified</t>
        </is>
      </c>
      <c r="AL157" s="26" t="n">
        <v>4</v>
      </c>
      <c r="AM157" s="24" t="inlineStr">
        <is>
          <t>QUALIFIED_SHADOW_CALL</t>
        </is>
      </c>
      <c r="AN157" s="24" t="inlineStr">
        <is>
          <t>CALL</t>
        </is>
      </c>
      <c r="AO157" s="24" t="inlineStr">
        <is>
          <t>QUALIFIED</t>
        </is>
      </c>
      <c r="AP157" s="24" t="inlineStr">
        <is>
          <t>Phantom</t>
        </is>
      </c>
      <c r="AQ157" s="24" t="inlineStr">
        <is>
          <t>Phantom</t>
        </is>
      </c>
      <c r="AR157" s="24" t="inlineStr">
        <is>
          <t>Phantom</t>
        </is>
      </c>
      <c r="AS157" s="24" t="inlineStr">
        <is>
          <t>Nuclear TigeRES</t>
        </is>
      </c>
      <c r="AT157" s="24" t="inlineStr">
        <is>
          <t>Nuclear TigeRES</t>
        </is>
      </c>
      <c r="AU157" s="24" t="inlineStr">
        <is>
          <t>Nuclear TigeRES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shadow_qualified</t>
        </is>
      </c>
      <c r="BA157" s="24" t="inlineStr">
        <is>
          <t>642b63c565f5bb5fd7361cee049bb5868e1ce2884480d212d2362f634573bdf7</t>
        </is>
      </c>
      <c r="BB157" s="24" t="inlineStr">
        <is>
          <t>neutral_elo</t>
        </is>
      </c>
      <c r="BC157" s="24" t="inlineStr">
        <is>
          <t>cs2-tiered-elo-v6</t>
        </is>
      </c>
      <c r="BD157" s="24" t="inlineStr">
        <is>
          <t>642b63c565f5bb5fd7361cee049bb5868e1ce2884480d212d2362f634573bdf7</t>
        </is>
      </c>
      <c r="BE157" s="24" t="inlineStr">
        <is>
          <t>1</t>
        </is>
      </c>
      <c r="BF157" s="24" t="inlineStr">
        <is>
          <t>1</t>
        </is>
      </c>
      <c r="BG157" s="24" t="inlineStr">
        <is>
          <t>cs2-tiered-elo-v6</t>
        </is>
      </c>
      <c r="BH157" s="24" t="inlineStr">
        <is>
          <t>2026-10-14T06:00:22.422098Z</t>
        </is>
      </c>
      <c r="BI157" s="24" t="inlineStr">
        <is>
          <t>["same_event","same_team_same_day","same_league_same_day"]</t>
        </is>
      </c>
      <c r="BJ157" s="25" t="n"/>
      <c r="BK157" s="26" t="n">
        <v>-144</v>
      </c>
      <c r="BL157" s="27" t="n">
        <v>1.694444</v>
      </c>
      <c r="BM157" s="28" t="n">
        <v>0.590164</v>
      </c>
      <c r="BN157" s="28" t="n"/>
      <c r="BO157" s="28" t="n"/>
      <c r="BP157" s="25" t="n"/>
      <c r="BQ157" s="27" t="n"/>
      <c r="BR157" s="28" t="n"/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inlineStr">
        <is>
          <t>True</t>
        </is>
      </c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n"/>
      <c r="DK157" s="24" t="n"/>
      <c r="DL157" s="24" t="n"/>
      <c r="DM157" s="24" t="n"/>
      <c r="DN157" s="24" t="n"/>
      <c r="DO157" s="24" t="n"/>
      <c r="DP157" s="24" t="n"/>
      <c r="DQ157" s="24" t="inlineStr">
        <is>
          <t>{"artifact_hash": "642b63c565f5bb5fd7361cee049bb5868e1ce2884480d212d2362f634573bdf7", "away_team": "Phantom", "event_id": "159047", "event_start_utc": "2026-10-14T14:00:00Z", "features": {"away_elo": 1700.009132, "away_history_count": 199, "home_elo": 1847.589545, "home_history_count": 269}, "historical_source_observation_times_verified": false, "home_team": "Nuclear TigeRES", "inference_inputs": {"book_state": {"games_played": {"bo3:1:18539": 269, "bo3:1:19204": 199}, "inactivity_half_life_days": null, "inactivity_max_pull": null, "k": 40.0, "last_match_utc": {"bo3:1:18539": "2026-10-12T21:20:00Z", "bo3:1:19204": "2026-10-07T15:00:00Z"}, "minimum_reliable_games": null, "platt_intercept": 0.06821870672347567, "platt_slope": 0.8748911450799665, "ratings": {"bo3:1:18539": 1847.589545, "bo3:1:19204": 1700.009132},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"2026-10-14T05:52:14.154858+00:00", "team_ids": ["bo3:1:18539", "bo3:1:19204"]}, "market_type": "moneyline", "model_version": "cs2-tiered-elo-v6", "observed_at_utc": "2026-10-14T05:52:14.154858+00:00", "probabilities": {"away": 0.327625, "home": 0.672375}, "replay_scope": "Exact serving book state, calibration, temperature, inactivity reference and thin-history adjustments; training provenance not certified.", "schema": "esports-elo-replay-v1", "snapshot_hash": "fe57f62671bb64566e68f94aae73fc98b686cd1604a2b7b14a6a5a1e7ecd54e4", "sport": "CS2"}</t>
        </is>
      </c>
    </row>
    <row r="158" ht="36" customHeight="1">
      <c r="A158" s="24" t="inlineStr">
        <is>
          <t>3bc0cc23213d4718</t>
        </is>
      </c>
      <c r="B158" s="24" t="inlineStr">
        <is>
          <t>2026-10-14T06:03:43.455911Z</t>
        </is>
      </c>
      <c r="C158" s="24" t="inlineStr">
        <is>
          <t>2026-10-14T17:00:00Z</t>
        </is>
      </c>
      <c r="D158" s="24" t="inlineStr">
        <is>
          <t>157864</t>
        </is>
      </c>
      <c r="E158" s="24" t="inlineStr">
        <is>
          <t>CS2</t>
        </is>
      </c>
      <c r="F158" s="24" t="inlineStr">
        <is>
          <t>ex-RUSTEC</t>
        </is>
      </c>
      <c r="G158" s="24" t="inlineStr">
        <is>
          <t>Black Phoenix</t>
        </is>
      </c>
      <c r="H158" s="24" t="inlineStr">
        <is>
          <t>moneyline</t>
        </is>
      </c>
      <c r="I158" s="24" t="inlineStr">
        <is>
          <t>home</t>
        </is>
      </c>
      <c r="J158" s="25" t="n"/>
      <c r="K158" s="24" t="inlineStr">
        <is>
          <t>polymarket_us</t>
        </is>
      </c>
      <c r="L158" s="26" t="n">
        <v>-186</v>
      </c>
      <c r="M158" s="27" t="n">
        <v>1.537634</v>
      </c>
      <c r="N158" s="28" t="n">
        <v>0.65035</v>
      </c>
      <c r="O158" s="28" t="n">
        <v>0.638595</v>
      </c>
      <c r="P158" s="28" t="n"/>
      <c r="Q158" s="28" t="n">
        <v>-0.011755</v>
      </c>
      <c r="R158" s="26" t="n">
        <v>14</v>
      </c>
      <c r="S158" s="29" t="n">
        <v>1</v>
      </c>
      <c r="T158" s="24" t="inlineStr">
        <is>
          <t>cs2-tiered-elo-v6</t>
        </is>
      </c>
      <c r="U158" s="24" t="inlineStr">
        <is>
          <t>open</t>
        </is>
      </c>
      <c r="V158" s="24" t="n"/>
      <c r="W158" s="26" t="n"/>
      <c r="X158" s="26" t="n"/>
      <c r="Y158" s="25" t="n"/>
      <c r="Z158" s="26" t="n"/>
      <c r="AA158" s="28" t="n"/>
      <c r="AB158" s="28" t="n"/>
      <c r="AC158" s="30" t="n"/>
      <c r="AD158" s="24" t="n"/>
      <c r="AE158" s="31" t="inlineStr">
        <is>
          <t>Neutral Elo baseline; executable ask 0.6500 (market_slug=aec-cs2-bpl-erx-2026-10-14).</t>
        </is>
      </c>
      <c r="AF158" s="31" t="inlineStr">
        <is>
          <t>Config-promoted esports baseline; gates enforced at log time.</t>
        </is>
      </c>
      <c r="AG158" s="24" t="inlineStr">
        <is>
          <t>not_applicable</t>
        </is>
      </c>
      <c r="AH158" s="24" t="n"/>
      <c r="AI158" s="31" t="n"/>
      <c r="AJ158" s="31" t="n"/>
      <c r="AK158" s="24" t="inlineStr">
        <is>
          <t>paper_call</t>
        </is>
      </c>
      <c r="AL158" s="26" t="n">
        <v>4</v>
      </c>
      <c r="AM158" s="24" t="inlineStr">
        <is>
          <t>RESEARCH_OBSERVATION</t>
        </is>
      </c>
      <c r="AN158" s="24" t="inlineStr">
        <is>
          <t>CALL</t>
        </is>
      </c>
      <c r="AO158" s="24" t="inlineStr">
        <is>
          <t>PAPER_CALL_LOW_EDGE</t>
        </is>
      </c>
      <c r="AP158" s="24" t="inlineStr">
        <is>
          <t>ex-RUSTEC</t>
        </is>
      </c>
      <c r="AQ158" s="24" t="inlineStr">
        <is>
          <t>ex-RUSTEC</t>
        </is>
      </c>
      <c r="AR158" s="24" t="inlineStr">
        <is>
          <t>ex-RUSTEC</t>
        </is>
      </c>
      <c r="AS158" s="24" t="inlineStr">
        <is>
          <t>Black Phoenix</t>
        </is>
      </c>
      <c r="AT158" s="24" t="inlineStr">
        <is>
          <t>Black Phoenix</t>
        </is>
      </c>
      <c r="AU158" s="24" t="inlineStr">
        <is>
          <t>Black Phoenix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shadow_qualified</t>
        </is>
      </c>
      <c r="BA158" s="24" t="inlineStr">
        <is>
          <t>642b63c565f5bb5fd7361cee049bb5868e1ce2884480d212d2362f634573bdf7</t>
        </is>
      </c>
      <c r="BB158" s="24" t="inlineStr">
        <is>
          <t>neutral_elo</t>
        </is>
      </c>
      <c r="BC158" s="24" t="inlineStr">
        <is>
          <t>cs2-tiered-elo-v6</t>
        </is>
      </c>
      <c r="BD158" s="24" t="inlineStr">
        <is>
          <t>642b63c565f5bb5fd7361cee049bb5868e1ce2884480d212d2362f634573bdf7</t>
        </is>
      </c>
      <c r="BE158" s="24" t="inlineStr">
        <is>
          <t>1</t>
        </is>
      </c>
      <c r="BF158" s="24" t="inlineStr">
        <is>
          <t>1</t>
        </is>
      </c>
      <c r="BG158" s="24" t="inlineStr">
        <is>
          <t>cs2-tiered-elo-v6</t>
        </is>
      </c>
      <c r="BH158" s="24" t="inlineStr">
        <is>
          <t>2026-10-14T06:01:57.704728Z</t>
        </is>
      </c>
      <c r="BI158" s="24" t="inlineStr">
        <is>
          <t>["same_event","same_team_same_day","same_league_same_day"]</t>
        </is>
      </c>
      <c r="BJ158" s="25" t="n"/>
      <c r="BK158" s="26" t="n">
        <v>-186</v>
      </c>
      <c r="BL158" s="27" t="n">
        <v>1.537634</v>
      </c>
      <c r="BM158" s="28" t="n">
        <v>0.65035</v>
      </c>
      <c r="BN158" s="28" t="n"/>
      <c r="BO158" s="28" t="n"/>
      <c r="BP158" s="25" t="n"/>
      <c r="BQ158" s="27" t="n"/>
      <c r="BR158" s="28" t="n"/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inlineStr">
        <is>
          <t>False</t>
        </is>
      </c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n"/>
      <c r="DK158" s="24" t="n"/>
      <c r="DL158" s="24" t="n"/>
      <c r="DM158" s="24" t="n"/>
      <c r="DN158" s="24" t="n"/>
      <c r="DO158" s="24" t="n"/>
      <c r="DP158" s="24" t="n"/>
      <c r="DQ158" s="24" t="inlineStr">
        <is>
          <t>{"artifact_hash": "642b63c565f5bb5fd7361cee049bb5868e1ce2884480d212d2362f634573bdf7", "away_team": "ex-RUSTEC", "event_id": "157864", "event_start_utc": "2026-10-14T17:00:00Z", "features": {"away_elo": 1787.204398, "away_history_count": 64, "home_elo": 1905.479513, "home_history_count": 64}, "historical_source_observation_times_verified": false, "home_team": "Black Phoenix", "inference_inputs": {"book_state": {"games_played": {"bo3:1:24857": 64, "bo3:1:24924": 64}, "inactivity_half_life_days": null, "inactivity_max_pull": null, "k": 40.0, "last_match_utc": {"bo3:1:24857": "2026-10-12T21:20:00Z", "bo3:1:24924": "2026-10-13T17:00:00Z"}, "minimum_reliable_games": null, "platt_intercept": 0.06821870672347567, "platt_slope": 0.8748911450799665, "ratings": {"bo3:1:24857": 1787.204398, "bo3:1:24924": 1905.479513},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"2026-10-14T05:52:14.154858+00:00", "team_ids": ["bo3:1:24924", "bo3:1:24857"]}, "market_type": "moneyline", "model_version": "cs2-tiered-elo-v6", "observed_at_utc": "2026-10-14T05:52:14.154858+00:00", "probabilities": {"away": 0.361405, "home": 0.638595}, "replay_scope": "Exact serving book state, calibration, temperature, inactivity reference and thin-history adjustments; training provenance not certified.", "schema": "esports-elo-replay-v1", "snapshot_hash": "898884aa76979a33708074a5c8f0cfc2fb21c63c7cc18dd52b74d46528e7650b", "sport": "CS2"}</t>
        </is>
      </c>
    </row>
    <row r="159" ht="36" customHeight="1">
      <c r="A159" s="24" t="inlineStr">
        <is>
          <t>5ec0fffba4484e64</t>
        </is>
      </c>
      <c r="B159" s="24" t="inlineStr">
        <is>
          <t>2026-10-14T06:03:43.455911Z</t>
        </is>
      </c>
      <c r="C159" s="24" t="inlineStr">
        <is>
          <t>2026-10-14T19:00:00Z</t>
        </is>
      </c>
      <c r="D159" s="24" t="inlineStr">
        <is>
          <t>157274</t>
        </is>
      </c>
      <c r="E159" s="24" t="inlineStr">
        <is>
          <t>CS2</t>
        </is>
      </c>
      <c r="F159" s="24" t="inlineStr">
        <is>
          <t>Alianza Lima Esports</t>
        </is>
      </c>
      <c r="G159" s="24" t="inlineStr">
        <is>
          <t>Damajuana</t>
        </is>
      </c>
      <c r="H159" s="24" t="inlineStr">
        <is>
          <t>moneyline</t>
        </is>
      </c>
      <c r="I159" s="24" t="inlineStr">
        <is>
          <t>away</t>
        </is>
      </c>
      <c r="J159" s="25" t="n"/>
      <c r="K159" s="24" t="inlineStr">
        <is>
          <t>polymarket_us</t>
        </is>
      </c>
      <c r="L159" s="26" t="n">
        <v>108</v>
      </c>
      <c r="M159" s="27" t="n">
        <v>2.08</v>
      </c>
      <c r="N159" s="28" t="n">
        <v>0.480769</v>
      </c>
      <c r="O159" s="28" t="n">
        <v>0.618157</v>
      </c>
      <c r="P159" s="28" t="n"/>
      <c r="Q159" s="28" t="n">
        <v>0.137388</v>
      </c>
      <c r="R159" s="26" t="n">
        <v>89</v>
      </c>
      <c r="S159" s="29" t="n">
        <v>1.5</v>
      </c>
      <c r="T159" s="24" t="inlineStr">
        <is>
          <t>cs2-tiered-elo-v6</t>
        </is>
      </c>
      <c r="U159" s="24" t="inlineStr">
        <is>
          <t>open</t>
        </is>
      </c>
      <c r="V159" s="24" t="n"/>
      <c r="W159" s="26" t="n"/>
      <c r="X159" s="26" t="n"/>
      <c r="Y159" s="25" t="n"/>
      <c r="Z159" s="26" t="n"/>
      <c r="AA159" s="28" t="n"/>
      <c r="AB159" s="28" t="n"/>
      <c r="AC159" s="30" t="n"/>
      <c r="AD159" s="24" t="n"/>
      <c r="AE159" s="31" t="inlineStr">
        <is>
          <t>Neutral Elo baseline; executable ask 0.4800 (market_slug=aec-cs2-dam-ale-2026-10-14).</t>
        </is>
      </c>
      <c r="AF159" s="31" t="inlineStr">
        <is>
          <t>Config-promoted esports baseline; gates enforced at log time.</t>
        </is>
      </c>
      <c r="AG159" s="24" t="inlineStr">
        <is>
          <t>not_applicable</t>
        </is>
      </c>
      <c r="AH159" s="24" t="n"/>
      <c r="AI159" s="31" t="n"/>
      <c r="AJ159" s="31" t="n"/>
      <c r="AK159" s="24" t="inlineStr">
        <is>
          <t>model_qualified</t>
        </is>
      </c>
      <c r="AL159" s="26" t="n">
        <v>4</v>
      </c>
      <c r="AM159" s="24" t="inlineStr">
        <is>
          <t>QUALIFIED_SHADOW_CALL</t>
        </is>
      </c>
      <c r="AN159" s="24" t="inlineStr">
        <is>
          <t>CALL</t>
        </is>
      </c>
      <c r="AO159" s="24" t="inlineStr">
        <is>
          <t>QUALIFIED</t>
        </is>
      </c>
      <c r="AP159" s="24" t="inlineStr">
        <is>
          <t>Alianza Lima Esports</t>
        </is>
      </c>
      <c r="AQ159" s="24" t="inlineStr">
        <is>
          <t>Alianza Lima Esports</t>
        </is>
      </c>
      <c r="AR159" s="24" t="inlineStr">
        <is>
          <t>Alianza Lima Esports</t>
        </is>
      </c>
      <c r="AS159" s="24" t="inlineStr">
        <is>
          <t>Damajuana</t>
        </is>
      </c>
      <c r="AT159" s="24" t="inlineStr">
        <is>
          <t>Damajuana</t>
        </is>
      </c>
      <c r="AU159" s="24" t="inlineStr">
        <is>
          <t>Damajuana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shadow_qualified</t>
        </is>
      </c>
      <c r="BA159" s="24" t="inlineStr">
        <is>
          <t>642b63c565f5bb5fd7361cee049bb5868e1ce2884480d212d2362f634573bdf7</t>
        </is>
      </c>
      <c r="BB159" s="24" t="inlineStr">
        <is>
          <t>neutral_elo</t>
        </is>
      </c>
      <c r="BC159" s="24" t="inlineStr">
        <is>
          <t>cs2-tiered-elo-v6</t>
        </is>
      </c>
      <c r="BD159" s="24" t="inlineStr">
        <is>
          <t>642b63c565f5bb5fd7361cee049bb5868e1ce2884480d212d2362f634573bdf7</t>
        </is>
      </c>
      <c r="BE159" s="24" t="inlineStr">
        <is>
          <t>1</t>
        </is>
      </c>
      <c r="BF159" s="24" t="inlineStr">
        <is>
          <t>1</t>
        </is>
      </c>
      <c r="BG159" s="24" t="inlineStr">
        <is>
          <t>cs2-tiered-elo-v6</t>
        </is>
      </c>
      <c r="BH159" s="24" t="inlineStr">
        <is>
          <t>2026-10-14T06:02:19.213529Z</t>
        </is>
      </c>
      <c r="BI159" s="24" t="inlineStr">
        <is>
          <t>["same_event","same_team_same_day","same_league_same_day"]</t>
        </is>
      </c>
      <c r="BJ159" s="25" t="n"/>
      <c r="BK159" s="26" t="n">
        <v>108</v>
      </c>
      <c r="BL159" s="27" t="n">
        <v>2.08</v>
      </c>
      <c r="BM159" s="28" t="n">
        <v>0.480769</v>
      </c>
      <c r="BN159" s="28" t="n"/>
      <c r="BO159" s="28" t="n"/>
      <c r="BP159" s="25" t="n"/>
      <c r="BQ159" s="27" t="n"/>
      <c r="BR159" s="28" t="n"/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inlineStr">
        <is>
          <t>True</t>
        </is>
      </c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/>
      <c r="DJ159" s="24" t="n"/>
      <c r="DK159" s="24" t="n"/>
      <c r="DL159" s="24" t="n"/>
      <c r="DM159" s="24" t="n"/>
      <c r="DN159" s="24" t="n"/>
      <c r="DO159" s="24" t="n"/>
      <c r="DP159" s="24" t="n"/>
      <c r="DQ159" s="24" t="inlineStr">
        <is>
          <t>{"artifact_hash": "642b63c565f5bb5fd7361cee049bb5868e1ce2884480d212d2362f634573bdf7", "away_team": "Alianza Lima Esports", "event_id": "157274", "event_start_utc": "2026-10-14T19:00:00Z", "features": {"away_elo": 1385.592921, "away_history_count": 48, "home_elo": 1302.752503, "home_history_count": 17}, "historical_source_observation_times_verified": false, "home_team": "Damajuana", "inference_inputs": {"book_state": {"games_played": {"bo3:1:22881": 17, "bo3:1:4949": 48}, "inactivity_half_life_days": null, "inactivity_max_pull": null, "k": 40.0, "last_match_utc": {"bo3:1:22881": "2026-09-28T19:00:00Z", "bo3:1:4949": "2024-09-05T19:10:00Z"}, "minimum_reliable_games": null, "platt_intercept": 0.06821870672347567, "platt_slope": 0.8748911450799665, "ratings": {"bo3:1:22881": 1302.752503, "bo3:1:4949": 1385.592921},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"2026-10-14T05:52:14.154858+00:00", "team_ids": ["bo3:1:22881", "bo3:1:4949"]}, "market_type": "moneyline", "model_version": "cs2-tiered-elo-v6", "observed_at_utc": "2026-10-14T05:52:14.154858+00:00", "probabilities": {"away": 0.618157, "home": 0.381843}, "replay_scope": "Exact serving book state, calibration, temperature, inactivity reference and thin-history adjustments; training provenance not certified.", "schema": "esports-elo-replay-v1", "snapshot_hash": "4dca24d7f6c2e958d7a7b49840858bc1e09ea7201c50a4e847313fb02e9fa6c1", "sport": "CS2"}</t>
        </is>
      </c>
    </row>
    <row r="160" ht="36" customHeight="1">
      <c r="A160" s="24" t="inlineStr">
        <is>
          <t>b43d728320a24ce8</t>
        </is>
      </c>
      <c r="B160" s="24" t="inlineStr">
        <is>
          <t>2026-10-14T06:03:43.455911Z</t>
        </is>
      </c>
      <c r="C160" s="24" t="inlineStr">
        <is>
          <t>2026-10-14T19:00:00Z</t>
        </is>
      </c>
      <c r="D160" s="24" t="inlineStr">
        <is>
          <t>157274</t>
        </is>
      </c>
      <c r="E160" s="24" t="inlineStr">
        <is>
          <t>CS2</t>
        </is>
      </c>
      <c r="F160" s="24" t="inlineStr">
        <is>
          <t>Alianza Lima Esports</t>
        </is>
      </c>
      <c r="G160" s="24" t="inlineStr">
        <is>
          <t>Damajuana</t>
        </is>
      </c>
      <c r="H160" s="24" t="inlineStr">
        <is>
          <t>total</t>
        </is>
      </c>
      <c r="I160" s="24" t="inlineStr">
        <is>
          <t>under</t>
        </is>
      </c>
      <c r="J160" s="25" t="n">
        <v>2.5</v>
      </c>
      <c r="K160" s="24" t="inlineStr">
        <is>
          <t>polymarket_us</t>
        </is>
      </c>
      <c r="L160" s="26" t="n">
        <v>-150</v>
      </c>
      <c r="M160" s="27" t="n">
        <v>1.666667</v>
      </c>
      <c r="N160" s="28" t="n">
        <v>0.6</v>
      </c>
      <c r="O160" s="28" t="n">
        <v>0.512621</v>
      </c>
      <c r="P160" s="28" t="n"/>
      <c r="Q160" s="28" t="n">
        <v>-0.087379</v>
      </c>
      <c r="R160" s="26" t="n">
        <v>0</v>
      </c>
      <c r="S160" s="29" t="n">
        <v>1</v>
      </c>
      <c r="T160" s="24" t="inlineStr">
        <is>
          <t>cs2-total-tiered-elo-v6</t>
        </is>
      </c>
      <c r="U160" s="24" t="inlineStr">
        <is>
          <t>open</t>
        </is>
      </c>
      <c r="V160" s="24" t="n"/>
      <c r="W160" s="26" t="n"/>
      <c r="X160" s="26" t="n"/>
      <c r="Y160" s="25" t="n"/>
      <c r="Z160" s="26" t="n"/>
      <c r="AA160" s="28" t="n"/>
      <c r="AB160" s="28" t="n"/>
      <c r="AC160" s="30" t="n"/>
      <c r="AD160" s="24" t="n"/>
      <c r="AE160" s="31" t="inlineStr">
        <is>
          <t>Neutral Elo baseline; executable ask 0.6000 (market_slug=tsc-cs2-dam-ale-2026-10-14-tot-2pt5).</t>
        </is>
      </c>
      <c r="AF160" s="31" t="inlineStr">
        <is>
          <t>Config-promoted esports baseline; gates enforced at log time.</t>
        </is>
      </c>
      <c r="AG160" s="24" t="inlineStr">
        <is>
          <t>not_applicable</t>
        </is>
      </c>
      <c r="AH160" s="24" t="n"/>
      <c r="AI160" s="31" t="n"/>
      <c r="AJ160" s="31" t="n"/>
      <c r="AK160" s="24" t="inlineStr">
        <is>
          <t>paper_call</t>
        </is>
      </c>
      <c r="AL160" s="26" t="n">
        <v>4</v>
      </c>
      <c r="AM160" s="24" t="inlineStr">
        <is>
          <t>RESEARCH_OBSERVATION</t>
        </is>
      </c>
      <c r="AN160" s="24" t="inlineStr">
        <is>
          <t>CALL</t>
        </is>
      </c>
      <c r="AO160" s="24" t="inlineStr">
        <is>
          <t>PAPER_CALL_LOW_EDGE</t>
        </is>
      </c>
      <c r="AP160" s="24" t="inlineStr">
        <is>
          <t>Alianza Lima Esports</t>
        </is>
      </c>
      <c r="AQ160" s="24" t="inlineStr">
        <is>
          <t>Alianza Lima Esports</t>
        </is>
      </c>
      <c r="AR160" s="24" t="inlineStr">
        <is>
          <t>Alianza Lima Esports</t>
        </is>
      </c>
      <c r="AS160" s="24" t="inlineStr">
        <is>
          <t>Damajuana</t>
        </is>
      </c>
      <c r="AT160" s="24" t="inlineStr">
        <is>
          <t>Damajuana</t>
        </is>
      </c>
      <c r="AU160" s="24" t="inlineStr">
        <is>
          <t>Damajuana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shadow_qualified</t>
        </is>
      </c>
      <c r="BA160" s="24" t="inlineStr">
        <is>
          <t>642b63c565f5bb5fd7361cee049bb5868e1ce2884480d212d2362f634573bdf7</t>
        </is>
      </c>
      <c r="BB160" s="24" t="inlineStr">
        <is>
          <t>neutral_elo</t>
        </is>
      </c>
      <c r="BC160" s="24" t="inlineStr">
        <is>
          <t>cs2-total-tiered-elo-v6</t>
        </is>
      </c>
      <c r="BD160" s="24" t="inlineStr">
        <is>
          <t>642b63c565f5bb5fd7361cee049bb5868e1ce2884480d212d2362f634573bdf7</t>
        </is>
      </c>
      <c r="BE160" s="24" t="inlineStr">
        <is>
          <t>1</t>
        </is>
      </c>
      <c r="BF160" s="24" t="inlineStr">
        <is>
          <t>1</t>
        </is>
      </c>
      <c r="BG160" s="24" t="inlineStr">
        <is>
          <t>cs2-total-tiered-elo-v6</t>
        </is>
      </c>
      <c r="BH160" s="24" t="inlineStr">
        <is>
          <t>2026-10-14T06:02:29.341277Z</t>
        </is>
      </c>
      <c r="BI160" s="24" t="inlineStr">
        <is>
          <t>["same_event","same_team_same_day","same_league_same_day"]</t>
        </is>
      </c>
      <c r="BJ160" s="25" t="n">
        <v>2.5</v>
      </c>
      <c r="BK160" s="26" t="n">
        <v>-150</v>
      </c>
      <c r="BL160" s="27" t="n">
        <v>1.666667</v>
      </c>
      <c r="BM160" s="28" t="n">
        <v>0.6</v>
      </c>
      <c r="BN160" s="28" t="n"/>
      <c r="BO160" s="28" t="n"/>
      <c r="BP160" s="25" t="n"/>
      <c r="BQ160" s="27" t="n"/>
      <c r="BR160" s="28" t="n"/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inlineStr">
        <is>
          <t>False</t>
        </is>
      </c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n"/>
      <c r="DK160" s="24" t="n"/>
      <c r="DL160" s="24" t="n"/>
      <c r="DM160" s="24" t="n"/>
      <c r="DN160" s="24" t="n"/>
      <c r="DO160" s="24" t="n"/>
      <c r="DP160" s="24" t="n"/>
      <c r="DQ160" s="24" t="n"/>
    </row>
    <row r="161" ht="36" customHeight="1">
      <c r="A161" s="24" t="inlineStr">
        <is>
          <t>5b4fa2928be34d69</t>
        </is>
      </c>
      <c r="B161" s="24" t="inlineStr">
        <is>
          <t>2026-10-14T06:03:43.455911Z</t>
        </is>
      </c>
      <c r="C161" s="24" t="inlineStr">
        <is>
          <t>2026-10-14T21:00:00Z</t>
        </is>
      </c>
      <c r="D161" s="24" t="inlineStr">
        <is>
          <t>159298</t>
        </is>
      </c>
      <c r="E161" s="24" t="inlineStr">
        <is>
          <t>CS2</t>
        </is>
      </c>
      <c r="F161" s="24" t="inlineStr">
        <is>
          <t>Galorys</t>
        </is>
      </c>
      <c r="G161" s="24" t="inlineStr">
        <is>
          <t>largadosypelados</t>
        </is>
      </c>
      <c r="H161" s="24" t="inlineStr">
        <is>
          <t>moneyline</t>
        </is>
      </c>
      <c r="I161" s="24" t="inlineStr">
        <is>
          <t>away</t>
        </is>
      </c>
      <c r="J161" s="25" t="n"/>
      <c r="K161" s="24" t="inlineStr">
        <is>
          <t>polymarket_us</t>
        </is>
      </c>
      <c r="L161" s="26" t="n">
        <v>-122</v>
      </c>
      <c r="M161" s="27" t="n">
        <v>1.819672</v>
      </c>
      <c r="N161" s="28" t="n">
        <v>0.54955</v>
      </c>
      <c r="O161" s="28" t="n">
        <v>0.636757</v>
      </c>
      <c r="P161" s="28" t="n"/>
      <c r="Q161" s="28" t="n">
        <v>0.08720700000000001</v>
      </c>
      <c r="R161" s="26" t="n">
        <v>64</v>
      </c>
      <c r="S161" s="29" t="n">
        <v>1.25</v>
      </c>
      <c r="T161" s="24" t="inlineStr">
        <is>
          <t>cs2-tiered-elo-v6</t>
        </is>
      </c>
      <c r="U161" s="24" t="inlineStr">
        <is>
          <t>open</t>
        </is>
      </c>
      <c r="V161" s="24" t="n"/>
      <c r="W161" s="26" t="n"/>
      <c r="X161" s="26" t="n"/>
      <c r="Y161" s="25" t="n"/>
      <c r="Z161" s="26" t="n"/>
      <c r="AA161" s="28" t="n"/>
      <c r="AB161" s="28" t="n"/>
      <c r="AC161" s="30" t="n"/>
      <c r="AD161" s="24" t="n"/>
      <c r="AE161" s="31" t="inlineStr">
        <is>
          <t>Neutral Elo baseline; executable ask 0.5500 (market_slug=aec-cs2-ldp-gls-2026-10-14).</t>
        </is>
      </c>
      <c r="AF161" s="31" t="inlineStr">
        <is>
          <t>Config-promoted esports baseline; gates enforced at log time.</t>
        </is>
      </c>
      <c r="AG161" s="24" t="inlineStr">
        <is>
          <t>not_applicable</t>
        </is>
      </c>
      <c r="AH161" s="24" t="n"/>
      <c r="AI161" s="31" t="n"/>
      <c r="AJ161" s="31" t="n"/>
      <c r="AK161" s="24" t="inlineStr">
        <is>
          <t>paper_call</t>
        </is>
      </c>
      <c r="AL161" s="26" t="n">
        <v>4</v>
      </c>
      <c r="AM161" s="24" t="inlineStr">
        <is>
          <t>RESEARCH_OBSERVATION</t>
        </is>
      </c>
      <c r="AN161" s="24" t="inlineStr">
        <is>
          <t>CALL</t>
        </is>
      </c>
      <c r="AO161" s="24" t="inlineStr">
        <is>
          <t>PAPER_CALL_MODEL_UNVALIDATED</t>
        </is>
      </c>
      <c r="AP161" s="24" t="inlineStr">
        <is>
          <t>Galorys</t>
        </is>
      </c>
      <c r="AQ161" s="24" t="inlineStr">
        <is>
          <t>Galorys</t>
        </is>
      </c>
      <c r="AR161" s="24" t="inlineStr">
        <is>
          <t>Galorys</t>
        </is>
      </c>
      <c r="AS161" s="24" t="inlineStr">
        <is>
          <t>largadosypelados</t>
        </is>
      </c>
      <c r="AT161" s="24" t="inlineStr">
        <is>
          <t>largadosypelados</t>
        </is>
      </c>
      <c r="AU161" s="24" t="inlineStr">
        <is>
          <t>largadosypelados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shadow_qualified</t>
        </is>
      </c>
      <c r="BA161" s="24" t="inlineStr">
        <is>
          <t>642b63c565f5bb5fd7361cee049bb5868e1ce2884480d212d2362f634573bdf7</t>
        </is>
      </c>
      <c r="BB161" s="24" t="inlineStr">
        <is>
          <t>neutral_elo</t>
        </is>
      </c>
      <c r="BC161" s="24" t="inlineStr">
        <is>
          <t>cs2-tiered-elo-v6</t>
        </is>
      </c>
      <c r="BD161" s="24" t="inlineStr">
        <is>
          <t>642b63c565f5bb5fd7361cee049bb5868e1ce2884480d212d2362f634573bdf7</t>
        </is>
      </c>
      <c r="BE161" s="24" t="inlineStr">
        <is>
          <t>1</t>
        </is>
      </c>
      <c r="BF161" s="24" t="inlineStr">
        <is>
          <t>1</t>
        </is>
      </c>
      <c r="BG161" s="24" t="inlineStr">
        <is>
          <t>cs2-tiered-elo-v6</t>
        </is>
      </c>
      <c r="BH161" s="24" t="inlineStr">
        <is>
          <t>2026-10-14T06:02:39.765904Z</t>
        </is>
      </c>
      <c r="BI161" s="24" t="inlineStr">
        <is>
          <t>["same_event","same_team_same_day","same_league_same_day"]</t>
        </is>
      </c>
      <c r="BJ161" s="25" t="n"/>
      <c r="BK161" s="26" t="n">
        <v>-122</v>
      </c>
      <c r="BL161" s="27" t="n">
        <v>1.819672</v>
      </c>
      <c r="BM161" s="28" t="n">
        <v>0.54955</v>
      </c>
      <c r="BN161" s="28" t="n"/>
      <c r="BO161" s="28" t="n"/>
      <c r="BP161" s="25" t="n"/>
      <c r="BQ161" s="27" t="n"/>
      <c r="BR161" s="28" t="n"/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inlineStr">
        <is>
          <t>True</t>
        </is>
      </c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 t="n"/>
      <c r="DG161" s="24" t="n"/>
      <c r="DH161" s="24" t="n"/>
      <c r="DI161" s="24" t="n"/>
      <c r="DJ161" s="24" t="n"/>
      <c r="DK161" s="24" t="n"/>
      <c r="DL161" s="24" t="n"/>
      <c r="DM161" s="24" t="n"/>
      <c r="DN161" s="24" t="n"/>
      <c r="DO161" s="24" t="n"/>
      <c r="DP161" s="24" t="n"/>
      <c r="DQ161" s="24" t="inlineStr">
        <is>
          <t>{"artifact_hash": "642b63c565f5bb5fd7361cee049bb5868e1ce2884480d212d2362f634573bdf7", "away_team": "Galorys", "event_id": "159298", "event_start_utc": "2026-10-14T21:00:00Z", "features": {"away_elo": 1802.356808, "away_history_count": 314, "home_elo": 1500.0, "home_history_count": 0}, "historical_source_observation_times_verified": false, "home_team": "largadosypelados", "inference_inputs": {"book_state": {"games_played": {"bo3:1:10049": 314}, "inactivity_half_life_days": null, "inactivity_max_pull": null, "k": 40.0, "last_match_utc": {"bo3:1:10049": "2026-10-13T21:00:00Z"}, "minimum_reliable_games": null, "platt_intercept": 0.06821870672347567, "platt_slope": 0.8748911450799665, "ratings": {"bo3:1:10049": 1802.356808},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"2026-10-14T05:52:14.154858+00:00", "team_ids": ["unknown:largadosypelados", "bo3:1:10049"]}, "market_type": "moneyline", "model_version": "cs2-tiered-elo-v6", "observed_at_utc": "2026-10-14T05:52:14.154858+00:00", "probabilities": {"away": 0.636757, "home": 0.363243}, "replay_scope": "Exact serving book state, calibration, temperature, inactivity reference and thin-history adjustments; training provenance not certified.", "schema": "esports-elo-replay-v1", "snapshot_hash": "14561daeca01b5ef0d5dc4bfbb5841bbd0dbe1d50f55a5fc10b81f8e4e5a4e47", "sport": "CS2"}</t>
        </is>
      </c>
    </row>
    <row r="162" ht="36" customHeight="1">
      <c r="A162" s="24" t="inlineStr">
        <is>
          <t>f954eea6901d4cd8</t>
        </is>
      </c>
      <c r="B162" s="24" t="inlineStr">
        <is>
          <t>2026-10-14T06:03:43.455911Z</t>
        </is>
      </c>
      <c r="C162" s="24" t="inlineStr">
        <is>
          <t>2026-10-15T10:00:00Z</t>
        </is>
      </c>
      <c r="D162" s="24" t="inlineStr">
        <is>
          <t>156265</t>
        </is>
      </c>
      <c r="E162" s="24" t="inlineStr">
        <is>
          <t>CS2</t>
        </is>
      </c>
      <c r="F162" s="24" t="inlineStr">
        <is>
          <t>Envy</t>
        </is>
      </c>
      <c r="G162" s="24" t="inlineStr">
        <is>
          <t>Heroic</t>
        </is>
      </c>
      <c r="H162" s="24" t="inlineStr">
        <is>
          <t>moneyline</t>
        </is>
      </c>
      <c r="I162" s="24" t="inlineStr">
        <is>
          <t>home</t>
        </is>
      </c>
      <c r="J162" s="25" t="n"/>
      <c r="K162" s="24" t="inlineStr">
        <is>
          <t>polymarket_us</t>
        </is>
      </c>
      <c r="L162" s="26" t="n">
        <v>-203</v>
      </c>
      <c r="M162" s="27" t="n">
        <v>1.492611</v>
      </c>
      <c r="N162" s="28" t="n">
        <v>0.669967</v>
      </c>
      <c r="O162" s="28" t="n">
        <v>0.6878379999999999</v>
      </c>
      <c r="P162" s="28" t="n"/>
      <c r="Q162" s="28" t="n">
        <v>0.017871</v>
      </c>
      <c r="R162" s="26" t="n">
        <v>29</v>
      </c>
      <c r="S162" s="29" t="n">
        <v>1</v>
      </c>
      <c r="T162" s="24" t="inlineStr">
        <is>
          <t>cs2-tiered-elo-v6</t>
        </is>
      </c>
      <c r="U162" s="24" t="inlineStr">
        <is>
          <t>open</t>
        </is>
      </c>
      <c r="V162" s="24" t="n"/>
      <c r="W162" s="26" t="n"/>
      <c r="X162" s="26" t="n"/>
      <c r="Y162" s="25" t="n"/>
      <c r="Z162" s="26" t="n"/>
      <c r="AA162" s="28" t="n"/>
      <c r="AB162" s="28" t="n"/>
      <c r="AC162" s="30" t="n"/>
      <c r="AD162" s="24" t="n"/>
      <c r="AE162" s="31" t="inlineStr">
        <is>
          <t>Neutral Elo baseline; executable ask 0.6700 (market_slug=aec-cs2-hero-envy-2026-10-15).</t>
        </is>
      </c>
      <c r="AF162" s="31" t="inlineStr">
        <is>
          <t>Config-promoted esports baseline; gates enforced at log time.</t>
        </is>
      </c>
      <c r="AG162" s="24" t="inlineStr">
        <is>
          <t>not_applicable</t>
        </is>
      </c>
      <c r="AH162" s="24" t="n"/>
      <c r="AI162" s="31" t="n"/>
      <c r="AJ162" s="31" t="n"/>
      <c r="AK162" s="24" t="inlineStr">
        <is>
          <t>paper_call</t>
        </is>
      </c>
      <c r="AL162" s="26" t="n">
        <v>4</v>
      </c>
      <c r="AM162" s="24" t="inlineStr">
        <is>
          <t>RESEARCH_OBSERVATION</t>
        </is>
      </c>
      <c r="AN162" s="24" t="inlineStr">
        <is>
          <t>CALL</t>
        </is>
      </c>
      <c r="AO162" s="24" t="inlineStr">
        <is>
          <t>PAPER_CALL_MODEL_UNVALIDATED</t>
        </is>
      </c>
      <c r="AP162" s="24" t="inlineStr">
        <is>
          <t>Envy</t>
        </is>
      </c>
      <c r="AQ162" s="24" t="inlineStr">
        <is>
          <t>Envy</t>
        </is>
      </c>
      <c r="AR162" s="24" t="inlineStr">
        <is>
          <t>Envy</t>
        </is>
      </c>
      <c r="AS162" s="24" t="inlineStr">
        <is>
          <t>Heroic</t>
        </is>
      </c>
      <c r="AT162" s="24" t="inlineStr">
        <is>
          <t>Heroic</t>
        </is>
      </c>
      <c r="AU162" s="24" t="inlineStr">
        <is>
          <t>Heroic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shadow_qualified</t>
        </is>
      </c>
      <c r="BA162" s="24" t="inlineStr">
        <is>
          <t>642b63c565f5bb5fd7361cee049bb5868e1ce2884480d212d2362f634573bdf7</t>
        </is>
      </c>
      <c r="BB162" s="24" t="inlineStr">
        <is>
          <t>neutral_elo</t>
        </is>
      </c>
      <c r="BC162" s="24" t="inlineStr">
        <is>
          <t>cs2-tiered-elo-v6</t>
        </is>
      </c>
      <c r="BD162" s="24" t="inlineStr">
        <is>
          <t>642b63c565f5bb5fd7361cee049bb5868e1ce2884480d212d2362f634573bdf7</t>
        </is>
      </c>
      <c r="BE162" s="24" t="inlineStr">
        <is>
          <t>1</t>
        </is>
      </c>
      <c r="BF162" s="24" t="inlineStr">
        <is>
          <t>1</t>
        </is>
      </c>
      <c r="BG162" s="24" t="inlineStr">
        <is>
          <t>cs2-tiered-elo-v6</t>
        </is>
      </c>
      <c r="BH162" s="24" t="inlineStr">
        <is>
          <t>2026-10-14T06:03:00.664293Z</t>
        </is>
      </c>
      <c r="BI162" s="24" t="inlineStr">
        <is>
          <t>["same_event","same_team_same_day","same_league_same_day"]</t>
        </is>
      </c>
      <c r="BJ162" s="25" t="n"/>
      <c r="BK162" s="26" t="n">
        <v>-203</v>
      </c>
      <c r="BL162" s="27" t="n">
        <v>1.492611</v>
      </c>
      <c r="BM162" s="28" t="n">
        <v>0.669967</v>
      </c>
      <c r="BN162" s="28" t="n"/>
      <c r="BO162" s="28" t="n"/>
      <c r="BP162" s="25" t="n"/>
      <c r="BQ162" s="27" t="n"/>
      <c r="BR162" s="28" t="n"/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True</t>
        </is>
      </c>
      <c r="CT162" s="24" t="n"/>
      <c r="CU162" s="24" t="n"/>
      <c r="CV162" s="24" t="n"/>
      <c r="CW162" s="24" t="n"/>
      <c r="CX162" s="24" t="n"/>
      <c r="CY162" s="24" t="n"/>
      <c r="CZ162" s="24" t="n"/>
      <c r="DA162" s="24" t="n"/>
      <c r="DB162" s="24" t="n"/>
      <c r="DC162" s="24" t="n"/>
      <c r="DD162" s="24" t="n"/>
      <c r="DE162" s="24" t="n"/>
      <c r="DF162" s="24" t="n"/>
      <c r="DG162" s="24" t="n"/>
      <c r="DH162" s="24" t="n"/>
      <c r="DI162" s="24" t="n"/>
      <c r="DJ162" s="24" t="n"/>
      <c r="DK162" s="24" t="n"/>
      <c r="DL162" s="24" t="n"/>
      <c r="DM162" s="24" t="n"/>
      <c r="DN162" s="24" t="n"/>
      <c r="DO162" s="24" t="n"/>
      <c r="DP162" s="24" t="n"/>
      <c r="DQ162" s="24" t="inlineStr">
        <is>
          <t>{"artifact_hash": "642b63c565f5bb5fd7361cee049bb5868e1ce2884480d212d2362f634573bdf7", "away_team": "Envy", "event_id": "156265", "event_start_utc": "2026-10-15T10:00:00Z", "features": {"away_elo": 1500.0, "away_history_count": 0, "home_elo": 2017.272002, "home_history_count": 259}, "historical_source_observation_times_verified": false, "home_team": "Heroic", "inference_inputs": {"book_state": {"games_played": {"bo3:1:759": 259}, "inactivity_half_life_days": null, "inactivity_max_pull": null, "k": 40.0, "last_match_utc": {"bo3:1:759": "2026-09-26T17:10:00Z"}, "minimum_reliable_games": null, "platt_intercept": 0.06821870672347567, "platt_slope": 0.8748911450799665, "ratings": {"bo3:1:759": 2017.272002},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"2026-10-14T05:52:14.154858+00:00", "team_ids": ["bo3:1:759", "unknown:envy"]}, "market_type": "moneyline", "model_version": "cs2-tiered-elo-v6", "observed_at_utc": "2026-10-14T05:52:14.154858+00:00", "probabilities": {"away": 0.312162, "home": 0.687838}, "replay_scope": "Exact serving book state, calibration, temperature, inactivity reference and thin-history adjustments; training provenance not certified.", "schema": "esports-elo-replay-v1", "snapshot_hash": "e78df2191356c9ef3a4a38bf26a1677355ec14a5e50754e8defd7764e64eb569", "sport": "CS2"}</t>
        </is>
      </c>
    </row>
    <row r="163" ht="36" customHeight="1">
      <c r="A163" s="24" t="inlineStr">
        <is>
          <t>4cc2c177507345d6</t>
        </is>
      </c>
      <c r="B163" s="24" t="inlineStr">
        <is>
          <t>2026-10-14T06:03:43.455911Z</t>
        </is>
      </c>
      <c r="C163" s="24" t="inlineStr">
        <is>
          <t>2026-10-15T10:00:00Z</t>
        </is>
      </c>
      <c r="D163" s="24" t="inlineStr">
        <is>
          <t>156266</t>
        </is>
      </c>
      <c r="E163" s="24" t="inlineStr">
        <is>
          <t>CS2</t>
        </is>
      </c>
      <c r="F163" s="24" t="inlineStr">
        <is>
          <t>BC.Game Esports</t>
        </is>
      </c>
      <c r="G163" s="24" t="inlineStr">
        <is>
          <t>MIBR</t>
        </is>
      </c>
      <c r="H163" s="24" t="inlineStr">
        <is>
          <t>moneyline</t>
        </is>
      </c>
      <c r="I163" s="24" t="inlineStr">
        <is>
          <t>home</t>
        </is>
      </c>
      <c r="J163" s="25" t="n"/>
      <c r="K163" s="24" t="inlineStr">
        <is>
          <t>polymarket_us</t>
        </is>
      </c>
      <c r="L163" s="26" t="n">
        <v>-122</v>
      </c>
      <c r="M163" s="27" t="n">
        <v>1.819672</v>
      </c>
      <c r="N163" s="28" t="n">
        <v>0.54955</v>
      </c>
      <c r="O163" s="28" t="n">
        <v>0.6712630000000001</v>
      </c>
      <c r="P163" s="28" t="n"/>
      <c r="Q163" s="28" t="n">
        <v>0.121713</v>
      </c>
      <c r="R163" s="26" t="n">
        <v>81</v>
      </c>
      <c r="S163" s="29" t="n">
        <v>1.5</v>
      </c>
      <c r="T163" s="24" t="inlineStr">
        <is>
          <t>cs2-tiered-elo-v6</t>
        </is>
      </c>
      <c r="U163" s="24" t="inlineStr">
        <is>
          <t>open</t>
        </is>
      </c>
      <c r="V163" s="24" t="n"/>
      <c r="W163" s="26" t="n"/>
      <c r="X163" s="26" t="n"/>
      <c r="Y163" s="25" t="n"/>
      <c r="Z163" s="26" t="n"/>
      <c r="AA163" s="28" t="n"/>
      <c r="AB163" s="28" t="n"/>
      <c r="AC163" s="30" t="n"/>
      <c r="AD163" s="24" t="n"/>
      <c r="AE163" s="31" t="inlineStr">
        <is>
          <t>Neutral Elo baseline; executable ask 0.5500 (market_slug=aec-cs2-mibr-bcg-2026-10-15).</t>
        </is>
      </c>
      <c r="AF163" s="31" t="inlineStr">
        <is>
          <t>Config-promoted esports baseline; gates enforced at log time.</t>
        </is>
      </c>
      <c r="AG163" s="24" t="inlineStr">
        <is>
          <t>not_applicable</t>
        </is>
      </c>
      <c r="AH163" s="24" t="n"/>
      <c r="AI163" s="31" t="n"/>
      <c r="AJ163" s="31" t="n"/>
      <c r="AK163" s="24" t="inlineStr">
        <is>
          <t>paper_call</t>
        </is>
      </c>
      <c r="AL163" s="26" t="n">
        <v>4</v>
      </c>
      <c r="AM163" s="24" t="inlineStr">
        <is>
          <t>RESEARCH_OBSERVATION</t>
        </is>
      </c>
      <c r="AN163" s="24" t="inlineStr">
        <is>
          <t>CALL</t>
        </is>
      </c>
      <c r="AO163" s="24" t="inlineStr">
        <is>
          <t>PAPER_CALL_MODEL_UNVALIDATED</t>
        </is>
      </c>
      <c r="AP163" s="24" t="inlineStr">
        <is>
          <t>BC.Game Esports</t>
        </is>
      </c>
      <c r="AQ163" s="24" t="inlineStr">
        <is>
          <t>BC.Game Esports</t>
        </is>
      </c>
      <c r="AR163" s="24" t="inlineStr">
        <is>
          <t>BC.Game Esports</t>
        </is>
      </c>
      <c r="AS163" s="24" t="inlineStr">
        <is>
          <t>MIBR</t>
        </is>
      </c>
      <c r="AT163" s="24" t="inlineStr">
        <is>
          <t>MIBR</t>
        </is>
      </c>
      <c r="AU163" s="24" t="inlineStr">
        <is>
          <t>MIBR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shadow_qualified</t>
        </is>
      </c>
      <c r="BA163" s="24" t="inlineStr">
        <is>
          <t>642b63c565f5bb5fd7361cee049bb5868e1ce2884480d212d2362f634573bdf7</t>
        </is>
      </c>
      <c r="BB163" s="24" t="inlineStr">
        <is>
          <t>neutral_elo</t>
        </is>
      </c>
      <c r="BC163" s="24" t="inlineStr">
        <is>
          <t>cs2-tiered-elo-v6</t>
        </is>
      </c>
      <c r="BD163" s="24" t="inlineStr">
        <is>
          <t>642b63c565f5bb5fd7361cee049bb5868e1ce2884480d212d2362f634573bdf7</t>
        </is>
      </c>
      <c r="BE163" s="24" t="inlineStr">
        <is>
          <t>1</t>
        </is>
      </c>
      <c r="BF163" s="24" t="inlineStr">
        <is>
          <t>1</t>
        </is>
      </c>
      <c r="BG163" s="24" t="inlineStr">
        <is>
          <t>cs2-tiered-elo-v6</t>
        </is>
      </c>
      <c r="BH163" s="24" t="inlineStr">
        <is>
          <t>2026-10-14T06:03:00.774480Z</t>
        </is>
      </c>
      <c r="BI163" s="24" t="inlineStr">
        <is>
          <t>["same_event","same_team_same_day","same_league_same_day"]</t>
        </is>
      </c>
      <c r="BJ163" s="25" t="n"/>
      <c r="BK163" s="26" t="n">
        <v>-122</v>
      </c>
      <c r="BL163" s="27" t="n">
        <v>1.819672</v>
      </c>
      <c r="BM163" s="28" t="n">
        <v>0.54955</v>
      </c>
      <c r="BN163" s="28" t="n"/>
      <c r="BO163" s="28" t="n"/>
      <c r="BP163" s="25" t="n"/>
      <c r="BQ163" s="27" t="n"/>
      <c r="BR163" s="28" t="n"/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True</t>
        </is>
      </c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/>
      <c r="DJ163" s="24" t="n"/>
      <c r="DK163" s="24" t="n"/>
      <c r="DL163" s="24" t="n"/>
      <c r="DM163" s="24" t="n"/>
      <c r="DN163" s="24" t="n"/>
      <c r="DO163" s="24" t="n"/>
      <c r="DP163" s="24" t="n"/>
      <c r="DQ163" s="24" t="inlineStr">
        <is>
          <t>{"artifact_hash": "642b63c565f5bb5fd7361cee049bb5868e1ce2884480d212d2362f634573bdf7", "away_team": "BC.Game Esports", "event_id": "156266", "event_start_utc": "2026-10-15T10:00:00Z", "features": {"away_elo": 1500.0, "away_history_count": 0, "home_elo": 1967.505379, "home_history_count": 279}, "historical_source_observation_times_verified": false, "home_team": "MIBR", "inference_inputs": {"book_state": {"games_played": {"bo3:1:755": 279}, "inactivity_half_life_days": null, "inactivity_max_pull": null, "k": 40.0, "last_match_utc": {"bo3:1:755": "2026-09-19T18:30:00Z"}, "minimum_reliable_games": null, "platt_intercept": 0.06821870672347567, "platt_slope": 0.8748911450799665, "ratings": {"bo3:1:755": 1967.505379},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"2026-10-14T05:52:14.154858+00:00", "team_ids": ["bo3:1:755", "unknown:bcgameesports"]}, "market_type": "moneyline", "model_version": "cs2-tiered-elo-v6", "observed_at_utc": "2026-10-14T05:52:14.154858+00:00", "probabilities": {"away": 0.328737, "home": 0.671263}, "replay_scope": "Exact serving book state, calibration, temperature, inactivity reference and thin-history adjustments; training provenance not certified.", "schema": "esports-elo-replay-v1", "snapshot_hash": "2ac5de770dcdb2bb79155f465f0136144b78276bad3aea5950fda45d528bc4f8", "sport": "CS2"}</t>
        </is>
      </c>
    </row>
    <row r="164" ht="36" customHeight="1">
      <c r="A164" s="24" t="inlineStr">
        <is>
          <t>5a4a6507d2f64680</t>
        </is>
      </c>
      <c r="B164" s="24" t="inlineStr">
        <is>
          <t>2026-10-14T06:03:43.455911Z</t>
        </is>
      </c>
      <c r="C164" s="24" t="inlineStr">
        <is>
          <t>2026-10-15T14:00:00Z</t>
        </is>
      </c>
      <c r="D164" s="24" t="inlineStr">
        <is>
          <t>157867</t>
        </is>
      </c>
      <c r="E164" s="24" t="inlineStr">
        <is>
          <t>CS2</t>
        </is>
      </c>
      <c r="F164" s="24" t="inlineStr">
        <is>
          <t>Fire Flux Esports</t>
        </is>
      </c>
      <c r="G164" s="24" t="inlineStr">
        <is>
          <t>Butterfly</t>
        </is>
      </c>
      <c r="H164" s="24" t="inlineStr">
        <is>
          <t>moneyline</t>
        </is>
      </c>
      <c r="I164" s="24" t="inlineStr">
        <is>
          <t>away</t>
        </is>
      </c>
      <c r="J164" s="25" t="n"/>
      <c r="K164" s="24" t="inlineStr">
        <is>
          <t>polymarket_us</t>
        </is>
      </c>
      <c r="L164" s="26" t="n">
        <v>163</v>
      </c>
      <c r="M164" s="27" t="n">
        <v>2.63</v>
      </c>
      <c r="N164" s="28" t="n">
        <v>0.380228</v>
      </c>
      <c r="O164" s="28" t="n">
        <v>0.543955</v>
      </c>
      <c r="P164" s="28" t="n"/>
      <c r="Q164" s="28" t="n">
        <v>0.163727</v>
      </c>
      <c r="R164" s="26" t="n">
        <v>100</v>
      </c>
      <c r="S164" s="29" t="n">
        <v>1.75</v>
      </c>
      <c r="T164" s="24" t="inlineStr">
        <is>
          <t>cs2-tiered-elo-v6</t>
        </is>
      </c>
      <c r="U164" s="24" t="inlineStr">
        <is>
          <t>open</t>
        </is>
      </c>
      <c r="V164" s="24" t="n"/>
      <c r="W164" s="26" t="n"/>
      <c r="X164" s="26" t="n"/>
      <c r="Y164" s="25" t="n"/>
      <c r="Z164" s="26" t="n"/>
      <c r="AA164" s="28" t="n"/>
      <c r="AB164" s="28" t="n"/>
      <c r="AC164" s="30" t="n"/>
      <c r="AD164" s="24" t="n"/>
      <c r="AE164" s="31" t="inlineStr">
        <is>
          <t>Neutral Elo baseline; executable ask 0.3800 (market_slug=aec-cs2-btf-ff-2026-10-15).</t>
        </is>
      </c>
      <c r="AF164" s="31" t="inlineStr">
        <is>
          <t>Config-promoted esports baseline; gates enforced at log time.</t>
        </is>
      </c>
      <c r="AG164" s="24" t="inlineStr">
        <is>
          <t>not_applicable</t>
        </is>
      </c>
      <c r="AH164" s="24" t="n"/>
      <c r="AI164" s="31" t="n"/>
      <c r="AJ164" s="31" t="n"/>
      <c r="AK164" s="24" t="inlineStr">
        <is>
          <t>model_qualified</t>
        </is>
      </c>
      <c r="AL164" s="26" t="n">
        <v>4</v>
      </c>
      <c r="AM164" s="24" t="inlineStr">
        <is>
          <t>QUALIFIED_SHADOW_CALL</t>
        </is>
      </c>
      <c r="AN164" s="24" t="inlineStr">
        <is>
          <t>CALL</t>
        </is>
      </c>
      <c r="AO164" s="24" t="inlineStr">
        <is>
          <t>QUALIFIED</t>
        </is>
      </c>
      <c r="AP164" s="24" t="inlineStr">
        <is>
          <t>Fire Flux Esports</t>
        </is>
      </c>
      <c r="AQ164" s="24" t="inlineStr">
        <is>
          <t>Fire Flux Esports</t>
        </is>
      </c>
      <c r="AR164" s="24" t="inlineStr">
        <is>
          <t>Fire Flux Esports</t>
        </is>
      </c>
      <c r="AS164" s="24" t="inlineStr">
        <is>
          <t>Butterfly</t>
        </is>
      </c>
      <c r="AT164" s="24" t="inlineStr">
        <is>
          <t>Butterfly</t>
        </is>
      </c>
      <c r="AU164" s="24" t="inlineStr">
        <is>
          <t>Butterfly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shadow_qualified</t>
        </is>
      </c>
      <c r="BA164" s="24" t="inlineStr">
        <is>
          <t>642b63c565f5bb5fd7361cee049bb5868e1ce2884480d212d2362f634573bdf7</t>
        </is>
      </c>
      <c r="BB164" s="24" t="inlineStr">
        <is>
          <t>neutral_elo</t>
        </is>
      </c>
      <c r="BC164" s="24" t="inlineStr">
        <is>
          <t>cs2-tiered-elo-v6</t>
        </is>
      </c>
      <c r="BD164" s="24" t="inlineStr">
        <is>
          <t>642b63c565f5bb5fd7361cee049bb5868e1ce2884480d212d2362f634573bdf7</t>
        </is>
      </c>
      <c r="BE164" s="24" t="inlineStr">
        <is>
          <t>1</t>
        </is>
      </c>
      <c r="BF164" s="24" t="inlineStr">
        <is>
          <t>1</t>
        </is>
      </c>
      <c r="BG164" s="24" t="inlineStr">
        <is>
          <t>cs2-tiered-elo-v6</t>
        </is>
      </c>
      <c r="BH164" s="24" t="inlineStr">
        <is>
          <t>2026-10-14T06:03:12.366588Z</t>
        </is>
      </c>
      <c r="BI164" s="24" t="inlineStr">
        <is>
          <t>["same_event","same_team_same_day","same_league_same_day"]</t>
        </is>
      </c>
      <c r="BJ164" s="25" t="n"/>
      <c r="BK164" s="26" t="n">
        <v>163</v>
      </c>
      <c r="BL164" s="27" t="n">
        <v>2.63</v>
      </c>
      <c r="BM164" s="28" t="n">
        <v>0.380228</v>
      </c>
      <c r="BN164" s="28" t="n"/>
      <c r="BO164" s="28" t="n"/>
      <c r="BP164" s="25" t="n"/>
      <c r="BQ164" s="27" t="n"/>
      <c r="BR164" s="28" t="n"/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True</t>
        </is>
      </c>
      <c r="CT164" s="24" t="n"/>
      <c r="CU164" s="24" t="n"/>
      <c r="CV164" s="24" t="n"/>
      <c r="CW164" s="24" t="n"/>
      <c r="CX164" s="24" t="n"/>
      <c r="CY164" s="24" t="n"/>
      <c r="CZ164" s="24" t="n"/>
      <c r="DA164" s="24" t="n"/>
      <c r="DB164" s="24" t="n"/>
      <c r="DC164" s="24" t="n"/>
      <c r="DD164" s="24" t="n"/>
      <c r="DE164" s="24" t="n"/>
      <c r="DF164" s="24" t="n"/>
      <c r="DG164" s="24" t="n"/>
      <c r="DH164" s="24" t="n"/>
      <c r="DI164" s="24" t="n"/>
      <c r="DJ164" s="24" t="n"/>
      <c r="DK164" s="24" t="n"/>
      <c r="DL164" s="24" t="n"/>
      <c r="DM164" s="24" t="n"/>
      <c r="DN164" s="24" t="n"/>
      <c r="DO164" s="24" t="n"/>
      <c r="DP164" s="24" t="n"/>
      <c r="DQ164" s="24" t="inlineStr">
        <is>
          <t>{"artifact_hash": "642b63c565f5bb5fd7361cee049bb5868e1ce2884480d212d2362f634573bdf7", "away_team": "Fire Flux Esports", "event_id": "157867", "event_start_utc": "2026-10-15T14:00:00Z", "features": {"away_elo": 1708.462113, "away_history_count": 323, "home_elo": 1660.985544, "home_history_count": 30}, "historical_source_observation_times_verified": false, "home_team": "Butterfly", "inference_inputs": {"book_state": {"games_played": {"bo3:1:16724": 323, "bo3:1:24855": 30}, "inactivity_half_life_days": null, "inactivity_max_pull": null, "k": 40.0, "last_match_utc": {"bo3:1:16724": "2026-10-12T11:10:00Z", "bo3:1:24855": "2026-10-06T14:00:00Z"}, "minimum_reliable_games": null, "platt_intercept": 0.06821870672347567, "platt_slope": 0.8748911450799665, "ratings": {"bo3:1:16724": 1708.462113, "bo3:1:24855": 1660.985544},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"2026-10-14T05:52:14.154858+00:00", "team_ids": ["bo3:1:24855", "bo3:1:16724"]}, "market_type": "moneyline", "model_version": "cs2-tiered-elo-v6", "observed_at_utc": "2026-10-14T05:52:14.154858+00:00", "probabilities": {"away": 0.543955, "home": 0.456045}, "replay_scope": "Exact serving book state, calibration, temperature, inactivity reference and thin-history adjustments; training provenance not certified.", "schema": "esports-elo-replay-v1", "snapshot_hash": "11dffe620ef26ad97d25a99781761b196a191bc9b9630d4a6b138e754e810fac", "sport": "CS2"}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2026-10-14T06:12:16Z</dcterms:created>
  <dcterms:modified xmlns:dcterms="http://purl.org/dc/terms/" xmlns:xsi="http://www.w3.org/2001/XMLSchema-instance" xsi:type="dcterms:W3CDTF">2026-10-14T06:12:16Z</dcterms:modified>
</cp:coreProperties>
</file>