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5" headerRowCount="1">
  <autoFilter ref="A1:DQ15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COUNTA('Picks'!$A$2:$A$15)</f>
        <v/>
      </c>
      <c r="C4" s="6">
        <f>COUNTIF('Picks'!$U$2:$U$15,"open")</f>
        <v/>
      </c>
      <c r="E4" s="6">
        <f>COUNTIF('Picks'!$U$2:$U$15,"settled")</f>
        <v/>
      </c>
      <c r="G4" s="6">
        <f>IF(COUNTIFS('Picks'!$U$2:$U$15,"settled",'Picks'!$V$2:$V$15,"win")+COUNTIFS('Picks'!$U$2:$U$15,"settled",'Picks'!$V$2:$V$15,"loss")&gt;=$L$2,"Ready","Insufficient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COUNTIF('Picks'!$BX$2:$BX$15,"&gt;0")</f>
        <v/>
      </c>
      <c r="C7" s="6">
        <f>COUNTIFS('Picks'!$BX$2:$BX$15,"&gt;0",'Picks'!$V$2:$V$15,"win")&amp;"-"&amp;COUNTIFS('Picks'!$BX$2:$BX$15,"&gt;0",'Picks'!$V$2:$V$15,"loss")</f>
        <v/>
      </c>
      <c r="E7" s="7">
        <f>IFERROR(COUNTIFS('Picks'!$BX$2:$BX$15,"&gt;0",'Picks'!$V$2:$V$15,"win")/(COUNTIFS('Picks'!$BX$2:$BX$15,"&gt;0",'Picks'!$V$2:$V$15,"win")+COUNTIFS('Picks'!$BX$2:$BX$15,"&gt;0",'Picks'!$V$2:$V$15,"loss")),0)</f>
        <v/>
      </c>
      <c r="G7" s="7">
        <f>IFERROR(SUM('Picks'!$BY$2:$BY$15)/SUM('Picks'!$BX$2:$BX$15),0)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SUM('Picks'!$BY$2:$BY$15)</f>
        <v/>
      </c>
      <c r="C10" s="9">
        <f>IFERROR(AVERAGEIF('Picks'!$AB$2:$AB$15,"&lt;&gt;",'Picks'!$AB$2:$AB$15),0)</f>
        <v/>
      </c>
      <c r="E10" s="6">
        <f>COUNTIFS('Picks'!$AM$2:$AM$15,"QUALIFIED_SHADOW_CALL",'Picks'!$U$2:$U$15,"settled")</f>
        <v/>
      </c>
      <c r="G10" s="8">
        <f>SUMIFS('Picks'!$AC$2:$AC$15,'Picks'!$AM$2:$AM$15,"QUALIFIED_SHADOW_CALL")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COUNTIFS('Picks'!$H$2:$H$15,$A14,'Picks'!$U$2:$U$15,"settled")</f>
        <v/>
      </c>
      <c r="C14" s="13">
        <f>COUNTIFS('Picks'!$H$2:$H$15,$A14,'Picks'!$U$2:$U$15,"settled",'Picks'!$V$2:$V$15,"win")</f>
        <v/>
      </c>
      <c r="D14" s="13">
        <f>COUNTIFS('Picks'!$H$2:$H$15,$A14,'Picks'!$U$2:$U$15,"settled",'Picks'!$V$2:$V$15,"loss")</f>
        <v/>
      </c>
      <c r="E14" s="14">
        <f>IFERROR(C14/(C14+D14),0)</f>
        <v/>
      </c>
      <c r="F14" s="15">
        <f>SUMIFS('Picks'!$BY$2:$BY$15,'Picks'!$H$2:$H$15,$A14)</f>
        <v/>
      </c>
      <c r="G14" s="16">
        <f>IFERROR(AVERAGEIFS('Picks'!$AB$2:$AB$15,'Picks'!$H$2:$H$15,$A14,'Picks'!$U$2:$U$15,"settled"),0)</f>
        <v/>
      </c>
    </row>
    <row r="15">
      <c r="A15" s="17" t="inlineStr">
        <is>
          <t>spread</t>
        </is>
      </c>
      <c r="B15" s="18">
        <f>COUNTIFS('Picks'!$H$2:$H$15,$A15,'Picks'!$U$2:$U$15,"settled")</f>
        <v/>
      </c>
      <c r="C15" s="18">
        <f>COUNTIFS('Picks'!$H$2:$H$15,$A15,'Picks'!$U$2:$U$15,"settled",'Picks'!$V$2:$V$15,"win")</f>
        <v/>
      </c>
      <c r="D15" s="18">
        <f>COUNTIFS('Picks'!$H$2:$H$15,$A15,'Picks'!$U$2:$U$15,"settled",'Picks'!$V$2:$V$15,"loss")</f>
        <v/>
      </c>
      <c r="E15" s="19">
        <f>IFERROR(C15/(C15+D15),0)</f>
        <v/>
      </c>
      <c r="F15" s="20">
        <f>SUMIFS('Picks'!$BY$2:$BY$15,'Picks'!$H$2:$H$15,$A15)</f>
        <v/>
      </c>
      <c r="G15" s="21">
        <f>IFERROR(AVERAGEIFS('Picks'!$AB$2:$AB$15,'Picks'!$H$2:$H$15,$A15,'Picks'!$U$2:$U$15,"settled"),0)</f>
        <v/>
      </c>
    </row>
    <row r="16">
      <c r="A16" s="12" t="inlineStr">
        <is>
          <t>total</t>
        </is>
      </c>
      <c r="B16" s="13">
        <f>COUNTIFS('Picks'!$H$2:$H$15,$A16,'Picks'!$U$2:$U$15,"settled")</f>
        <v/>
      </c>
      <c r="C16" s="13">
        <f>COUNTIFS('Picks'!$H$2:$H$15,$A16,'Picks'!$U$2:$U$15,"settled",'Picks'!$V$2:$V$15,"win")</f>
        <v/>
      </c>
      <c r="D16" s="13">
        <f>COUNTIFS('Picks'!$H$2:$H$15,$A16,'Picks'!$U$2:$U$15,"settled",'Picks'!$V$2:$V$15,"loss")</f>
        <v/>
      </c>
      <c r="E16" s="14">
        <f>IFERROR(C16/(C16+D16),0)</f>
        <v/>
      </c>
      <c r="F16" s="15">
        <f>SUMIFS('Picks'!$BY$2:$BY$15,'Picks'!$H$2:$H$15,$A16)</f>
        <v/>
      </c>
      <c r="G16" s="16">
        <f>IFERROR(AVERAGEIFS('Picks'!$AB$2:$AB$15,'Picks'!$H$2:$H$15,$A16,'Picks'!$U$2:$U$15,"settled"),0)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0c35fce1379c42e6</t>
        </is>
      </c>
      <c r="B2" s="24" t="inlineStr">
        <is>
          <t>2026-10-04T13:29:59Z</t>
        </is>
      </c>
      <c r="C2" s="24" t="inlineStr">
        <is>
          <t>2026-10-04T09:30:00-0400</t>
        </is>
      </c>
      <c r="D2" s="24" t="inlineStr">
        <is>
          <t>401872965</t>
        </is>
      </c>
      <c r="E2" s="24" t="inlineStr">
        <is>
          <t>NFL</t>
        </is>
      </c>
      <c r="F2" s="24" t="inlineStr">
        <is>
          <t>Indianapolis Colts</t>
        </is>
      </c>
      <c r="G2" s="24" t="inlineStr">
        <is>
          <t>Washington Commanders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model_opinion_no_executable_quote</t>
        </is>
      </c>
      <c r="L2" s="26" t="n">
        <v>-110</v>
      </c>
      <c r="M2" s="27" t="n">
        <v>1.909091</v>
      </c>
      <c r="N2" s="28" t="n">
        <v>0.52381</v>
      </c>
      <c r="O2" s="28" t="n">
        <v>0.587067</v>
      </c>
      <c r="P2" s="28" t="n"/>
      <c r="Q2" s="28" t="n">
        <v>0.06325699999999999</v>
      </c>
      <c r="R2" s="26" t="n">
        <v>52</v>
      </c>
      <c r="S2" s="29" t="n">
        <v>1</v>
      </c>
      <c r="T2" s="24" t="inlineStr">
        <is>
          <t>nfl-elo-trend-lr-v4</t>
        </is>
      </c>
      <c r="U2" s="24" t="inlineStr">
        <is>
          <t>settled</t>
        </is>
      </c>
      <c r="V2" s="24" t="inlineStr">
        <is>
          <t>loss</t>
        </is>
      </c>
      <c r="W2" s="26" t="n">
        <v>30</v>
      </c>
      <c r="X2" s="26" t="n">
        <v>13</v>
      </c>
      <c r="Y2" s="25" t="n"/>
      <c r="Z2" s="26" t="n"/>
      <c r="AA2" s="28" t="n"/>
      <c r="AB2" s="28" t="n"/>
      <c r="AC2" s="30" t="n">
        <v>-1</v>
      </c>
      <c r="AD2" s="24" t="inlineStr">
        <is>
          <t>2026-10-06T05:45:22.218349Z</t>
        </is>
      </c>
      <c r="AE2" s="31" t="inlineStr">
        <is>
          <t>Learned LR call at threshold 0.5441;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paper_call</t>
        </is>
      </c>
      <c r="AL2" s="26" t="n">
        <v>4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PAPER_CALL_MARKET_UNAVAILABLE</t>
        </is>
      </c>
      <c r="AP2" s="24" t="inlineStr">
        <is>
          <t>nfl-ind</t>
        </is>
      </c>
      <c r="AQ2" s="24" t="inlineStr">
        <is>
          <t>Indianapolis Colts</t>
        </is>
      </c>
      <c r="AR2" s="24" t="inlineStr">
        <is>
          <t>Indianapolis Colts</t>
        </is>
      </c>
      <c r="AS2" s="24" t="inlineStr">
        <is>
          <t>nfl-was</t>
        </is>
      </c>
      <c r="AT2" s="24" t="inlineStr">
        <is>
          <t>Washington Commanders</t>
        </is>
      </c>
      <c r="AU2" s="24" t="inlineStr">
        <is>
          <t>Washington Commanders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5cb5857519c32e04c895a3220afdc208e3d717ba0793e8d4a6946b1332f11654</t>
        </is>
      </c>
      <c r="BB2" s="24" t="inlineStr">
        <is>
          <t>learned_lr</t>
        </is>
      </c>
      <c r="BC2" s="24" t="inlineStr">
        <is>
          <t>nfl-elo-trend-lr-v4</t>
        </is>
      </c>
      <c r="BD2" s="24" t="inlineStr">
        <is>
          <t>5cb5857519c32e04c895a3220afdc208e3d717ba0793e8d4a6946b1332f11654</t>
        </is>
      </c>
      <c r="BE2" s="24" t="inlineStr">
        <is>
          <t>988f91bcfd52362b</t>
        </is>
      </c>
      <c r="BF2" s="24" t="inlineStr">
        <is>
          <t>1</t>
        </is>
      </c>
      <c r="BG2" s="24" t="inlineStr">
        <is>
          <t>nfl-elo-trend-lr-v4</t>
        </is>
      </c>
      <c r="BH2" s="24" t="inlineStr">
        <is>
          <t>2026-10-04T13:29:59Z</t>
        </is>
      </c>
      <c r="BI2" s="24" t="inlineStr">
        <is>
          <t>["same_event","same_team_same_day","same_league_same_day"]</t>
        </is>
      </c>
      <c r="BJ2" s="25" t="n"/>
      <c r="BK2" s="26" t="n">
        <v>-110</v>
      </c>
      <c r="BL2" s="27" t="n">
        <v>1.909091</v>
      </c>
      <c r="BM2" s="28" t="n">
        <v>0.52381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>
        <v>1</v>
      </c>
      <c r="BY2" s="27" t="n">
        <v>-1</v>
      </c>
      <c r="BZ2" s="24" t="inlineStr">
        <is>
          <t>2026-10-06T05:45:22.218349Z</t>
        </is>
      </c>
      <c r="CA2" s="31" t="inlineStr">
        <is>
          <t>fixed one-unit hypothetical scoring; no real exposure or execution</t>
        </is>
      </c>
      <c r="CB2" s="24" t="n"/>
      <c r="CC2" s="24" t="inlineStr">
        <is>
          <t>0.6154864025</t>
        </is>
      </c>
      <c r="CD2" s="24" t="inlineStr">
        <is>
          <t>1.438942</t>
        </is>
      </c>
      <c r="CE2" s="24" t="n"/>
      <c r="CF2" s="24" t="n"/>
      <c r="CG2" s="24" t="n"/>
      <c r="CH2" s="24" t="n"/>
      <c r="CI2" s="24" t="inlineStr">
        <is>
          <t>executable_quote_missing_or_unmatched</t>
        </is>
      </c>
      <c r="CJ2" s="24" t="inlineStr">
        <is>
          <t>1.306521</t>
        </is>
      </c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n"/>
      <c r="DK2" s="24" t="n"/>
      <c r="DL2" s="24" t="n"/>
      <c r="DM2" s="24" t="n"/>
      <c r="DN2" s="24" t="n"/>
      <c r="DO2" s="24" t="n"/>
      <c r="DP2" s="24" t="n"/>
      <c r="DQ2" s="24" t="inlineStr">
        <is>
          <t>{"adjustment": {"applied": false, "method": "identity", "reason": "not_applicable"}, "artifact": {"artifact_hash": "5cb5857519c32e04c895a3220afdc208e3d717ba0793e8d4a6946b1332f11654", "market_models": {"moneyline": {"coefficients": [2.6154014596, 0.0502116986], "confidence_threshold": 0.54411292, "feature_names": ["elo_probability", "trend_gap"], "intercept": -1.330143552, "positive_class": "home"}}, "method": "logistic_regression", "model_version": "nfl-elo-trend-lr-v4", "qualification": {"brier_score": 0.204736, "calibration": {"brier_score": 0.20473579397750238, "calibration_intercept": 0.18451279966224257, "calibration_slope": 1.2318945376153096, "expected_calibration_error": 0.10085016000128659, "log_loss": 0.5979160642807883, "reliability_buckets": [{"count": 27, "hit_rate": 0.7407407407407407, "lower": 0.5, "mean_p": 0.5661397662760724, "upper": 0.6}, {"count": 39, "hit_rate": 0.6153846153846154, "lower": 0.6, "mean_p": 0.6525186570626519, "upper": 0.7}, {"count": 21, "hit_rate": 0.8571428571428571, "lower": 0.7, "mean_p": 0.732785238851311, "upper": 0.8}], "sample_size": 87, "status": "ok"}, "called_rate": 0.713115, "calls": 87, "every_called_month_positive_at_minus_110": true, "every_qualifying_month_positive_at_minus_110": true, "failures": [], "framework": "locked_complete_date_60_20_20", "hit_rate": 0.712644, "hits": 62, "locked_holdout": true, "market_type": "moneyline", "meets_primary_holdout_metrics": true, "minimum_calls": 50, "minimum_hit_rate": 0.6, "monthly_at_minus_110": [{"calls": 22, "hit_rate": 0.772727, "hits": 17, "month": "2025-11", "qualification_status": "qualifying", "units_at_minus_110": 10.454545}, {"calls": 44, "hit_rate": 0.659091, "hits": 29, "month": "2025-12", "qualification_status": "qualifying", "units_at_minus_110": 11.363636}, {"calls": 21, "hit_rate": 0.761905, "hits": 16, "month": "2026-01", "qualification_status": "qualifying", "units_at_minus_110": 9.545455}], "monthly_minimum_calls": 10, "price_diagnostics": null, "qualification_eligible": true, "qualified": true, "roi": null, "secondary_reporting_complete": true, "selectivity": 0.713115, "total_predictions": 122, "units_at_minus_110": 31.363636}, "schema_version": "1", "sport": "nfl", "training": {"coefficient_fit": {"end": "2025-09-11", "observations": 366, "start": "2024-08-18"}, "locked_holdout": {"end": "2026-02-08", "observations": 122, "start": "2025-11-20"}, "market_inputs_used": false, "threshold_selection": {"end": "2025-11-17", "observations": 146, "start": "2025-09-14"}, "threshold_source": "later validation cohort; never locked holdout", "walk_forward_features": true}}, "artifact_hash": "5cb5857519c32e04c895a3220afdc208e3d717ba0793e8d4a6946b1332f11654", "base_home_probability": 0.5870666617315198, "event_id": "401872965", "event_start_utc": "2026-10-04T13:30:00+00:00", "features": {"elo_probability": 0.61548640248292, "trend_gap": 1.438942}, "historical_source_observation_times_verified": false, "model_version": "nfl-elo-trend-lr-v4", "observed_at_utc": "2026-10-04T00:00:00+00:00", "schema": "learned-moneyline-replay-v1", "served_home_probability": 0.5870666617315198, "snapshot_hash": "361524d037c89ddb9c6ad7e68d178f815d80dd94bd789a92735d0d332b98a83e"}</t>
        </is>
      </c>
    </row>
    <row r="3" ht="36" customHeight="1">
      <c r="A3" s="24" t="inlineStr">
        <is>
          <t>fe1ea274fae348b4</t>
        </is>
      </c>
      <c r="B3" s="24" t="inlineStr">
        <is>
          <t>2026-10-04T16:59:59Z</t>
        </is>
      </c>
      <c r="C3" s="24" t="inlineStr">
        <is>
          <t>2026-10-04T13:00:00-0400</t>
        </is>
      </c>
      <c r="D3" s="24" t="inlineStr">
        <is>
          <t>401872971</t>
        </is>
      </c>
      <c r="E3" s="24" t="inlineStr">
        <is>
          <t>NFL</t>
        </is>
      </c>
      <c r="F3" s="24" t="inlineStr">
        <is>
          <t>New England Patriots</t>
        </is>
      </c>
      <c r="G3" s="24" t="inlineStr">
        <is>
          <t>Buffalo Bills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model_opinion_no_executable_quote</t>
        </is>
      </c>
      <c r="L3" s="26" t="n">
        <v>-110</v>
      </c>
      <c r="M3" s="27" t="n">
        <v>1.909091</v>
      </c>
      <c r="N3" s="28" t="n">
        <v>0.52381</v>
      </c>
      <c r="O3" s="28" t="n">
        <v>0.7095</v>
      </c>
      <c r="P3" s="28" t="n"/>
      <c r="Q3" s="28" t="n">
        <v>0.18569</v>
      </c>
      <c r="R3" s="26" t="n">
        <v>100</v>
      </c>
      <c r="S3" s="29" t="n">
        <v>2</v>
      </c>
      <c r="T3" s="24" t="inlineStr">
        <is>
          <t>nfl-elo-trend-lr-v4</t>
        </is>
      </c>
      <c r="U3" s="24" t="inlineStr">
        <is>
          <t>settled</t>
        </is>
      </c>
      <c r="V3" s="24" t="inlineStr">
        <is>
          <t>loss</t>
        </is>
      </c>
      <c r="W3" s="26" t="n">
        <v>29</v>
      </c>
      <c r="X3" s="26" t="n">
        <v>26</v>
      </c>
      <c r="Y3" s="25" t="n"/>
      <c r="Z3" s="26" t="n"/>
      <c r="AA3" s="28" t="n"/>
      <c r="AB3" s="28" t="n"/>
      <c r="AC3" s="30" t="n">
        <v>-2</v>
      </c>
      <c r="AD3" s="24" t="inlineStr">
        <is>
          <t>2026-10-06T05:45:23.125338Z</t>
        </is>
      </c>
      <c r="AE3" s="31" t="inlineStr">
        <is>
          <t>Learned LR call at threshold 0.5441;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paper_call</t>
        </is>
      </c>
      <c r="AL3" s="26" t="n">
        <v>4</v>
      </c>
      <c r="AM3" s="24" t="inlineStr">
        <is>
          <t>RESEARCH_OBSERVATION</t>
        </is>
      </c>
      <c r="AN3" s="24" t="inlineStr">
        <is>
          <t>CALL</t>
        </is>
      </c>
      <c r="AO3" s="24" t="inlineStr">
        <is>
          <t>PAPER_CALL_MARKET_UNAVAILABLE</t>
        </is>
      </c>
      <c r="AP3" s="24" t="inlineStr">
        <is>
          <t>nfl-ne</t>
        </is>
      </c>
      <c r="AQ3" s="24" t="inlineStr">
        <is>
          <t>New England Patriots</t>
        </is>
      </c>
      <c r="AR3" s="24" t="inlineStr">
        <is>
          <t>New England Patriots</t>
        </is>
      </c>
      <c r="AS3" s="24" t="inlineStr">
        <is>
          <t>nfl-buf</t>
        </is>
      </c>
      <c r="AT3" s="24" t="inlineStr">
        <is>
          <t>Buffalo Bills</t>
        </is>
      </c>
      <c r="AU3" s="24" t="inlineStr">
        <is>
          <t>Buffalo Bills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5cb5857519c32e04c895a3220afdc208e3d717ba0793e8d4a6946b1332f11654</t>
        </is>
      </c>
      <c r="BB3" s="24" t="inlineStr">
        <is>
          <t>learned_lr</t>
        </is>
      </c>
      <c r="BC3" s="24" t="inlineStr">
        <is>
          <t>nfl-elo-trend-lr-v4</t>
        </is>
      </c>
      <c r="BD3" s="24" t="inlineStr">
        <is>
          <t>5cb5857519c32e04c895a3220afdc208e3d717ba0793e8d4a6946b1332f11654</t>
        </is>
      </c>
      <c r="BE3" s="24" t="inlineStr">
        <is>
          <t>d633ec36443427b0</t>
        </is>
      </c>
      <c r="BF3" s="24" t="inlineStr">
        <is>
          <t>1</t>
        </is>
      </c>
      <c r="BG3" s="24" t="inlineStr">
        <is>
          <t>nfl-elo-trend-lr-v4</t>
        </is>
      </c>
      <c r="BH3" s="24" t="inlineStr">
        <is>
          <t>2026-10-04T16:59:59Z</t>
        </is>
      </c>
      <c r="BI3" s="24" t="inlineStr">
        <is>
          <t>["same_event","same_team_same_day","same_league_same_day"]</t>
        </is>
      </c>
      <c r="BJ3" s="25" t="n"/>
      <c r="BK3" s="26" t="n">
        <v>-110</v>
      </c>
      <c r="BL3" s="27" t="n">
        <v>1.909091</v>
      </c>
      <c r="BM3" s="28" t="n">
        <v>0.52381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>
        <v>1</v>
      </c>
      <c r="BY3" s="27" t="n">
        <v>-1</v>
      </c>
      <c r="BZ3" s="24" t="inlineStr">
        <is>
          <t>2026-10-06T05:45:23.125338Z</t>
        </is>
      </c>
      <c r="CA3" s="31" t="inlineStr">
        <is>
          <t>fixed one-unit hypothetical scoring; no real exposure or execution</t>
        </is>
      </c>
      <c r="CB3" s="24" t="n"/>
      <c r="CC3" s="24" t="inlineStr">
        <is>
          <t>0.729161645</t>
        </is>
      </c>
      <c r="CD3" s="24" t="inlineStr">
        <is>
          <t>6.294337</t>
        </is>
      </c>
      <c r="CE3" s="24" t="n"/>
      <c r="CF3" s="24" t="n"/>
      <c r="CG3" s="24" t="n"/>
      <c r="CH3" s="24" t="n"/>
      <c r="CI3" s="24" t="inlineStr">
        <is>
          <t>executable_quote_missing_or_unmatched</t>
        </is>
      </c>
      <c r="CJ3" s="24" t="inlineStr">
        <is>
          <t>0.354894</t>
        </is>
      </c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n"/>
      <c r="DK3" s="24" t="n"/>
      <c r="DL3" s="24" t="n"/>
      <c r="DM3" s="24" t="n"/>
      <c r="DN3" s="24" t="n"/>
      <c r="DO3" s="24" t="n"/>
      <c r="DP3" s="24" t="n"/>
      <c r="DQ3" s="24" t="inlineStr">
        <is>
          <t>{"adjustment": {"applied": false, "method": "identity", "reason": "not_applicable"}, "artifact": {"artifact_hash": "5cb5857519c32e04c895a3220afdc208e3d717ba0793e8d4a6946b1332f11654", "market_models": {"moneyline": {"coefficients": [2.6154014596, 0.0502116986], "confidence_threshold": 0.54411292, "feature_names": ["elo_probability", "trend_gap"], "intercept": -1.330143552, "positive_class": "home"}}, "method": "logistic_regression", "model_version": "nfl-elo-trend-lr-v4", "qualification": {"brier_score": 0.204736, "calibration": {"brier_score": 0.20473579397750238, "calibration_intercept": 0.18451279966224257, "calibration_slope": 1.2318945376153096, "expected_calibration_error": 0.10085016000128659, "log_loss": 0.5979160642807883, "reliability_buckets": [{"count": 27, "hit_rate": 0.7407407407407407, "lower": 0.5, "mean_p": 0.5661397662760724, "upper": 0.6}, {"count": 39, "hit_rate": 0.6153846153846154, "lower": 0.6, "mean_p": 0.6525186570626519, "upper": 0.7}, {"count": 21, "hit_rate": 0.8571428571428571, "lower": 0.7, "mean_p": 0.732785238851311, "upper": 0.8}], "sample_size": 87, "status": "ok"}, "called_rate": 0.713115, "calls": 87, "every_called_month_positive_at_minus_110": true, "every_qualifying_month_positive_at_minus_110": true, "failures": [], "framework": "locked_complete_date_60_20_20", "hit_rate": 0.712644, "hits": 62, "locked_holdout": true, "market_type": "moneyline", "meets_primary_holdout_metrics": true, "minimum_calls": 50, "minimum_hit_rate": 0.6, "monthly_at_minus_110": [{"calls": 22, "hit_rate": 0.772727, "hits": 17, "month": "2025-11", "qualification_status": "qualifying", "units_at_minus_110": 10.454545}, {"calls": 44, "hit_rate": 0.659091, "hits": 29, "month": "2025-12", "qualification_status": "qualifying", "units_at_minus_110": 11.363636}, {"calls": 21, "hit_rate": 0.761905, "hits": 16, "month": "2026-01", "qualification_status": "qualifying", "units_at_minus_110": 9.545455}], "monthly_minimum_calls": 10, "price_diagnostics": null, "qualification_eligible": true, "qualified": true, "roi": null, "secondary_reporting_complete": true, "selectivity": 0.713115, "total_predictions": 122, "units_at_minus_110": 31.363636}, "schema_version": "1", "sport": "nfl", "training": {"coefficient_fit": {"end": "2025-09-11", "observations": 366, "start": "2024-08-18"}, "locked_holdout": {"end": "2026-02-08", "observations": 122, "start": "2025-11-20"}, "market_inputs_used": false, "threshold_selection": {"end": "2025-11-17", "observations": 146, "start": "2025-09-14"}, "threshold_source": "later validation cohort; never locked holdout", "walk_forward_features": true}}, "artifact_hash": "5cb5857519c32e04c895a3220afdc208e3d717ba0793e8d4a6946b1332f11654", "base_home_probability": 0.7094998579139747, "event_id": "401872971", "event_start_utc": "2026-10-04T17:00:00+00:00", "features": {"elo_probability": 0.7291616449959291, "trend_gap": 6.294337}, "historical_source_observation_times_verified": false, "model_version": "nfl-elo-trend-lr-v4", "observed_at_utc": "2026-10-04T00:00:00+00:00", "schema": "learned-moneyline-replay-v1", "served_home_probability": 0.7094998579139747, "snapshot_hash": "525834868263922bb2b2b70253899ba55cb16a4fa11071738bff6ed2e325458e"}</t>
        </is>
      </c>
    </row>
    <row r="4" ht="36" customHeight="1">
      <c r="A4" s="24" t="inlineStr">
        <is>
          <t>67bf2e316d004b9b</t>
        </is>
      </c>
      <c r="B4" s="24" t="inlineStr">
        <is>
          <t>2026-10-04T16:59:59Z</t>
        </is>
      </c>
      <c r="C4" s="24" t="inlineStr">
        <is>
          <t>2026-10-04T13:00:00-0400</t>
        </is>
      </c>
      <c r="D4" s="24" t="inlineStr">
        <is>
          <t>401872972</t>
        </is>
      </c>
      <c r="E4" s="24" t="inlineStr">
        <is>
          <t>NFL</t>
        </is>
      </c>
      <c r="F4" s="24" t="inlineStr">
        <is>
          <t>New York Jets</t>
        </is>
      </c>
      <c r="G4" s="24" t="inlineStr">
        <is>
          <t>Chicago Bears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model_opinion_no_executable_quote</t>
        </is>
      </c>
      <c r="L4" s="26" t="n">
        <v>-110</v>
      </c>
      <c r="M4" s="27" t="n">
        <v>1.909091</v>
      </c>
      <c r="N4" s="28" t="n">
        <v>0.52381</v>
      </c>
      <c r="O4" s="28" t="n">
        <v>0.682312</v>
      </c>
      <c r="P4" s="28" t="n"/>
      <c r="Q4" s="28" t="n">
        <v>0.158502</v>
      </c>
      <c r="R4" s="26" t="n">
        <v>99</v>
      </c>
      <c r="S4" s="29" t="n">
        <v>1.75</v>
      </c>
      <c r="T4" s="24" t="inlineStr">
        <is>
          <t>nfl-elo-trend-lr-v4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12</v>
      </c>
      <c r="X4" s="26" t="n">
        <v>23</v>
      </c>
      <c r="Y4" s="25" t="n"/>
      <c r="Z4" s="26" t="n"/>
      <c r="AA4" s="28" t="n"/>
      <c r="AB4" s="28" t="n"/>
      <c r="AC4" s="30" t="n">
        <v>1.5909</v>
      </c>
      <c r="AD4" s="24" t="inlineStr">
        <is>
          <t>2026-10-06T05:45:24.039517Z</t>
        </is>
      </c>
      <c r="AE4" s="31" t="inlineStr">
        <is>
          <t>Learned LR call at threshold 0.5441;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paper_call</t>
        </is>
      </c>
      <c r="AL4" s="26" t="n">
        <v>4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PAPER_CALL_MARKET_UNAVAILABLE</t>
        </is>
      </c>
      <c r="AP4" s="24" t="inlineStr">
        <is>
          <t>nfl-nyj</t>
        </is>
      </c>
      <c r="AQ4" s="24" t="inlineStr">
        <is>
          <t>New York Jets</t>
        </is>
      </c>
      <c r="AR4" s="24" t="inlineStr">
        <is>
          <t>New York Jets</t>
        </is>
      </c>
      <c r="AS4" s="24" t="inlineStr">
        <is>
          <t>nfl-chi</t>
        </is>
      </c>
      <c r="AT4" s="24" t="inlineStr">
        <is>
          <t>Chicago Bears</t>
        </is>
      </c>
      <c r="AU4" s="24" t="inlineStr">
        <is>
          <t>Chicago Bears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5cb5857519c32e04c895a3220afdc208e3d717ba0793e8d4a6946b1332f11654</t>
        </is>
      </c>
      <c r="BB4" s="24" t="inlineStr">
        <is>
          <t>learned_lr</t>
        </is>
      </c>
      <c r="BC4" s="24" t="inlineStr">
        <is>
          <t>nfl-elo-trend-lr-v4</t>
        </is>
      </c>
      <c r="BD4" s="24" t="inlineStr">
        <is>
          <t>5cb5857519c32e04c895a3220afdc208e3d717ba0793e8d4a6946b1332f11654</t>
        </is>
      </c>
      <c r="BE4" s="24" t="inlineStr">
        <is>
          <t>5a16effbcd356a72</t>
        </is>
      </c>
      <c r="BF4" s="24" t="inlineStr">
        <is>
          <t>1</t>
        </is>
      </c>
      <c r="BG4" s="24" t="inlineStr">
        <is>
          <t>nfl-elo-trend-lr-v4</t>
        </is>
      </c>
      <c r="BH4" s="24" t="inlineStr">
        <is>
          <t>2026-10-04T16:59:59Z</t>
        </is>
      </c>
      <c r="BI4" s="24" t="inlineStr">
        <is>
          <t>["same_event","same_team_same_day","same_league_same_day"]</t>
        </is>
      </c>
      <c r="BJ4" s="25" t="n"/>
      <c r="BK4" s="26" t="n">
        <v>-110</v>
      </c>
      <c r="BL4" s="27" t="n">
        <v>1.909091</v>
      </c>
      <c r="BM4" s="28" t="n">
        <v>0.52381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0.909091</v>
      </c>
      <c r="BZ4" s="24" t="inlineStr">
        <is>
          <t>2026-10-06T05:45:24.039517Z</t>
        </is>
      </c>
      <c r="CA4" s="31" t="inlineStr">
        <is>
          <t>fixed one-unit hypothetical scoring; no real exposure or execution</t>
        </is>
      </c>
      <c r="CB4" s="24" t="n"/>
      <c r="CC4" s="24" t="inlineStr">
        <is>
          <t>0.7723278449</t>
        </is>
      </c>
      <c r="CD4" s="24" t="inlineStr">
        <is>
          <t>1.48598</t>
        </is>
      </c>
      <c r="CE4" s="24" t="n"/>
      <c r="CF4" s="24" t="n"/>
      <c r="CG4" s="24" t="n"/>
      <c r="CH4" s="24" t="n"/>
      <c r="CI4" s="24" t="inlineStr">
        <is>
          <t>executable_quote_missing_or_unmatched</t>
        </is>
      </c>
      <c r="CJ4" s="24" t="inlineStr">
        <is>
          <t>0.073993</t>
        </is>
      </c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n"/>
      <c r="DK4" s="24" t="n"/>
      <c r="DL4" s="24" t="n"/>
      <c r="DM4" s="24" t="n"/>
      <c r="DN4" s="24" t="n"/>
      <c r="DO4" s="24" t="n"/>
      <c r="DP4" s="24" t="n"/>
      <c r="DQ4" s="24" t="inlineStr">
        <is>
          <t>{"adjustment": {"applied": false, "method": "identity", "reason": "not_applicable"}, "artifact": {"artifact_hash": "5cb5857519c32e04c895a3220afdc208e3d717ba0793e8d4a6946b1332f11654", "market_models": {"moneyline": {"coefficients": [2.6154014596, 0.0502116986], "confidence_threshold": 0.54411292, "feature_names": ["elo_probability", "trend_gap"], "intercept": -1.330143552, "positive_class": "home"}}, "method": "logistic_regression", "model_version": "nfl-elo-trend-lr-v4", "qualification": {"brier_score": 0.204736, "calibration": {"brier_score": 0.20473579397750238, "calibration_intercept": 0.18451279966224257, "calibration_slope": 1.2318945376153096, "expected_calibration_error": 0.10085016000128659, "log_loss": 0.5979160642807883, "reliability_buckets": [{"count": 27, "hit_rate": 0.7407407407407407, "lower": 0.5, "mean_p": 0.5661397662760724, "upper": 0.6}, {"count": 39, "hit_rate": 0.6153846153846154, "lower": 0.6, "mean_p": 0.6525186570626519, "upper": 0.7}, {"count": 21, "hit_rate": 0.8571428571428571, "lower": 0.7, "mean_p": 0.732785238851311, "upper": 0.8}], "sample_size": 87, "status": "ok"}, "called_rate": 0.713115, "calls": 87, "every_called_month_positive_at_minus_110": true, "every_qualifying_month_positive_at_minus_110": true, "failures": [], "framework": "locked_complete_date_60_20_20", "hit_rate": 0.712644, "hits": 62, "locked_holdout": true, "market_type": "moneyline", "meets_primary_holdout_metrics": true, "minimum_calls": 50, "minimum_hit_rate": 0.6, "monthly_at_minus_110": [{"calls": 22, "hit_rate": 0.772727, "hits": 17, "month": "2025-11", "qualification_status": "qualifying", "units_at_minus_110": 10.454545}, {"calls": 44, "hit_rate": 0.659091, "hits": 29, "month": "2025-12", "qualification_status": "qualifying", "units_at_minus_110": 11.363636}, {"calls": 21, "hit_rate": 0.761905, "hits": 16, "month": "2026-01", "qualification_status": "qualifying", "units_at_minus_110": 9.545455}], "monthly_minimum_calls": 10, "price_diagnostics": null, "qualification_eligible": true, "qualified": true, "roi": null, "secondary_reporting_complete": true, "selectivity": 0.713115, "total_predictions": 122, "units_at_minus_110": 31.363636}, "schema_version": "1", "sport": "nfl", "training": {"coefficient_fit": {"end": "2025-09-11", "observations": 366, "start": "2024-08-18"}, "locked_holdout": {"end": "2026-02-08", "observations": 122, "start": "2025-11-20"}, "market_inputs_used": false, "threshold_selection": {"end": "2025-11-17", "observations": 146, "start": "2025-09-14"}, "threshold_source": "later validation cohort; never locked holdout", "walk_forward_features": true}}, "artifact_hash": "5cb5857519c32e04c895a3220afdc208e3d717ba0793e8d4a6946b1332f11654", "base_home_probability": 0.6823120300496255, "event_id": "401872972", "event_start_utc": "2026-10-04T17:00:00+00:00", "features": {"elo_probability": 0.7723278449233806, "trend_gap": 1.48598}, "historical_source_observation_times_verified": false, "model_version": "nfl-elo-trend-lr-v4", "observed_at_utc": "2026-10-04T00:00:00+00:00", "schema": "learned-moneyline-replay-v1", "served_home_probability": 0.6823120300496255, "snapshot_hash": "5cb87d7961d85488471fd30872eaeb7402e09c4c0ac0c469f180970db6c287f6"}</t>
        </is>
      </c>
    </row>
    <row r="5" ht="36" customHeight="1">
      <c r="A5" s="24" t="inlineStr">
        <is>
          <t>0d82e5b06e42491e</t>
        </is>
      </c>
      <c r="B5" s="24" t="inlineStr">
        <is>
          <t>2026-10-04T16:59:59Z</t>
        </is>
      </c>
      <c r="C5" s="24" t="inlineStr">
        <is>
          <t>2026-10-04T13:00:00-0400</t>
        </is>
      </c>
      <c r="D5" s="24" t="inlineStr">
        <is>
          <t>401872969</t>
        </is>
      </c>
      <c r="E5" s="24" t="inlineStr">
        <is>
          <t>NFL</t>
        </is>
      </c>
      <c r="F5" s="24" t="inlineStr">
        <is>
          <t>Jacksonville Jaguars</t>
        </is>
      </c>
      <c r="G5" s="24" t="inlineStr">
        <is>
          <t>Cincinnati Bengals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model_opinion_no_executable_quote</t>
        </is>
      </c>
      <c r="L5" s="26" t="n">
        <v>-110</v>
      </c>
      <c r="M5" s="27" t="n">
        <v>1.909091</v>
      </c>
      <c r="N5" s="28" t="n">
        <v>0.52381</v>
      </c>
      <c r="O5" s="28" t="n">
        <v>0.533432</v>
      </c>
      <c r="P5" s="28" t="n"/>
      <c r="Q5" s="28" t="n">
        <v>0.009622</v>
      </c>
      <c r="R5" s="26" t="n">
        <v>25</v>
      </c>
      <c r="S5" s="29" t="n">
        <v>1</v>
      </c>
      <c r="T5" s="24" t="inlineStr">
        <is>
          <t>nfl-elo-trend-lr-v4</t>
        </is>
      </c>
      <c r="U5" s="24" t="inlineStr">
        <is>
          <t>settled</t>
        </is>
      </c>
      <c r="V5" s="24" t="inlineStr">
        <is>
          <t>loss</t>
        </is>
      </c>
      <c r="W5" s="26" t="n">
        <v>22</v>
      </c>
      <c r="X5" s="26" t="n">
        <v>17</v>
      </c>
      <c r="Y5" s="25" t="n"/>
      <c r="Z5" s="26" t="n"/>
      <c r="AA5" s="28" t="n"/>
      <c r="AB5" s="28" t="n"/>
      <c r="AC5" s="30" t="n">
        <v>-1</v>
      </c>
      <c r="AD5" s="24" t="inlineStr">
        <is>
          <t>2026-10-06T05:45:24.869940Z</t>
        </is>
      </c>
      <c r="AE5" s="31" t="inlineStr">
        <is>
          <t>Learned LR call at threshold 0.5441;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5" s="31" t="inlineStr">
        <is>
          <t>Learned model; shadow-qualified via operator override.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paper_call</t>
        </is>
      </c>
      <c r="AL5" s="26" t="n">
        <v>4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PAPER_CALL_BELOW_LEARNED_CONFIDENCE</t>
        </is>
      </c>
      <c r="AP5" s="24" t="inlineStr">
        <is>
          <t>nfl-jax</t>
        </is>
      </c>
      <c r="AQ5" s="24" t="inlineStr">
        <is>
          <t>Jacksonville Jaguars</t>
        </is>
      </c>
      <c r="AR5" s="24" t="inlineStr">
        <is>
          <t>Jacksonville Jaguars</t>
        </is>
      </c>
      <c r="AS5" s="24" t="inlineStr">
        <is>
          <t>nfl-cin</t>
        </is>
      </c>
      <c r="AT5" s="24" t="inlineStr">
        <is>
          <t>Cincinnati Bengals</t>
        </is>
      </c>
      <c r="AU5" s="24" t="inlineStr">
        <is>
          <t>Cincinnati Bengals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5cb5857519c32e04c895a3220afdc208e3d717ba0793e8d4a6946b1332f11654</t>
        </is>
      </c>
      <c r="BB5" s="24" t="inlineStr">
        <is>
          <t>learned_lr</t>
        </is>
      </c>
      <c r="BC5" s="24" t="inlineStr">
        <is>
          <t>nfl-elo-trend-lr-v4</t>
        </is>
      </c>
      <c r="BD5" s="24" t="inlineStr">
        <is>
          <t>5cb5857519c32e04c895a3220afdc208e3d717ba0793e8d4a6946b1332f11654</t>
        </is>
      </c>
      <c r="BE5" s="24" t="inlineStr">
        <is>
          <t>6164b168ce6ab9eb</t>
        </is>
      </c>
      <c r="BF5" s="24" t="inlineStr">
        <is>
          <t>1</t>
        </is>
      </c>
      <c r="BG5" s="24" t="inlineStr">
        <is>
          <t>nfl-elo-trend-lr-v4</t>
        </is>
      </c>
      <c r="BH5" s="24" t="inlineStr">
        <is>
          <t>2026-10-04T16:59:59Z</t>
        </is>
      </c>
      <c r="BI5" s="24" t="inlineStr">
        <is>
          <t>["same_event","same_team_same_day","same_league_same_day"]</t>
        </is>
      </c>
      <c r="BJ5" s="25" t="n"/>
      <c r="BK5" s="26" t="n">
        <v>-110</v>
      </c>
      <c r="BL5" s="27" t="n">
        <v>1.909091</v>
      </c>
      <c r="BM5" s="28" t="n">
        <v>0.52381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-1</v>
      </c>
      <c r="BZ5" s="24" t="inlineStr">
        <is>
          <t>2026-10-06T05:45:24.869940Z</t>
        </is>
      </c>
      <c r="CA5" s="31" t="inlineStr">
        <is>
          <t>fixed one-unit hypothetical scoring; no real exposure or execution</t>
        </is>
      </c>
      <c r="CB5" s="24" t="n"/>
      <c r="CC5" s="24" t="inlineStr">
        <is>
          <t>0.5738604563</t>
        </is>
      </c>
      <c r="CD5" s="24" t="inlineStr">
        <is>
          <t>-0.732977</t>
        </is>
      </c>
      <c r="CE5" s="24" t="n"/>
      <c r="CF5" s="24" t="n"/>
      <c r="CG5" s="24" t="n"/>
      <c r="CH5" s="24" t="n"/>
      <c r="CI5" s="24" t="inlineStr">
        <is>
          <t>executable_quote_missing_or_unmatched</t>
        </is>
      </c>
      <c r="CJ5" s="24" t="inlineStr">
        <is>
          <t>0.106016</t>
        </is>
      </c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n"/>
      <c r="DK5" s="24" t="n"/>
      <c r="DL5" s="24" t="n"/>
      <c r="DM5" s="24" t="n"/>
      <c r="DN5" s="24" t="n"/>
      <c r="DO5" s="24" t="n"/>
      <c r="DP5" s="24" t="n"/>
      <c r="DQ5" s="24" t="inlineStr">
        <is>
          <t>{"adjustment": {"applied": false, "method": "identity", "reason": "not_applicable"}, "artifact": {"artifact_hash": "5cb5857519c32e04c895a3220afdc208e3d717ba0793e8d4a6946b1332f11654", "market_models": {"moneyline": {"coefficients": [2.6154014596, 0.0502116986], "confidence_threshold": 0.54411292, "feature_names": ["elo_probability", "trend_gap"], "intercept": -1.330143552, "positive_class": "home"}}, "method": "logistic_regression", "model_version": "nfl-elo-trend-lr-v4", "qualification": {"brier_score": 0.204736, "calibration": {"brier_score": 0.20473579397750238, "calibration_intercept": 0.18451279966224257, "calibration_slope": 1.2318945376153096, "expected_calibration_error": 0.10085016000128659, "log_loss": 0.5979160642807883, "reliability_buckets": [{"count": 27, "hit_rate": 0.7407407407407407, "lower": 0.5, "mean_p": 0.5661397662760724, "upper": 0.6}, {"count": 39, "hit_rate": 0.6153846153846154, "lower": 0.6, "mean_p": 0.6525186570626519, "upper": 0.7}, {"count": 21, "hit_rate": 0.8571428571428571, "lower": 0.7, "mean_p": 0.732785238851311, "upper": 0.8}], "sample_size": 87, "status": "ok"}, "called_rate": 0.713115, "calls": 87, "every_called_month_positive_at_minus_110": true, "every_qualifying_month_positive_at_minus_110": true, "failures": [], "framework": "locked_complete_date_60_20_20", "hit_rate": 0.712644, "hits": 62, "locked_holdout": true, "market_type": "moneyline", "meets_primary_holdout_metrics": true, "minimum_calls": 50, "minimum_hit_rate": 0.6, "monthly_at_minus_110": [{"calls": 22, "hit_rate": 0.772727, "hits": 17, "month": "2025-11", "qualification_status": "qualifying", "units_at_minus_110": 10.454545}, {"calls": 44, "hit_rate": 0.659091, "hits": 29, "month": "2025-12", "qualification_status": "qualifying", "units_at_minus_110": 11.363636}, {"calls": 21, "hit_rate": 0.761905, "hits": 16, "month": "2026-01", "qualification_status": "qualifying", "units_at_minus_110": 9.545455}], "monthly_minimum_calls": 10, "price_diagnostics": null, "qualification_eligible": true, "qualified": true, "roi": null, "secondary_reporting_complete": true, "selectivity": 0.713115, "total_predictions": 122, "units_at_minus_110": 31.363636}, "schema_version": "1", "sport": "nfl", "training": {"coefficient_fit": {"end": "2025-09-11", "observations": 366, "start": "2024-08-18"}, "locked_holdout": {"end": "2026-02-08", "observations": 122, "start": "2025-11-20"}, "market_inputs_used": false, "threshold_selection": {"end": "2025-11-17", "observations": 146, "start": "2025-09-14"}, "threshold_source": "later validation cohort; never locked holdout", "walk_forward_features": true}}, "artifact_hash": "5cb5857519c32e04c895a3220afdc208e3d717ba0793e8d4a6946b1332f11654", "base_home_probability": 0.5334320189910994, "event_id": "401872969", "event_start_utc": "2026-10-04T17:00:00+00:00", "features": {"elo_probability": 0.5738604562756315, "trend_gap": -0.7329770000000002}, "historical_source_observation_times_verified": false, "model_version": "nfl-elo-trend-lr-v4", "observed_at_utc": "2026-10-04T00:00:00+00:00", "schema": "learned-moneyline-replay-v1", "served_home_probability": 0.5334320189910994, "snapshot_hash": "342dd74d3e3c68eb2841f99380fb0a8a65280c202f40c1ab05d0d1ef928d893d"}</t>
        </is>
      </c>
    </row>
    <row r="6" ht="36" customHeight="1">
      <c r="A6" s="24" t="inlineStr">
        <is>
          <t>a438e589f1094dbf</t>
        </is>
      </c>
      <c r="B6" s="24" t="inlineStr">
        <is>
          <t>2026-10-04T16:59:59Z</t>
        </is>
      </c>
      <c r="C6" s="24" t="inlineStr">
        <is>
          <t>2026-10-04T13:00:00-0400</t>
        </is>
      </c>
      <c r="D6" s="24" t="inlineStr">
        <is>
          <t>401872966</t>
        </is>
      </c>
      <c r="E6" s="24" t="inlineStr">
        <is>
          <t>NFL</t>
        </is>
      </c>
      <c r="F6" s="24" t="inlineStr">
        <is>
          <t>Arizona Cardinals</t>
        </is>
      </c>
      <c r="G6" s="24" t="inlineStr">
        <is>
          <t>New York Giants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model_opinion_no_executable_quote</t>
        </is>
      </c>
      <c r="L6" s="26" t="n">
        <v>-110</v>
      </c>
      <c r="M6" s="27" t="n">
        <v>1.909091</v>
      </c>
      <c r="N6" s="28" t="n">
        <v>0.52381</v>
      </c>
      <c r="O6" s="28" t="n">
        <v>0.596446</v>
      </c>
      <c r="P6" s="28" t="n"/>
      <c r="Q6" s="28" t="n">
        <v>0.07263600000000001</v>
      </c>
      <c r="R6" s="26" t="n">
        <v>56</v>
      </c>
      <c r="S6" s="29" t="n">
        <v>1.25</v>
      </c>
      <c r="T6" s="24" t="inlineStr">
        <is>
          <t>nfl-elo-trend-lr-v4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24</v>
      </c>
      <c r="X6" s="26" t="n">
        <v>36</v>
      </c>
      <c r="Y6" s="25" t="n"/>
      <c r="Z6" s="26" t="n"/>
      <c r="AA6" s="28" t="n"/>
      <c r="AB6" s="28" t="n"/>
      <c r="AC6" s="30" t="n">
        <v>1.1364</v>
      </c>
      <c r="AD6" s="24" t="inlineStr">
        <is>
          <t>2026-10-06T05:45:25.829610Z</t>
        </is>
      </c>
      <c r="AE6" s="31" t="inlineStr">
        <is>
          <t>Learned LR call at threshold 0.5441;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4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PAPER_CALL_MARKET_UNAVAILABLE</t>
        </is>
      </c>
      <c r="AP6" s="24" t="inlineStr">
        <is>
          <t>nfl-ari</t>
        </is>
      </c>
      <c r="AQ6" s="24" t="inlineStr">
        <is>
          <t>Arizona Cardinals</t>
        </is>
      </c>
      <c r="AR6" s="24" t="inlineStr">
        <is>
          <t>Arizona Cardinals</t>
        </is>
      </c>
      <c r="AS6" s="24" t="inlineStr">
        <is>
          <t>nfl-nyg</t>
        </is>
      </c>
      <c r="AT6" s="24" t="inlineStr">
        <is>
          <t>New York Giants</t>
        </is>
      </c>
      <c r="AU6" s="24" t="inlineStr">
        <is>
          <t>New York Giants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5cb5857519c32e04c895a3220afdc208e3d717ba0793e8d4a6946b1332f11654</t>
        </is>
      </c>
      <c r="BB6" s="24" t="inlineStr">
        <is>
          <t>learned_lr</t>
        </is>
      </c>
      <c r="BC6" s="24" t="inlineStr">
        <is>
          <t>nfl-elo-trend-lr-v4</t>
        </is>
      </c>
      <c r="BD6" s="24" t="inlineStr">
        <is>
          <t>5cb5857519c32e04c895a3220afdc208e3d717ba0793e8d4a6946b1332f11654</t>
        </is>
      </c>
      <c r="BE6" s="24" t="inlineStr">
        <is>
          <t>b2d2069835e39ed3</t>
        </is>
      </c>
      <c r="BF6" s="24" t="inlineStr">
        <is>
          <t>1</t>
        </is>
      </c>
      <c r="BG6" s="24" t="inlineStr">
        <is>
          <t>nfl-elo-trend-lr-v4</t>
        </is>
      </c>
      <c r="BH6" s="24" t="inlineStr">
        <is>
          <t>2026-10-04T16:59:59Z</t>
        </is>
      </c>
      <c r="BI6" s="24" t="inlineStr">
        <is>
          <t>["same_event","same_team_same_day","same_league_same_day"]</t>
        </is>
      </c>
      <c r="BJ6" s="25" t="n"/>
      <c r="BK6" s="26" t="n">
        <v>-110</v>
      </c>
      <c r="BL6" s="27" t="n">
        <v>1.909091</v>
      </c>
      <c r="BM6" s="28" t="n">
        <v>0.52381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0.909091</v>
      </c>
      <c r="BZ6" s="24" t="inlineStr">
        <is>
          <t>2026-10-06T05:45:25.829610Z</t>
        </is>
      </c>
      <c r="CA6" s="31" t="inlineStr">
        <is>
          <t>fixed one-unit hypothetical scoring; no real exposure or execution</t>
        </is>
      </c>
      <c r="CB6" s="24" t="n"/>
      <c r="CC6" s="24" t="inlineStr">
        <is>
          <t>0.7185098219</t>
        </is>
      </c>
      <c r="CD6" s="24" t="inlineStr">
        <is>
          <t>-3.154006</t>
        </is>
      </c>
      <c r="CE6" s="24" t="n"/>
      <c r="CF6" s="24" t="n"/>
      <c r="CG6" s="24" t="n"/>
      <c r="CH6" s="24" t="n"/>
      <c r="CI6" s="24" t="inlineStr">
        <is>
          <t>executable_quote_missing_or_unmatched</t>
        </is>
      </c>
      <c r="CJ6" s="24" t="inlineStr">
        <is>
          <t>7.034589</t>
        </is>
      </c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n"/>
      <c r="DK6" s="24" t="n"/>
      <c r="DL6" s="24" t="n"/>
      <c r="DM6" s="24" t="n"/>
      <c r="DN6" s="24" t="n"/>
      <c r="DO6" s="24" t="n"/>
      <c r="DP6" s="24" t="n"/>
      <c r="DQ6" s="24" t="inlineStr">
        <is>
          <t>{"adjustment": {"applied": false, "method": "identity", "reason": "not_applicable"}, "artifact": {"artifact_hash": "5cb5857519c32e04c895a3220afdc208e3d717ba0793e8d4a6946b1332f11654", "market_models": {"moneyline": {"coefficients": [2.6154014596, 0.0502116986], "confidence_threshold": 0.54411292, "feature_names": ["elo_probability", "trend_gap"], "intercept": -1.330143552, "positive_class": "home"}}, "method": "logistic_regression", "model_version": "nfl-elo-trend-lr-v4", "qualification": {"brier_score": 0.204736, "calibration": {"brier_score": 0.20473579397750238, "calibration_intercept": 0.18451279966224257, "calibration_slope": 1.2318945376153096, "expected_calibration_error": 0.10085016000128659, "log_loss": 0.5979160642807883, "reliability_buckets": [{"count": 27, "hit_rate": 0.7407407407407407, "lower": 0.5, "mean_p": 0.5661397662760724, "upper": 0.6}, {"count": 39, "hit_rate": 0.6153846153846154, "lower": 0.6, "mean_p": 0.6525186570626519, "upper": 0.7}, {"count": 21, "hit_rate": 0.8571428571428571, "lower": 0.7, "mean_p": 0.732785238851311, "upper": 0.8}], "sample_size": 87, "status": "ok"}, "called_rate": 0.713115, "calls": 87, "every_called_month_positive_at_minus_110": true, "every_qualifying_month_positive_at_minus_110": true, "failures": [], "framework": "locked_complete_date_60_20_20", "hit_rate": 0.712644, "hits": 62, "locked_holdout": true, "market_type": "moneyline", "meets_primary_holdout_metrics": true, "minimum_calls": 50, "minimum_hit_rate": 0.6, "monthly_at_minus_110": [{"calls": 22, "hit_rate": 0.772727, "hits": 17, "month": "2025-11", "qualification_status": "qualifying", "units_at_minus_110": 10.454545}, {"calls": 44, "hit_rate": 0.659091, "hits": 29, "month": "2025-12", "qualification_status": "qualifying", "units_at_minus_110": 11.363636}, {"calls": 21, "hit_rate": 0.761905, "hits": 16, "month": "2026-01", "qualification_status": "qualifying", "units_at_minus_110": 9.545455}], "monthly_minimum_calls": 10, "price_diagnostics": null, "qualification_eligible": true, "qualified": true, "roi": null, "secondary_reporting_complete": true, "selectivity": 0.713115, "total_predictions": 122, "units_at_minus_110": 31.363636}, "schema_version": "1", "sport": "nfl", "training": {"coefficient_fit": {"end": "2025-09-11", "observations": 366, "start": "2024-08-18"}, "locked_holdout": {"end": "2026-02-08", "observations": 122, "start": "2025-11-20"}, "market_inputs_used": false, "threshold_selection": {"end": "2025-11-17", "observations": 146, "start": "2025-09-14"}, "threshold_source": "later validation cohort; never locked holdout", "walk_forward_features": true}}, "artifact_hash": "5cb5857519c32e04c895a3220afdc208e3d717ba0793e8d4a6946b1332f11654", "base_home_probability": 0.5964464054771466, "event_id": "401872966", "event_start_utc": "2026-10-04T17:00:00+00:00", "features": {"elo_probability": 0.7185098218678265, "trend_gap": -3.154006}, "historical_source_observation_times_verified": false, "model_version": "nfl-elo-trend-lr-v4", "observed_at_utc": "2026-10-04T00:00:00+00:00", "schema": "learned-moneyline-replay-v1", "served_home_probability": 0.5964464054771466, "snapshot_hash": "e01d165e44110c810b7035e75e42f068a2d3d0ae154fcb8e85ab6efcfc9437a5"}</t>
        </is>
      </c>
    </row>
    <row r="7" ht="36" customHeight="1">
      <c r="A7" s="24" t="inlineStr">
        <is>
          <t>6f85232e2fc34d21</t>
        </is>
      </c>
      <c r="B7" s="24" t="inlineStr">
        <is>
          <t>2026-10-04T16:59:59Z</t>
        </is>
      </c>
      <c r="C7" s="24" t="inlineStr">
        <is>
          <t>2026-10-04T13:00:00-0400</t>
        </is>
      </c>
      <c r="D7" s="24" t="inlineStr">
        <is>
          <t>401872970</t>
        </is>
      </c>
      <c r="E7" s="24" t="inlineStr">
        <is>
          <t>NFL</t>
        </is>
      </c>
      <c r="F7" s="24" t="inlineStr">
        <is>
          <t>Los Angeles Rams</t>
        </is>
      </c>
      <c r="G7" s="24" t="inlineStr">
        <is>
          <t>Philadelphia Eagles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model_opinion_no_executable_quote</t>
        </is>
      </c>
      <c r="L7" s="26" t="n">
        <v>-110</v>
      </c>
      <c r="M7" s="27" t="n">
        <v>1.909091</v>
      </c>
      <c r="N7" s="28" t="n">
        <v>0.52381</v>
      </c>
      <c r="O7" s="28" t="n">
        <v>0.6203610000000001</v>
      </c>
      <c r="P7" s="28" t="n"/>
      <c r="Q7" s="28" t="n">
        <v>0.096551</v>
      </c>
      <c r="R7" s="26" t="n">
        <v>68</v>
      </c>
      <c r="S7" s="29" t="n">
        <v>1.25</v>
      </c>
      <c r="T7" s="24" t="inlineStr">
        <is>
          <t>nfl-elo-trend-lr-v4</t>
        </is>
      </c>
      <c r="U7" s="24" t="inlineStr">
        <is>
          <t>settled</t>
        </is>
      </c>
      <c r="V7" s="24" t="inlineStr">
        <is>
          <t>win</t>
        </is>
      </c>
      <c r="W7" s="26" t="n">
        <v>24</v>
      </c>
      <c r="X7" s="26" t="n">
        <v>20</v>
      </c>
      <c r="Y7" s="25" t="n"/>
      <c r="Z7" s="26" t="n"/>
      <c r="AA7" s="28" t="n"/>
      <c r="AB7" s="28" t="n"/>
      <c r="AC7" s="30" t="n">
        <v>1.1364</v>
      </c>
      <c r="AD7" s="24" t="inlineStr">
        <is>
          <t>2026-10-06T05:45:26.638814Z</t>
        </is>
      </c>
      <c r="AE7" s="31" t="inlineStr">
        <is>
          <t>Learned LR call at threshold 0.5441;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paper_call</t>
        </is>
      </c>
      <c r="AL7" s="26" t="n">
        <v>4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PAPER_CALL_MARKET_UNAVAILABLE</t>
        </is>
      </c>
      <c r="AP7" s="24" t="inlineStr">
        <is>
          <t>nfl-lar</t>
        </is>
      </c>
      <c r="AQ7" s="24" t="inlineStr">
        <is>
          <t>Los Angeles Rams</t>
        </is>
      </c>
      <c r="AR7" s="24" t="inlineStr">
        <is>
          <t>Los Angeles Rams</t>
        </is>
      </c>
      <c r="AS7" s="24" t="inlineStr">
        <is>
          <t>nfl-phi</t>
        </is>
      </c>
      <c r="AT7" s="24" t="inlineStr">
        <is>
          <t>Philadelphia Eagles</t>
        </is>
      </c>
      <c r="AU7" s="24" t="inlineStr">
        <is>
          <t>Philadelphia Eagles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5cb5857519c32e04c895a3220afdc208e3d717ba0793e8d4a6946b1332f11654</t>
        </is>
      </c>
      <c r="BB7" s="24" t="inlineStr">
        <is>
          <t>learned_lr</t>
        </is>
      </c>
      <c r="BC7" s="24" t="inlineStr">
        <is>
          <t>nfl-elo-trend-lr-v4</t>
        </is>
      </c>
      <c r="BD7" s="24" t="inlineStr">
        <is>
          <t>5cb5857519c32e04c895a3220afdc208e3d717ba0793e8d4a6946b1332f11654</t>
        </is>
      </c>
      <c r="BE7" s="24" t="inlineStr">
        <is>
          <t>4b8f0ba5e8fb9850</t>
        </is>
      </c>
      <c r="BF7" s="24" t="inlineStr">
        <is>
          <t>1</t>
        </is>
      </c>
      <c r="BG7" s="24" t="inlineStr">
        <is>
          <t>nfl-elo-trend-lr-v4</t>
        </is>
      </c>
      <c r="BH7" s="24" t="inlineStr">
        <is>
          <t>2026-10-04T16:59:59Z</t>
        </is>
      </c>
      <c r="BI7" s="24" t="inlineStr">
        <is>
          <t>["same_event","same_team_same_day","same_league_same_day"]</t>
        </is>
      </c>
      <c r="BJ7" s="25" t="n"/>
      <c r="BK7" s="26" t="n">
        <v>-110</v>
      </c>
      <c r="BL7" s="27" t="n">
        <v>1.909091</v>
      </c>
      <c r="BM7" s="28" t="n">
        <v>0.52381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0.909091</v>
      </c>
      <c r="BZ7" s="24" t="inlineStr">
        <is>
          <t>2026-10-06T05:45:26.638814Z</t>
        </is>
      </c>
      <c r="CA7" s="31" t="inlineStr">
        <is>
          <t>fixed one-unit hypothetical scoring; no real exposure or execution</t>
        </is>
      </c>
      <c r="CB7" s="24" t="n"/>
      <c r="CC7" s="24" t="inlineStr">
        <is>
          <t>0.4065531892</t>
        </is>
      </c>
      <c r="CD7" s="24" t="inlineStr">
        <is>
          <t>-4.46584</t>
        </is>
      </c>
      <c r="CE7" s="24" t="n"/>
      <c r="CF7" s="24" t="n"/>
      <c r="CG7" s="24" t="n"/>
      <c r="CH7" s="24" t="n"/>
      <c r="CI7" s="24" t="inlineStr">
        <is>
          <t>executable_quote_missing_or_unmatched</t>
        </is>
      </c>
      <c r="CJ7" s="24" t="inlineStr">
        <is>
          <t>-3.136705</t>
        </is>
      </c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n"/>
      <c r="DK7" s="24" t="n"/>
      <c r="DL7" s="24" t="n"/>
      <c r="DM7" s="24" t="n"/>
      <c r="DN7" s="24" t="n"/>
      <c r="DO7" s="24" t="n"/>
      <c r="DP7" s="24" t="n"/>
      <c r="DQ7" s="24" t="inlineStr">
        <is>
          <t>{"adjustment": {"applied": false, "method": "identity", "reason": "not_applicable"}, "artifact": {"artifact_hash": "5cb5857519c32e04c895a3220afdc208e3d717ba0793e8d4a6946b1332f11654", "market_models": {"moneyline": {"coefficients": [2.6154014596, 0.0502116986], "confidence_threshold": 0.54411292, "feature_names": ["elo_probability", "trend_gap"], "intercept": -1.330143552, "positive_class": "home"}}, "method": "logistic_regression", "model_version": "nfl-elo-trend-lr-v4", "qualification": {"brier_score": 0.204736, "calibration": {"brier_score": 0.20473579397750238, "calibration_intercept": 0.18451279966224257, "calibration_slope": 1.2318945376153096, "expected_calibration_error": 0.10085016000128659, "log_loss": 0.5979160642807883, "reliability_buckets": [{"count": 27, "hit_rate": 0.7407407407407407, "lower": 0.5, "mean_p": 0.5661397662760724, "upper": 0.6}, {"count": 39, "hit_rate": 0.6153846153846154, "lower": 0.6, "mean_p": 0.6525186570626519, "upper": 0.7}, {"count": 21, "hit_rate": 0.8571428571428571, "lower": 0.7, "mean_p": 0.732785238851311, "upper": 0.8}], "sample_size": 87, "status": "ok"}, "called_rate": 0.713115, "calls": 87, "every_called_month_positive_at_minus_110": true, "every_qualifying_month_positive_at_minus_110": true, "failures": [], "framework": "locked_complete_date_60_20_20", "hit_rate": 0.712644, "hits": 62, "locked_holdout": true, "market_type": "moneyline", "meets_primary_holdout_metrics": true, "minimum_calls": 50, "minimum_hit_rate": 0.6, "monthly_at_minus_110": [{"calls": 22, "hit_rate": 0.772727, "hits": 17, "month": "2025-11", "qualification_status": "qualifying", "units_at_minus_110": 10.454545}, {"calls": 44, "hit_rate": 0.659091, "hits": 29, "month": "2025-12", "qualification_status": "qualifying", "units_at_minus_110": 11.363636}, {"calls": 21, "hit_rate": 0.761905, "hits": 16, "month": "2026-01", "qualification_status": "qualifying", "units_at_minus_110": 9.545455}], "monthly_minimum_calls": 10, "price_diagnostics": null, "qualification_eligible": true, "qualified": true, "roi": null, "secondary_reporting_complete": true, "selectivity": 0.713115, "total_predictions": 122, "units_at_minus_110": 31.363636}, "schema_version": "1", "sport": "nfl", "training": {"coefficient_fit": {"end": "2025-09-11", "observations": 366, "start": "2024-08-18"}, "locked_holdout": {"end": "2026-02-08", "observations": 122, "start": "2025-11-20"}, "market_inputs_used": false, "threshold_selection": {"end": "2025-11-17", "observations": 146, "start": "2025-09-14"}, "threshold_source": "later validation cohort; never locked holdout", "walk_forward_features": true}}, "artifact_hash": "5cb5857519c32e04c895a3220afdc208e3d717ba0793e8d4a6946b1332f11654", "base_home_probability": 0.3796389071712996, "event_id": "401872970", "event_start_utc": "2026-10-04T17:00:00+00:00", "features": {"elo_probability": 0.4065531892035939, "trend_gap": -4.46584}, "historical_source_observation_times_verified": false, "model_version": "nfl-elo-trend-lr-v4", "observed_at_utc": "2026-10-04T00:00:00+00:00", "schema": "learned-moneyline-replay-v1", "served_home_probability": 0.3796389071712996, "snapshot_hash": "255c5c212faa3a68e9f4758eddd872c67ac40e73a29e29ee8a6dd73cca3e2248"}</t>
        </is>
      </c>
    </row>
    <row r="8" ht="36" customHeight="1">
      <c r="A8" s="24" t="inlineStr">
        <is>
          <t>061dda2c563b47c0</t>
        </is>
      </c>
      <c r="B8" s="24" t="inlineStr">
        <is>
          <t>2026-10-04T16:59:59Z</t>
        </is>
      </c>
      <c r="C8" s="24" t="inlineStr">
        <is>
          <t>2026-10-04T13:00:00-0400</t>
        </is>
      </c>
      <c r="D8" s="24" t="inlineStr">
        <is>
          <t>401872968</t>
        </is>
      </c>
      <c r="E8" s="24" t="inlineStr">
        <is>
          <t>NFL</t>
        </is>
      </c>
      <c r="F8" s="24" t="inlineStr">
        <is>
          <t>Green Bay Packers</t>
        </is>
      </c>
      <c r="G8" s="24" t="inlineStr">
        <is>
          <t>Tampa Bay Buccaneers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model_opinion_no_executable_quote</t>
        </is>
      </c>
      <c r="L8" s="26" t="n">
        <v>-110</v>
      </c>
      <c r="M8" s="27" t="n">
        <v>1.909091</v>
      </c>
      <c r="N8" s="28" t="n">
        <v>0.52381</v>
      </c>
      <c r="O8" s="28" t="n">
        <v>0.535681</v>
      </c>
      <c r="P8" s="28" t="n"/>
      <c r="Q8" s="28" t="n">
        <v>0.011871</v>
      </c>
      <c r="R8" s="26" t="n">
        <v>26</v>
      </c>
      <c r="S8" s="29" t="n">
        <v>1</v>
      </c>
      <c r="T8" s="24" t="inlineStr">
        <is>
          <t>nfl-elo-trend-lr-v4</t>
        </is>
      </c>
      <c r="U8" s="24" t="inlineStr">
        <is>
          <t>settled</t>
        </is>
      </c>
      <c r="V8" s="24" t="inlineStr">
        <is>
          <t>win</t>
        </is>
      </c>
      <c r="W8" s="26" t="n">
        <v>17</v>
      </c>
      <c r="X8" s="26" t="n">
        <v>14</v>
      </c>
      <c r="Y8" s="25" t="n"/>
      <c r="Z8" s="26" t="n"/>
      <c r="AA8" s="28" t="n"/>
      <c r="AB8" s="28" t="n"/>
      <c r="AC8" s="30" t="n">
        <v>0.9091</v>
      </c>
      <c r="AD8" s="24" t="inlineStr">
        <is>
          <t>2026-10-06T05:45:27.547358Z</t>
        </is>
      </c>
      <c r="AE8" s="31" t="inlineStr">
        <is>
          <t>Learned LR call at threshold 0.5441;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8" s="31" t="inlineStr">
        <is>
          <t>Learned model; shadow-qualified via operator override.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paper_call</t>
        </is>
      </c>
      <c r="AL8" s="26" t="n">
        <v>4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PAPER_CALL_BELOW_LEARNED_CONFIDENCE</t>
        </is>
      </c>
      <c r="AP8" s="24" t="inlineStr">
        <is>
          <t>nfl-gb</t>
        </is>
      </c>
      <c r="AQ8" s="24" t="inlineStr">
        <is>
          <t>Green Bay Packers</t>
        </is>
      </c>
      <c r="AR8" s="24" t="inlineStr">
        <is>
          <t>Green Bay Packers</t>
        </is>
      </c>
      <c r="AS8" s="24" t="inlineStr">
        <is>
          <t>nfl-tb</t>
        </is>
      </c>
      <c r="AT8" s="24" t="inlineStr">
        <is>
          <t>Tampa Bay Buccaneers</t>
        </is>
      </c>
      <c r="AU8" s="24" t="inlineStr">
        <is>
          <t>Tampa Bay Buccaneers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5cb5857519c32e04c895a3220afdc208e3d717ba0793e8d4a6946b1332f11654</t>
        </is>
      </c>
      <c r="BB8" s="24" t="inlineStr">
        <is>
          <t>learned_lr</t>
        </is>
      </c>
      <c r="BC8" s="24" t="inlineStr">
        <is>
          <t>nfl-elo-trend-lr-v4</t>
        </is>
      </c>
      <c r="BD8" s="24" t="inlineStr">
        <is>
          <t>5cb5857519c32e04c895a3220afdc208e3d717ba0793e8d4a6946b1332f11654</t>
        </is>
      </c>
      <c r="BE8" s="24" t="inlineStr">
        <is>
          <t>fb62dd54a8be85ed</t>
        </is>
      </c>
      <c r="BF8" s="24" t="inlineStr">
        <is>
          <t>1</t>
        </is>
      </c>
      <c r="BG8" s="24" t="inlineStr">
        <is>
          <t>nfl-elo-trend-lr-v4</t>
        </is>
      </c>
      <c r="BH8" s="24" t="inlineStr">
        <is>
          <t>2026-10-04T16:59:59Z</t>
        </is>
      </c>
      <c r="BI8" s="24" t="inlineStr">
        <is>
          <t>["same_event","same_team_same_day","same_league_same_day"]</t>
        </is>
      </c>
      <c r="BJ8" s="25" t="n"/>
      <c r="BK8" s="26" t="n">
        <v>-110</v>
      </c>
      <c r="BL8" s="27" t="n">
        <v>1.909091</v>
      </c>
      <c r="BM8" s="28" t="n">
        <v>0.52381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0.909091</v>
      </c>
      <c r="BZ8" s="24" t="inlineStr">
        <is>
          <t>2026-10-06T05:45:27.547358Z</t>
        </is>
      </c>
      <c r="CA8" s="31" t="inlineStr">
        <is>
          <t>fixed one-unit hypothetical scoring; no real exposure or execution</t>
        </is>
      </c>
      <c r="CB8" s="24" t="n"/>
      <c r="CC8" s="24" t="inlineStr">
        <is>
          <t>0.5044396037</t>
        </is>
      </c>
      <c r="CD8" s="24" t="inlineStr">
        <is>
          <t>-2.631556</t>
        </is>
      </c>
      <c r="CE8" s="24" t="n"/>
      <c r="CF8" s="24" t="n"/>
      <c r="CG8" s="24" t="n"/>
      <c r="CH8" s="24" t="n"/>
      <c r="CI8" s="24" t="inlineStr">
        <is>
          <t>executable_quote_missing_or_unmatched</t>
        </is>
      </c>
      <c r="CJ8" s="24" t="inlineStr">
        <is>
          <t>4.688392</t>
        </is>
      </c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n"/>
      <c r="DK8" s="24" t="n"/>
      <c r="DL8" s="24" t="n"/>
      <c r="DM8" s="24" t="n"/>
      <c r="DN8" s="24" t="n"/>
      <c r="DO8" s="24" t="n"/>
      <c r="DP8" s="24" t="n"/>
      <c r="DQ8" s="24" t="inlineStr">
        <is>
          <t>{"adjustment": {"applied": false, "method": "identity", "reason": "not_applicable"}, "artifact": {"artifact_hash": "5cb5857519c32e04c895a3220afdc208e3d717ba0793e8d4a6946b1332f11654", "market_models": {"moneyline": {"coefficients": [2.6154014596, 0.0502116986], "confidence_threshold": 0.54411292, "feature_names": ["elo_probability", "trend_gap"], "intercept": -1.330143552, "positive_class": "home"}}, "method": "logistic_regression", "model_version": "nfl-elo-trend-lr-v4", "qualification": {"brier_score": 0.204736, "calibration": {"brier_score": 0.20473579397750238, "calibration_intercept": 0.18451279966224257, "calibration_slope": 1.2318945376153096, "expected_calibration_error": 0.10085016000128659, "log_loss": 0.5979160642807883, "reliability_buckets": [{"count": 27, "hit_rate": 0.7407407407407407, "lower": 0.5, "mean_p": 0.5661397662760724, "upper": 0.6}, {"count": 39, "hit_rate": 0.6153846153846154, "lower": 0.6, "mean_p": 0.6525186570626519, "upper": 0.7}, {"count": 21, "hit_rate": 0.8571428571428571, "lower": 0.7, "mean_p": 0.732785238851311, "upper": 0.8}], "sample_size": 87, "status": "ok"}, "called_rate": 0.713115, "calls": 87, "every_called_month_positive_at_minus_110": true, "every_qualifying_month_positive_at_minus_110": true, "failures": [], "framework": "locked_complete_date_60_20_20", "hit_rate": 0.712644, "hits": 62, "locked_holdout": true, "market_type": "moneyline", "meets_primary_holdout_metrics": true, "minimum_calls": 50, "minimum_hit_rate": 0.6, "monthly_at_minus_110": [{"calls": 22, "hit_rate": 0.772727, "hits": 17, "month": "2025-11", "qualification_status": "qualifying", "units_at_minus_110": 10.454545}, {"calls": 44, "hit_rate": 0.659091, "hits": 29, "month": "2025-12", "qualification_status": "qualifying", "units_at_minus_110": 11.363636}, {"calls": 21, "hit_rate": 0.761905, "hits": 16, "month": "2026-01", "qualification_status": "qualifying", "units_at_minus_110": 9.545455}], "monthly_minimum_calls": 10, "price_diagnostics": null, "qualification_eligible": true, "qualified": true, "roi": null, "secondary_reporting_complete": true, "selectivity": 0.713115, "total_predictions": 122, "units_at_minus_110": 31.363636}, "schema_version": "1", "sport": "nfl", "training": {"coefficient_fit": {"end": "2025-09-11", "observations": 366, "start": "2024-08-18"}, "locked_holdout": {"end": "2026-02-08", "observations": 122, "start": "2025-11-20"}, "market_inputs_used": false, "threshold_selection": {"end": "2025-11-17", "observations": 146, "start": "2025-09-14"}, "threshold_source": "later validation cohort; never locked holdout", "walk_forward_features": true}}, "artifact_hash": "5cb5857519c32e04c895a3220afdc208e3d717ba0793e8d4a6946b1332f11654", "base_home_probability": 0.4643191606096457, "event_id": "401872968", "event_start_utc": "2026-10-04T17:00:00+00:00", "features": {"elo_probability": 0.5044396037045454, "trend_gap": -2.631556}, "historical_source_observation_times_verified": false, "model_version": "nfl-elo-trend-lr-v4", "observed_at_utc": "2026-10-04T00:00:00+00:00", "schema": "learned-moneyline-replay-v1", "served_home_probability": 0.4643191606096457, "snapshot_hash": "1e524af7677223984fd144a33b9ce79ef0d2f73a769df346cd7a7ccb58ff4497"}</t>
        </is>
      </c>
    </row>
    <row r="9" ht="36" customHeight="1">
      <c r="A9" s="24" t="inlineStr">
        <is>
          <t>dce72087ad9a49b8</t>
        </is>
      </c>
      <c r="B9" s="24" t="inlineStr">
        <is>
          <t>2026-10-04T16:59:59Z</t>
        </is>
      </c>
      <c r="C9" s="24" t="inlineStr">
        <is>
          <t>2026-10-04T13:00:00-0400</t>
        </is>
      </c>
      <c r="D9" s="24" t="inlineStr">
        <is>
          <t>401872973</t>
        </is>
      </c>
      <c r="E9" s="24" t="inlineStr">
        <is>
          <t>NFL</t>
        </is>
      </c>
      <c r="F9" s="24" t="inlineStr">
        <is>
          <t>Tennessee Titans</t>
        </is>
      </c>
      <c r="G9" s="24" t="inlineStr">
        <is>
          <t>Baltimore Ravens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model_opinion_no_executable_quote</t>
        </is>
      </c>
      <c r="L9" s="26" t="n">
        <v>-110</v>
      </c>
      <c r="M9" s="27" t="n">
        <v>1.909091</v>
      </c>
      <c r="N9" s="28" t="n">
        <v>0.52381</v>
      </c>
      <c r="O9" s="28" t="n">
        <v>0.71548</v>
      </c>
      <c r="P9" s="28" t="n"/>
      <c r="Q9" s="28" t="n">
        <v>0.19167</v>
      </c>
      <c r="R9" s="26" t="n">
        <v>100</v>
      </c>
      <c r="S9" s="29" t="n">
        <v>2</v>
      </c>
      <c r="T9" s="24" t="inlineStr">
        <is>
          <t>nfl-elo-trend-lr-v4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18</v>
      </c>
      <c r="X9" s="26" t="n">
        <v>24</v>
      </c>
      <c r="Y9" s="25" t="n"/>
      <c r="Z9" s="26" t="n"/>
      <c r="AA9" s="28" t="n"/>
      <c r="AB9" s="28" t="n"/>
      <c r="AC9" s="30" t="n">
        <v>1.8182</v>
      </c>
      <c r="AD9" s="24" t="inlineStr">
        <is>
          <t>2026-10-06T05:45:28.414594Z</t>
        </is>
      </c>
      <c r="AE9" s="31" t="inlineStr">
        <is>
          <t>Learned LR call at threshold 0.5441;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paper_call</t>
        </is>
      </c>
      <c r="AL9" s="26" t="n">
        <v>4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PAPER_CALL_MARKET_UNAVAILABLE</t>
        </is>
      </c>
      <c r="AP9" s="24" t="inlineStr">
        <is>
          <t>nfl-ten</t>
        </is>
      </c>
      <c r="AQ9" s="24" t="inlineStr">
        <is>
          <t>Tennessee Titans</t>
        </is>
      </c>
      <c r="AR9" s="24" t="inlineStr">
        <is>
          <t>Tennessee Titans</t>
        </is>
      </c>
      <c r="AS9" s="24" t="inlineStr">
        <is>
          <t>nfl-bal</t>
        </is>
      </c>
      <c r="AT9" s="24" t="inlineStr">
        <is>
          <t>Baltimore Ravens</t>
        </is>
      </c>
      <c r="AU9" s="24" t="inlineStr">
        <is>
          <t>Baltimore Ravens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5cb5857519c32e04c895a3220afdc208e3d717ba0793e8d4a6946b1332f11654</t>
        </is>
      </c>
      <c r="BB9" s="24" t="inlineStr">
        <is>
          <t>learned_lr</t>
        </is>
      </c>
      <c r="BC9" s="24" t="inlineStr">
        <is>
          <t>nfl-elo-trend-lr-v4</t>
        </is>
      </c>
      <c r="BD9" s="24" t="inlineStr">
        <is>
          <t>5cb5857519c32e04c895a3220afdc208e3d717ba0793e8d4a6946b1332f11654</t>
        </is>
      </c>
      <c r="BE9" s="24" t="inlineStr">
        <is>
          <t>928bc83927fcccdd</t>
        </is>
      </c>
      <c r="BF9" s="24" t="inlineStr">
        <is>
          <t>1</t>
        </is>
      </c>
      <c r="BG9" s="24" t="inlineStr">
        <is>
          <t>nfl-elo-trend-lr-v4</t>
        </is>
      </c>
      <c r="BH9" s="24" t="inlineStr">
        <is>
          <t>2026-10-04T16:59:59Z</t>
        </is>
      </c>
      <c r="BI9" s="24" t="inlineStr">
        <is>
          <t>["same_event","same_team_same_day","same_league_same_day"]</t>
        </is>
      </c>
      <c r="BJ9" s="25" t="n"/>
      <c r="BK9" s="26" t="n">
        <v>-110</v>
      </c>
      <c r="BL9" s="27" t="n">
        <v>1.909091</v>
      </c>
      <c r="BM9" s="28" t="n">
        <v>0.52381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0.909091</v>
      </c>
      <c r="BZ9" s="24" t="inlineStr">
        <is>
          <t>2026-10-06T05:45:28.414594Z</t>
        </is>
      </c>
      <c r="CA9" s="31" t="inlineStr">
        <is>
          <t>fixed one-unit hypothetical scoring; no real exposure or execution</t>
        </is>
      </c>
      <c r="CB9" s="24" t="n"/>
      <c r="CC9" s="24" t="inlineStr">
        <is>
          <t>0.8252034712</t>
        </is>
      </c>
      <c r="CD9" s="24" t="inlineStr">
        <is>
          <t>1.873219</t>
        </is>
      </c>
      <c r="CE9" s="24" t="n"/>
      <c r="CF9" s="24" t="n"/>
      <c r="CG9" s="24" t="n"/>
      <c r="CH9" s="24" t="n"/>
      <c r="CI9" s="24" t="inlineStr">
        <is>
          <t>executable_quote_missing_or_unmatched</t>
        </is>
      </c>
      <c r="CJ9" s="24" t="inlineStr">
        <is>
          <t>-2.221559</t>
        </is>
      </c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n"/>
      <c r="DK9" s="24" t="n"/>
      <c r="DL9" s="24" t="n"/>
      <c r="DM9" s="24" t="n"/>
      <c r="DN9" s="24" t="n"/>
      <c r="DO9" s="24" t="n"/>
      <c r="DP9" s="24" t="n"/>
      <c r="DQ9" s="24" t="inlineStr">
        <is>
          <t>{"adjustment": {"applied": false, "method": "identity", "reason": "not_applicable"}, "artifact": {"artifact_hash": "5cb5857519c32e04c895a3220afdc208e3d717ba0793e8d4a6946b1332f11654", "market_models": {"moneyline": {"coefficients": [2.6154014596, 0.0502116986], "confidence_threshold": 0.54411292, "feature_names": ["elo_probability", "trend_gap"], "intercept": -1.330143552, "positive_class": "home"}}, "method": "logistic_regression", "model_version": "nfl-elo-trend-lr-v4", "qualification": {"brier_score": 0.204736, "calibration": {"brier_score": 0.20473579397750238, "calibration_intercept": 0.18451279966224257, "calibration_slope": 1.2318945376153096, "expected_calibration_error": 0.10085016000128659, "log_loss": 0.5979160642807883, "reliability_buckets": [{"count": 27, "hit_rate": 0.7407407407407407, "lower": 0.5, "mean_p": 0.5661397662760724, "upper": 0.6}, {"count": 39, "hit_rate": 0.6153846153846154, "lower": 0.6, "mean_p": 0.6525186570626519, "upper": 0.7}, {"count": 21, "hit_rate": 0.8571428571428571, "lower": 0.7, "mean_p": 0.732785238851311, "upper": 0.8}], "sample_size": 87, "status": "ok"}, "called_rate": 0.713115, "calls": 87, "every_called_month_positive_at_minus_110": true, "every_qualifying_month_positive_at_minus_110": true, "failures": [], "framework": "locked_complete_date_60_20_20", "hit_rate": 0.712644, "hits": 62, "locked_holdout": true, "market_type": "moneyline", "meets_primary_holdout_metrics": true, "minimum_calls": 50, "minimum_hit_rate": 0.6, "monthly_at_minus_110": [{"calls": 22, "hit_rate": 0.772727, "hits": 17, "month": "2025-11", "qualification_status": "qualifying", "units_at_minus_110": 10.454545}, {"calls": 44, "hit_rate": 0.659091, "hits": 29, "month": "2025-12", "qualification_status": "qualifying", "units_at_minus_110": 11.363636}, {"calls": 21, "hit_rate": 0.761905, "hits": 16, "month": "2026-01", "qualification_status": "qualifying", "units_at_minus_110": 9.545455}], "monthly_minimum_calls": 10, "price_diagnostics": null, "qualification_eligible": true, "qualified": true, "roi": null, "secondary_reporting_complete": true, "selectivity": 0.713115, "total_predictions": 122, "units_at_minus_110": 31.363636}, "schema_version": "1", "sport": "nfl", "training": {"coefficient_fit": {"end": "2025-09-11", "observations": 366, "start": "2024-08-18"}, "locked_holdout": {"end": "2026-02-08", "observations": 122, "start": "2025-11-20"}, "market_inputs_used": false, "threshold_selection": {"end": "2025-11-17", "observations": 146, "start": "2025-09-14"}, "threshold_source": "later validation cohort; never locked holdout", "walk_forward_features": true}}, "artifact_hash": "5cb5857519c32e04c895a3220afdc208e3d717ba0793e8d4a6946b1332f11654", "base_home_probability": 0.7154804524457987, "event_id": "401872973", "event_start_utc": "2026-10-04T17:00:00+00:00", "features": {"elo_probability": 0.8252034711815317, "trend_gap": 1.873219}, "historical_source_observation_times_verified": false, "model_version": "nfl-elo-trend-lr-v4", "observed_at_utc": "2026-10-04T00:00:00+00:00", "schema": "learned-moneyline-replay-v1", "served_home_probability": 0.7154804524457987, "snapshot_hash": "8280109dc4fdbce7fd939ea78f5d6c3ed4e4e07d4ea9764425ded3ed5c60ce98"}</t>
        </is>
      </c>
    </row>
    <row r="10" ht="36" customHeight="1">
      <c r="A10" s="24" t="inlineStr">
        <is>
          <t>f0d9a72109f04325</t>
        </is>
      </c>
      <c r="B10" s="24" t="inlineStr">
        <is>
          <t>2026-10-04T16:59:59Z</t>
        </is>
      </c>
      <c r="C10" s="24" t="inlineStr">
        <is>
          <t>2026-10-04T13:00:00-0400</t>
        </is>
      </c>
      <c r="D10" s="24" t="inlineStr">
        <is>
          <t>401872967</t>
        </is>
      </c>
      <c r="E10" s="24" t="inlineStr">
        <is>
          <t>NFL</t>
        </is>
      </c>
      <c r="F10" s="24" t="inlineStr">
        <is>
          <t>Dallas Cowboys</t>
        </is>
      </c>
      <c r="G10" s="24" t="inlineStr">
        <is>
          <t>Houston Texans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model_opinion_no_executable_quote</t>
        </is>
      </c>
      <c r="L10" s="26" t="n">
        <v>-110</v>
      </c>
      <c r="M10" s="27" t="n">
        <v>1.909091</v>
      </c>
      <c r="N10" s="28" t="n">
        <v>0.52381</v>
      </c>
      <c r="O10" s="28" t="n">
        <v>0.557964</v>
      </c>
      <c r="P10" s="28" t="n"/>
      <c r="Q10" s="28" t="n">
        <v>0.034154</v>
      </c>
      <c r="R10" s="26" t="n">
        <v>37</v>
      </c>
      <c r="S10" s="29" t="n">
        <v>1</v>
      </c>
      <c r="T10" s="24" t="inlineStr">
        <is>
          <t>nfl-elo-trend-lr-v4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34</v>
      </c>
      <c r="X10" s="26" t="n">
        <v>30</v>
      </c>
      <c r="Y10" s="25" t="n"/>
      <c r="Z10" s="26" t="n"/>
      <c r="AA10" s="28" t="n"/>
      <c r="AB10" s="28" t="n"/>
      <c r="AC10" s="30" t="n">
        <v>0.9091</v>
      </c>
      <c r="AD10" s="24" t="inlineStr">
        <is>
          <t>2026-10-06T05:45:29.267421Z</t>
        </is>
      </c>
      <c r="AE10" s="31" t="inlineStr">
        <is>
          <t>Learned LR call at threshold 0.5441;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paper_call</t>
        </is>
      </c>
      <c r="AL10" s="26" t="n">
        <v>4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PAPER_CALL_MARKET_UNAVAILABLE</t>
        </is>
      </c>
      <c r="AP10" s="24" t="inlineStr">
        <is>
          <t>nfl-dal</t>
        </is>
      </c>
      <c r="AQ10" s="24" t="inlineStr">
        <is>
          <t>Dallas Cowboys</t>
        </is>
      </c>
      <c r="AR10" s="24" t="inlineStr">
        <is>
          <t>Dallas Cowboys</t>
        </is>
      </c>
      <c r="AS10" s="24" t="inlineStr">
        <is>
          <t>nfl-hou</t>
        </is>
      </c>
      <c r="AT10" s="24" t="inlineStr">
        <is>
          <t>Houston Texans</t>
        </is>
      </c>
      <c r="AU10" s="24" t="inlineStr">
        <is>
          <t>Houston Texans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5cb5857519c32e04c895a3220afdc208e3d717ba0793e8d4a6946b1332f11654</t>
        </is>
      </c>
      <c r="BB10" s="24" t="inlineStr">
        <is>
          <t>learned_lr</t>
        </is>
      </c>
      <c r="BC10" s="24" t="inlineStr">
        <is>
          <t>nfl-elo-trend-lr-v4</t>
        </is>
      </c>
      <c r="BD10" s="24" t="inlineStr">
        <is>
          <t>5cb5857519c32e04c895a3220afdc208e3d717ba0793e8d4a6946b1332f11654</t>
        </is>
      </c>
      <c r="BE10" s="24" t="inlineStr">
        <is>
          <t>fac8a1c8ed370b0e</t>
        </is>
      </c>
      <c r="BF10" s="24" t="inlineStr">
        <is>
          <t>1</t>
        </is>
      </c>
      <c r="BG10" s="24" t="inlineStr">
        <is>
          <t>nfl-elo-trend-lr-v4</t>
        </is>
      </c>
      <c r="BH10" s="24" t="inlineStr">
        <is>
          <t>2026-10-04T16:59:59Z</t>
        </is>
      </c>
      <c r="BI10" s="24" t="inlineStr">
        <is>
          <t>["same_event","same_team_same_day","same_league_same_day"]</t>
        </is>
      </c>
      <c r="BJ10" s="25" t="n"/>
      <c r="BK10" s="26" t="n">
        <v>-110</v>
      </c>
      <c r="BL10" s="27" t="n">
        <v>1.909091</v>
      </c>
      <c r="BM10" s="28" t="n">
        <v>0.52381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0.909091</v>
      </c>
      <c r="BZ10" s="24" t="inlineStr">
        <is>
          <t>2026-10-06T05:45:29.267421Z</t>
        </is>
      </c>
      <c r="CA10" s="31" t="inlineStr">
        <is>
          <t>fixed one-unit hypothetical scoring; no real exposure or execution</t>
        </is>
      </c>
      <c r="CB10" s="24" t="n"/>
      <c r="CC10" s="24" t="inlineStr">
        <is>
          <t>0.5158435652</t>
        </is>
      </c>
      <c r="CD10" s="24" t="inlineStr">
        <is>
          <t>-5.016742</t>
        </is>
      </c>
      <c r="CE10" s="24" t="n"/>
      <c r="CF10" s="24" t="n"/>
      <c r="CG10" s="24" t="n"/>
      <c r="CH10" s="24" t="n"/>
      <c r="CI10" s="24" t="inlineStr">
        <is>
          <t>executable_quote_missing_or_unmatched</t>
        </is>
      </c>
      <c r="CJ10" s="24" t="inlineStr">
        <is>
          <t>-2.84935</t>
        </is>
      </c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n"/>
      <c r="DK10" s="24" t="n"/>
      <c r="DL10" s="24" t="n"/>
      <c r="DM10" s="24" t="n"/>
      <c r="DN10" s="24" t="n"/>
      <c r="DO10" s="24" t="n"/>
      <c r="DP10" s="24" t="n"/>
      <c r="DQ10" s="24" t="inlineStr">
        <is>
          <t>{"adjustment": {"applied": false, "method": "identity", "reason": "not_applicable"}, "artifact": {"artifact_hash": "5cb5857519c32e04c895a3220afdc208e3d717ba0793e8d4a6946b1332f11654", "market_models": {"moneyline": {"coefficients": [2.6154014596, 0.0502116986], "confidence_threshold": 0.54411292, "feature_names": ["elo_probability", "trend_gap"], "intercept": -1.330143552, "positive_class": "home"}}, "method": "logistic_regression", "model_version": "nfl-elo-trend-lr-v4", "qualification": {"brier_score": 0.204736, "calibration": {"brier_score": 0.20473579397750238, "calibration_intercept": 0.18451279966224257, "calibration_slope": 1.2318945376153096, "expected_calibration_error": 0.10085016000128659, "log_loss": 0.5979160642807883, "reliability_buckets": [{"count": 27, "hit_rate": 0.7407407407407407, "lower": 0.5, "mean_p": 0.5661397662760724, "upper": 0.6}, {"count": 39, "hit_rate": 0.6153846153846154, "lower": 0.6, "mean_p": 0.6525186570626519, "upper": 0.7}, {"count": 21, "hit_rate": 0.8571428571428571, "lower": 0.7, "mean_p": 0.732785238851311, "upper": 0.8}], "sample_size": 87, "status": "ok"}, "called_rate": 0.713115, "calls": 87, "every_called_month_positive_at_minus_110": true, "every_qualifying_month_positive_at_minus_110": true, "failures": [], "framework": "locked_complete_date_60_20_20", "hit_rate": 0.712644, "hits": 62, "locked_holdout": true, "market_type": "moneyline", "meets_primary_holdout_metrics": true, "minimum_calls": 50, "minimum_hit_rate": 0.6, "monthly_at_minus_110": [{"calls": 22, "hit_rate": 0.772727, "hits": 17, "month": "2025-11", "qualification_status": "qualifying", "units_at_minus_110": 10.454545}, {"calls": 44, "hit_rate": 0.659091, "hits": 29, "month": "2025-12", "qualification_status": "qualifying", "units_at_minus_110": 11.363636}, {"calls": 21, "hit_rate": 0.761905, "hits": 16, "month": "2026-01", "qualification_status": "qualifying", "units_at_minus_110": 9.545455}], "monthly_minimum_calls": 10, "price_diagnostics": null, "qualification_eligible": true, "qualified": true, "roi": null, "secondary_reporting_complete": true, "selectivity": 0.713115, "total_predictions": 122, "units_at_minus_110": 31.363636}, "schema_version": "1", "sport": "nfl", "training": {"coefficient_fit": {"end": "2025-09-11", "observations": 366, "start": "2024-08-18"}, "locked_holdout": {"end": "2026-02-08", "observations": 122, "start": "2025-11-20"}, "market_inputs_used": false, "threshold_selection": {"end": "2025-11-17", "observations": 146, "start": "2025-09-14"}, "threshold_source": "later validation cohort; never locked holdout", "walk_forward_features": true}}, "artifact_hash": "5cb5857519c32e04c895a3220afdc208e3d717ba0793e8d4a6946b1332f11654", "base_home_probability": 0.4420356156359355, "event_id": "401872967", "event_start_utc": "2026-10-04T17:00:00+00:00", "features": {"elo_probability": 0.5158435652237734, "trend_gap": -5.016742}, "historical_source_observation_times_verified": false, "model_version": "nfl-elo-trend-lr-v4", "observed_at_utc": "2026-10-04T00:00:00+00:00", "schema": "learned-moneyline-replay-v1", "served_home_probability": 0.4420356156359355, "snapshot_hash": "5498cbd33cbe7b12c49c17b9a4aee214b1878e4dc7bf1e82e33de5014a5b956a"}</t>
        </is>
      </c>
    </row>
    <row r="11" ht="36" customHeight="1">
      <c r="A11" s="24" t="inlineStr">
        <is>
          <t>c04d69a0d9ea4359</t>
        </is>
      </c>
      <c r="B11" s="24" t="inlineStr">
        <is>
          <t>2026-10-04T20:04:59Z</t>
        </is>
      </c>
      <c r="C11" s="24" t="inlineStr">
        <is>
          <t>2026-10-04T16:05:00-0400</t>
        </is>
      </c>
      <c r="D11" s="24" t="inlineStr">
        <is>
          <t>401872974</t>
        </is>
      </c>
      <c r="E11" s="24" t="inlineStr">
        <is>
          <t>NFL</t>
        </is>
      </c>
      <c r="F11" s="24" t="inlineStr">
        <is>
          <t>Miami Dolphins</t>
        </is>
      </c>
      <c r="G11" s="24" t="inlineStr">
        <is>
          <t>Minnesota Vikings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model_opinion_no_executable_quote</t>
        </is>
      </c>
      <c r="L11" s="26" t="n">
        <v>-110</v>
      </c>
      <c r="M11" s="27" t="n">
        <v>1.909091</v>
      </c>
      <c r="N11" s="28" t="n">
        <v>0.52381</v>
      </c>
      <c r="O11" s="28" t="n">
        <v>0.727878</v>
      </c>
      <c r="P11" s="28" t="n"/>
      <c r="Q11" s="28" t="n">
        <v>0.204068</v>
      </c>
      <c r="R11" s="26" t="n">
        <v>100</v>
      </c>
      <c r="S11" s="29" t="n">
        <v>2</v>
      </c>
      <c r="T11" s="24" t="inlineStr">
        <is>
          <t>nfl-elo-trend-lr-v4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10</v>
      </c>
      <c r="X11" s="26" t="n">
        <v>15</v>
      </c>
      <c r="Y11" s="25" t="n"/>
      <c r="Z11" s="26" t="n"/>
      <c r="AA11" s="28" t="n"/>
      <c r="AB11" s="28" t="n"/>
      <c r="AC11" s="30" t="n">
        <v>1.8182</v>
      </c>
      <c r="AD11" s="24" t="inlineStr">
        <is>
          <t>2026-10-06T05:45:30.133270Z</t>
        </is>
      </c>
      <c r="AE11" s="31" t="inlineStr">
        <is>
          <t>Learned LR call at threshold 0.5441;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paper_call</t>
        </is>
      </c>
      <c r="AL11" s="26" t="n">
        <v>4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PAPER_CALL_MARKET_UNAVAILABLE</t>
        </is>
      </c>
      <c r="AP11" s="24" t="inlineStr">
        <is>
          <t>nfl-mia</t>
        </is>
      </c>
      <c r="AQ11" s="24" t="inlineStr">
        <is>
          <t>Miami Dolphins</t>
        </is>
      </c>
      <c r="AR11" s="24" t="inlineStr">
        <is>
          <t>Miami Dolphins</t>
        </is>
      </c>
      <c r="AS11" s="24" t="inlineStr">
        <is>
          <t>nfl-min</t>
        </is>
      </c>
      <c r="AT11" s="24" t="inlineStr">
        <is>
          <t>Minnesota Vikings</t>
        </is>
      </c>
      <c r="AU11" s="24" t="inlineStr">
        <is>
          <t>Minnesota Vikings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5cb5857519c32e04c895a3220afdc208e3d717ba0793e8d4a6946b1332f11654</t>
        </is>
      </c>
      <c r="BB11" s="24" t="inlineStr">
        <is>
          <t>learned_lr</t>
        </is>
      </c>
      <c r="BC11" s="24" t="inlineStr">
        <is>
          <t>nfl-elo-trend-lr-v4</t>
        </is>
      </c>
      <c r="BD11" s="24" t="inlineStr">
        <is>
          <t>5cb5857519c32e04c895a3220afdc208e3d717ba0793e8d4a6946b1332f11654</t>
        </is>
      </c>
      <c r="BE11" s="24" t="inlineStr">
        <is>
          <t>f1d2f2017738b47e</t>
        </is>
      </c>
      <c r="BF11" s="24" t="inlineStr">
        <is>
          <t>1</t>
        </is>
      </c>
      <c r="BG11" s="24" t="inlineStr">
        <is>
          <t>nfl-elo-trend-lr-v4</t>
        </is>
      </c>
      <c r="BH11" s="24" t="inlineStr">
        <is>
          <t>2026-10-04T20:04:59Z</t>
        </is>
      </c>
      <c r="BI11" s="24" t="inlineStr">
        <is>
          <t>["same_event","same_team_same_day","same_league_same_day"]</t>
        </is>
      </c>
      <c r="BJ11" s="25" t="n"/>
      <c r="BK11" s="26" t="n">
        <v>-110</v>
      </c>
      <c r="BL11" s="27" t="n">
        <v>1.909091</v>
      </c>
      <c r="BM11" s="28" t="n">
        <v>0.52381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>
        <v>1</v>
      </c>
      <c r="BY11" s="27" t="n">
        <v>0.909091</v>
      </c>
      <c r="BZ11" s="24" t="inlineStr">
        <is>
          <t>2026-10-06T05:45:30.133270Z</t>
        </is>
      </c>
      <c r="CA11" s="31" t="inlineStr">
        <is>
          <t>fixed one-unit hypothetical scoring; no real exposure or execution</t>
        </is>
      </c>
      <c r="CB11" s="24" t="n"/>
      <c r="CC11" s="24" t="inlineStr">
        <is>
          <t>0.8320972618</t>
        </is>
      </c>
      <c r="CD11" s="24" t="inlineStr">
        <is>
          <t>2.743557</t>
        </is>
      </c>
      <c r="CE11" s="24" t="n"/>
      <c r="CF11" s="24" t="n"/>
      <c r="CG11" s="24" t="n"/>
      <c r="CH11" s="24" t="n"/>
      <c r="CI11" s="24" t="inlineStr">
        <is>
          <t>executable_quote_missing_or_unmatched</t>
        </is>
      </c>
      <c r="CJ11" s="24" t="inlineStr">
        <is>
          <t>5.696436</t>
        </is>
      </c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n"/>
      <c r="DK11" s="24" t="n"/>
      <c r="DL11" s="24" t="n"/>
      <c r="DM11" s="24" t="n"/>
      <c r="DN11" s="24" t="n"/>
      <c r="DO11" s="24" t="n"/>
      <c r="DP11" s="24" t="n"/>
      <c r="DQ11" s="24" t="inlineStr">
        <is>
          <t>{"adjustment": {"applied": false, "method": "identity", "reason": "not_applicable"}, "artifact": {"artifact_hash": "5cb5857519c32e04c895a3220afdc208e3d717ba0793e8d4a6946b1332f11654", "market_models": {"moneyline": {"coefficients": [2.6154014596, 0.0502116986], "confidence_threshold": 0.54411292, "feature_names": ["elo_probability", "trend_gap"], "intercept": -1.330143552, "positive_class": "home"}}, "method": "logistic_regression", "model_version": "nfl-elo-trend-lr-v4", "qualification": {"brier_score": 0.204736, "calibration": {"brier_score": 0.20473579397750238, "calibration_intercept": 0.18451279966224257, "calibration_slope": 1.2318945376153096, "expected_calibration_error": 0.10085016000128659, "log_loss": 0.5979160642807883, "reliability_buckets": [{"count": 27, "hit_rate": 0.7407407407407407, "lower": 0.5, "mean_p": 0.5661397662760724, "upper": 0.6}, {"count": 39, "hit_rate": 0.6153846153846154, "lower": 0.6, "mean_p": 0.6525186570626519, "upper": 0.7}, {"count": 21, "hit_rate": 0.8571428571428571, "lower": 0.7, "mean_p": 0.732785238851311, "upper": 0.8}], "sample_size": 87, "status": "ok"}, "called_rate": 0.713115, "calls": 87, "every_called_month_positive_at_minus_110": true, "every_qualifying_month_positive_at_minus_110": true, "failures": [], "framework": "locked_complete_date_60_20_20", "hit_rate": 0.712644, "hits": 62, "locked_holdout": true, "market_type": "moneyline", "meets_primary_holdout_metrics": true, "minimum_calls": 50, "minimum_hit_rate": 0.6, "monthly_at_minus_110": [{"calls": 22, "hit_rate": 0.772727, "hits": 17, "month": "2025-11", "qualification_status": "qualifying", "units_at_minus_110": 10.454545}, {"calls": 44, "hit_rate": 0.659091, "hits": 29, "month": "2025-12", "qualification_status": "qualifying", "units_at_minus_110": 11.363636}, {"calls": 21, "hit_rate": 0.761905, "hits": 16, "month": "2026-01", "qualification_status": "qualifying", "units_at_minus_110": 9.545455}], "monthly_minimum_calls": 10, "price_diagnostics": null, "qualification_eligible": true, "qualified": true, "roi": null, "secondary_reporting_complete": true, "selectivity": 0.713115, "total_predictions": 122, "units_at_minus_110": 31.363636}, "schema_version": "1", "sport": "nfl", "training": {"coefficient_fit": {"end": "2025-09-11", "observations": 366, "start": "2024-08-18"}, "locked_holdout": {"end": "2026-02-08", "observations": 122, "start": "2025-11-20"}, "market_inputs_used": false, "threshold_selection": {"end": "2025-11-17", "observations": 146, "start": "2025-09-14"}, "threshold_source": "later validation cohort; never locked holdout", "walk_forward_features": true}}, "artifact_hash": "5cb5857519c32e04c895a3220afdc208e3d717ba0793e8d4a6946b1332f11654", "base_home_probability": 0.7278781072975777, "event_id": "401872974", "event_start_utc": "2026-10-04T20:05:00+00:00", "features": {"elo_probability": 0.8320972618311123, "trend_gap": 2.743557}, "historical_source_observation_times_verified": false, "model_version": "nfl-elo-trend-lr-v4", "observed_at_utc": "2026-10-04T00:00:00+00:00", "schema": "learned-moneyline-replay-v1", "served_home_probability": 0.7278781072975777, "snapshot_hash": "5eecdc077273048e9c26fa13694b9e06d8bb2c71f0e8e29899712fc94d1f7df7"}</t>
        </is>
      </c>
    </row>
    <row r="12" ht="36" customHeight="1">
      <c r="A12" s="24" t="inlineStr">
        <is>
          <t>88aa36cdc7324646</t>
        </is>
      </c>
      <c r="B12" s="24" t="inlineStr">
        <is>
          <t>2026-10-04T20:24:59Z</t>
        </is>
      </c>
      <c r="C12" s="24" t="inlineStr">
        <is>
          <t>2026-10-04T16:25:00-0400</t>
        </is>
      </c>
      <c r="D12" s="24" t="inlineStr">
        <is>
          <t>401872976</t>
        </is>
      </c>
      <c r="E12" s="24" t="inlineStr">
        <is>
          <t>NFL</t>
        </is>
      </c>
      <c r="F12" s="24" t="inlineStr">
        <is>
          <t>Kansas City Chiefs</t>
        </is>
      </c>
      <c r="G12" s="24" t="inlineStr">
        <is>
          <t>Las Vegas Raiders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model_opinion_no_executable_quote</t>
        </is>
      </c>
      <c r="L12" s="26" t="n">
        <v>-110</v>
      </c>
      <c r="M12" s="27" t="n">
        <v>1.909091</v>
      </c>
      <c r="N12" s="28" t="n">
        <v>0.52381</v>
      </c>
      <c r="O12" s="28" t="n">
        <v>0.536112</v>
      </c>
      <c r="P12" s="28" t="n"/>
      <c r="Q12" s="28" t="n">
        <v>0.012302</v>
      </c>
      <c r="R12" s="26" t="n">
        <v>26</v>
      </c>
      <c r="S12" s="29" t="n">
        <v>1</v>
      </c>
      <c r="T12" s="24" t="inlineStr">
        <is>
          <t>nfl-elo-trend-lr-v4</t>
        </is>
      </c>
      <c r="U12" s="24" t="inlineStr">
        <is>
          <t>settled</t>
        </is>
      </c>
      <c r="V12" s="24" t="inlineStr">
        <is>
          <t>loss</t>
        </is>
      </c>
      <c r="W12" s="26" t="n">
        <v>30</v>
      </c>
      <c r="X12" s="26" t="n">
        <v>27</v>
      </c>
      <c r="Y12" s="25" t="n"/>
      <c r="Z12" s="26" t="n"/>
      <c r="AA12" s="28" t="n"/>
      <c r="AB12" s="28" t="n"/>
      <c r="AC12" s="30" t="n">
        <v>-1</v>
      </c>
      <c r="AD12" s="24" t="inlineStr">
        <is>
          <t>2026-10-06T05:45:31.019087Z</t>
        </is>
      </c>
      <c r="AE12" s="31" t="inlineStr">
        <is>
          <t>Learned LR call at threshold 0.5441;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2" s="31" t="inlineStr">
        <is>
          <t>Learned model; shadow-qualified via operator override.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paper_call</t>
        </is>
      </c>
      <c r="AL12" s="26" t="n">
        <v>4</v>
      </c>
      <c r="AM12" s="24" t="inlineStr">
        <is>
          <t>RESEARCH_OBSERVATION</t>
        </is>
      </c>
      <c r="AN12" s="24" t="inlineStr">
        <is>
          <t>CALL</t>
        </is>
      </c>
      <c r="AO12" s="24" t="inlineStr">
        <is>
          <t>PAPER_CALL_BELOW_LEARNED_CONFIDENCE</t>
        </is>
      </c>
      <c r="AP12" s="24" t="inlineStr">
        <is>
          <t>nfl-kc</t>
        </is>
      </c>
      <c r="AQ12" s="24" t="inlineStr">
        <is>
          <t>Kansas City Chiefs</t>
        </is>
      </c>
      <c r="AR12" s="24" t="inlineStr">
        <is>
          <t>Kansas City Chiefs</t>
        </is>
      </c>
      <c r="AS12" s="24" t="inlineStr">
        <is>
          <t>nfl-lv</t>
        </is>
      </c>
      <c r="AT12" s="24" t="inlineStr">
        <is>
          <t>Las Vegas Raiders</t>
        </is>
      </c>
      <c r="AU12" s="24" t="inlineStr">
        <is>
          <t>Las Vegas Raiders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5cb5857519c32e04c895a3220afdc208e3d717ba0793e8d4a6946b1332f11654</t>
        </is>
      </c>
      <c r="BB12" s="24" t="inlineStr">
        <is>
          <t>learned_lr</t>
        </is>
      </c>
      <c r="BC12" s="24" t="inlineStr">
        <is>
          <t>nfl-elo-trend-lr-v4</t>
        </is>
      </c>
      <c r="BD12" s="24" t="inlineStr">
        <is>
          <t>5cb5857519c32e04c895a3220afdc208e3d717ba0793e8d4a6946b1332f11654</t>
        </is>
      </c>
      <c r="BE12" s="24" t="inlineStr">
        <is>
          <t>f514c32f8c927ca2</t>
        </is>
      </c>
      <c r="BF12" s="24" t="inlineStr">
        <is>
          <t>1</t>
        </is>
      </c>
      <c r="BG12" s="24" t="inlineStr">
        <is>
          <t>nfl-elo-trend-lr-v4</t>
        </is>
      </c>
      <c r="BH12" s="24" t="inlineStr">
        <is>
          <t>2026-10-04T20:24:59Z</t>
        </is>
      </c>
      <c r="BI12" s="24" t="inlineStr">
        <is>
          <t>["same_event","same_team_same_day","same_league_same_day"]</t>
        </is>
      </c>
      <c r="BJ12" s="25" t="n"/>
      <c r="BK12" s="26" t="n">
        <v>-110</v>
      </c>
      <c r="BL12" s="27" t="n">
        <v>1.909091</v>
      </c>
      <c r="BM12" s="28" t="n">
        <v>0.52381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>
        <v>1</v>
      </c>
      <c r="BY12" s="27" t="n">
        <v>-1</v>
      </c>
      <c r="BZ12" s="24" t="inlineStr">
        <is>
          <t>2026-10-06T05:45:31.019087Z</t>
        </is>
      </c>
      <c r="CA12" s="31" t="inlineStr">
        <is>
          <t>fixed one-unit hypothetical scoring; no real exposure or execution</t>
        </is>
      </c>
      <c r="CB12" s="24" t="n"/>
      <c r="CC12" s="24" t="inlineStr">
        <is>
          <t>0.4922844573</t>
        </is>
      </c>
      <c r="CD12" s="24" t="inlineStr">
        <is>
          <t>3.73067</t>
        </is>
      </c>
      <c r="CE12" s="24" t="n"/>
      <c r="CF12" s="24" t="n"/>
      <c r="CG12" s="24" t="n"/>
      <c r="CH12" s="24" t="n"/>
      <c r="CI12" s="24" t="inlineStr">
        <is>
          <t>executable_quote_missing_or_unmatched</t>
        </is>
      </c>
      <c r="CJ12" s="24" t="inlineStr">
        <is>
          <t>-0.382704</t>
        </is>
      </c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n"/>
      <c r="DK12" s="24" t="n"/>
      <c r="DL12" s="24" t="n"/>
      <c r="DM12" s="24" t="n"/>
      <c r="DN12" s="24" t="n"/>
      <c r="DO12" s="24" t="n"/>
      <c r="DP12" s="24" t="n"/>
      <c r="DQ12" s="24" t="inlineStr">
        <is>
          <t>{"adjustment": {"applied": false, "method": "identity", "reason": "not_applicable"}, "artifact": {"artifact_hash": "5cb5857519c32e04c895a3220afdc208e3d717ba0793e8d4a6946b1332f11654", "market_models": {"moneyline": {"coefficients": [2.6154014596, 0.0502116986], "confidence_threshold": 0.54411292, "feature_names": ["elo_probability", "trend_gap"], "intercept": -1.330143552, "positive_class": "home"}}, "method": "logistic_regression", "model_version": "nfl-elo-trend-lr-v4", "qualification": {"brier_score": 0.204736, "calibration": {"brier_score": 0.20473579397750238, "calibration_intercept": 0.18451279966224257, "calibration_slope": 1.2318945376153096, "expected_calibration_error": 0.10085016000128659, "log_loss": 0.5979160642807883, "reliability_buckets": [{"count": 27, "hit_rate": 0.7407407407407407, "lower": 0.5, "mean_p": 0.5661397662760724, "upper": 0.6}, {"count": 39, "hit_rate": 0.6153846153846154, "lower": 0.6, "mean_p": 0.6525186570626519, "upper": 0.7}, {"count": 21, "hit_rate": 0.8571428571428571, "lower": 0.7, "mean_p": 0.732785238851311, "upper": 0.8}], "sample_size": 87, "status": "ok"}, "called_rate": 0.713115, "calls": 87, "every_called_month_positive_at_minus_110": true, "every_qualifying_month_positive_at_minus_110": true, "failures": [], "framework": "locked_complete_date_60_20_20", "hit_rate": 0.712644, "hits": 62, "locked_holdout": true, "market_type": "moneyline", "meets_primary_holdout_metrics": true, "minimum_calls": 50, "minimum_hit_rate": 0.6, "monthly_at_minus_110": [{"calls": 22, "hit_rate": 0.772727, "hits": 17, "month": "2025-11", "qualification_status": "qualifying", "units_at_minus_110": 10.454545}, {"calls": 44, "hit_rate": 0.659091, "hits": 29, "month": "2025-12", "qualification_status": "qualifying", "units_at_minus_110": 11.363636}, {"calls": 21, "hit_rate": 0.761905, "hits": 16, "month": "2026-01", "qualification_status": "qualifying", "units_at_minus_110": 9.545455}], "monthly_minimum_calls": 10, "price_diagnostics": null, "qualification_eligible": true, "qualified": true, "roi": null, "secondary_reporting_complete": true, "selectivity": 0.713115, "total_predictions": 122, "units_at_minus_110": 31.363636}, "schema_version": "1", "sport": "nfl", "training": {"coefficient_fit": {"end": "2025-09-11", "observations": 366, "start": "2024-08-18"}, "locked_holdout": {"end": "2026-02-08", "observations": 122, "start": "2025-11-20"}, "market_inputs_used": false, "threshold_selection": {"end": "2025-11-17", "observations": 146, "start": "2025-09-14"}, "threshold_source": "later validation cohort; never locked holdout", "walk_forward_features": true}}, "artifact_hash": "5cb5857519c32e04c895a3220afdc208e3d717ba0793e8d4a6946b1332f11654", "base_home_probability": 0.5361123141006098, "event_id": "401872976", "event_start_utc": "2026-10-04T20:25:00+00:00", "features": {"elo_probability": 0.4922844572621897, "trend_gap": 3.73067}, "historical_source_observation_times_verified": false, "model_version": "nfl-elo-trend-lr-v4", "observed_at_utc": "2026-10-04T00:00:00+00:00", "schema": "learned-moneyline-replay-v1", "served_home_probability": 0.5361123141006098, "snapshot_hash": "b7899257b8e9e041f6dd70799cc5f70398c489e8c9b931179e30167d5f765825"}</t>
        </is>
      </c>
    </row>
    <row r="13" ht="36" customHeight="1">
      <c r="A13" s="24" t="inlineStr">
        <is>
          <t>b394ac085eca4ba2</t>
        </is>
      </c>
      <c r="B13" s="24" t="inlineStr">
        <is>
          <t>2026-10-04T20:24:59Z</t>
        </is>
      </c>
      <c r="C13" s="24" t="inlineStr">
        <is>
          <t>2026-10-04T16:25:00-0400</t>
        </is>
      </c>
      <c r="D13" s="24" t="inlineStr">
        <is>
          <t>401872975</t>
        </is>
      </c>
      <c r="E13" s="24" t="inlineStr">
        <is>
          <t>NFL</t>
        </is>
      </c>
      <c r="F13" s="24" t="inlineStr">
        <is>
          <t>Denver Broncos</t>
        </is>
      </c>
      <c r="G13" s="24" t="inlineStr">
        <is>
          <t>San Francisco 49ers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model_opinion_no_executable_quote</t>
        </is>
      </c>
      <c r="L13" s="26" t="n">
        <v>-110</v>
      </c>
      <c r="M13" s="27" t="n">
        <v>1.909091</v>
      </c>
      <c r="N13" s="28" t="n">
        <v>0.52381</v>
      </c>
      <c r="O13" s="28" t="n">
        <v>0.617624</v>
      </c>
      <c r="P13" s="28" t="n"/>
      <c r="Q13" s="28" t="n">
        <v>0.09381399999999999</v>
      </c>
      <c r="R13" s="26" t="n">
        <v>67</v>
      </c>
      <c r="S13" s="29" t="n">
        <v>1.25</v>
      </c>
      <c r="T13" s="24" t="inlineStr">
        <is>
          <t>nfl-elo-trend-lr-v4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14</v>
      </c>
      <c r="X13" s="26" t="n">
        <v>24</v>
      </c>
      <c r="Y13" s="25" t="n"/>
      <c r="Z13" s="26" t="n"/>
      <c r="AA13" s="28" t="n"/>
      <c r="AB13" s="28" t="n"/>
      <c r="AC13" s="30" t="n">
        <v>1.1364</v>
      </c>
      <c r="AD13" s="24" t="inlineStr">
        <is>
          <t>2026-10-06T05:45:31.857055Z</t>
        </is>
      </c>
      <c r="AE13" s="31" t="inlineStr">
        <is>
          <t>Learned LR call at threshold 0.5441;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paper_call</t>
        </is>
      </c>
      <c r="AL13" s="26" t="n">
        <v>4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PAPER_CALL_MARKET_UNAVAILABLE</t>
        </is>
      </c>
      <c r="AP13" s="24" t="inlineStr">
        <is>
          <t>nfl-den</t>
        </is>
      </c>
      <c r="AQ13" s="24" t="inlineStr">
        <is>
          <t>Denver Broncos</t>
        </is>
      </c>
      <c r="AR13" s="24" t="inlineStr">
        <is>
          <t>Denver Broncos</t>
        </is>
      </c>
      <c r="AS13" s="24" t="inlineStr">
        <is>
          <t>nfl-sf</t>
        </is>
      </c>
      <c r="AT13" s="24" t="inlineStr">
        <is>
          <t>San Francisco 49ers</t>
        </is>
      </c>
      <c r="AU13" s="24" t="inlineStr">
        <is>
          <t>San Francisco 49ers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5cb5857519c32e04c895a3220afdc208e3d717ba0793e8d4a6946b1332f11654</t>
        </is>
      </c>
      <c r="BB13" s="24" t="inlineStr">
        <is>
          <t>learned_lr</t>
        </is>
      </c>
      <c r="BC13" s="24" t="inlineStr">
        <is>
          <t>nfl-elo-trend-lr-v4</t>
        </is>
      </c>
      <c r="BD13" s="24" t="inlineStr">
        <is>
          <t>5cb5857519c32e04c895a3220afdc208e3d717ba0793e8d4a6946b1332f11654</t>
        </is>
      </c>
      <c r="BE13" s="24" t="inlineStr">
        <is>
          <t>90976790d0e6024a</t>
        </is>
      </c>
      <c r="BF13" s="24" t="inlineStr">
        <is>
          <t>1</t>
        </is>
      </c>
      <c r="BG13" s="24" t="inlineStr">
        <is>
          <t>nfl-elo-trend-lr-v4</t>
        </is>
      </c>
      <c r="BH13" s="24" t="inlineStr">
        <is>
          <t>2026-10-04T20:24:59Z</t>
        </is>
      </c>
      <c r="BI13" s="24" t="inlineStr">
        <is>
          <t>["same_event","same_team_same_day","same_league_same_day"]</t>
        </is>
      </c>
      <c r="BJ13" s="25" t="n"/>
      <c r="BK13" s="26" t="n">
        <v>-110</v>
      </c>
      <c r="BL13" s="27" t="n">
        <v>1.909091</v>
      </c>
      <c r="BM13" s="28" t="n">
        <v>0.52381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>
        <v>1</v>
      </c>
      <c r="BY13" s="27" t="n">
        <v>0.909091</v>
      </c>
      <c r="BZ13" s="24" t="inlineStr">
        <is>
          <t>2026-10-06T05:45:31.857055Z</t>
        </is>
      </c>
      <c r="CA13" s="31" t="inlineStr">
        <is>
          <t>fixed one-unit hypothetical scoring; no real exposure or execution</t>
        </is>
      </c>
      <c r="CB13" s="24" t="n"/>
      <c r="CC13" s="24" t="inlineStr">
        <is>
          <t>0.6434733511</t>
        </is>
      </c>
      <c r="CD13" s="24" t="inlineStr">
        <is>
          <t>2.522858</t>
        </is>
      </c>
      <c r="CE13" s="24" t="n"/>
      <c r="CF13" s="24" t="n"/>
      <c r="CG13" s="24" t="n"/>
      <c r="CH13" s="24" t="n"/>
      <c r="CI13" s="24" t="inlineStr">
        <is>
          <t>executable_quote_missing_or_unmatched</t>
        </is>
      </c>
      <c r="CJ13" s="24" t="inlineStr">
        <is>
          <t>1.858422</t>
        </is>
      </c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n"/>
      <c r="DK13" s="24" t="n"/>
      <c r="DL13" s="24" t="n"/>
      <c r="DM13" s="24" t="n"/>
      <c r="DN13" s="24" t="n"/>
      <c r="DO13" s="24" t="n"/>
      <c r="DP13" s="24" t="n"/>
      <c r="DQ13" s="24" t="inlineStr">
        <is>
          <t>{"adjustment": {"applied": false, "method": "identity", "reason": "not_applicable"}, "artifact": {"artifact_hash": "5cb5857519c32e04c895a3220afdc208e3d717ba0793e8d4a6946b1332f11654", "market_models": {"moneyline": {"coefficients": [2.6154014596, 0.0502116986], "confidence_threshold": 0.54411292, "feature_names": ["elo_probability", "trend_gap"], "intercept": -1.330143552, "positive_class": "home"}}, "method": "logistic_regression", "model_version": "nfl-elo-trend-lr-v4", "qualification": {"brier_score": 0.204736, "calibration": {"brier_score": 0.20473579397750238, "calibration_intercept": 0.18451279966224257, "calibration_slope": 1.2318945376153096, "expected_calibration_error": 0.10085016000128659, "log_loss": 0.5979160642807883, "reliability_buckets": [{"count": 27, "hit_rate": 0.7407407407407407, "lower": 0.5, "mean_p": 0.5661397662760724, "upper": 0.6}, {"count": 39, "hit_rate": 0.6153846153846154, "lower": 0.6, "mean_p": 0.6525186570626519, "upper": 0.7}, {"count": 21, "hit_rate": 0.8571428571428571, "lower": 0.7, "mean_p": 0.732785238851311, "upper": 0.8}], "sample_size": 87, "status": "ok"}, "called_rate": 0.713115, "calls": 87, "every_called_month_positive_at_minus_110": true, "every_qualifying_month_positive_at_minus_110": true, "failures": [], "framework": "locked_complete_date_60_20_20", "hit_rate": 0.712644, "hits": 62, "locked_holdout": true, "market_type": "moneyline", "meets_primary_holdout_metrics": true, "minimum_calls": 50, "minimum_hit_rate": 0.6, "monthly_at_minus_110": [{"calls": 22, "hit_rate": 0.772727, "hits": 17, "month": "2025-11", "qualification_status": "qualifying", "units_at_minus_110": 10.454545}, {"calls": 44, "hit_rate": 0.659091, "hits": 29, "month": "2025-12", "qualification_status": "qualifying", "units_at_minus_110": 11.363636}, {"calls": 21, "hit_rate": 0.761905, "hits": 16, "month": "2026-01", "qualification_status": "qualifying", "units_at_minus_110": 9.545455}], "monthly_minimum_calls": 10, "price_diagnostics": null, "qualification_eligible": true, "qualified": true, "roi": null, "secondary_reporting_complete": true, "selectivity": 0.713115, "total_predictions": 122, "units_at_minus_110": 31.363636}, "schema_version": "1", "sport": "nfl", "training": {"coefficient_fit": {"end": "2025-09-11", "observations": 366, "start": "2024-08-18"}, "locked_holdout": {"end": "2026-02-08", "observations": 122, "start": "2025-11-20"}, "market_inputs_used": false, "threshold_selection": {"end": "2025-11-17", "observations": 146, "start": "2025-09-14"}, "threshold_source": "later validation cohort; never locked holdout", "walk_forward_features": true}}, "artifact_hash": "5cb5857519c32e04c895a3220afdc208e3d717ba0793e8d4a6946b1332f11654", "base_home_probability": 0.6176237956855308, "event_id": "401872975", "event_start_utc": "2026-10-04T20:25:00+00:00", "features": {"elo_probability": 0.6434733511132753, "trend_gap": 2.522858}, "historical_source_observation_times_verified": false, "model_version": "nfl-elo-trend-lr-v4", "observed_at_utc": "2026-10-04T00:00:00+00:00", "schema": "learned-moneyline-replay-v1", "served_home_probability": 0.6176237956855308, "snapshot_hash": "650a437ac43a23777b0d2ba11202e1dd7387404cd1684a86ce650ea67331dee6"}</t>
        </is>
      </c>
    </row>
    <row r="14" ht="36" customHeight="1">
      <c r="A14" s="24" t="inlineStr">
        <is>
          <t>97a6df06c3f84033</t>
        </is>
      </c>
      <c r="B14" s="24" t="inlineStr">
        <is>
          <t>2026-10-04T20:24:59Z</t>
        </is>
      </c>
      <c r="C14" s="24" t="inlineStr">
        <is>
          <t>2026-10-04T16:25:00-0400</t>
        </is>
      </c>
      <c r="D14" s="24" t="inlineStr">
        <is>
          <t>401872977</t>
        </is>
      </c>
      <c r="E14" s="24" t="inlineStr">
        <is>
          <t>NFL</t>
        </is>
      </c>
      <c r="F14" s="24" t="inlineStr">
        <is>
          <t>Los Angeles Chargers</t>
        </is>
      </c>
      <c r="G14" s="24" t="inlineStr">
        <is>
          <t>Seattle Seahawks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model_opinion_no_executable_quote</t>
        </is>
      </c>
      <c r="L14" s="26" t="n">
        <v>-110</v>
      </c>
      <c r="M14" s="27" t="n">
        <v>1.909091</v>
      </c>
      <c r="N14" s="28" t="n">
        <v>0.52381</v>
      </c>
      <c r="O14" s="28" t="n">
        <v>0.686845</v>
      </c>
      <c r="P14" s="28" t="n"/>
      <c r="Q14" s="28" t="n">
        <v>0.163035</v>
      </c>
      <c r="R14" s="26" t="n">
        <v>100</v>
      </c>
      <c r="S14" s="29" t="n">
        <v>1.75</v>
      </c>
      <c r="T14" s="24" t="inlineStr">
        <is>
          <t>nfl-elo-trend-lr-v4</t>
        </is>
      </c>
      <c r="U14" s="24" t="inlineStr">
        <is>
          <t>settled</t>
        </is>
      </c>
      <c r="V14" s="24" t="inlineStr">
        <is>
          <t>win</t>
        </is>
      </c>
      <c r="W14" s="26" t="n">
        <v>23</v>
      </c>
      <c r="X14" s="26" t="n">
        <v>30</v>
      </c>
      <c r="Y14" s="25" t="n"/>
      <c r="Z14" s="26" t="n"/>
      <c r="AA14" s="28" t="n"/>
      <c r="AB14" s="28" t="n"/>
      <c r="AC14" s="30" t="n">
        <v>1.5909</v>
      </c>
      <c r="AD14" s="24" t="inlineStr">
        <is>
          <t>2026-10-06T05:45:32.761831Z</t>
        </is>
      </c>
      <c r="AE14" s="31" t="inlineStr">
        <is>
          <t>Learned LR call at threshold 0.5441;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paper_call</t>
        </is>
      </c>
      <c r="AL14" s="26" t="n">
        <v>4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PAPER_CALL_MARKET_UNAVAILABLE</t>
        </is>
      </c>
      <c r="AP14" s="24" t="inlineStr">
        <is>
          <t>nfl-lac</t>
        </is>
      </c>
      <c r="AQ14" s="24" t="inlineStr">
        <is>
          <t>Los Angeles Chargers</t>
        </is>
      </c>
      <c r="AR14" s="24" t="inlineStr">
        <is>
          <t>Los Angeles Chargers</t>
        </is>
      </c>
      <c r="AS14" s="24" t="inlineStr">
        <is>
          <t>nfl-sea</t>
        </is>
      </c>
      <c r="AT14" s="24" t="inlineStr">
        <is>
          <t>Seattle Seahawks</t>
        </is>
      </c>
      <c r="AU14" s="24" t="inlineStr">
        <is>
          <t>Seattle Seahawks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5cb5857519c32e04c895a3220afdc208e3d717ba0793e8d4a6946b1332f11654</t>
        </is>
      </c>
      <c r="BB14" s="24" t="inlineStr">
        <is>
          <t>learned_lr</t>
        </is>
      </c>
      <c r="BC14" s="24" t="inlineStr">
        <is>
          <t>nfl-elo-trend-lr-v4</t>
        </is>
      </c>
      <c r="BD14" s="24" t="inlineStr">
        <is>
          <t>5cb5857519c32e04c895a3220afdc208e3d717ba0793e8d4a6946b1332f11654</t>
        </is>
      </c>
      <c r="BE14" s="24" t="inlineStr">
        <is>
          <t>04275edffa48d6a8</t>
        </is>
      </c>
      <c r="BF14" s="24" t="inlineStr">
        <is>
          <t>1</t>
        </is>
      </c>
      <c r="BG14" s="24" t="inlineStr">
        <is>
          <t>nfl-elo-trend-lr-v4</t>
        </is>
      </c>
      <c r="BH14" s="24" t="inlineStr">
        <is>
          <t>2026-10-04T20:24:59Z</t>
        </is>
      </c>
      <c r="BI14" s="24" t="inlineStr">
        <is>
          <t>["same_event","same_team_same_day","same_league_same_day"]</t>
        </is>
      </c>
      <c r="BJ14" s="25" t="n"/>
      <c r="BK14" s="26" t="n">
        <v>-110</v>
      </c>
      <c r="BL14" s="27" t="n">
        <v>1.909091</v>
      </c>
      <c r="BM14" s="28" t="n">
        <v>0.52381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>
        <v>1</v>
      </c>
      <c r="BY14" s="27" t="n">
        <v>0.909091</v>
      </c>
      <c r="BZ14" s="24" t="inlineStr">
        <is>
          <t>2026-10-06T05:45:32.761831Z</t>
        </is>
      </c>
      <c r="CA14" s="31" t="inlineStr">
        <is>
          <t>fixed one-unit hypothetical scoring; no real exposure or execution</t>
        </is>
      </c>
      <c r="CB14" s="24" t="n"/>
      <c r="CC14" s="24" t="inlineStr">
        <is>
          <t>0.7772741823</t>
        </is>
      </c>
      <c r="CD14" s="24" t="inlineStr">
        <is>
          <t>1.646407</t>
        </is>
      </c>
      <c r="CE14" s="24" t="n"/>
      <c r="CF14" s="24" t="n"/>
      <c r="CG14" s="24" t="n"/>
      <c r="CH14" s="24" t="n"/>
      <c r="CI14" s="24" t="inlineStr">
        <is>
          <t>executable_quote_missing_or_unmatched</t>
        </is>
      </c>
      <c r="CJ14" s="24" t="inlineStr">
        <is>
          <t>2.894119</t>
        </is>
      </c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n"/>
      <c r="DK14" s="24" t="n"/>
      <c r="DL14" s="24" t="n"/>
      <c r="DM14" s="24" t="n"/>
      <c r="DN14" s="24" t="n"/>
      <c r="DO14" s="24" t="n"/>
      <c r="DP14" s="24" t="n"/>
      <c r="DQ14" s="24" t="inlineStr">
        <is>
          <t>{"adjustment": {"applied": false, "method": "identity", "reason": "not_applicable"}, "artifact": {"artifact_hash": "5cb5857519c32e04c895a3220afdc208e3d717ba0793e8d4a6946b1332f11654", "market_models": {"moneyline": {"coefficients": [2.6154014596, 0.0502116986], "confidence_threshold": 0.54411292, "feature_names": ["elo_probability", "trend_gap"], "intercept": -1.330143552, "positive_class": "home"}}, "method": "logistic_regression", "model_version": "nfl-elo-trend-lr-v4", "qualification": {"brier_score": 0.204736, "calibration": {"brier_score": 0.20473579397750238, "calibration_intercept": 0.18451279966224257, "calibration_slope": 1.2318945376153096, "expected_calibration_error": 0.10085016000128659, "log_loss": 0.5979160642807883, "reliability_buckets": [{"count": 27, "hit_rate": 0.7407407407407407, "lower": 0.5, "mean_p": 0.5661397662760724, "upper": 0.6}, {"count": 39, "hit_rate": 0.6153846153846154, "lower": 0.6, "mean_p": 0.6525186570626519, "upper": 0.7}, {"count": 21, "hit_rate": 0.8571428571428571, "lower": 0.7, "mean_p": 0.732785238851311, "upper": 0.8}], "sample_size": 87, "status": "ok"}, "called_rate": 0.713115, "calls": 87, "every_called_month_positive_at_minus_110": true, "every_qualifying_month_positive_at_minus_110": true, "failures": [], "framework": "locked_complete_date_60_20_20", "hit_rate": 0.712644, "hits": 62, "locked_holdout": true, "market_type": "moneyline", "meets_primary_holdout_metrics": true, "minimum_calls": 50, "minimum_hit_rate": 0.6, "monthly_at_minus_110": [{"calls": 22, "hit_rate": 0.772727, "hits": 17, "month": "2025-11", "qualification_status": "qualifying", "units_at_minus_110": 10.454545}, {"calls": 44, "hit_rate": 0.659091, "hits": 29, "month": "2025-12", "qualification_status": "qualifying", "units_at_minus_110": 11.363636}, {"calls": 21, "hit_rate": 0.761905, "hits": 16, "month": "2026-01", "qualification_status": "qualifying", "units_at_minus_110": 9.545455}], "monthly_minimum_calls": 10, "price_diagnostics": null, "qualification_eligible": true, "qualified": true, "roi": null, "secondary_reporting_complete": true, "selectivity": 0.713115, "total_predictions": 122, "units_at_minus_110": 31.363636}, "schema_version": "1", "sport": "nfl", "training": {"coefficient_fit": {"end": "2025-09-11", "observations": 366, "start": "2024-08-18"}, "locked_holdout": {"end": "2026-02-08", "observations": 122, "start": "2025-11-20"}, "market_inputs_used": false, "threshold_selection": {"end": "2025-11-17", "observations": 146, "start": "2025-09-14"}, "threshold_source": "later validation cohort; never locked holdout", "walk_forward_features": true}}, "artifact_hash": "5cb5857519c32e04c895a3220afdc208e3d717ba0793e8d4a6946b1332f11654", "base_home_probability": 0.6868447845927559, "event_id": "401872977", "event_start_utc": "2026-10-04T20:25:00+00:00", "features": {"elo_probability": 0.7772741823261788, "trend_gap": 1.646407}, "historical_source_observation_times_verified": false, "model_version": "nfl-elo-trend-lr-v4", "observed_at_utc": "2026-10-04T00:00:00+00:00", "schema": "learned-moneyline-replay-v1", "served_home_probability": 0.6868447845927559, "snapshot_hash": "93af343fc6994336de286f49e3b90500812e5a2ea579e5e1e047526dccf551ef"}</t>
        </is>
      </c>
    </row>
    <row r="15" ht="36" customHeight="1">
      <c r="A15" s="24" t="inlineStr">
        <is>
          <t>9047fffe1a94435e</t>
        </is>
      </c>
      <c r="B15" s="24" t="inlineStr">
        <is>
          <t>2026-10-05T00:19:59Z</t>
        </is>
      </c>
      <c r="C15" s="24" t="inlineStr">
        <is>
          <t>2026-10-04T20:20:00-0400</t>
        </is>
      </c>
      <c r="D15" s="24" t="inlineStr">
        <is>
          <t>401872978</t>
        </is>
      </c>
      <c r="E15" s="24" t="inlineStr">
        <is>
          <t>NFL</t>
        </is>
      </c>
      <c r="F15" s="24" t="inlineStr">
        <is>
          <t>Detroit Lions</t>
        </is>
      </c>
      <c r="G15" s="24" t="inlineStr">
        <is>
          <t>Carolina Panthers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model_opinion_no_executable_quote</t>
        </is>
      </c>
      <c r="L15" s="26" t="n">
        <v>-110</v>
      </c>
      <c r="M15" s="27" t="n">
        <v>1.909091</v>
      </c>
      <c r="N15" s="28" t="n">
        <v>0.52381</v>
      </c>
      <c r="O15" s="28" t="n">
        <v>0.574011</v>
      </c>
      <c r="P15" s="28" t="n"/>
      <c r="Q15" s="28" t="n">
        <v>0.050201</v>
      </c>
      <c r="R15" s="26" t="n">
        <v>45</v>
      </c>
      <c r="S15" s="29" t="n">
        <v>1</v>
      </c>
      <c r="T15" s="24" t="inlineStr">
        <is>
          <t>nfl-elo-trend-lr-v4</t>
        </is>
      </c>
      <c r="U15" s="24" t="inlineStr">
        <is>
          <t>settled</t>
        </is>
      </c>
      <c r="V15" s="24" t="inlineStr">
        <is>
          <t>win</t>
        </is>
      </c>
      <c r="W15" s="26" t="n">
        <v>26</v>
      </c>
      <c r="X15" s="26" t="n">
        <v>32</v>
      </c>
      <c r="Y15" s="25" t="n"/>
      <c r="Z15" s="26" t="n"/>
      <c r="AA15" s="28" t="n"/>
      <c r="AB15" s="28" t="n"/>
      <c r="AC15" s="30" t="n">
        <v>0.9091</v>
      </c>
      <c r="AD15" s="24" t="inlineStr">
        <is>
          <t>2026-10-06T05:45:33.661958Z</t>
        </is>
      </c>
      <c r="AE15" s="31" t="inlineStr">
        <is>
          <t>Learned LR call at threshold 0.5441;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" s="31" t="inlineStr">
        <is>
          <t>Learned model; shadow-qualified via operator override.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paper_call</t>
        </is>
      </c>
      <c r="AL15" s="26" t="n">
        <v>4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PAPER_CALL_MARKET_UNAVAILABLE</t>
        </is>
      </c>
      <c r="AP15" s="24" t="inlineStr">
        <is>
          <t>nfl-det</t>
        </is>
      </c>
      <c r="AQ15" s="24" t="inlineStr">
        <is>
          <t>Detroit Lions</t>
        </is>
      </c>
      <c r="AR15" s="24" t="inlineStr">
        <is>
          <t>Detroit Lions</t>
        </is>
      </c>
      <c r="AS15" s="24" t="inlineStr">
        <is>
          <t>nfl-car</t>
        </is>
      </c>
      <c r="AT15" s="24" t="inlineStr">
        <is>
          <t>Carolina Panthers</t>
        </is>
      </c>
      <c r="AU15" s="24" t="inlineStr">
        <is>
          <t>Carolina Panthers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5cb5857519c32e04c895a3220afdc208e3d717ba0793e8d4a6946b1332f11654</t>
        </is>
      </c>
      <c r="BB15" s="24" t="inlineStr">
        <is>
          <t>learned_lr</t>
        </is>
      </c>
      <c r="BC15" s="24" t="inlineStr">
        <is>
          <t>nfl-elo-trend-lr-v4</t>
        </is>
      </c>
      <c r="BD15" s="24" t="inlineStr">
        <is>
          <t>5cb5857519c32e04c895a3220afdc208e3d717ba0793e8d4a6946b1332f11654</t>
        </is>
      </c>
      <c r="BE15" s="24" t="inlineStr">
        <is>
          <t>f0b44e2cfa2bc050</t>
        </is>
      </c>
      <c r="BF15" s="24" t="inlineStr">
        <is>
          <t>1</t>
        </is>
      </c>
      <c r="BG15" s="24" t="inlineStr">
        <is>
          <t>nfl-elo-trend-lr-v4</t>
        </is>
      </c>
      <c r="BH15" s="24" t="inlineStr">
        <is>
          <t>2026-10-05T00:19:59Z</t>
        </is>
      </c>
      <c r="BI15" s="24" t="inlineStr">
        <is>
          <t>["same_event","same_team_same_day","same_league_same_day"]</t>
        </is>
      </c>
      <c r="BJ15" s="25" t="n"/>
      <c r="BK15" s="26" t="n">
        <v>-110</v>
      </c>
      <c r="BL15" s="27" t="n">
        <v>1.909091</v>
      </c>
      <c r="BM15" s="28" t="n">
        <v>0.52381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>
        <v>1</v>
      </c>
      <c r="BY15" s="27" t="n">
        <v>0.909091</v>
      </c>
      <c r="BZ15" s="24" t="inlineStr">
        <is>
          <t>2026-10-06T05:45:33.661958Z</t>
        </is>
      </c>
      <c r="CA15" s="31" t="inlineStr">
        <is>
          <t>fixed one-unit hypothetical scoring; no real exposure or execution</t>
        </is>
      </c>
      <c r="CB15" s="24" t="n"/>
      <c r="CC15" s="24" t="inlineStr">
        <is>
          <t>0.5181903323</t>
        </is>
      </c>
      <c r="CD15" s="24" t="inlineStr">
        <is>
          <t>5.439049</t>
        </is>
      </c>
      <c r="CE15" s="24" t="n"/>
      <c r="CF15" s="24" t="n"/>
      <c r="CG15" s="24" t="n"/>
      <c r="CH15" s="24" t="n"/>
      <c r="CI15" s="24" t="inlineStr">
        <is>
          <t>executable_quote_missing_or_unmatched</t>
        </is>
      </c>
      <c r="CJ15" s="24" t="inlineStr">
        <is>
          <t>2.97721</t>
        </is>
      </c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n"/>
      <c r="DK15" s="24" t="n"/>
      <c r="DL15" s="24" t="n"/>
      <c r="DM15" s="24" t="n"/>
      <c r="DN15" s="24" t="n"/>
      <c r="DO15" s="24" t="n"/>
      <c r="DP15" s="24" t="n"/>
      <c r="DQ15" s="24" t="inlineStr">
        <is>
          <t>{"adjustment": {"applied": false, "method": "identity", "reason": "not_applicable"}, "artifact": {"artifact_hash": "5cb5857519c32e04c895a3220afdc208e3d717ba0793e8d4a6946b1332f11654", "market_models": {"moneyline": {"coefficients": [2.6154014596, 0.0502116986], "confidence_threshold": 0.54411292, "feature_names": ["elo_probability", "trend_gap"], "intercept": -1.330143552, "positive_class": "home"}}, "method": "logistic_regression", "model_version": "nfl-elo-trend-lr-v4", "qualification": {"brier_score": 0.204736, "calibration": {"brier_score": 0.20473579397750238, "calibration_intercept": 0.18451279966224257, "calibration_slope": 1.2318945376153096, "expected_calibration_error": 0.10085016000128659, "log_loss": 0.5979160642807883, "reliability_buckets": [{"count": 27, "hit_rate": 0.7407407407407407, "lower": 0.5, "mean_p": 0.5661397662760724, "upper": 0.6}, {"count": 39, "hit_rate": 0.6153846153846154, "lower": 0.6, "mean_p": 0.6525186570626519, "upper": 0.7}, {"count": 21, "hit_rate": 0.8571428571428571, "lower": 0.7, "mean_p": 0.732785238851311, "upper": 0.8}], "sample_size": 87, "status": "ok"}, "called_rate": 0.713115, "calls": 87, "every_called_month_positive_at_minus_110": true, "every_qualifying_month_positive_at_minus_110": true, "failures": [], "framework": "locked_complete_date_60_20_20", "hit_rate": 0.712644, "hits": 62, "locked_holdout": true, "market_type": "moneyline", "meets_primary_holdout_metrics": true, "minimum_calls": 50, "minimum_hit_rate": 0.6, "monthly_at_minus_110": [{"calls": 22, "hit_rate": 0.772727, "hits": 17, "month": "2025-11", "qualification_status": "qualifying", "units_at_minus_110": 10.454545}, {"calls": 44, "hit_rate": 0.659091, "hits": 29, "month": "2025-12", "qualification_status": "qualifying", "units_at_minus_110": 11.363636}, {"calls": 21, "hit_rate": 0.761905, "hits": 16, "month": "2026-01", "qualification_status": "qualifying", "units_at_minus_110": 9.545455}], "monthly_minimum_calls": 10, "price_diagnostics": null, "qualification_eligible": true, "qualified": true, "roi": null, "secondary_reporting_complete": true, "selectivity": 0.713115, "total_predictions": 122, "units_at_minus_110": 31.363636}, "schema_version": "1", "sport": "nfl", "training": {"coefficient_fit": {"end": "2025-09-11", "observations": 366, "start": "2024-08-18"}, "locked_holdout": {"end": "2026-02-08", "observations": 122, "start": "2025-11-20"}, "market_inputs_used": false, "threshold_selection": {"end": "2025-11-17", "observations": 146, "start": "2025-09-14"}, "threshold_source": "later validation cohort; never locked holdout", "walk_forward_features": true}}, "artifact_hash": "5cb5857519c32e04c895a3220afdc208e3d717ba0793e8d4a6946b1332f11654", "base_home_probability": 0.5740112574398146, "event_id": "401872978", "event_start_utc": "2026-10-05T00:20:00+00:00", "features": {"elo_probability": 0.5181903322540917, "trend_gap": 5.439049}, "historical_source_observation_times_verified": false, "model_version": "nfl-elo-trend-lr-v4", "observed_at_utc": "2026-10-04T00:00:00+00:00", "schema": "learned-moneyline-replay-v1", "served_home_probability": 0.5740112574398146, "snapshot_hash": "bfab64b06d1ca78046d7f60fe2f3a789a0b82fa22f2fd9f16e3de9828fd04d4f"}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2026-10-06T05:45:34Z</dcterms:created>
  <dcterms:modified xmlns:dcterms="http://purl.org/dc/terms/" xmlns:xsi="http://www.w3.org/2001/XMLSchema-instance" xsi:type="dcterms:W3CDTF">2026-10-06T05:45:34Z</dcterms:modified>
</cp:coreProperties>
</file>