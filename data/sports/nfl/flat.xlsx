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50" headerRowCount="1">
  <autoFilter ref="A1:DQ50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COUNTA('Picks'!$A$2:$A$50)</f>
        <v/>
      </c>
      <c r="C4" s="6">
        <f>COUNTIF('Picks'!$U$2:$U$50,"open")</f>
        <v/>
      </c>
      <c r="E4" s="6">
        <f>COUNTIF('Picks'!$U$2:$U$50,"settled")</f>
        <v/>
      </c>
      <c r="G4" s="6">
        <f>IF(COUNTIFS('Picks'!$U$2:$U$50,"settled",'Picks'!$V$2:$V$50,"win")+COUNTIFS('Picks'!$U$2:$U$50,"settled",'Picks'!$V$2:$V$50,"loss")&gt;=$L$2,"Ready","Insufficient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COUNTIF('Picks'!$BX$2:$BX$50,"&gt;0")</f>
        <v/>
      </c>
      <c r="C7" s="6">
        <f>COUNTIFS('Picks'!$BX$2:$BX$50,"&gt;0",'Picks'!$V$2:$V$50,"win")&amp;"-"&amp;COUNTIFS('Picks'!$BX$2:$BX$50,"&gt;0",'Picks'!$V$2:$V$50,"loss")</f>
        <v/>
      </c>
      <c r="E7" s="7">
        <f>IFERROR(COUNTIFS('Picks'!$BX$2:$BX$50,"&gt;0",'Picks'!$V$2:$V$50,"win")/(COUNTIFS('Picks'!$BX$2:$BX$50,"&gt;0",'Picks'!$V$2:$V$50,"win")+COUNTIFS('Picks'!$BX$2:$BX$50,"&gt;0",'Picks'!$V$2:$V$50,"loss")),0)</f>
        <v/>
      </c>
      <c r="G7" s="7">
        <f>IFERROR(SUM('Picks'!$BY$2:$BY$50)/SUM('Picks'!$BX$2:$BX$50),0)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SUM('Picks'!$BY$2:$BY$50)</f>
        <v/>
      </c>
      <c r="C10" s="9">
        <f>IFERROR(AVERAGEIF('Picks'!$AB$2:$AB$50,"&lt;&gt;",'Picks'!$AB$2:$AB$50),0)</f>
        <v/>
      </c>
      <c r="E10" s="6">
        <f>COUNTIFS('Picks'!$AM$2:$AM$50,"QUALIFIED_SHADOW_CALL",'Picks'!$U$2:$U$50,"settled")</f>
        <v/>
      </c>
      <c r="G10" s="8">
        <f>SUMIFS('Picks'!$AC$2:$AC$50,'Picks'!$AM$2:$AM$50,"QUALIFIED_SHADOW_CALL")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COUNTIFS('Picks'!$H$2:$H$50,$A14,'Picks'!$U$2:$U$50,"settled")</f>
        <v/>
      </c>
      <c r="C14" s="13">
        <f>COUNTIFS('Picks'!$H$2:$H$50,$A14,'Picks'!$U$2:$U$50,"settled",'Picks'!$V$2:$V$50,"win")</f>
        <v/>
      </c>
      <c r="D14" s="13">
        <f>COUNTIFS('Picks'!$H$2:$H$50,$A14,'Picks'!$U$2:$U$50,"settled",'Picks'!$V$2:$V$50,"loss")</f>
        <v/>
      </c>
      <c r="E14" s="14">
        <f>IFERROR(C14/(C14+D14),0)</f>
        <v/>
      </c>
      <c r="F14" s="15">
        <f>SUMIFS('Picks'!$BY$2:$BY$50,'Picks'!$H$2:$H$50,$A14)</f>
        <v/>
      </c>
      <c r="G14" s="16">
        <f>IFERROR(AVERAGEIFS('Picks'!$AB$2:$AB$50,'Picks'!$H$2:$H$50,$A14,'Picks'!$U$2:$U$50,"settled"),0)</f>
        <v/>
      </c>
    </row>
    <row r="15">
      <c r="A15" s="17" t="inlineStr">
        <is>
          <t>spread</t>
        </is>
      </c>
      <c r="B15" s="18">
        <f>COUNTIFS('Picks'!$H$2:$H$50,$A15,'Picks'!$U$2:$U$50,"settled")</f>
        <v/>
      </c>
      <c r="C15" s="18">
        <f>COUNTIFS('Picks'!$H$2:$H$50,$A15,'Picks'!$U$2:$U$50,"settled",'Picks'!$V$2:$V$50,"win")</f>
        <v/>
      </c>
      <c r="D15" s="18">
        <f>COUNTIFS('Picks'!$H$2:$H$50,$A15,'Picks'!$U$2:$U$50,"settled",'Picks'!$V$2:$V$50,"loss")</f>
        <v/>
      </c>
      <c r="E15" s="19">
        <f>IFERROR(C15/(C15+D15),0)</f>
        <v/>
      </c>
      <c r="F15" s="20">
        <f>SUMIFS('Picks'!$BY$2:$BY$50,'Picks'!$H$2:$H$50,$A15)</f>
        <v/>
      </c>
      <c r="G15" s="21">
        <f>IFERROR(AVERAGEIFS('Picks'!$AB$2:$AB$50,'Picks'!$H$2:$H$50,$A15,'Picks'!$U$2:$U$50,"settled"),0)</f>
        <v/>
      </c>
    </row>
    <row r="16">
      <c r="A16" s="12" t="inlineStr">
        <is>
          <t>total</t>
        </is>
      </c>
      <c r="B16" s="13">
        <f>COUNTIFS('Picks'!$H$2:$H$50,$A16,'Picks'!$U$2:$U$50,"settled")</f>
        <v/>
      </c>
      <c r="C16" s="13">
        <f>COUNTIFS('Picks'!$H$2:$H$50,$A16,'Picks'!$U$2:$U$50,"settled",'Picks'!$V$2:$V$50,"win")</f>
        <v/>
      </c>
      <c r="D16" s="13">
        <f>COUNTIFS('Picks'!$H$2:$H$50,$A16,'Picks'!$U$2:$U$50,"settled",'Picks'!$V$2:$V$50,"loss")</f>
        <v/>
      </c>
      <c r="E16" s="14">
        <f>IFERROR(C16/(C16+D16),0)</f>
        <v/>
      </c>
      <c r="F16" s="15">
        <f>SUMIFS('Picks'!$BY$2:$BY$50,'Picks'!$H$2:$H$50,$A16)</f>
        <v/>
      </c>
      <c r="G16" s="16">
        <f>IFERROR(AVERAGEIFS('Picks'!$AB$2:$AB$50,'Picks'!$H$2:$H$50,$A16,'Picks'!$U$2:$U$50,"settled"),0)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bbfebdbea7c043de</t>
        </is>
      </c>
      <c r="B2" s="24" t="inlineStr">
        <is>
          <t>2026-10-04T13:29:59Z</t>
        </is>
      </c>
      <c r="C2" s="24" t="inlineStr">
        <is>
          <t>2026-10-04T09:30:00-0400</t>
        </is>
      </c>
      <c r="D2" s="24" t="inlineStr">
        <is>
          <t>401872965</t>
        </is>
      </c>
      <c r="E2" s="24" t="inlineStr">
        <is>
          <t>NFL</t>
        </is>
      </c>
      <c r="F2" s="24" t="inlineStr">
        <is>
          <t>Indianapolis Colts</t>
        </is>
      </c>
      <c r="G2" s="24" t="inlineStr">
        <is>
          <t>Washington Commanders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espn</t>
        </is>
      </c>
      <c r="L2" s="26" t="n">
        <v>-110</v>
      </c>
      <c r="M2" s="27" t="n">
        <v>1.909091</v>
      </c>
      <c r="N2" s="28" t="n">
        <v>0.52381</v>
      </c>
      <c r="O2" s="28" t="n">
        <v>0.587067</v>
      </c>
      <c r="P2" s="28" t="n"/>
      <c r="Q2" s="28" t="n">
        <v>0.06325699999999999</v>
      </c>
      <c r="R2" s="26" t="n">
        <v>82</v>
      </c>
      <c r="S2" s="29" t="n">
        <v>1</v>
      </c>
      <c r="T2" s="24" t="inlineStr">
        <is>
          <t>nfl-elo-trend-lr-v4</t>
        </is>
      </c>
      <c r="U2" s="24" t="inlineStr">
        <is>
          <t>settled</t>
        </is>
      </c>
      <c r="V2" s="24" t="inlineStr">
        <is>
          <t>loss</t>
        </is>
      </c>
      <c r="W2" s="26" t="n">
        <v>30</v>
      </c>
      <c r="X2" s="26" t="n">
        <v>13</v>
      </c>
      <c r="Y2" s="25" t="n"/>
      <c r="Z2" s="26" t="n"/>
      <c r="AA2" s="28" t="n"/>
      <c r="AB2" s="28" t="n"/>
      <c r="AC2" s="30" t="n">
        <v>-1</v>
      </c>
      <c r="AD2" s="24" t="inlineStr">
        <is>
          <t>2026-10-06T05:45:48.920335Z</t>
        </is>
      </c>
      <c r="AE2" s="31" t="inlineStr">
        <is>
          <t>Learned LR call at threshold 0.5441; no Polymarket quote available — using -110 default odds.</t>
        </is>
      </c>
      <c r="AF2" s="31" t="inlineStr">
        <is>
          <t>Learned model; shadow-qualified via operator override.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paper_call</t>
        </is>
      </c>
      <c r="AL2" s="26" t="n">
        <v>4</v>
      </c>
      <c r="AM2" s="24" t="inlineStr">
        <is>
          <t>RESEARCH_OBSERVATION</t>
        </is>
      </c>
      <c r="AN2" s="24" t="inlineStr">
        <is>
          <t>CALL</t>
        </is>
      </c>
      <c r="AO2" s="24" t="inlineStr">
        <is>
          <t>PAPER_CALL_MODEL_UNVALIDATED</t>
        </is>
      </c>
      <c r="AP2" s="24" t="inlineStr">
        <is>
          <t>nfl-ind</t>
        </is>
      </c>
      <c r="AQ2" s="24" t="inlineStr">
        <is>
          <t>Indianapolis Colts</t>
        </is>
      </c>
      <c r="AR2" s="24" t="inlineStr">
        <is>
          <t>Indianapolis Colts</t>
        </is>
      </c>
      <c r="AS2" s="24" t="inlineStr">
        <is>
          <t>nfl-was</t>
        </is>
      </c>
      <c r="AT2" s="24" t="inlineStr">
        <is>
          <t>Washington Commanders</t>
        </is>
      </c>
      <c r="AU2" s="24" t="inlineStr">
        <is>
          <t>Washington Commanders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5cb5857519c32e04c895a3220afdc208e3d717ba0793e8d4a6946b1332f11654</t>
        </is>
      </c>
      <c r="BB2" s="24" t="inlineStr">
        <is>
          <t>learned_lr</t>
        </is>
      </c>
      <c r="BC2" s="24" t="inlineStr">
        <is>
          <t>nfl-elo-trend-lr-v4</t>
        </is>
      </c>
      <c r="BD2" s="24" t="inlineStr">
        <is>
          <t>5cb5857519c32e04c895a3220afdc208e3d717ba0793e8d4a6946b1332f11654</t>
        </is>
      </c>
      <c r="BE2" s="24" t="inlineStr">
        <is>
          <t>988f91bcfd52362b</t>
        </is>
      </c>
      <c r="BF2" s="24" t="inlineStr">
        <is>
          <t>1</t>
        </is>
      </c>
      <c r="BG2" s="24" t="inlineStr">
        <is>
          <t>nfl-elo-trend-lr-v4</t>
        </is>
      </c>
      <c r="BH2" s="24" t="inlineStr">
        <is>
          <t>2026-10-04T13:29:59Z</t>
        </is>
      </c>
      <c r="BI2" s="24" t="inlineStr">
        <is>
          <t>["same_event","same_team_same_day","same_league_same_day"]</t>
        </is>
      </c>
      <c r="BJ2" s="25" t="n"/>
      <c r="BK2" s="26" t="n">
        <v>-110</v>
      </c>
      <c r="BL2" s="27" t="n">
        <v>1.909091</v>
      </c>
      <c r="BM2" s="28" t="n">
        <v>0.52381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inlineStr">
        <is>
          <t>0.6154864025</t>
        </is>
      </c>
      <c r="CD2" s="24" t="inlineStr">
        <is>
          <t>1.438942</t>
        </is>
      </c>
      <c r="CE2" s="24" t="n"/>
      <c r="CF2" s="24" t="n"/>
      <c r="CG2" s="24" t="n"/>
      <c r="CH2" s="24" t="n"/>
      <c r="CI2" s="24" t="n"/>
      <c r="CJ2" s="24" t="inlineStr">
        <is>
          <t>1.306521</t>
        </is>
      </c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True</t>
        </is>
      </c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n"/>
      <c r="DK2" s="24" t="n"/>
      <c r="DL2" s="24" t="n"/>
      <c r="DM2" s="24" t="n"/>
      <c r="DN2" s="24" t="n"/>
      <c r="DO2" s="24" t="n"/>
      <c r="DP2" s="24" t="n"/>
      <c r="DQ2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0.5870666617315198, "event_id": "401872965", "event_start_utc": "2026-10-04T13:30:00+00:00", "features": {"elo_probability": 0.61548640248292, "trend_gap": 1.438942}, "historical_source_observation_times_verified": false, "model_version": "nfl-elo-trend-lr-v4", "observed_at_utc": "2026-10-04T00:00:00+00:00", "schema": "learned-moneyline-replay-v1", "served_home_probability": 0.5870666617315198, "snapshot_hash": "361524d037c89ddb9c6ad7e68d178f815d80dd94bd789a92735d0d332b98a83e"}</t>
        </is>
      </c>
    </row>
    <row r="3" ht="36" customHeight="1">
      <c r="A3" s="24" t="inlineStr">
        <is>
          <t>e9b035547bc1465f</t>
        </is>
      </c>
      <c r="B3" s="24" t="inlineStr">
        <is>
          <t>2026-10-04T16:59:59Z</t>
        </is>
      </c>
      <c r="C3" s="24" t="inlineStr">
        <is>
          <t>2026-10-04T13:00:00-0400</t>
        </is>
      </c>
      <c r="D3" s="24" t="inlineStr">
        <is>
          <t>401872971</t>
        </is>
      </c>
      <c r="E3" s="24" t="inlineStr">
        <is>
          <t>NFL</t>
        </is>
      </c>
      <c r="F3" s="24" t="inlineStr">
        <is>
          <t>New England Patriots</t>
        </is>
      </c>
      <c r="G3" s="24" t="inlineStr">
        <is>
          <t>Buffalo Bills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espn</t>
        </is>
      </c>
      <c r="L3" s="26" t="n">
        <v>-110</v>
      </c>
      <c r="M3" s="27" t="n">
        <v>1.909091</v>
      </c>
      <c r="N3" s="28" t="n">
        <v>0.52381</v>
      </c>
      <c r="O3" s="28" t="n">
        <v>0.7095</v>
      </c>
      <c r="P3" s="28" t="n"/>
      <c r="Q3" s="28" t="n">
        <v>0.18569</v>
      </c>
      <c r="R3" s="26" t="n">
        <v>100</v>
      </c>
      <c r="S3" s="29" t="n">
        <v>2</v>
      </c>
      <c r="T3" s="24" t="inlineStr">
        <is>
          <t>nfl-elo-trend-lr-v4</t>
        </is>
      </c>
      <c r="U3" s="24" t="inlineStr">
        <is>
          <t>settled</t>
        </is>
      </c>
      <c r="V3" s="24" t="inlineStr">
        <is>
          <t>loss</t>
        </is>
      </c>
      <c r="W3" s="26" t="n">
        <v>29</v>
      </c>
      <c r="X3" s="26" t="n">
        <v>26</v>
      </c>
      <c r="Y3" s="25" t="n"/>
      <c r="Z3" s="26" t="n"/>
      <c r="AA3" s="28" t="n"/>
      <c r="AB3" s="28" t="n"/>
      <c r="AC3" s="30" t="n">
        <v>-2</v>
      </c>
      <c r="AD3" s="24" t="inlineStr">
        <is>
          <t>2026-10-06T05:45:49.706812Z</t>
        </is>
      </c>
      <c r="AE3" s="31" t="inlineStr">
        <is>
          <t>Learned LR call at threshold 0.5441; no Polymarket quote available — using -110 default odds.</t>
        </is>
      </c>
      <c r="AF3" s="31" t="inlineStr">
        <is>
          <t>Learned model; shadow-qualified via operator override.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paper_call</t>
        </is>
      </c>
      <c r="AL3" s="26" t="n">
        <v>4</v>
      </c>
      <c r="AM3" s="24" t="inlineStr">
        <is>
          <t>RESEARCH_OBSERVATION</t>
        </is>
      </c>
      <c r="AN3" s="24" t="inlineStr">
        <is>
          <t>CALL</t>
        </is>
      </c>
      <c r="AO3" s="24" t="inlineStr">
        <is>
          <t>PAPER_CALL_MODEL_UNVALIDATED</t>
        </is>
      </c>
      <c r="AP3" s="24" t="inlineStr">
        <is>
          <t>nfl-ne</t>
        </is>
      </c>
      <c r="AQ3" s="24" t="inlineStr">
        <is>
          <t>New England Patriots</t>
        </is>
      </c>
      <c r="AR3" s="24" t="inlineStr">
        <is>
          <t>New England Patriots</t>
        </is>
      </c>
      <c r="AS3" s="24" t="inlineStr">
        <is>
          <t>nfl-buf</t>
        </is>
      </c>
      <c r="AT3" s="24" t="inlineStr">
        <is>
          <t>Buffalo Bills</t>
        </is>
      </c>
      <c r="AU3" s="24" t="inlineStr">
        <is>
          <t>Buffalo Bills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5cb5857519c32e04c895a3220afdc208e3d717ba0793e8d4a6946b1332f11654</t>
        </is>
      </c>
      <c r="BB3" s="24" t="inlineStr">
        <is>
          <t>learned_lr</t>
        </is>
      </c>
      <c r="BC3" s="24" t="inlineStr">
        <is>
          <t>nfl-elo-trend-lr-v4</t>
        </is>
      </c>
      <c r="BD3" s="24" t="inlineStr">
        <is>
          <t>5cb5857519c32e04c895a3220afdc208e3d717ba0793e8d4a6946b1332f11654</t>
        </is>
      </c>
      <c r="BE3" s="24" t="inlineStr">
        <is>
          <t>d633ec36443427b0</t>
        </is>
      </c>
      <c r="BF3" s="24" t="inlineStr">
        <is>
          <t>1</t>
        </is>
      </c>
      <c r="BG3" s="24" t="inlineStr">
        <is>
          <t>nfl-elo-trend-lr-v4</t>
        </is>
      </c>
      <c r="BH3" s="24" t="inlineStr">
        <is>
          <t>2026-10-04T16:59:59Z</t>
        </is>
      </c>
      <c r="BI3" s="24" t="inlineStr">
        <is>
          <t>["same_event","same_team_same_day","same_league_same_day"]</t>
        </is>
      </c>
      <c r="BJ3" s="25" t="n"/>
      <c r="BK3" s="26" t="n">
        <v>-110</v>
      </c>
      <c r="BL3" s="27" t="n">
        <v>1.909091</v>
      </c>
      <c r="BM3" s="28" t="n">
        <v>0.52381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inlineStr">
        <is>
          <t>0.729161645</t>
        </is>
      </c>
      <c r="CD3" s="24" t="inlineStr">
        <is>
          <t>6.294337</t>
        </is>
      </c>
      <c r="CE3" s="24" t="n"/>
      <c r="CF3" s="24" t="n"/>
      <c r="CG3" s="24" t="n"/>
      <c r="CH3" s="24" t="n"/>
      <c r="CI3" s="24" t="n"/>
      <c r="CJ3" s="24" t="inlineStr">
        <is>
          <t>0.354894</t>
        </is>
      </c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True</t>
        </is>
      </c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n"/>
      <c r="DK3" s="24" t="n"/>
      <c r="DL3" s="24" t="n"/>
      <c r="DM3" s="24" t="n"/>
      <c r="DN3" s="24" t="n"/>
      <c r="DO3" s="24" t="n"/>
      <c r="DP3" s="24" t="n"/>
      <c r="DQ3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0.7094998579139747, "event_id": "401872971", "event_start_utc": "2026-10-04T17:00:00+00:00", "features": {"elo_probability": 0.7291616449959291, "trend_gap": 6.294337}, "historical_source_observation_times_verified": false, "model_version": "nfl-elo-trend-lr-v4", "observed_at_utc": "2026-10-04T00:00:00+00:00", "schema": "learned-moneyline-replay-v1", "served_home_probability": 0.7094998579139747, "snapshot_hash": "525834868263922bb2b2b70253899ba55cb16a4fa11071738bff6ed2e325458e"}</t>
        </is>
      </c>
    </row>
    <row r="4" ht="36" customHeight="1">
      <c r="A4" s="24" t="inlineStr">
        <is>
          <t>6dc549bda0ee403e</t>
        </is>
      </c>
      <c r="B4" s="24" t="inlineStr">
        <is>
          <t>2026-10-04T16:59:59Z</t>
        </is>
      </c>
      <c r="C4" s="24" t="inlineStr">
        <is>
          <t>2026-10-04T13:00:00-0400</t>
        </is>
      </c>
      <c r="D4" s="24" t="inlineStr">
        <is>
          <t>401872972</t>
        </is>
      </c>
      <c r="E4" s="24" t="inlineStr">
        <is>
          <t>NFL</t>
        </is>
      </c>
      <c r="F4" s="24" t="inlineStr">
        <is>
          <t>New York Jets</t>
        </is>
      </c>
      <c r="G4" s="24" t="inlineStr">
        <is>
          <t>Chicago Bears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espn</t>
        </is>
      </c>
      <c r="L4" s="26" t="n">
        <v>-110</v>
      </c>
      <c r="M4" s="27" t="n">
        <v>1.909091</v>
      </c>
      <c r="N4" s="28" t="n">
        <v>0.52381</v>
      </c>
      <c r="O4" s="28" t="n">
        <v>0.682312</v>
      </c>
      <c r="P4" s="28" t="n"/>
      <c r="Q4" s="28" t="n">
        <v>0.158502</v>
      </c>
      <c r="R4" s="26" t="n">
        <v>100</v>
      </c>
      <c r="S4" s="29" t="n">
        <v>1.75</v>
      </c>
      <c r="T4" s="24" t="inlineStr">
        <is>
          <t>nfl-elo-trend-lr-v4</t>
        </is>
      </c>
      <c r="U4" s="24" t="inlineStr">
        <is>
          <t>settled</t>
        </is>
      </c>
      <c r="V4" s="24" t="inlineStr">
        <is>
          <t>win</t>
        </is>
      </c>
      <c r="W4" s="26" t="n">
        <v>12</v>
      </c>
      <c r="X4" s="26" t="n">
        <v>23</v>
      </c>
      <c r="Y4" s="25" t="n"/>
      <c r="Z4" s="26" t="n"/>
      <c r="AA4" s="28" t="n"/>
      <c r="AB4" s="28" t="n"/>
      <c r="AC4" s="30" t="n">
        <v>1.5909</v>
      </c>
      <c r="AD4" s="24" t="inlineStr">
        <is>
          <t>2026-10-06T05:45:50.557792Z</t>
        </is>
      </c>
      <c r="AE4" s="31" t="inlineStr">
        <is>
          <t>Learned LR call at threshold 0.5441; no Polymarket quote available — using -110 default odds.</t>
        </is>
      </c>
      <c r="AF4" s="31" t="inlineStr">
        <is>
          <t>Learned model; shadow-qualified via operator override.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paper_call</t>
        </is>
      </c>
      <c r="AL4" s="26" t="n">
        <v>4</v>
      </c>
      <c r="AM4" s="24" t="inlineStr">
        <is>
          <t>RESEARCH_OBSERVATION</t>
        </is>
      </c>
      <c r="AN4" s="24" t="inlineStr">
        <is>
          <t>CALL</t>
        </is>
      </c>
      <c r="AO4" s="24" t="inlineStr">
        <is>
          <t>PAPER_CALL_MODEL_UNVALIDATED</t>
        </is>
      </c>
      <c r="AP4" s="24" t="inlineStr">
        <is>
          <t>nfl-nyj</t>
        </is>
      </c>
      <c r="AQ4" s="24" t="inlineStr">
        <is>
          <t>New York Jets</t>
        </is>
      </c>
      <c r="AR4" s="24" t="inlineStr">
        <is>
          <t>New York Jets</t>
        </is>
      </c>
      <c r="AS4" s="24" t="inlineStr">
        <is>
          <t>nfl-chi</t>
        </is>
      </c>
      <c r="AT4" s="24" t="inlineStr">
        <is>
          <t>Chicago Bears</t>
        </is>
      </c>
      <c r="AU4" s="24" t="inlineStr">
        <is>
          <t>Chicago Bears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5cb5857519c32e04c895a3220afdc208e3d717ba0793e8d4a6946b1332f11654</t>
        </is>
      </c>
      <c r="BB4" s="24" t="inlineStr">
        <is>
          <t>learned_lr</t>
        </is>
      </c>
      <c r="BC4" s="24" t="inlineStr">
        <is>
          <t>nfl-elo-trend-lr-v4</t>
        </is>
      </c>
      <c r="BD4" s="24" t="inlineStr">
        <is>
          <t>5cb5857519c32e04c895a3220afdc208e3d717ba0793e8d4a6946b1332f11654</t>
        </is>
      </c>
      <c r="BE4" s="24" t="inlineStr">
        <is>
          <t>5a16effbcd356a72</t>
        </is>
      </c>
      <c r="BF4" s="24" t="inlineStr">
        <is>
          <t>1</t>
        </is>
      </c>
      <c r="BG4" s="24" t="inlineStr">
        <is>
          <t>nfl-elo-trend-lr-v4</t>
        </is>
      </c>
      <c r="BH4" s="24" t="inlineStr">
        <is>
          <t>2026-10-04T16:59:59Z</t>
        </is>
      </c>
      <c r="BI4" s="24" t="inlineStr">
        <is>
          <t>["same_event","same_team_same_day","same_league_same_day"]</t>
        </is>
      </c>
      <c r="BJ4" s="25" t="n"/>
      <c r="BK4" s="26" t="n">
        <v>-110</v>
      </c>
      <c r="BL4" s="27" t="n">
        <v>1.909091</v>
      </c>
      <c r="BM4" s="28" t="n">
        <v>0.52381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inlineStr">
        <is>
          <t>0.7723278449</t>
        </is>
      </c>
      <c r="CD4" s="24" t="inlineStr">
        <is>
          <t>1.48598</t>
        </is>
      </c>
      <c r="CE4" s="24" t="n"/>
      <c r="CF4" s="24" t="n"/>
      <c r="CG4" s="24" t="n"/>
      <c r="CH4" s="24" t="n"/>
      <c r="CI4" s="24" t="n"/>
      <c r="CJ4" s="24" t="inlineStr">
        <is>
          <t>0.073993</t>
        </is>
      </c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True</t>
        </is>
      </c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n"/>
      <c r="DK4" s="24" t="n"/>
      <c r="DL4" s="24" t="n"/>
      <c r="DM4" s="24" t="n"/>
      <c r="DN4" s="24" t="n"/>
      <c r="DO4" s="24" t="n"/>
      <c r="DP4" s="24" t="n"/>
      <c r="DQ4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0.6823120300496255, "event_id": "401872972", "event_start_utc": "2026-10-04T17:00:00+00:00", "features": {"elo_probability": 0.7723278449233806, "trend_gap": 1.48598}, "historical_source_observation_times_verified": false, "model_version": "nfl-elo-trend-lr-v4", "observed_at_utc": "2026-10-04T00:00:00+00:00", "schema": "learned-moneyline-replay-v1", "served_home_probability": 0.6823120300496255, "snapshot_hash": "5cb87d7961d85488471fd30872eaeb7402e09c4c0ac0c469f180970db6c287f6"}</t>
        </is>
      </c>
    </row>
    <row r="5" ht="36" customHeight="1">
      <c r="A5" s="24" t="inlineStr">
        <is>
          <t>c0d85e0bbecc4159</t>
        </is>
      </c>
      <c r="B5" s="24" t="inlineStr">
        <is>
          <t>2026-10-04T16:59:59Z</t>
        </is>
      </c>
      <c r="C5" s="24" t="inlineStr">
        <is>
          <t>2026-10-04T13:00:00-0400</t>
        </is>
      </c>
      <c r="D5" s="24" t="inlineStr">
        <is>
          <t>401872969</t>
        </is>
      </c>
      <c r="E5" s="24" t="inlineStr">
        <is>
          <t>NFL</t>
        </is>
      </c>
      <c r="F5" s="24" t="inlineStr">
        <is>
          <t>Jacksonville Jaguars</t>
        </is>
      </c>
      <c r="G5" s="24" t="inlineStr">
        <is>
          <t>Cincinnati Bengals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espn</t>
        </is>
      </c>
      <c r="L5" s="26" t="n">
        <v>-110</v>
      </c>
      <c r="M5" s="27" t="n">
        <v>1.909091</v>
      </c>
      <c r="N5" s="28" t="n">
        <v>0.52381</v>
      </c>
      <c r="O5" s="28" t="n">
        <v>0.533432</v>
      </c>
      <c r="P5" s="28" t="n"/>
      <c r="Q5" s="28" t="n">
        <v>0.009622</v>
      </c>
      <c r="R5" s="26" t="n">
        <v>55</v>
      </c>
      <c r="S5" s="29" t="n">
        <v>1</v>
      </c>
      <c r="T5" s="24" t="inlineStr">
        <is>
          <t>nfl-elo-trend-lr-v4</t>
        </is>
      </c>
      <c r="U5" s="24" t="inlineStr">
        <is>
          <t>settled</t>
        </is>
      </c>
      <c r="V5" s="24" t="inlineStr">
        <is>
          <t>loss</t>
        </is>
      </c>
      <c r="W5" s="26" t="n">
        <v>22</v>
      </c>
      <c r="X5" s="26" t="n">
        <v>17</v>
      </c>
      <c r="Y5" s="25" t="n"/>
      <c r="Z5" s="26" t="n"/>
      <c r="AA5" s="28" t="n"/>
      <c r="AB5" s="28" t="n"/>
      <c r="AC5" s="30" t="n">
        <v>-1</v>
      </c>
      <c r="AD5" s="24" t="inlineStr">
        <is>
          <t>2026-10-06T05:45:51.451775Z</t>
        </is>
      </c>
      <c r="AE5" s="31" t="inlineStr">
        <is>
          <t>Learned LR call at threshold 0.5441; no Polymarket quote available — using -110 default odds.</t>
        </is>
      </c>
      <c r="AF5" s="31" t="inlineStr">
        <is>
          <t>Learned model; shadow-qualified via operator override.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paper_call</t>
        </is>
      </c>
      <c r="AL5" s="26" t="n">
        <v>4</v>
      </c>
      <c r="AM5" s="24" t="inlineStr">
        <is>
          <t>RESEARCH_OBSERVATION</t>
        </is>
      </c>
      <c r="AN5" s="24" t="inlineStr">
        <is>
          <t>CALL</t>
        </is>
      </c>
      <c r="AO5" s="24" t="inlineStr">
        <is>
          <t>PAPER_CALL_BELOW_LEARNED_CONFIDENCE</t>
        </is>
      </c>
      <c r="AP5" s="24" t="inlineStr">
        <is>
          <t>nfl-jax</t>
        </is>
      </c>
      <c r="AQ5" s="24" t="inlineStr">
        <is>
          <t>Jacksonville Jaguars</t>
        </is>
      </c>
      <c r="AR5" s="24" t="inlineStr">
        <is>
          <t>Jacksonville Jaguars</t>
        </is>
      </c>
      <c r="AS5" s="24" t="inlineStr">
        <is>
          <t>nfl-cin</t>
        </is>
      </c>
      <c r="AT5" s="24" t="inlineStr">
        <is>
          <t>Cincinnati Bengals</t>
        </is>
      </c>
      <c r="AU5" s="24" t="inlineStr">
        <is>
          <t>Cincinnati Bengals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5cb5857519c32e04c895a3220afdc208e3d717ba0793e8d4a6946b1332f11654</t>
        </is>
      </c>
      <c r="BB5" s="24" t="inlineStr">
        <is>
          <t>learned_lr</t>
        </is>
      </c>
      <c r="BC5" s="24" t="inlineStr">
        <is>
          <t>nfl-elo-trend-lr-v4</t>
        </is>
      </c>
      <c r="BD5" s="24" t="inlineStr">
        <is>
          <t>5cb5857519c32e04c895a3220afdc208e3d717ba0793e8d4a6946b1332f11654</t>
        </is>
      </c>
      <c r="BE5" s="24" t="inlineStr">
        <is>
          <t>6164b168ce6ab9eb</t>
        </is>
      </c>
      <c r="BF5" s="24" t="inlineStr">
        <is>
          <t>1</t>
        </is>
      </c>
      <c r="BG5" s="24" t="inlineStr">
        <is>
          <t>nfl-elo-trend-lr-v4</t>
        </is>
      </c>
      <c r="BH5" s="24" t="inlineStr">
        <is>
          <t>2026-10-04T16:59:59Z</t>
        </is>
      </c>
      <c r="BI5" s="24" t="inlineStr">
        <is>
          <t>["same_event","same_team_same_day","same_league_same_day"]</t>
        </is>
      </c>
      <c r="BJ5" s="25" t="n"/>
      <c r="BK5" s="26" t="n">
        <v>-110</v>
      </c>
      <c r="BL5" s="27" t="n">
        <v>1.909091</v>
      </c>
      <c r="BM5" s="28" t="n">
        <v>0.52381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inlineStr">
        <is>
          <t>0.5738604563</t>
        </is>
      </c>
      <c r="CD5" s="24" t="inlineStr">
        <is>
          <t>-0.732977</t>
        </is>
      </c>
      <c r="CE5" s="24" t="n"/>
      <c r="CF5" s="24" t="n"/>
      <c r="CG5" s="24" t="n"/>
      <c r="CH5" s="24" t="n"/>
      <c r="CI5" s="24" t="n"/>
      <c r="CJ5" s="24" t="inlineStr">
        <is>
          <t>0.106016</t>
        </is>
      </c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True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n"/>
      <c r="DK5" s="24" t="n"/>
      <c r="DL5" s="24" t="n"/>
      <c r="DM5" s="24" t="n"/>
      <c r="DN5" s="24" t="n"/>
      <c r="DO5" s="24" t="n"/>
      <c r="DP5" s="24" t="n"/>
      <c r="DQ5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0.5334320189910994, "event_id": "401872969", "event_start_utc": "2026-10-04T17:00:00+00:00", "features": {"elo_probability": 0.5738604562756315, "trend_gap": -0.7329770000000002}, "historical_source_observation_times_verified": false, "model_version": "nfl-elo-trend-lr-v4", "observed_at_utc": "2026-10-04T00:00:00+00:00", "schema": "learned-moneyline-replay-v1", "served_home_probability": 0.5334320189910994, "snapshot_hash": "342dd74d3e3c68eb2841f99380fb0a8a65280c202f40c1ab05d0d1ef928d893d"}</t>
        </is>
      </c>
    </row>
    <row r="6" ht="36" customHeight="1">
      <c r="A6" s="24" t="inlineStr">
        <is>
          <t>e1fe2be1087b4afa</t>
        </is>
      </c>
      <c r="B6" s="24" t="inlineStr">
        <is>
          <t>2026-10-04T16:59:59Z</t>
        </is>
      </c>
      <c r="C6" s="24" t="inlineStr">
        <is>
          <t>2026-10-04T13:00:00-0400</t>
        </is>
      </c>
      <c r="D6" s="24" t="inlineStr">
        <is>
          <t>401872966</t>
        </is>
      </c>
      <c r="E6" s="24" t="inlineStr">
        <is>
          <t>NFL</t>
        </is>
      </c>
      <c r="F6" s="24" t="inlineStr">
        <is>
          <t>Arizona Cardinals</t>
        </is>
      </c>
      <c r="G6" s="24" t="inlineStr">
        <is>
          <t>New York Giants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espn</t>
        </is>
      </c>
      <c r="L6" s="26" t="n">
        <v>-110</v>
      </c>
      <c r="M6" s="27" t="n">
        <v>1.909091</v>
      </c>
      <c r="N6" s="28" t="n">
        <v>0.52381</v>
      </c>
      <c r="O6" s="28" t="n">
        <v>0.596446</v>
      </c>
      <c r="P6" s="28" t="n"/>
      <c r="Q6" s="28" t="n">
        <v>0.07263600000000001</v>
      </c>
      <c r="R6" s="26" t="n">
        <v>86</v>
      </c>
      <c r="S6" s="29" t="n">
        <v>1.25</v>
      </c>
      <c r="T6" s="24" t="inlineStr">
        <is>
          <t>nfl-elo-trend-lr-v4</t>
        </is>
      </c>
      <c r="U6" s="24" t="inlineStr">
        <is>
          <t>settled</t>
        </is>
      </c>
      <c r="V6" s="24" t="inlineStr">
        <is>
          <t>win</t>
        </is>
      </c>
      <c r="W6" s="26" t="n">
        <v>24</v>
      </c>
      <c r="X6" s="26" t="n">
        <v>36</v>
      </c>
      <c r="Y6" s="25" t="n"/>
      <c r="Z6" s="26" t="n"/>
      <c r="AA6" s="28" t="n"/>
      <c r="AB6" s="28" t="n"/>
      <c r="AC6" s="30" t="n">
        <v>1.1364</v>
      </c>
      <c r="AD6" s="24" t="inlineStr">
        <is>
          <t>2026-10-06T05:45:52.226007Z</t>
        </is>
      </c>
      <c r="AE6" s="31" t="inlineStr">
        <is>
          <t>Learned LR call at threshold 0.5441; no Polymarket quote available — using -110 default odds.</t>
        </is>
      </c>
      <c r="AF6" s="31" t="inlineStr">
        <is>
          <t>Learned model; shadow-qualified via operator override.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paper_call</t>
        </is>
      </c>
      <c r="AL6" s="26" t="n">
        <v>4</v>
      </c>
      <c r="AM6" s="24" t="inlineStr">
        <is>
          <t>RESEARCH_OBSERVATION</t>
        </is>
      </c>
      <c r="AN6" s="24" t="inlineStr">
        <is>
          <t>CALL</t>
        </is>
      </c>
      <c r="AO6" s="24" t="inlineStr">
        <is>
          <t>PAPER_CALL_MODEL_UNVALIDATED</t>
        </is>
      </c>
      <c r="AP6" s="24" t="inlineStr">
        <is>
          <t>nfl-ari</t>
        </is>
      </c>
      <c r="AQ6" s="24" t="inlineStr">
        <is>
          <t>Arizona Cardinals</t>
        </is>
      </c>
      <c r="AR6" s="24" t="inlineStr">
        <is>
          <t>Arizona Cardinals</t>
        </is>
      </c>
      <c r="AS6" s="24" t="inlineStr">
        <is>
          <t>nfl-nyg</t>
        </is>
      </c>
      <c r="AT6" s="24" t="inlineStr">
        <is>
          <t>New York Giants</t>
        </is>
      </c>
      <c r="AU6" s="24" t="inlineStr">
        <is>
          <t>New York Giants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5cb5857519c32e04c895a3220afdc208e3d717ba0793e8d4a6946b1332f11654</t>
        </is>
      </c>
      <c r="BB6" s="24" t="inlineStr">
        <is>
          <t>learned_lr</t>
        </is>
      </c>
      <c r="BC6" s="24" t="inlineStr">
        <is>
          <t>nfl-elo-trend-lr-v4</t>
        </is>
      </c>
      <c r="BD6" s="24" t="inlineStr">
        <is>
          <t>5cb5857519c32e04c895a3220afdc208e3d717ba0793e8d4a6946b1332f11654</t>
        </is>
      </c>
      <c r="BE6" s="24" t="inlineStr">
        <is>
          <t>b2d2069835e39ed3</t>
        </is>
      </c>
      <c r="BF6" s="24" t="inlineStr">
        <is>
          <t>1</t>
        </is>
      </c>
      <c r="BG6" s="24" t="inlineStr">
        <is>
          <t>nfl-elo-trend-lr-v4</t>
        </is>
      </c>
      <c r="BH6" s="24" t="inlineStr">
        <is>
          <t>2026-10-04T16:59:59Z</t>
        </is>
      </c>
      <c r="BI6" s="24" t="inlineStr">
        <is>
          <t>["same_event","same_team_same_day","same_league_same_day"]</t>
        </is>
      </c>
      <c r="BJ6" s="25" t="n"/>
      <c r="BK6" s="26" t="n">
        <v>-110</v>
      </c>
      <c r="BL6" s="27" t="n">
        <v>1.909091</v>
      </c>
      <c r="BM6" s="28" t="n">
        <v>0.52381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inlineStr">
        <is>
          <t>0.7185098219</t>
        </is>
      </c>
      <c r="CD6" s="24" t="inlineStr">
        <is>
          <t>-3.154006</t>
        </is>
      </c>
      <c r="CE6" s="24" t="n"/>
      <c r="CF6" s="24" t="n"/>
      <c r="CG6" s="24" t="n"/>
      <c r="CH6" s="24" t="n"/>
      <c r="CI6" s="24" t="n"/>
      <c r="CJ6" s="24" t="inlineStr">
        <is>
          <t>7.034589</t>
        </is>
      </c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True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n"/>
      <c r="DK6" s="24" t="n"/>
      <c r="DL6" s="24" t="n"/>
      <c r="DM6" s="24" t="n"/>
      <c r="DN6" s="24" t="n"/>
      <c r="DO6" s="24" t="n"/>
      <c r="DP6" s="24" t="n"/>
      <c r="DQ6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0.5964464054771466, "event_id": "401872966", "event_start_utc": "2026-10-04T17:00:00+00:00", "features": {"elo_probability": 0.7185098218678265, "trend_gap": -3.154006}, "historical_source_observation_times_verified": false, "model_version": "nfl-elo-trend-lr-v4", "observed_at_utc": "2026-10-04T00:00:00+00:00", "schema": "learned-moneyline-replay-v1", "served_home_probability": 0.5964464054771466, "snapshot_hash": "e01d165e44110c810b7035e75e42f068a2d3d0ae154fcb8e85ab6efcfc9437a5"}</t>
        </is>
      </c>
    </row>
    <row r="7" ht="36" customHeight="1">
      <c r="A7" s="24" t="inlineStr">
        <is>
          <t>8b0e2128c7ce407f</t>
        </is>
      </c>
      <c r="B7" s="24" t="inlineStr">
        <is>
          <t>2026-10-04T16:59:59Z</t>
        </is>
      </c>
      <c r="C7" s="24" t="inlineStr">
        <is>
          <t>2026-10-04T13:00:00-0400</t>
        </is>
      </c>
      <c r="D7" s="24" t="inlineStr">
        <is>
          <t>401872970</t>
        </is>
      </c>
      <c r="E7" s="24" t="inlineStr">
        <is>
          <t>NFL</t>
        </is>
      </c>
      <c r="F7" s="24" t="inlineStr">
        <is>
          <t>Los Angeles Rams</t>
        </is>
      </c>
      <c r="G7" s="24" t="inlineStr">
        <is>
          <t>Philadelphia Eagles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espn</t>
        </is>
      </c>
      <c r="L7" s="26" t="n">
        <v>-110</v>
      </c>
      <c r="M7" s="27" t="n">
        <v>1.909091</v>
      </c>
      <c r="N7" s="28" t="n">
        <v>0.52381</v>
      </c>
      <c r="O7" s="28" t="n">
        <v>0.6203610000000001</v>
      </c>
      <c r="P7" s="28" t="n"/>
      <c r="Q7" s="28" t="n">
        <v>0.096551</v>
      </c>
      <c r="R7" s="26" t="n">
        <v>98</v>
      </c>
      <c r="S7" s="29" t="n">
        <v>1.25</v>
      </c>
      <c r="T7" s="24" t="inlineStr">
        <is>
          <t>nfl-elo-trend-lr-v4</t>
        </is>
      </c>
      <c r="U7" s="24" t="inlineStr">
        <is>
          <t>settled</t>
        </is>
      </c>
      <c r="V7" s="24" t="inlineStr">
        <is>
          <t>win</t>
        </is>
      </c>
      <c r="W7" s="26" t="n">
        <v>24</v>
      </c>
      <c r="X7" s="26" t="n">
        <v>20</v>
      </c>
      <c r="Y7" s="25" t="n"/>
      <c r="Z7" s="26" t="n"/>
      <c r="AA7" s="28" t="n"/>
      <c r="AB7" s="28" t="n"/>
      <c r="AC7" s="30" t="n">
        <v>1.1364</v>
      </c>
      <c r="AD7" s="24" t="inlineStr">
        <is>
          <t>2026-10-06T05:45:53.034462Z</t>
        </is>
      </c>
      <c r="AE7" s="31" t="inlineStr">
        <is>
          <t>Learned LR call at threshold 0.5441; no Polymarket quote available — using -110 default odds.</t>
        </is>
      </c>
      <c r="AF7" s="31" t="inlineStr">
        <is>
          <t>Learned model; shadow-qualified via operator override.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paper_call</t>
        </is>
      </c>
      <c r="AL7" s="26" t="n">
        <v>4</v>
      </c>
      <c r="AM7" s="24" t="inlineStr">
        <is>
          <t>RESEARCH_OBSERVATION</t>
        </is>
      </c>
      <c r="AN7" s="24" t="inlineStr">
        <is>
          <t>CALL</t>
        </is>
      </c>
      <c r="AO7" s="24" t="inlineStr">
        <is>
          <t>PAPER_CALL_MODEL_UNVALIDATED</t>
        </is>
      </c>
      <c r="AP7" s="24" t="inlineStr">
        <is>
          <t>nfl-lar</t>
        </is>
      </c>
      <c r="AQ7" s="24" t="inlineStr">
        <is>
          <t>Los Angeles Rams</t>
        </is>
      </c>
      <c r="AR7" s="24" t="inlineStr">
        <is>
          <t>Los Angeles Rams</t>
        </is>
      </c>
      <c r="AS7" s="24" t="inlineStr">
        <is>
          <t>nfl-phi</t>
        </is>
      </c>
      <c r="AT7" s="24" t="inlineStr">
        <is>
          <t>Philadelphia Eagles</t>
        </is>
      </c>
      <c r="AU7" s="24" t="inlineStr">
        <is>
          <t>Philadelphia Eagles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5cb5857519c32e04c895a3220afdc208e3d717ba0793e8d4a6946b1332f11654</t>
        </is>
      </c>
      <c r="BB7" s="24" t="inlineStr">
        <is>
          <t>learned_lr</t>
        </is>
      </c>
      <c r="BC7" s="24" t="inlineStr">
        <is>
          <t>nfl-elo-trend-lr-v4</t>
        </is>
      </c>
      <c r="BD7" s="24" t="inlineStr">
        <is>
          <t>5cb5857519c32e04c895a3220afdc208e3d717ba0793e8d4a6946b1332f11654</t>
        </is>
      </c>
      <c r="BE7" s="24" t="inlineStr">
        <is>
          <t>4b8f0ba5e8fb9850</t>
        </is>
      </c>
      <c r="BF7" s="24" t="inlineStr">
        <is>
          <t>1</t>
        </is>
      </c>
      <c r="BG7" s="24" t="inlineStr">
        <is>
          <t>nfl-elo-trend-lr-v4</t>
        </is>
      </c>
      <c r="BH7" s="24" t="inlineStr">
        <is>
          <t>2026-10-04T16:59:59Z</t>
        </is>
      </c>
      <c r="BI7" s="24" t="inlineStr">
        <is>
          <t>["same_event","same_team_same_day","same_league_same_day"]</t>
        </is>
      </c>
      <c r="BJ7" s="25" t="n"/>
      <c r="BK7" s="26" t="n">
        <v>-110</v>
      </c>
      <c r="BL7" s="27" t="n">
        <v>1.909091</v>
      </c>
      <c r="BM7" s="28" t="n">
        <v>0.52381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inlineStr">
        <is>
          <t>0.4065531892</t>
        </is>
      </c>
      <c r="CD7" s="24" t="inlineStr">
        <is>
          <t>-4.46584</t>
        </is>
      </c>
      <c r="CE7" s="24" t="n"/>
      <c r="CF7" s="24" t="n"/>
      <c r="CG7" s="24" t="n"/>
      <c r="CH7" s="24" t="n"/>
      <c r="CI7" s="24" t="n"/>
      <c r="CJ7" s="24" t="inlineStr">
        <is>
          <t>-3.136705</t>
        </is>
      </c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True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n"/>
      <c r="DK7" s="24" t="n"/>
      <c r="DL7" s="24" t="n"/>
      <c r="DM7" s="24" t="n"/>
      <c r="DN7" s="24" t="n"/>
      <c r="DO7" s="24" t="n"/>
      <c r="DP7" s="24" t="n"/>
      <c r="DQ7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0.3796389071712996, "event_id": "401872970", "event_start_utc": "2026-10-04T17:00:00+00:00", "features": {"elo_probability": 0.4065531892035939, "trend_gap": -4.46584}, "historical_source_observation_times_verified": false, "model_version": "nfl-elo-trend-lr-v4", "observed_at_utc": "2026-10-04T00:00:00+00:00", "schema": "learned-moneyline-replay-v1", "served_home_probability": 0.3796389071712996, "snapshot_hash": "255c5c212faa3a68e9f4758eddd872c67ac40e73a29e29ee8a6dd73cca3e2248"}</t>
        </is>
      </c>
    </row>
    <row r="8" ht="36" customHeight="1">
      <c r="A8" s="24" t="inlineStr">
        <is>
          <t>084b135fae934a77</t>
        </is>
      </c>
      <c r="B8" s="24" t="inlineStr">
        <is>
          <t>2026-10-04T16:59:59Z</t>
        </is>
      </c>
      <c r="C8" s="24" t="inlineStr">
        <is>
          <t>2026-10-04T13:00:00-0400</t>
        </is>
      </c>
      <c r="D8" s="24" t="inlineStr">
        <is>
          <t>401872968</t>
        </is>
      </c>
      <c r="E8" s="24" t="inlineStr">
        <is>
          <t>NFL</t>
        </is>
      </c>
      <c r="F8" s="24" t="inlineStr">
        <is>
          <t>Green Bay Packers</t>
        </is>
      </c>
      <c r="G8" s="24" t="inlineStr">
        <is>
          <t>Tampa Bay Buccaneers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espn</t>
        </is>
      </c>
      <c r="L8" s="26" t="n">
        <v>-110</v>
      </c>
      <c r="M8" s="27" t="n">
        <v>1.909091</v>
      </c>
      <c r="N8" s="28" t="n">
        <v>0.52381</v>
      </c>
      <c r="O8" s="28" t="n">
        <v>0.535681</v>
      </c>
      <c r="P8" s="28" t="n"/>
      <c r="Q8" s="28" t="n">
        <v>0.011871</v>
      </c>
      <c r="R8" s="26" t="n">
        <v>56</v>
      </c>
      <c r="S8" s="29" t="n">
        <v>1</v>
      </c>
      <c r="T8" s="24" t="inlineStr">
        <is>
          <t>nfl-elo-trend-lr-v4</t>
        </is>
      </c>
      <c r="U8" s="24" t="inlineStr">
        <is>
          <t>settled</t>
        </is>
      </c>
      <c r="V8" s="24" t="inlineStr">
        <is>
          <t>win</t>
        </is>
      </c>
      <c r="W8" s="26" t="n">
        <v>17</v>
      </c>
      <c r="X8" s="26" t="n">
        <v>14</v>
      </c>
      <c r="Y8" s="25" t="n"/>
      <c r="Z8" s="26" t="n"/>
      <c r="AA8" s="28" t="n"/>
      <c r="AB8" s="28" t="n"/>
      <c r="AC8" s="30" t="n">
        <v>0.9091</v>
      </c>
      <c r="AD8" s="24" t="inlineStr">
        <is>
          <t>2026-10-06T05:45:53.856922Z</t>
        </is>
      </c>
      <c r="AE8" s="31" t="inlineStr">
        <is>
          <t>Learned LR call at threshold 0.5441; no Polymarket quote available — using -110 default odds.</t>
        </is>
      </c>
      <c r="AF8" s="31" t="inlineStr">
        <is>
          <t>Learned model; shadow-qualified via operator override.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paper_call</t>
        </is>
      </c>
      <c r="AL8" s="26" t="n">
        <v>4</v>
      </c>
      <c r="AM8" s="24" t="inlineStr">
        <is>
          <t>RESEARCH_OBSERVATION</t>
        </is>
      </c>
      <c r="AN8" s="24" t="inlineStr">
        <is>
          <t>CALL</t>
        </is>
      </c>
      <c r="AO8" s="24" t="inlineStr">
        <is>
          <t>PAPER_CALL_BELOW_LEARNED_CONFIDENCE</t>
        </is>
      </c>
      <c r="AP8" s="24" t="inlineStr">
        <is>
          <t>nfl-gb</t>
        </is>
      </c>
      <c r="AQ8" s="24" t="inlineStr">
        <is>
          <t>Green Bay Packers</t>
        </is>
      </c>
      <c r="AR8" s="24" t="inlineStr">
        <is>
          <t>Green Bay Packers</t>
        </is>
      </c>
      <c r="AS8" s="24" t="inlineStr">
        <is>
          <t>nfl-tb</t>
        </is>
      </c>
      <c r="AT8" s="24" t="inlineStr">
        <is>
          <t>Tampa Bay Buccaneers</t>
        </is>
      </c>
      <c r="AU8" s="24" t="inlineStr">
        <is>
          <t>Tampa Bay Buccaneers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5cb5857519c32e04c895a3220afdc208e3d717ba0793e8d4a6946b1332f11654</t>
        </is>
      </c>
      <c r="BB8" s="24" t="inlineStr">
        <is>
          <t>learned_lr</t>
        </is>
      </c>
      <c r="BC8" s="24" t="inlineStr">
        <is>
          <t>nfl-elo-trend-lr-v4</t>
        </is>
      </c>
      <c r="BD8" s="24" t="inlineStr">
        <is>
          <t>5cb5857519c32e04c895a3220afdc208e3d717ba0793e8d4a6946b1332f11654</t>
        </is>
      </c>
      <c r="BE8" s="24" t="inlineStr">
        <is>
          <t>fb62dd54a8be85ed</t>
        </is>
      </c>
      <c r="BF8" s="24" t="inlineStr">
        <is>
          <t>1</t>
        </is>
      </c>
      <c r="BG8" s="24" t="inlineStr">
        <is>
          <t>nfl-elo-trend-lr-v4</t>
        </is>
      </c>
      <c r="BH8" s="24" t="inlineStr">
        <is>
          <t>2026-10-04T16:59:59Z</t>
        </is>
      </c>
      <c r="BI8" s="24" t="inlineStr">
        <is>
          <t>["same_event","same_team_same_day","same_league_same_day"]</t>
        </is>
      </c>
      <c r="BJ8" s="25" t="n"/>
      <c r="BK8" s="26" t="n">
        <v>-110</v>
      </c>
      <c r="BL8" s="27" t="n">
        <v>1.909091</v>
      </c>
      <c r="BM8" s="28" t="n">
        <v>0.52381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inlineStr">
        <is>
          <t>0.5044396037</t>
        </is>
      </c>
      <c r="CD8" s="24" t="inlineStr">
        <is>
          <t>-2.631556</t>
        </is>
      </c>
      <c r="CE8" s="24" t="n"/>
      <c r="CF8" s="24" t="n"/>
      <c r="CG8" s="24" t="n"/>
      <c r="CH8" s="24" t="n"/>
      <c r="CI8" s="24" t="n"/>
      <c r="CJ8" s="24" t="inlineStr">
        <is>
          <t>4.688392</t>
        </is>
      </c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True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n"/>
      <c r="DK8" s="24" t="n"/>
      <c r="DL8" s="24" t="n"/>
      <c r="DM8" s="24" t="n"/>
      <c r="DN8" s="24" t="n"/>
      <c r="DO8" s="24" t="n"/>
      <c r="DP8" s="24" t="n"/>
      <c r="DQ8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0.4643191606096457, "event_id": "401872968", "event_start_utc": "2026-10-04T17:00:00+00:00", "features": {"elo_probability": 0.5044396037045454, "trend_gap": -2.631556}, "historical_source_observation_times_verified": false, "model_version": "nfl-elo-trend-lr-v4", "observed_at_utc": "2026-10-04T00:00:00+00:00", "schema": "learned-moneyline-replay-v1", "served_home_probability": 0.4643191606096457, "snapshot_hash": "1e524af7677223984fd144a33b9ce79ef0d2f73a769df346cd7a7ccb58ff4497"}</t>
        </is>
      </c>
    </row>
    <row r="9" ht="36" customHeight="1">
      <c r="A9" s="24" t="inlineStr">
        <is>
          <t>e175950ee8d1480c</t>
        </is>
      </c>
      <c r="B9" s="24" t="inlineStr">
        <is>
          <t>2026-10-04T16:59:59Z</t>
        </is>
      </c>
      <c r="C9" s="24" t="inlineStr">
        <is>
          <t>2026-10-04T13:00:00-0400</t>
        </is>
      </c>
      <c r="D9" s="24" t="inlineStr">
        <is>
          <t>401872973</t>
        </is>
      </c>
      <c r="E9" s="24" t="inlineStr">
        <is>
          <t>NFL</t>
        </is>
      </c>
      <c r="F9" s="24" t="inlineStr">
        <is>
          <t>Tennessee Titans</t>
        </is>
      </c>
      <c r="G9" s="24" t="inlineStr">
        <is>
          <t>Baltimore Ravens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espn</t>
        </is>
      </c>
      <c r="L9" s="26" t="n">
        <v>-110</v>
      </c>
      <c r="M9" s="27" t="n">
        <v>1.909091</v>
      </c>
      <c r="N9" s="28" t="n">
        <v>0.52381</v>
      </c>
      <c r="O9" s="28" t="n">
        <v>0.71548</v>
      </c>
      <c r="P9" s="28" t="n"/>
      <c r="Q9" s="28" t="n">
        <v>0.19167</v>
      </c>
      <c r="R9" s="26" t="n">
        <v>100</v>
      </c>
      <c r="S9" s="29" t="n">
        <v>2</v>
      </c>
      <c r="T9" s="24" t="inlineStr">
        <is>
          <t>nfl-elo-trend-lr-v4</t>
        </is>
      </c>
      <c r="U9" s="24" t="inlineStr">
        <is>
          <t>settled</t>
        </is>
      </c>
      <c r="V9" s="24" t="inlineStr">
        <is>
          <t>win</t>
        </is>
      </c>
      <c r="W9" s="26" t="n">
        <v>18</v>
      </c>
      <c r="X9" s="26" t="n">
        <v>24</v>
      </c>
      <c r="Y9" s="25" t="n"/>
      <c r="Z9" s="26" t="n"/>
      <c r="AA9" s="28" t="n"/>
      <c r="AB9" s="28" t="n"/>
      <c r="AC9" s="30" t="n">
        <v>1.8182</v>
      </c>
      <c r="AD9" s="24" t="inlineStr">
        <is>
          <t>2026-10-06T05:45:54.726100Z</t>
        </is>
      </c>
      <c r="AE9" s="31" t="inlineStr">
        <is>
          <t>Learned LR call at threshold 0.5441; no Polymarket quote available — using -110 default odds.</t>
        </is>
      </c>
      <c r="AF9" s="31" t="inlineStr">
        <is>
          <t>Learned model; shadow-qualified via operator override.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paper_call</t>
        </is>
      </c>
      <c r="AL9" s="26" t="n">
        <v>4</v>
      </c>
      <c r="AM9" s="24" t="inlineStr">
        <is>
          <t>RESEARCH_OBSERVATION</t>
        </is>
      </c>
      <c r="AN9" s="24" t="inlineStr">
        <is>
          <t>CALL</t>
        </is>
      </c>
      <c r="AO9" s="24" t="inlineStr">
        <is>
          <t>PAPER_CALL_MODEL_UNVALIDATED</t>
        </is>
      </c>
      <c r="AP9" s="24" t="inlineStr">
        <is>
          <t>nfl-ten</t>
        </is>
      </c>
      <c r="AQ9" s="24" t="inlineStr">
        <is>
          <t>Tennessee Titans</t>
        </is>
      </c>
      <c r="AR9" s="24" t="inlineStr">
        <is>
          <t>Tennessee Titans</t>
        </is>
      </c>
      <c r="AS9" s="24" t="inlineStr">
        <is>
          <t>nfl-bal</t>
        </is>
      </c>
      <c r="AT9" s="24" t="inlineStr">
        <is>
          <t>Baltimore Ravens</t>
        </is>
      </c>
      <c r="AU9" s="24" t="inlineStr">
        <is>
          <t>Baltimore Ravens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5cb5857519c32e04c895a3220afdc208e3d717ba0793e8d4a6946b1332f11654</t>
        </is>
      </c>
      <c r="BB9" s="24" t="inlineStr">
        <is>
          <t>learned_lr</t>
        </is>
      </c>
      <c r="BC9" s="24" t="inlineStr">
        <is>
          <t>nfl-elo-trend-lr-v4</t>
        </is>
      </c>
      <c r="BD9" s="24" t="inlineStr">
        <is>
          <t>5cb5857519c32e04c895a3220afdc208e3d717ba0793e8d4a6946b1332f11654</t>
        </is>
      </c>
      <c r="BE9" s="24" t="inlineStr">
        <is>
          <t>928bc83927fcccdd</t>
        </is>
      </c>
      <c r="BF9" s="24" t="inlineStr">
        <is>
          <t>1</t>
        </is>
      </c>
      <c r="BG9" s="24" t="inlineStr">
        <is>
          <t>nfl-elo-trend-lr-v4</t>
        </is>
      </c>
      <c r="BH9" s="24" t="inlineStr">
        <is>
          <t>2026-10-04T16:59:59Z</t>
        </is>
      </c>
      <c r="BI9" s="24" t="inlineStr">
        <is>
          <t>["same_event","same_team_same_day","same_league_same_day"]</t>
        </is>
      </c>
      <c r="BJ9" s="25" t="n"/>
      <c r="BK9" s="26" t="n">
        <v>-110</v>
      </c>
      <c r="BL9" s="27" t="n">
        <v>1.909091</v>
      </c>
      <c r="BM9" s="28" t="n">
        <v>0.52381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inlineStr">
        <is>
          <t>0.8252034712</t>
        </is>
      </c>
      <c r="CD9" s="24" t="inlineStr">
        <is>
          <t>1.873219</t>
        </is>
      </c>
      <c r="CE9" s="24" t="n"/>
      <c r="CF9" s="24" t="n"/>
      <c r="CG9" s="24" t="n"/>
      <c r="CH9" s="24" t="n"/>
      <c r="CI9" s="24" t="n"/>
      <c r="CJ9" s="24" t="inlineStr">
        <is>
          <t>-2.221559</t>
        </is>
      </c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n"/>
      <c r="DK9" s="24" t="n"/>
      <c r="DL9" s="24" t="n"/>
      <c r="DM9" s="24" t="n"/>
      <c r="DN9" s="24" t="n"/>
      <c r="DO9" s="24" t="n"/>
      <c r="DP9" s="24" t="n"/>
      <c r="DQ9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0.7154804524457987, "event_id": "401872973", "event_start_utc": "2026-10-04T17:00:00+00:00", "features": {"elo_probability": 0.8252034711815317, "trend_gap": 1.873219}, "historical_source_observation_times_verified": false, "model_version": "nfl-elo-trend-lr-v4", "observed_at_utc": "2026-10-04T00:00:00+00:00", "schema": "learned-moneyline-replay-v1", "served_home_probability": 0.7154804524457987, "snapshot_hash": "8280109dc4fdbce7fd939ea78f5d6c3ed4e4e07d4ea9764425ded3ed5c60ce98"}</t>
        </is>
      </c>
    </row>
    <row r="10" ht="36" customHeight="1">
      <c r="A10" s="24" t="inlineStr">
        <is>
          <t>8bbdc0982f5746b4</t>
        </is>
      </c>
      <c r="B10" s="24" t="inlineStr">
        <is>
          <t>2026-10-04T16:59:59Z</t>
        </is>
      </c>
      <c r="C10" s="24" t="inlineStr">
        <is>
          <t>2026-10-04T13:00:00-0400</t>
        </is>
      </c>
      <c r="D10" s="24" t="inlineStr">
        <is>
          <t>401872967</t>
        </is>
      </c>
      <c r="E10" s="24" t="inlineStr">
        <is>
          <t>NFL</t>
        </is>
      </c>
      <c r="F10" s="24" t="inlineStr">
        <is>
          <t>Dallas Cowboys</t>
        </is>
      </c>
      <c r="G10" s="24" t="inlineStr">
        <is>
          <t>Houston Texans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espn</t>
        </is>
      </c>
      <c r="L10" s="26" t="n">
        <v>-110</v>
      </c>
      <c r="M10" s="27" t="n">
        <v>1.909091</v>
      </c>
      <c r="N10" s="28" t="n">
        <v>0.52381</v>
      </c>
      <c r="O10" s="28" t="n">
        <v>0.557964</v>
      </c>
      <c r="P10" s="28" t="n"/>
      <c r="Q10" s="28" t="n">
        <v>0.034154</v>
      </c>
      <c r="R10" s="26" t="n">
        <v>67</v>
      </c>
      <c r="S10" s="29" t="n">
        <v>1</v>
      </c>
      <c r="T10" s="24" t="inlineStr">
        <is>
          <t>nfl-elo-trend-lr-v4</t>
        </is>
      </c>
      <c r="U10" s="24" t="inlineStr">
        <is>
          <t>settled</t>
        </is>
      </c>
      <c r="V10" s="24" t="inlineStr">
        <is>
          <t>win</t>
        </is>
      </c>
      <c r="W10" s="26" t="n">
        <v>34</v>
      </c>
      <c r="X10" s="26" t="n">
        <v>30</v>
      </c>
      <c r="Y10" s="25" t="n"/>
      <c r="Z10" s="26" t="n"/>
      <c r="AA10" s="28" t="n"/>
      <c r="AB10" s="28" t="n"/>
      <c r="AC10" s="30" t="n">
        <v>0.9091</v>
      </c>
      <c r="AD10" s="24" t="inlineStr">
        <is>
          <t>2026-10-06T05:45:55.523616Z</t>
        </is>
      </c>
      <c r="AE10" s="31" t="inlineStr">
        <is>
          <t>Learned LR call at threshold 0.5441; no Polymarket quote available — using -110 default odds.</t>
        </is>
      </c>
      <c r="AF10" s="31" t="inlineStr">
        <is>
          <t>Learned model; shadow-qualified via operator override.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paper_call</t>
        </is>
      </c>
      <c r="AL10" s="26" t="n">
        <v>4</v>
      </c>
      <c r="AM10" s="24" t="inlineStr">
        <is>
          <t>RESEARCH_OBSERVATION</t>
        </is>
      </c>
      <c r="AN10" s="24" t="inlineStr">
        <is>
          <t>CALL</t>
        </is>
      </c>
      <c r="AO10" s="24" t="inlineStr">
        <is>
          <t>PAPER_CALL_MODEL_UNVALIDATED</t>
        </is>
      </c>
      <c r="AP10" s="24" t="inlineStr">
        <is>
          <t>nfl-dal</t>
        </is>
      </c>
      <c r="AQ10" s="24" t="inlineStr">
        <is>
          <t>Dallas Cowboys</t>
        </is>
      </c>
      <c r="AR10" s="24" t="inlineStr">
        <is>
          <t>Dallas Cowboys</t>
        </is>
      </c>
      <c r="AS10" s="24" t="inlineStr">
        <is>
          <t>nfl-hou</t>
        </is>
      </c>
      <c r="AT10" s="24" t="inlineStr">
        <is>
          <t>Houston Texans</t>
        </is>
      </c>
      <c r="AU10" s="24" t="inlineStr">
        <is>
          <t>Houston Texans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5cb5857519c32e04c895a3220afdc208e3d717ba0793e8d4a6946b1332f11654</t>
        </is>
      </c>
      <c r="BB10" s="24" t="inlineStr">
        <is>
          <t>learned_lr</t>
        </is>
      </c>
      <c r="BC10" s="24" t="inlineStr">
        <is>
          <t>nfl-elo-trend-lr-v4</t>
        </is>
      </c>
      <c r="BD10" s="24" t="inlineStr">
        <is>
          <t>5cb5857519c32e04c895a3220afdc208e3d717ba0793e8d4a6946b1332f11654</t>
        </is>
      </c>
      <c r="BE10" s="24" t="inlineStr">
        <is>
          <t>fac8a1c8ed370b0e</t>
        </is>
      </c>
      <c r="BF10" s="24" t="inlineStr">
        <is>
          <t>1</t>
        </is>
      </c>
      <c r="BG10" s="24" t="inlineStr">
        <is>
          <t>nfl-elo-trend-lr-v4</t>
        </is>
      </c>
      <c r="BH10" s="24" t="inlineStr">
        <is>
          <t>2026-10-04T16:59:59Z</t>
        </is>
      </c>
      <c r="BI10" s="24" t="inlineStr">
        <is>
          <t>["same_event","same_team_same_day","same_league_same_day"]</t>
        </is>
      </c>
      <c r="BJ10" s="25" t="n"/>
      <c r="BK10" s="26" t="n">
        <v>-110</v>
      </c>
      <c r="BL10" s="27" t="n">
        <v>1.909091</v>
      </c>
      <c r="BM10" s="28" t="n">
        <v>0.52381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inlineStr">
        <is>
          <t>0.5158435652</t>
        </is>
      </c>
      <c r="CD10" s="24" t="inlineStr">
        <is>
          <t>-5.016742</t>
        </is>
      </c>
      <c r="CE10" s="24" t="n"/>
      <c r="CF10" s="24" t="n"/>
      <c r="CG10" s="24" t="n"/>
      <c r="CH10" s="24" t="n"/>
      <c r="CI10" s="24" t="n"/>
      <c r="CJ10" s="24" t="inlineStr">
        <is>
          <t>-2.84935</t>
        </is>
      </c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n"/>
      <c r="DK10" s="24" t="n"/>
      <c r="DL10" s="24" t="n"/>
      <c r="DM10" s="24" t="n"/>
      <c r="DN10" s="24" t="n"/>
      <c r="DO10" s="24" t="n"/>
      <c r="DP10" s="24" t="n"/>
      <c r="DQ10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0.4420356156359355, "event_id": "401872967", "event_start_utc": "2026-10-04T17:00:00+00:00", "features": {"elo_probability": 0.5158435652237734, "trend_gap": -5.016742}, "historical_source_observation_times_verified": false, "model_version": "nfl-elo-trend-lr-v4", "observed_at_utc": "2026-10-04T00:00:00+00:00", "schema": "learned-moneyline-replay-v1", "served_home_probability": 0.4420356156359355, "snapshot_hash": "5498cbd33cbe7b12c49c17b9a4aee214b1878e4dc7bf1e82e33de5014a5b956a"}</t>
        </is>
      </c>
    </row>
    <row r="11" ht="36" customHeight="1">
      <c r="A11" s="24" t="inlineStr">
        <is>
          <t>6d139af4d2e947a4</t>
        </is>
      </c>
      <c r="B11" s="24" t="inlineStr">
        <is>
          <t>2026-10-04T20:04:59Z</t>
        </is>
      </c>
      <c r="C11" s="24" t="inlineStr">
        <is>
          <t>2026-10-04T16:05:00-0400</t>
        </is>
      </c>
      <c r="D11" s="24" t="inlineStr">
        <is>
          <t>401872974</t>
        </is>
      </c>
      <c r="E11" s="24" t="inlineStr">
        <is>
          <t>NFL</t>
        </is>
      </c>
      <c r="F11" s="24" t="inlineStr">
        <is>
          <t>Miami Dolphins</t>
        </is>
      </c>
      <c r="G11" s="24" t="inlineStr">
        <is>
          <t>Minnesota Vikings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espn</t>
        </is>
      </c>
      <c r="L11" s="26" t="n">
        <v>-110</v>
      </c>
      <c r="M11" s="27" t="n">
        <v>1.909091</v>
      </c>
      <c r="N11" s="28" t="n">
        <v>0.52381</v>
      </c>
      <c r="O11" s="28" t="n">
        <v>0.727878</v>
      </c>
      <c r="P11" s="28" t="n"/>
      <c r="Q11" s="28" t="n">
        <v>0.204068</v>
      </c>
      <c r="R11" s="26" t="n">
        <v>100</v>
      </c>
      <c r="S11" s="29" t="n">
        <v>2</v>
      </c>
      <c r="T11" s="24" t="inlineStr">
        <is>
          <t>nfl-elo-trend-lr-v4</t>
        </is>
      </c>
      <c r="U11" s="24" t="inlineStr">
        <is>
          <t>settled</t>
        </is>
      </c>
      <c r="V11" s="24" t="inlineStr">
        <is>
          <t>win</t>
        </is>
      </c>
      <c r="W11" s="26" t="n">
        <v>10</v>
      </c>
      <c r="X11" s="26" t="n">
        <v>15</v>
      </c>
      <c r="Y11" s="25" t="n"/>
      <c r="Z11" s="26" t="n"/>
      <c r="AA11" s="28" t="n"/>
      <c r="AB11" s="28" t="n"/>
      <c r="AC11" s="30" t="n">
        <v>1.8182</v>
      </c>
      <c r="AD11" s="24" t="inlineStr">
        <is>
          <t>2026-10-06T05:45:56.314953Z</t>
        </is>
      </c>
      <c r="AE11" s="31" t="inlineStr">
        <is>
          <t>Learned LR call at threshold 0.5441; no Polymarket quote available — using -110 default odds.</t>
        </is>
      </c>
      <c r="AF11" s="31" t="inlineStr">
        <is>
          <t>Learned model; shadow-qualified via operator override.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paper_call</t>
        </is>
      </c>
      <c r="AL11" s="26" t="n">
        <v>4</v>
      </c>
      <c r="AM11" s="24" t="inlineStr">
        <is>
          <t>RESEARCH_OBSERVATION</t>
        </is>
      </c>
      <c r="AN11" s="24" t="inlineStr">
        <is>
          <t>CALL</t>
        </is>
      </c>
      <c r="AO11" s="24" t="inlineStr">
        <is>
          <t>PAPER_CALL_MODEL_UNVALIDATED</t>
        </is>
      </c>
      <c r="AP11" s="24" t="inlineStr">
        <is>
          <t>nfl-mia</t>
        </is>
      </c>
      <c r="AQ11" s="24" t="inlineStr">
        <is>
          <t>Miami Dolphins</t>
        </is>
      </c>
      <c r="AR11" s="24" t="inlineStr">
        <is>
          <t>Miami Dolphins</t>
        </is>
      </c>
      <c r="AS11" s="24" t="inlineStr">
        <is>
          <t>nfl-min</t>
        </is>
      </c>
      <c r="AT11" s="24" t="inlineStr">
        <is>
          <t>Minnesota Vikings</t>
        </is>
      </c>
      <c r="AU11" s="24" t="inlineStr">
        <is>
          <t>Minnesota Vikings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5cb5857519c32e04c895a3220afdc208e3d717ba0793e8d4a6946b1332f11654</t>
        </is>
      </c>
      <c r="BB11" s="24" t="inlineStr">
        <is>
          <t>learned_lr</t>
        </is>
      </c>
      <c r="BC11" s="24" t="inlineStr">
        <is>
          <t>nfl-elo-trend-lr-v4</t>
        </is>
      </c>
      <c r="BD11" s="24" t="inlineStr">
        <is>
          <t>5cb5857519c32e04c895a3220afdc208e3d717ba0793e8d4a6946b1332f11654</t>
        </is>
      </c>
      <c r="BE11" s="24" t="inlineStr">
        <is>
          <t>f1d2f2017738b47e</t>
        </is>
      </c>
      <c r="BF11" s="24" t="inlineStr">
        <is>
          <t>1</t>
        </is>
      </c>
      <c r="BG11" s="24" t="inlineStr">
        <is>
          <t>nfl-elo-trend-lr-v4</t>
        </is>
      </c>
      <c r="BH11" s="24" t="inlineStr">
        <is>
          <t>2026-10-04T20:04:59Z</t>
        </is>
      </c>
      <c r="BI11" s="24" t="inlineStr">
        <is>
          <t>["same_event","same_team_same_day","same_league_same_day"]</t>
        </is>
      </c>
      <c r="BJ11" s="25" t="n"/>
      <c r="BK11" s="26" t="n">
        <v>-110</v>
      </c>
      <c r="BL11" s="27" t="n">
        <v>1.909091</v>
      </c>
      <c r="BM11" s="28" t="n">
        <v>0.52381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inlineStr">
        <is>
          <t>0.8320972618</t>
        </is>
      </c>
      <c r="CD11" s="24" t="inlineStr">
        <is>
          <t>2.743557</t>
        </is>
      </c>
      <c r="CE11" s="24" t="n"/>
      <c r="CF11" s="24" t="n"/>
      <c r="CG11" s="24" t="n"/>
      <c r="CH11" s="24" t="n"/>
      <c r="CI11" s="24" t="n"/>
      <c r="CJ11" s="24" t="inlineStr">
        <is>
          <t>5.696436</t>
        </is>
      </c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True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n"/>
      <c r="DK11" s="24" t="n"/>
      <c r="DL11" s="24" t="n"/>
      <c r="DM11" s="24" t="n"/>
      <c r="DN11" s="24" t="n"/>
      <c r="DO11" s="24" t="n"/>
      <c r="DP11" s="24" t="n"/>
      <c r="DQ11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0.7278781072975777, "event_id": "401872974", "event_start_utc": "2026-10-04T20:05:00+00:00", "features": {"elo_probability": 0.8320972618311123, "trend_gap": 2.743557}, "historical_source_observation_times_verified": false, "model_version": "nfl-elo-trend-lr-v4", "observed_at_utc": "2026-10-04T00:00:00+00:00", "schema": "learned-moneyline-replay-v1", "served_home_probability": 0.7278781072975777, "snapshot_hash": "5eecdc077273048e9c26fa13694b9e06d8bb2c71f0e8e29899712fc94d1f7df7"}</t>
        </is>
      </c>
    </row>
    <row r="12" ht="36" customHeight="1">
      <c r="A12" s="24" t="inlineStr">
        <is>
          <t>1ec5909fd6fa4408</t>
        </is>
      </c>
      <c r="B12" s="24" t="inlineStr">
        <is>
          <t>2026-10-04T20:24:59Z</t>
        </is>
      </c>
      <c r="C12" s="24" t="inlineStr">
        <is>
          <t>2026-10-04T16:25:00-0400</t>
        </is>
      </c>
      <c r="D12" s="24" t="inlineStr">
        <is>
          <t>401872976</t>
        </is>
      </c>
      <c r="E12" s="24" t="inlineStr">
        <is>
          <t>NFL</t>
        </is>
      </c>
      <c r="F12" s="24" t="inlineStr">
        <is>
          <t>Kansas City Chiefs</t>
        </is>
      </c>
      <c r="G12" s="24" t="inlineStr">
        <is>
          <t>Las Vegas Raiders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espn</t>
        </is>
      </c>
      <c r="L12" s="26" t="n">
        <v>-110</v>
      </c>
      <c r="M12" s="27" t="n">
        <v>1.909091</v>
      </c>
      <c r="N12" s="28" t="n">
        <v>0.52381</v>
      </c>
      <c r="O12" s="28" t="n">
        <v>0.536112</v>
      </c>
      <c r="P12" s="28" t="n"/>
      <c r="Q12" s="28" t="n">
        <v>0.012302</v>
      </c>
      <c r="R12" s="26" t="n">
        <v>56</v>
      </c>
      <c r="S12" s="29" t="n">
        <v>1</v>
      </c>
      <c r="T12" s="24" t="inlineStr">
        <is>
          <t>nfl-elo-trend-lr-v4</t>
        </is>
      </c>
      <c r="U12" s="24" t="inlineStr">
        <is>
          <t>settled</t>
        </is>
      </c>
      <c r="V12" s="24" t="inlineStr">
        <is>
          <t>loss</t>
        </is>
      </c>
      <c r="W12" s="26" t="n">
        <v>30</v>
      </c>
      <c r="X12" s="26" t="n">
        <v>27</v>
      </c>
      <c r="Y12" s="25" t="n"/>
      <c r="Z12" s="26" t="n"/>
      <c r="AA12" s="28" t="n"/>
      <c r="AB12" s="28" t="n"/>
      <c r="AC12" s="30" t="n">
        <v>-1</v>
      </c>
      <c r="AD12" s="24" t="inlineStr">
        <is>
          <t>2026-10-06T05:45:57.120184Z</t>
        </is>
      </c>
      <c r="AE12" s="31" t="inlineStr">
        <is>
          <t>Learned LR call at threshold 0.5441; no Polymarket quote available — using -110 default odds.</t>
        </is>
      </c>
      <c r="AF12" s="31" t="inlineStr">
        <is>
          <t>Learned model; shadow-qualified via operator override.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paper_call</t>
        </is>
      </c>
      <c r="AL12" s="26" t="n">
        <v>4</v>
      </c>
      <c r="AM12" s="24" t="inlineStr">
        <is>
          <t>RESEARCH_OBSERVATION</t>
        </is>
      </c>
      <c r="AN12" s="24" t="inlineStr">
        <is>
          <t>CALL</t>
        </is>
      </c>
      <c r="AO12" s="24" t="inlineStr">
        <is>
          <t>PAPER_CALL_BELOW_LEARNED_CONFIDENCE</t>
        </is>
      </c>
      <c r="AP12" s="24" t="inlineStr">
        <is>
          <t>nfl-kc</t>
        </is>
      </c>
      <c r="AQ12" s="24" t="inlineStr">
        <is>
          <t>Kansas City Chiefs</t>
        </is>
      </c>
      <c r="AR12" s="24" t="inlineStr">
        <is>
          <t>Kansas City Chiefs</t>
        </is>
      </c>
      <c r="AS12" s="24" t="inlineStr">
        <is>
          <t>nfl-lv</t>
        </is>
      </c>
      <c r="AT12" s="24" t="inlineStr">
        <is>
          <t>Las Vegas Raiders</t>
        </is>
      </c>
      <c r="AU12" s="24" t="inlineStr">
        <is>
          <t>Las Vegas Raiders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5cb5857519c32e04c895a3220afdc208e3d717ba0793e8d4a6946b1332f11654</t>
        </is>
      </c>
      <c r="BB12" s="24" t="inlineStr">
        <is>
          <t>learned_lr</t>
        </is>
      </c>
      <c r="BC12" s="24" t="inlineStr">
        <is>
          <t>nfl-elo-trend-lr-v4</t>
        </is>
      </c>
      <c r="BD12" s="24" t="inlineStr">
        <is>
          <t>5cb5857519c32e04c895a3220afdc208e3d717ba0793e8d4a6946b1332f11654</t>
        </is>
      </c>
      <c r="BE12" s="24" t="inlineStr">
        <is>
          <t>f514c32f8c927ca2</t>
        </is>
      </c>
      <c r="BF12" s="24" t="inlineStr">
        <is>
          <t>1</t>
        </is>
      </c>
      <c r="BG12" s="24" t="inlineStr">
        <is>
          <t>nfl-elo-trend-lr-v4</t>
        </is>
      </c>
      <c r="BH12" s="24" t="inlineStr">
        <is>
          <t>2026-10-04T20:24:59Z</t>
        </is>
      </c>
      <c r="BI12" s="24" t="inlineStr">
        <is>
          <t>["same_event","same_team_same_day","same_league_same_day"]</t>
        </is>
      </c>
      <c r="BJ12" s="25" t="n"/>
      <c r="BK12" s="26" t="n">
        <v>-110</v>
      </c>
      <c r="BL12" s="27" t="n">
        <v>1.909091</v>
      </c>
      <c r="BM12" s="28" t="n">
        <v>0.52381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inlineStr">
        <is>
          <t>0.4922844573</t>
        </is>
      </c>
      <c r="CD12" s="24" t="inlineStr">
        <is>
          <t>3.73067</t>
        </is>
      </c>
      <c r="CE12" s="24" t="n"/>
      <c r="CF12" s="24" t="n"/>
      <c r="CG12" s="24" t="n"/>
      <c r="CH12" s="24" t="n"/>
      <c r="CI12" s="24" t="n"/>
      <c r="CJ12" s="24" t="inlineStr">
        <is>
          <t>-0.382704</t>
        </is>
      </c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n"/>
      <c r="DK12" s="24" t="n"/>
      <c r="DL12" s="24" t="n"/>
      <c r="DM12" s="24" t="n"/>
      <c r="DN12" s="24" t="n"/>
      <c r="DO12" s="24" t="n"/>
      <c r="DP12" s="24" t="n"/>
      <c r="DQ12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0.5361123141006098, "event_id": "401872976", "event_start_utc": "2026-10-04T20:25:00+00:00", "features": {"elo_probability": 0.4922844572621897, "trend_gap": 3.73067}, "historical_source_observation_times_verified": false, "model_version": "nfl-elo-trend-lr-v4", "observed_at_utc": "2026-10-04T00:00:00+00:00", "schema": "learned-moneyline-replay-v1", "served_home_probability": 0.5361123141006098, "snapshot_hash": "b7899257b8e9e041f6dd70799cc5f70398c489e8c9b931179e30167d5f765825"}</t>
        </is>
      </c>
    </row>
    <row r="13" ht="36" customHeight="1">
      <c r="A13" s="24" t="inlineStr">
        <is>
          <t>f68f334ac4464406</t>
        </is>
      </c>
      <c r="B13" s="24" t="inlineStr">
        <is>
          <t>2026-10-04T20:24:59Z</t>
        </is>
      </c>
      <c r="C13" s="24" t="inlineStr">
        <is>
          <t>2026-10-04T16:25:00-0400</t>
        </is>
      </c>
      <c r="D13" s="24" t="inlineStr">
        <is>
          <t>401872975</t>
        </is>
      </c>
      <c r="E13" s="24" t="inlineStr">
        <is>
          <t>NFL</t>
        </is>
      </c>
      <c r="F13" s="24" t="inlineStr">
        <is>
          <t>Denver Broncos</t>
        </is>
      </c>
      <c r="G13" s="24" t="inlineStr">
        <is>
          <t>San Francisco 49ers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espn</t>
        </is>
      </c>
      <c r="L13" s="26" t="n">
        <v>-110</v>
      </c>
      <c r="M13" s="27" t="n">
        <v>1.909091</v>
      </c>
      <c r="N13" s="28" t="n">
        <v>0.52381</v>
      </c>
      <c r="O13" s="28" t="n">
        <v>0.617624</v>
      </c>
      <c r="P13" s="28" t="n"/>
      <c r="Q13" s="28" t="n">
        <v>0.09381399999999999</v>
      </c>
      <c r="R13" s="26" t="n">
        <v>97</v>
      </c>
      <c r="S13" s="29" t="n">
        <v>1.25</v>
      </c>
      <c r="T13" s="24" t="inlineStr">
        <is>
          <t>nfl-elo-trend-lr-v4</t>
        </is>
      </c>
      <c r="U13" s="24" t="inlineStr">
        <is>
          <t>settled</t>
        </is>
      </c>
      <c r="V13" s="24" t="inlineStr">
        <is>
          <t>win</t>
        </is>
      </c>
      <c r="W13" s="26" t="n">
        <v>14</v>
      </c>
      <c r="X13" s="26" t="n">
        <v>24</v>
      </c>
      <c r="Y13" s="25" t="n"/>
      <c r="Z13" s="26" t="n"/>
      <c r="AA13" s="28" t="n"/>
      <c r="AB13" s="28" t="n"/>
      <c r="AC13" s="30" t="n">
        <v>1.1364</v>
      </c>
      <c r="AD13" s="24" t="inlineStr">
        <is>
          <t>2026-10-06T05:45:57.999493Z</t>
        </is>
      </c>
      <c r="AE13" s="31" t="inlineStr">
        <is>
          <t>Learned LR call at threshold 0.5441; no Polymarket quote available — using -110 default odds.</t>
        </is>
      </c>
      <c r="AF13" s="31" t="inlineStr">
        <is>
          <t>Learned model; shadow-qualified via operator override.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paper_call</t>
        </is>
      </c>
      <c r="AL13" s="26" t="n">
        <v>4</v>
      </c>
      <c r="AM13" s="24" t="inlineStr">
        <is>
          <t>RESEARCH_OBSERVATION</t>
        </is>
      </c>
      <c r="AN13" s="24" t="inlineStr">
        <is>
          <t>CALL</t>
        </is>
      </c>
      <c r="AO13" s="24" t="inlineStr">
        <is>
          <t>PAPER_CALL_MODEL_UNVALIDATED</t>
        </is>
      </c>
      <c r="AP13" s="24" t="inlineStr">
        <is>
          <t>nfl-den</t>
        </is>
      </c>
      <c r="AQ13" s="24" t="inlineStr">
        <is>
          <t>Denver Broncos</t>
        </is>
      </c>
      <c r="AR13" s="24" t="inlineStr">
        <is>
          <t>Denver Broncos</t>
        </is>
      </c>
      <c r="AS13" s="24" t="inlineStr">
        <is>
          <t>nfl-sf</t>
        </is>
      </c>
      <c r="AT13" s="24" t="inlineStr">
        <is>
          <t>San Francisco 49ers</t>
        </is>
      </c>
      <c r="AU13" s="24" t="inlineStr">
        <is>
          <t>San Francisco 49ers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5cb5857519c32e04c895a3220afdc208e3d717ba0793e8d4a6946b1332f11654</t>
        </is>
      </c>
      <c r="BB13" s="24" t="inlineStr">
        <is>
          <t>learned_lr</t>
        </is>
      </c>
      <c r="BC13" s="24" t="inlineStr">
        <is>
          <t>nfl-elo-trend-lr-v4</t>
        </is>
      </c>
      <c r="BD13" s="24" t="inlineStr">
        <is>
          <t>5cb5857519c32e04c895a3220afdc208e3d717ba0793e8d4a6946b1332f11654</t>
        </is>
      </c>
      <c r="BE13" s="24" t="inlineStr">
        <is>
          <t>90976790d0e6024a</t>
        </is>
      </c>
      <c r="BF13" s="24" t="inlineStr">
        <is>
          <t>1</t>
        </is>
      </c>
      <c r="BG13" s="24" t="inlineStr">
        <is>
          <t>nfl-elo-trend-lr-v4</t>
        </is>
      </c>
      <c r="BH13" s="24" t="inlineStr">
        <is>
          <t>2026-10-04T20:24:59Z</t>
        </is>
      </c>
      <c r="BI13" s="24" t="inlineStr">
        <is>
          <t>["same_event","same_team_same_day","same_league_same_day"]</t>
        </is>
      </c>
      <c r="BJ13" s="25" t="n"/>
      <c r="BK13" s="26" t="n">
        <v>-110</v>
      </c>
      <c r="BL13" s="27" t="n">
        <v>1.909091</v>
      </c>
      <c r="BM13" s="28" t="n">
        <v>0.52381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inlineStr">
        <is>
          <t>0.6434733511</t>
        </is>
      </c>
      <c r="CD13" s="24" t="inlineStr">
        <is>
          <t>2.522858</t>
        </is>
      </c>
      <c r="CE13" s="24" t="n"/>
      <c r="CF13" s="24" t="n"/>
      <c r="CG13" s="24" t="n"/>
      <c r="CH13" s="24" t="n"/>
      <c r="CI13" s="24" t="n"/>
      <c r="CJ13" s="24" t="inlineStr">
        <is>
          <t>1.858422</t>
        </is>
      </c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True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n"/>
      <c r="DK13" s="24" t="n"/>
      <c r="DL13" s="24" t="n"/>
      <c r="DM13" s="24" t="n"/>
      <c r="DN13" s="24" t="n"/>
      <c r="DO13" s="24" t="n"/>
      <c r="DP13" s="24" t="n"/>
      <c r="DQ13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0.6176237956855308, "event_id": "401872975", "event_start_utc": "2026-10-04T20:25:00+00:00", "features": {"elo_probability": 0.6434733511132753, "trend_gap": 2.522858}, "historical_source_observation_times_verified": false, "model_version": "nfl-elo-trend-lr-v4", "observed_at_utc": "2026-10-04T00:00:00+00:00", "schema": "learned-moneyline-replay-v1", "served_home_probability": 0.6176237956855308, "snapshot_hash": "650a437ac43a23777b0d2ba11202e1dd7387404cd1684a86ce650ea67331dee6"}</t>
        </is>
      </c>
    </row>
    <row r="14" ht="36" customHeight="1">
      <c r="A14" s="24" t="inlineStr">
        <is>
          <t>9123e34eb1374cff</t>
        </is>
      </c>
      <c r="B14" s="24" t="inlineStr">
        <is>
          <t>2026-10-04T20:24:59Z</t>
        </is>
      </c>
      <c r="C14" s="24" t="inlineStr">
        <is>
          <t>2026-10-04T16:25:00-0400</t>
        </is>
      </c>
      <c r="D14" s="24" t="inlineStr">
        <is>
          <t>401872977</t>
        </is>
      </c>
      <c r="E14" s="24" t="inlineStr">
        <is>
          <t>NFL</t>
        </is>
      </c>
      <c r="F14" s="24" t="inlineStr">
        <is>
          <t>Los Angeles Chargers</t>
        </is>
      </c>
      <c r="G14" s="24" t="inlineStr">
        <is>
          <t>Seattle Seahawks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espn</t>
        </is>
      </c>
      <c r="L14" s="26" t="n">
        <v>-110</v>
      </c>
      <c r="M14" s="27" t="n">
        <v>1.909091</v>
      </c>
      <c r="N14" s="28" t="n">
        <v>0.52381</v>
      </c>
      <c r="O14" s="28" t="n">
        <v>0.686845</v>
      </c>
      <c r="P14" s="28" t="n"/>
      <c r="Q14" s="28" t="n">
        <v>0.163035</v>
      </c>
      <c r="R14" s="26" t="n">
        <v>100</v>
      </c>
      <c r="S14" s="29" t="n">
        <v>1.75</v>
      </c>
      <c r="T14" s="24" t="inlineStr">
        <is>
          <t>nfl-elo-trend-lr-v4</t>
        </is>
      </c>
      <c r="U14" s="24" t="inlineStr">
        <is>
          <t>settled</t>
        </is>
      </c>
      <c r="V14" s="24" t="inlineStr">
        <is>
          <t>win</t>
        </is>
      </c>
      <c r="W14" s="26" t="n">
        <v>23</v>
      </c>
      <c r="X14" s="26" t="n">
        <v>30</v>
      </c>
      <c r="Y14" s="25" t="n"/>
      <c r="Z14" s="26" t="n"/>
      <c r="AA14" s="28" t="n"/>
      <c r="AB14" s="28" t="n"/>
      <c r="AC14" s="30" t="n">
        <v>1.5909</v>
      </c>
      <c r="AD14" s="24" t="inlineStr">
        <is>
          <t>2026-10-06T05:45:58.843030Z</t>
        </is>
      </c>
      <c r="AE14" s="31" t="inlineStr">
        <is>
          <t>Learned LR call at threshold 0.5441; no Polymarket quote available — using -110 default odds.</t>
        </is>
      </c>
      <c r="AF14" s="31" t="inlineStr">
        <is>
          <t>Learned model; shadow-qualified via operator override.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paper_call</t>
        </is>
      </c>
      <c r="AL14" s="26" t="n">
        <v>4</v>
      </c>
      <c r="AM14" s="24" t="inlineStr">
        <is>
          <t>RESEARCH_OBSERVATION</t>
        </is>
      </c>
      <c r="AN14" s="24" t="inlineStr">
        <is>
          <t>CALL</t>
        </is>
      </c>
      <c r="AO14" s="24" t="inlineStr">
        <is>
          <t>PAPER_CALL_MODEL_UNVALIDATED</t>
        </is>
      </c>
      <c r="AP14" s="24" t="inlineStr">
        <is>
          <t>nfl-lac</t>
        </is>
      </c>
      <c r="AQ14" s="24" t="inlineStr">
        <is>
          <t>Los Angeles Chargers</t>
        </is>
      </c>
      <c r="AR14" s="24" t="inlineStr">
        <is>
          <t>Los Angeles Chargers</t>
        </is>
      </c>
      <c r="AS14" s="24" t="inlineStr">
        <is>
          <t>nfl-sea</t>
        </is>
      </c>
      <c r="AT14" s="24" t="inlineStr">
        <is>
          <t>Seattle Seahawks</t>
        </is>
      </c>
      <c r="AU14" s="24" t="inlineStr">
        <is>
          <t>Seattle Seahawks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5cb5857519c32e04c895a3220afdc208e3d717ba0793e8d4a6946b1332f11654</t>
        </is>
      </c>
      <c r="BB14" s="24" t="inlineStr">
        <is>
          <t>learned_lr</t>
        </is>
      </c>
      <c r="BC14" s="24" t="inlineStr">
        <is>
          <t>nfl-elo-trend-lr-v4</t>
        </is>
      </c>
      <c r="BD14" s="24" t="inlineStr">
        <is>
          <t>5cb5857519c32e04c895a3220afdc208e3d717ba0793e8d4a6946b1332f11654</t>
        </is>
      </c>
      <c r="BE14" s="24" t="inlineStr">
        <is>
          <t>04275edffa48d6a8</t>
        </is>
      </c>
      <c r="BF14" s="24" t="inlineStr">
        <is>
          <t>1</t>
        </is>
      </c>
      <c r="BG14" s="24" t="inlineStr">
        <is>
          <t>nfl-elo-trend-lr-v4</t>
        </is>
      </c>
      <c r="BH14" s="24" t="inlineStr">
        <is>
          <t>2026-10-04T20:24:59Z</t>
        </is>
      </c>
      <c r="BI14" s="24" t="inlineStr">
        <is>
          <t>["same_event","same_team_same_day","same_league_same_day"]</t>
        </is>
      </c>
      <c r="BJ14" s="25" t="n"/>
      <c r="BK14" s="26" t="n">
        <v>-110</v>
      </c>
      <c r="BL14" s="27" t="n">
        <v>1.909091</v>
      </c>
      <c r="BM14" s="28" t="n">
        <v>0.52381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inlineStr">
        <is>
          <t>0.7772741823</t>
        </is>
      </c>
      <c r="CD14" s="24" t="inlineStr">
        <is>
          <t>1.646407</t>
        </is>
      </c>
      <c r="CE14" s="24" t="n"/>
      <c r="CF14" s="24" t="n"/>
      <c r="CG14" s="24" t="n"/>
      <c r="CH14" s="24" t="n"/>
      <c r="CI14" s="24" t="n"/>
      <c r="CJ14" s="24" t="inlineStr">
        <is>
          <t>2.894119</t>
        </is>
      </c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True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n"/>
      <c r="DK14" s="24" t="n"/>
      <c r="DL14" s="24" t="n"/>
      <c r="DM14" s="24" t="n"/>
      <c r="DN14" s="24" t="n"/>
      <c r="DO14" s="24" t="n"/>
      <c r="DP14" s="24" t="n"/>
      <c r="DQ14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0.6868447845927559, "event_id": "401872977", "event_start_utc": "2026-10-04T20:25:00+00:00", "features": {"elo_probability": 0.7772741823261788, "trend_gap": 1.646407}, "historical_source_observation_times_verified": false, "model_version": "nfl-elo-trend-lr-v4", "observed_at_utc": "2026-10-04T00:00:00+00:00", "schema": "learned-moneyline-replay-v1", "served_home_probability": 0.6868447845927559, "snapshot_hash": "93af343fc6994336de286f49e3b90500812e5a2ea579e5e1e047526dccf551ef"}</t>
        </is>
      </c>
    </row>
    <row r="15" ht="36" customHeight="1">
      <c r="A15" s="24" t="inlineStr">
        <is>
          <t>efbb53e23b6d4d39</t>
        </is>
      </c>
      <c r="B15" s="24" t="inlineStr">
        <is>
          <t>2026-10-05T00:19:59Z</t>
        </is>
      </c>
      <c r="C15" s="24" t="inlineStr">
        <is>
          <t>2026-10-04T20:20:00-0400</t>
        </is>
      </c>
      <c r="D15" s="24" t="inlineStr">
        <is>
          <t>401872978</t>
        </is>
      </c>
      <c r="E15" s="24" t="inlineStr">
        <is>
          <t>NFL</t>
        </is>
      </c>
      <c r="F15" s="24" t="inlineStr">
        <is>
          <t>Detroit Lions</t>
        </is>
      </c>
      <c r="G15" s="24" t="inlineStr">
        <is>
          <t>Carolina Panthers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espn</t>
        </is>
      </c>
      <c r="L15" s="26" t="n">
        <v>-110</v>
      </c>
      <c r="M15" s="27" t="n">
        <v>1.909091</v>
      </c>
      <c r="N15" s="28" t="n">
        <v>0.52381</v>
      </c>
      <c r="O15" s="28" t="n">
        <v>0.574011</v>
      </c>
      <c r="P15" s="28" t="n"/>
      <c r="Q15" s="28" t="n">
        <v>0.050201</v>
      </c>
      <c r="R15" s="26" t="n">
        <v>75</v>
      </c>
      <c r="S15" s="29" t="n">
        <v>1</v>
      </c>
      <c r="T15" s="24" t="inlineStr">
        <is>
          <t>nfl-elo-trend-lr-v4</t>
        </is>
      </c>
      <c r="U15" s="24" t="inlineStr">
        <is>
          <t>settled</t>
        </is>
      </c>
      <c r="V15" s="24" t="inlineStr">
        <is>
          <t>win</t>
        </is>
      </c>
      <c r="W15" s="26" t="n">
        <v>26</v>
      </c>
      <c r="X15" s="26" t="n">
        <v>32</v>
      </c>
      <c r="Y15" s="25" t="n"/>
      <c r="Z15" s="26" t="n"/>
      <c r="AA15" s="28" t="n"/>
      <c r="AB15" s="28" t="n"/>
      <c r="AC15" s="30" t="n">
        <v>0.9091</v>
      </c>
      <c r="AD15" s="24" t="inlineStr">
        <is>
          <t>2026-10-06T05:45:59.645570Z</t>
        </is>
      </c>
      <c r="AE15" s="31" t="inlineStr">
        <is>
          <t>Learned LR call at threshold 0.5441; no Polymarket quote available — using -110 default odds.</t>
        </is>
      </c>
      <c r="AF15" s="31" t="inlineStr">
        <is>
          <t>Learned model; shadow-qualified via operator override.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paper_call</t>
        </is>
      </c>
      <c r="AL15" s="26" t="n">
        <v>4</v>
      </c>
      <c r="AM15" s="24" t="inlineStr">
        <is>
          <t>RESEARCH_OBSERVATION</t>
        </is>
      </c>
      <c r="AN15" s="24" t="inlineStr">
        <is>
          <t>CALL</t>
        </is>
      </c>
      <c r="AO15" s="24" t="inlineStr">
        <is>
          <t>PAPER_CALL_MODEL_UNVALIDATED</t>
        </is>
      </c>
      <c r="AP15" s="24" t="inlineStr">
        <is>
          <t>nfl-det</t>
        </is>
      </c>
      <c r="AQ15" s="24" t="inlineStr">
        <is>
          <t>Detroit Lions</t>
        </is>
      </c>
      <c r="AR15" s="24" t="inlineStr">
        <is>
          <t>Detroit Lions</t>
        </is>
      </c>
      <c r="AS15" s="24" t="inlineStr">
        <is>
          <t>nfl-car</t>
        </is>
      </c>
      <c r="AT15" s="24" t="inlineStr">
        <is>
          <t>Carolina Panthers</t>
        </is>
      </c>
      <c r="AU15" s="24" t="inlineStr">
        <is>
          <t>Carolina Panthers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5cb5857519c32e04c895a3220afdc208e3d717ba0793e8d4a6946b1332f11654</t>
        </is>
      </c>
      <c r="BB15" s="24" t="inlineStr">
        <is>
          <t>learned_lr</t>
        </is>
      </c>
      <c r="BC15" s="24" t="inlineStr">
        <is>
          <t>nfl-elo-trend-lr-v4</t>
        </is>
      </c>
      <c r="BD15" s="24" t="inlineStr">
        <is>
          <t>5cb5857519c32e04c895a3220afdc208e3d717ba0793e8d4a6946b1332f11654</t>
        </is>
      </c>
      <c r="BE15" s="24" t="inlineStr">
        <is>
          <t>f0b44e2cfa2bc050</t>
        </is>
      </c>
      <c r="BF15" s="24" t="inlineStr">
        <is>
          <t>1</t>
        </is>
      </c>
      <c r="BG15" s="24" t="inlineStr">
        <is>
          <t>nfl-elo-trend-lr-v4</t>
        </is>
      </c>
      <c r="BH15" s="24" t="inlineStr">
        <is>
          <t>2026-10-05T00:19:59Z</t>
        </is>
      </c>
      <c r="BI15" s="24" t="inlineStr">
        <is>
          <t>["same_event","same_team_same_day","same_league_same_day"]</t>
        </is>
      </c>
      <c r="BJ15" s="25" t="n"/>
      <c r="BK15" s="26" t="n">
        <v>-110</v>
      </c>
      <c r="BL15" s="27" t="n">
        <v>1.909091</v>
      </c>
      <c r="BM15" s="28" t="n">
        <v>0.52381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inlineStr">
        <is>
          <t>0.5181903323</t>
        </is>
      </c>
      <c r="CD15" s="24" t="inlineStr">
        <is>
          <t>5.439049</t>
        </is>
      </c>
      <c r="CE15" s="24" t="n"/>
      <c r="CF15" s="24" t="n"/>
      <c r="CG15" s="24" t="n"/>
      <c r="CH15" s="24" t="n"/>
      <c r="CI15" s="24" t="n"/>
      <c r="CJ15" s="24" t="inlineStr">
        <is>
          <t>2.97721</t>
        </is>
      </c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True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n"/>
      <c r="DK15" s="24" t="n"/>
      <c r="DL15" s="24" t="n"/>
      <c r="DM15" s="24" t="n"/>
      <c r="DN15" s="24" t="n"/>
      <c r="DO15" s="24" t="n"/>
      <c r="DP15" s="24" t="n"/>
      <c r="DQ15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0.5740112574398146, "event_id": "401872978", "event_start_utc": "2026-10-05T00:20:00+00:00", "features": {"elo_probability": 0.5181903322540917, "trend_gap": 5.439049}, "historical_source_observation_times_verified": false, "model_version": "nfl-elo-trend-lr-v4", "observed_at_utc": "2026-10-04T00:00:00+00:00", "schema": "learned-moneyline-replay-v1", "served_home_probability": 0.5740112574398146, "snapshot_hash": "bfab64b06d1ca78046d7f60fe2f3a789a0b82fa22f2fd9f16e3de9828fd04d4f"}</t>
        </is>
      </c>
    </row>
    <row r="16" ht="36" customHeight="1">
      <c r="A16" s="24" t="inlineStr">
        <is>
          <t>2871e0632c0a43f6</t>
        </is>
      </c>
      <c r="B16" s="24" t="inlineStr">
        <is>
          <t>2026-10-11T12:31:09.219706Z</t>
        </is>
      </c>
      <c r="C16" s="24" t="inlineStr">
        <is>
          <t>2026-10-11T09:30:00-0400</t>
        </is>
      </c>
      <c r="D16" s="24" t="inlineStr">
        <is>
          <t>401872981</t>
        </is>
      </c>
      <c r="E16" s="24" t="inlineStr">
        <is>
          <t>NFL</t>
        </is>
      </c>
      <c r="F16" s="24" t="inlineStr">
        <is>
          <t>Philadelphia Eagles</t>
        </is>
      </c>
      <c r="G16" s="24" t="inlineStr">
        <is>
          <t>Jacksonville Jaguars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-330</v>
      </c>
      <c r="M16" s="27" t="n">
        <v>1.30303</v>
      </c>
      <c r="N16" s="28" t="n">
        <v>0.767442</v>
      </c>
      <c r="O16" s="28" t="n">
        <v>0.698453</v>
      </c>
      <c r="P16" s="28" t="n"/>
      <c r="Q16" s="28" t="n">
        <v>-0.06898899999999999</v>
      </c>
      <c r="R16" s="26" t="n">
        <v>0</v>
      </c>
      <c r="S16" s="29" t="n">
        <v>1</v>
      </c>
      <c r="T16" s="24" t="inlineStr">
        <is>
          <t>nfl-elo-trend-lr-v4</t>
        </is>
      </c>
      <c r="U16" s="24" t="inlineStr">
        <is>
          <t>settled</t>
        </is>
      </c>
      <c r="V16" s="24" t="inlineStr">
        <is>
          <t>win</t>
        </is>
      </c>
      <c r="W16" s="26" t="n">
        <v>17</v>
      </c>
      <c r="X16" s="26" t="n">
        <v>19</v>
      </c>
      <c r="Y16" s="25" t="n"/>
      <c r="Z16" s="26" t="n">
        <v>-330</v>
      </c>
      <c r="AA16" s="28" t="n">
        <v>0.7675</v>
      </c>
      <c r="AB16" s="28" t="n">
        <v>5.8e-05</v>
      </c>
      <c r="AC16" s="30" t="n">
        <v>0.303</v>
      </c>
      <c r="AD16" s="24" t="inlineStr">
        <is>
          <t>2026-10-11T22:00:49.029701Z</t>
        </is>
      </c>
      <c r="AE16" s="31" t="inlineStr">
        <is>
          <t>Learned LR call at threshold 0.5441; executable ask 0.7675 (aec-nfl-phi-jax-2026-10-11); model edge vs ask -0.0690.</t>
        </is>
      </c>
      <c r="AF16" s="31" t="inlineStr">
        <is>
          <t>Learned model; shadow-qualified via operator override.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4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nfl-phi</t>
        </is>
      </c>
      <c r="AQ16" s="24" t="inlineStr">
        <is>
          <t>Philadelphia Eagles</t>
        </is>
      </c>
      <c r="AR16" s="24" t="inlineStr">
        <is>
          <t>Philadelphia Eagles</t>
        </is>
      </c>
      <c r="AS16" s="24" t="inlineStr">
        <is>
          <t>nfl-jax</t>
        </is>
      </c>
      <c r="AT16" s="24" t="inlineStr">
        <is>
          <t>Jacksonville Jaguars</t>
        </is>
      </c>
      <c r="AU16" s="24" t="inlineStr">
        <is>
          <t>Jacksonville Jaguars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5cb5857519c32e04c895a3220afdc208e3d717ba0793e8d4a6946b1332f11654</t>
        </is>
      </c>
      <c r="BB16" s="24" t="inlineStr">
        <is>
          <t>learned_lr</t>
        </is>
      </c>
      <c r="BC16" s="24" t="inlineStr">
        <is>
          <t>nfl-elo-trend-lr-v4</t>
        </is>
      </c>
      <c r="BD16" s="24" t="inlineStr">
        <is>
          <t>5cb5857519c32e04c895a3220afdc208e3d717ba0793e8d4a6946b1332f11654</t>
        </is>
      </c>
      <c r="BE16" s="24" t="inlineStr">
        <is>
          <t>5144b13132c1c440</t>
        </is>
      </c>
      <c r="BF16" s="24" t="inlineStr">
        <is>
          <t>1</t>
        </is>
      </c>
      <c r="BG16" s="24" t="inlineStr">
        <is>
          <t>nfl-elo-trend-lr-v4</t>
        </is>
      </c>
      <c r="BH16" s="24" t="inlineStr">
        <is>
          <t>2026-10-11T04:48:20.162217Z</t>
        </is>
      </c>
      <c r="BI16" s="24" t="inlineStr">
        <is>
          <t>["same_event","same_team_same_day","same_league_same_day"]</t>
        </is>
      </c>
      <c r="BJ16" s="25" t="n"/>
      <c r="BK16" s="26" t="n">
        <v>-330</v>
      </c>
      <c r="BL16" s="27" t="n">
        <v>1.30303</v>
      </c>
      <c r="BM16" s="28" t="n">
        <v>0.767442</v>
      </c>
      <c r="BN16" s="28" t="n">
        <v>0.765586</v>
      </c>
      <c r="BO16" s="28" t="n"/>
      <c r="BP16" s="25" t="n"/>
      <c r="BQ16" s="27" t="n">
        <v>1.30303</v>
      </c>
      <c r="BR16" s="28" t="n">
        <v>0.7675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inlineStr">
        <is>
          <t>0.645231337</t>
        </is>
      </c>
      <c r="CD16" s="24" t="inlineStr">
        <is>
          <t>9.610235</t>
        </is>
      </c>
      <c r="CE16" s="24" t="n"/>
      <c r="CF16" s="24" t="n"/>
      <c r="CG16" s="24" t="n"/>
      <c r="CH16" s="24" t="n"/>
      <c r="CI16" s="24" t="n"/>
      <c r="CJ16" s="24" t="inlineStr">
        <is>
          <t>6.619768</t>
        </is>
      </c>
      <c r="CK16" s="24" t="n"/>
      <c r="CL16" s="24" t="n"/>
      <c r="CM16" s="24" t="n"/>
      <c r="CN16" s="24" t="n"/>
      <c r="CO16" s="24" t="n"/>
      <c r="CP16" s="24" t="n"/>
      <c r="CQ16" s="24" t="n"/>
      <c r="CR16" s="24" t="inlineStr">
        <is>
          <t>0.698453</t>
        </is>
      </c>
      <c r="CS16" s="24" t="inlineStr">
        <is>
          <t>False</t>
        </is>
      </c>
      <c r="CT16" s="24" t="n"/>
      <c r="CU16" s="24" t="n"/>
      <c r="CV16" s="24" t="n"/>
      <c r="CW16" s="24" t="n"/>
      <c r="CX16" s="24" t="n"/>
      <c r="CY16" s="24" t="inlineStr">
        <is>
          <t>2026-10-11T04:48:20.162217Z</t>
        </is>
      </c>
      <c r="CZ16" s="24" t="inlineStr">
        <is>
          <t>True</t>
        </is>
      </c>
      <c r="DA16" s="24" t="inlineStr">
        <is>
          <t>polymarket_us</t>
        </is>
      </c>
      <c r="DB16" s="24" t="inlineStr">
        <is>
          <t>decision_time_executable_quote</t>
        </is>
      </c>
      <c r="DC16" s="24" t="inlineStr">
        <is>
          <t>False</t>
        </is>
      </c>
      <c r="DD16" s="24" t="inlineStr">
        <is>
          <t>f14e87b809f5676cb921f78747024acbf91c3bf65e7c631a79ef251cbcc35b4c</t>
        </is>
      </c>
      <c r="DE16" s="24" t="inlineStr">
        <is>
          <t>E:\model-prediction\data\odds\nfl\2026-10-11\polymarket_snapshots.jsonl</t>
        </is>
      </c>
      <c r="DF16" s="24" t="inlineStr">
        <is>
          <t>f14e87b809f5676cb921f78747024acbf91c3bf65e7c631a79ef251cbcc35b4c</t>
        </is>
      </c>
      <c r="DG16" s="24" t="n"/>
      <c r="DH16" s="24" t="n"/>
      <c r="DI16" s="24" t="n"/>
      <c r="DJ16" s="24" t="n"/>
      <c r="DK16" s="24" t="n"/>
      <c r="DL16" s="24" t="n"/>
      <c r="DM16" s="24" t="n"/>
      <c r="DN16" s="24" t="n"/>
      <c r="DO16" s="24" t="n"/>
      <c r="DP16" s="24" t="n"/>
      <c r="DQ16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0.6984529270733119, "event_id": "401872981", "event_start_utc": "2026-10-11T13:30:00+00:00", "features": {"elo_probability": 0.6452313370086687, "trend_gap": 9.610235}, "historical_source_observation_times_verified": false, "model_version": "nfl-elo-trend-lr-v4", "observed_at_utc": "2026-10-11T12:31:09.219706+00:00", "schema": "learned-moneyline-replay-v1", "served_home_probability": 0.6984529270733119, "snapshot_hash": "ad303fe7166dd9e759486de51403a37ce6e9ed6f13e4b5e0f3f8b309dd37d53a"}</t>
        </is>
      </c>
    </row>
    <row r="17" ht="36" customHeight="1">
      <c r="A17" s="24" t="inlineStr">
        <is>
          <t>820b2a4da4be4487</t>
        </is>
      </c>
      <c r="B17" s="24" t="inlineStr">
        <is>
          <t>2026-10-11T12:31:09.219706Z</t>
        </is>
      </c>
      <c r="C17" s="24" t="inlineStr">
        <is>
          <t>2026-10-11T13:00:00-0400</t>
        </is>
      </c>
      <c r="D17" s="24" t="inlineStr">
        <is>
          <t>401872990</t>
        </is>
      </c>
      <c r="E17" s="24" t="inlineStr">
        <is>
          <t>NFL</t>
        </is>
      </c>
      <c r="F17" s="24" t="inlineStr">
        <is>
          <t>Chicago Bears</t>
        </is>
      </c>
      <c r="G17" s="24" t="inlineStr">
        <is>
          <t>Green Bay Packers</t>
        </is>
      </c>
      <c r="H17" s="24" t="inlineStr">
        <is>
          <t>moneyline</t>
        </is>
      </c>
      <c r="I17" s="24" t="inlineStr">
        <is>
          <t>away</t>
        </is>
      </c>
      <c r="J17" s="25" t="n"/>
      <c r="K17" s="24" t="inlineStr">
        <is>
          <t>polymarket_us</t>
        </is>
      </c>
      <c r="L17" s="26" t="n">
        <v>-111</v>
      </c>
      <c r="M17" s="27" t="n">
        <v>1.900901</v>
      </c>
      <c r="N17" s="28" t="n">
        <v>0.526066</v>
      </c>
      <c r="O17" s="28" t="n">
        <v>0.62508</v>
      </c>
      <c r="P17" s="28" t="n"/>
      <c r="Q17" s="28" t="n">
        <v>0.099014</v>
      </c>
      <c r="R17" s="26" t="n">
        <v>71</v>
      </c>
      <c r="S17" s="29" t="n">
        <v>1.25</v>
      </c>
      <c r="T17" s="24" t="inlineStr">
        <is>
          <t>nfl-elo-trend-lr-v4</t>
        </is>
      </c>
      <c r="U17" s="24" t="inlineStr">
        <is>
          <t>settled</t>
        </is>
      </c>
      <c r="V17" s="24" t="inlineStr">
        <is>
          <t>loss</t>
        </is>
      </c>
      <c r="W17" s="26" t="n">
        <v>7</v>
      </c>
      <c r="X17" s="26" t="n">
        <v>31</v>
      </c>
      <c r="Y17" s="25" t="n"/>
      <c r="Z17" s="26" t="n">
        <v>-111</v>
      </c>
      <c r="AA17" s="28" t="n">
        <v>0.525</v>
      </c>
      <c r="AB17" s="28" t="n">
        <v>-0.001066</v>
      </c>
      <c r="AC17" s="30" t="n">
        <v>-1.25</v>
      </c>
      <c r="AD17" s="24" t="inlineStr">
        <is>
          <t>2026-10-11T22:00:50.312148Z</t>
        </is>
      </c>
      <c r="AE17" s="31" t="inlineStr">
        <is>
          <t>Learned LR call at threshold 0.5441; executable ask 0.5250 (aec-nfl-chi-gb-2026-10-11); model edge vs ask +0.1001.</t>
        </is>
      </c>
      <c r="AF17" s="31" t="inlineStr">
        <is>
          <t>Learned model; shadow-qualified via operator override.</t>
        </is>
      </c>
      <c r="AG17" s="24" t="inlineStr">
        <is>
          <t>review_required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4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nfl-chi</t>
        </is>
      </c>
      <c r="AQ17" s="24" t="inlineStr">
        <is>
          <t>Chicago Bears</t>
        </is>
      </c>
      <c r="AR17" s="24" t="inlineStr">
        <is>
          <t>Chicago Bears</t>
        </is>
      </c>
      <c r="AS17" s="24" t="inlineStr">
        <is>
          <t>nfl-gb</t>
        </is>
      </c>
      <c r="AT17" s="24" t="inlineStr">
        <is>
          <t>Green Bay Packers</t>
        </is>
      </c>
      <c r="AU17" s="24" t="inlineStr">
        <is>
          <t>Green Bay Packers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5cb5857519c32e04c895a3220afdc208e3d717ba0793e8d4a6946b1332f11654</t>
        </is>
      </c>
      <c r="BB17" s="24" t="inlineStr">
        <is>
          <t>learned_lr</t>
        </is>
      </c>
      <c r="BC17" s="24" t="inlineStr">
        <is>
          <t>nfl-elo-trend-lr-v4</t>
        </is>
      </c>
      <c r="BD17" s="24" t="inlineStr">
        <is>
          <t>5cb5857519c32e04c895a3220afdc208e3d717ba0793e8d4a6946b1332f11654</t>
        </is>
      </c>
      <c r="BE17" s="24" t="inlineStr">
        <is>
          <t>6f26dff46caf8413</t>
        </is>
      </c>
      <c r="BF17" s="24" t="inlineStr">
        <is>
          <t>1</t>
        </is>
      </c>
      <c r="BG17" s="24" t="inlineStr">
        <is>
          <t>nfl-elo-trend-lr-v4</t>
        </is>
      </c>
      <c r="BH17" s="24" t="inlineStr">
        <is>
          <t>2026-10-11T11:08:09.997343Z</t>
        </is>
      </c>
      <c r="BI17" s="24" t="inlineStr">
        <is>
          <t>["same_event","same_team_same_day","same_league_same_day"]</t>
        </is>
      </c>
      <c r="BJ17" s="25" t="n"/>
      <c r="BK17" s="26" t="n">
        <v>-111</v>
      </c>
      <c r="BL17" s="27" t="n">
        <v>1.900901</v>
      </c>
      <c r="BM17" s="28" t="n">
        <v>0.526066</v>
      </c>
      <c r="BN17" s="28" t="n">
        <v>0.523691</v>
      </c>
      <c r="BO17" s="28" t="n"/>
      <c r="BP17" s="25" t="n"/>
      <c r="BQ17" s="27" t="n">
        <v>1.900901</v>
      </c>
      <c r="BR17" s="28" t="n">
        <v>0.525</v>
      </c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inlineStr">
        <is>
          <t>0.4433785027</t>
        </is>
      </c>
      <c r="CD17" s="24" t="inlineStr">
        <is>
          <t>-6.783987</t>
        </is>
      </c>
      <c r="CE17" s="24" t="n"/>
      <c r="CF17" s="24" t="n"/>
      <c r="CG17" s="24" t="n"/>
      <c r="CH17" s="24" t="n"/>
      <c r="CI17" s="24" t="n"/>
      <c r="CJ17" s="24" t="inlineStr">
        <is>
          <t>-6.740553</t>
        </is>
      </c>
      <c r="CK17" s="24" t="n"/>
      <c r="CL17" s="24" t="n"/>
      <c r="CM17" s="24" t="n"/>
      <c r="CN17" s="24" t="n"/>
      <c r="CO17" s="24" t="n"/>
      <c r="CP17" s="24" t="n"/>
      <c r="CQ17" s="24" t="n"/>
      <c r="CR17" s="24" t="inlineStr">
        <is>
          <t>0.62508</t>
        </is>
      </c>
      <c r="CS17" s="24" t="inlineStr">
        <is>
          <t>True</t>
        </is>
      </c>
      <c r="CT17" s="24" t="n"/>
      <c r="CU17" s="24" t="n"/>
      <c r="CV17" s="24" t="n"/>
      <c r="CW17" s="24" t="n"/>
      <c r="CX17" s="24" t="n"/>
      <c r="CY17" s="24" t="inlineStr">
        <is>
          <t>2026-10-11T11:08:09.997343Z</t>
        </is>
      </c>
      <c r="CZ17" s="24" t="inlineStr">
        <is>
          <t>True</t>
        </is>
      </c>
      <c r="DA17" s="24" t="inlineStr">
        <is>
          <t>polymarket_us</t>
        </is>
      </c>
      <c r="DB17" s="24" t="inlineStr">
        <is>
          <t>decision_time_executable_quote</t>
        </is>
      </c>
      <c r="DC17" s="24" t="inlineStr">
        <is>
          <t>False</t>
        </is>
      </c>
      <c r="DD17" s="24" t="inlineStr">
        <is>
          <t>fc9ce42db7e333a6d4dcaa9ab2d746969d760aeac94c380e82a55512b9530d1f</t>
        </is>
      </c>
      <c r="DE17" s="24" t="inlineStr">
        <is>
          <t>E:\model-prediction\data\odds\nfl\2026-10-11\polymarket_snapshots.jsonl</t>
        </is>
      </c>
      <c r="DF17" s="24" t="inlineStr">
        <is>
          <t>fc9ce42db7e333a6d4dcaa9ab2d746969d760aeac94c380e82a55512b9530d1f</t>
        </is>
      </c>
      <c r="DG17" s="24" t="n"/>
      <c r="DH17" s="24" t="n"/>
      <c r="DI17" s="24" t="n"/>
      <c r="DJ17" s="24" t="n"/>
      <c r="DK17" s="24" t="n"/>
      <c r="DL17" s="24" t="n"/>
      <c r="DM17" s="24" t="n"/>
      <c r="DN17" s="24" t="n"/>
      <c r="DO17" s="24" t="n"/>
      <c r="DP17" s="24" t="n"/>
      <c r="DQ17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0.37492016220549146, "event_id": "401872990", "event_start_utc": "2026-10-11T17:00:00+00:00", "features": {"elo_probability": 0.4433785026626998, "trend_gap": -6.783987}, "historical_source_observation_times_verified": false, "model_version": "nfl-elo-trend-lr-v4", "observed_at_utc": "2026-10-11T12:31:09.219706+00:00", "schema": "learned-moneyline-replay-v1", "served_home_probability": 0.37492016220549146, "snapshot_hash": "86d6855e0f4ac1ceda6e65c32d9102cad39d2aed9f56d4f5516c611318359d5d"}</t>
        </is>
      </c>
    </row>
    <row r="18" ht="36" customHeight="1">
      <c r="A18" s="24" t="inlineStr">
        <is>
          <t>36782df54b14473f</t>
        </is>
      </c>
      <c r="B18" s="24" t="inlineStr">
        <is>
          <t>2026-10-11T12:31:09.219706Z</t>
        </is>
      </c>
      <c r="C18" s="24" t="inlineStr">
        <is>
          <t>2026-10-11T13:00:00-0400</t>
        </is>
      </c>
      <c r="D18" s="24" t="inlineStr">
        <is>
          <t>401872984</t>
        </is>
      </c>
      <c r="E18" s="24" t="inlineStr">
        <is>
          <t>NFL</t>
        </is>
      </c>
      <c r="F18" s="24" t="inlineStr">
        <is>
          <t>Houston Texans</t>
        </is>
      </c>
      <c r="G18" s="24" t="inlineStr">
        <is>
          <t>Tennessee Titans</t>
        </is>
      </c>
      <c r="H18" s="24" t="inlineStr">
        <is>
          <t>moneyline</t>
        </is>
      </c>
      <c r="I18" s="24" t="inlineStr">
        <is>
          <t>away</t>
        </is>
      </c>
      <c r="J18" s="25" t="n"/>
      <c r="K18" s="24" t="inlineStr">
        <is>
          <t>polymarket_us</t>
        </is>
      </c>
      <c r="L18" s="26" t="n">
        <v>-321</v>
      </c>
      <c r="M18" s="27" t="n">
        <v>1.311526</v>
      </c>
      <c r="N18" s="28" t="n">
        <v>0.76247</v>
      </c>
      <c r="O18" s="28" t="n">
        <v>0.661023</v>
      </c>
      <c r="P18" s="28" t="n"/>
      <c r="Q18" s="28" t="n">
        <v>-0.101447</v>
      </c>
      <c r="R18" s="26" t="n">
        <v>0</v>
      </c>
      <c r="S18" s="29" t="n">
        <v>1</v>
      </c>
      <c r="T18" s="24" t="inlineStr">
        <is>
          <t>nfl-elo-trend-lr-v4</t>
        </is>
      </c>
      <c r="U18" s="24" t="inlineStr">
        <is>
          <t>settled</t>
        </is>
      </c>
      <c r="V18" s="24" t="inlineStr">
        <is>
          <t>win</t>
        </is>
      </c>
      <c r="W18" s="26" t="n">
        <v>26</v>
      </c>
      <c r="X18" s="26" t="n">
        <v>3</v>
      </c>
      <c r="Y18" s="25" t="n"/>
      <c r="Z18" s="26" t="n">
        <v>-296</v>
      </c>
      <c r="AA18" s="28" t="n">
        <v>0.7475000000000001</v>
      </c>
      <c r="AB18" s="28" t="n">
        <v>-0.01497</v>
      </c>
      <c r="AC18" s="30" t="n">
        <v>0.3115</v>
      </c>
      <c r="AD18" s="24" t="inlineStr">
        <is>
          <t>2026-10-11T22:00:51.575776Z</t>
        </is>
      </c>
      <c r="AE18" s="31" t="inlineStr">
        <is>
          <t>Learned LR call at threshold 0.5441; executable ask 0.7625 (aec-nfl-hou-ten-2026-10-11); model edge vs ask -0.1015.</t>
        </is>
      </c>
      <c r="AF18" s="31" t="inlineStr">
        <is>
          <t>Learned model; shadow-qualified via operator override.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4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nfl-hou</t>
        </is>
      </c>
      <c r="AQ18" s="24" t="inlineStr">
        <is>
          <t>Houston Texans</t>
        </is>
      </c>
      <c r="AR18" s="24" t="inlineStr">
        <is>
          <t>Houston Texans</t>
        </is>
      </c>
      <c r="AS18" s="24" t="inlineStr">
        <is>
          <t>nfl-ten</t>
        </is>
      </c>
      <c r="AT18" s="24" t="inlineStr">
        <is>
          <t>Tennessee Titans</t>
        </is>
      </c>
      <c r="AU18" s="24" t="inlineStr">
        <is>
          <t>Tennessee Titans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5cb5857519c32e04c895a3220afdc208e3d717ba0793e8d4a6946b1332f11654</t>
        </is>
      </c>
      <c r="BB18" s="24" t="inlineStr">
        <is>
          <t>learned_lr</t>
        </is>
      </c>
      <c r="BC18" s="24" t="inlineStr">
        <is>
          <t>nfl-elo-trend-lr-v4</t>
        </is>
      </c>
      <c r="BD18" s="24" t="inlineStr">
        <is>
          <t>5cb5857519c32e04c895a3220afdc208e3d717ba0793e8d4a6946b1332f11654</t>
        </is>
      </c>
      <c r="BE18" s="24" t="inlineStr">
        <is>
          <t>9bcaf13ca258a249</t>
        </is>
      </c>
      <c r="BF18" s="24" t="inlineStr">
        <is>
          <t>1</t>
        </is>
      </c>
      <c r="BG18" s="24" t="inlineStr">
        <is>
          <t>nfl-elo-trend-lr-v4</t>
        </is>
      </c>
      <c r="BH18" s="24" t="inlineStr">
        <is>
          <t>2026-10-11T10:45:30.322893Z</t>
        </is>
      </c>
      <c r="BI18" s="24" t="inlineStr">
        <is>
          <t>["same_event","same_team_same_day","same_league_same_day"]</t>
        </is>
      </c>
      <c r="BJ18" s="25" t="n"/>
      <c r="BK18" s="26" t="n">
        <v>-321</v>
      </c>
      <c r="BL18" s="27" t="n">
        <v>1.311526</v>
      </c>
      <c r="BM18" s="28" t="n">
        <v>0.76247</v>
      </c>
      <c r="BN18" s="28" t="n">
        <v>0.760599</v>
      </c>
      <c r="BO18" s="28" t="n"/>
      <c r="BP18" s="25" t="n"/>
      <c r="BQ18" s="27" t="n">
        <v>1.337838</v>
      </c>
      <c r="BR18" s="28" t="n">
        <v>0.7475000000000001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inlineStr">
        <is>
          <t>0.2961827067</t>
        </is>
      </c>
      <c r="CD18" s="24" t="inlineStr">
        <is>
          <t>-2.237473</t>
        </is>
      </c>
      <c r="CE18" s="24" t="n"/>
      <c r="CF18" s="24" t="n"/>
      <c r="CG18" s="24" t="n"/>
      <c r="CH18" s="24" t="n"/>
      <c r="CI18" s="24" t="n"/>
      <c r="CJ18" s="24" t="inlineStr">
        <is>
          <t>2.123842</t>
        </is>
      </c>
      <c r="CK18" s="24" t="n"/>
      <c r="CL18" s="24" t="n"/>
      <c r="CM18" s="24" t="n"/>
      <c r="CN18" s="24" t="n"/>
      <c r="CO18" s="24" t="n"/>
      <c r="CP18" s="24" t="n"/>
      <c r="CQ18" s="24" t="n"/>
      <c r="CR18" s="24" t="inlineStr">
        <is>
          <t>0.661023</t>
        </is>
      </c>
      <c r="CS18" s="24" t="inlineStr">
        <is>
          <t>False</t>
        </is>
      </c>
      <c r="CT18" s="24" t="n"/>
      <c r="CU18" s="24" t="n"/>
      <c r="CV18" s="24" t="n"/>
      <c r="CW18" s="24" t="n"/>
      <c r="CX18" s="24" t="n"/>
      <c r="CY18" s="24" t="inlineStr">
        <is>
          <t>2026-10-11T10:45:30.322893Z</t>
        </is>
      </c>
      <c r="CZ18" s="24" t="inlineStr">
        <is>
          <t>True</t>
        </is>
      </c>
      <c r="DA18" s="24" t="inlineStr">
        <is>
          <t>polymarket_us</t>
        </is>
      </c>
      <c r="DB18" s="24" t="inlineStr">
        <is>
          <t>decision_time_executable_quote</t>
        </is>
      </c>
      <c r="DC18" s="24" t="inlineStr">
        <is>
          <t>False</t>
        </is>
      </c>
      <c r="DD18" s="24" t="inlineStr">
        <is>
          <t>23986455d460c1dee953c05cdba83f52cbde423af34502d3ed6e4f1630942578</t>
        </is>
      </c>
      <c r="DE18" s="24" t="inlineStr">
        <is>
          <t>E:\model-prediction\data\odds\nfl\2026-10-11\polymarket_snapshots.jsonl</t>
        </is>
      </c>
      <c r="DF18" s="24" t="inlineStr">
        <is>
          <t>23986455d460c1dee953c05cdba83f52cbde423af34502d3ed6e4f1630942578</t>
        </is>
      </c>
      <c r="DG18" s="24" t="n"/>
      <c r="DH18" s="24" t="n"/>
      <c r="DI18" s="24" t="n"/>
      <c r="DJ18" s="24" t="n"/>
      <c r="DK18" s="24" t="n"/>
      <c r="DL18" s="24" t="n"/>
      <c r="DM18" s="24" t="n"/>
      <c r="DN18" s="24" t="n"/>
      <c r="DO18" s="24" t="n"/>
      <c r="DP18" s="24" t="n"/>
      <c r="DQ18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0.33897749027057883, "event_id": "401872984", "event_start_utc": "2026-10-11T17:00:00+00:00", "features": {"elo_probability": 0.29618270668424934, "trend_gap": -2.237473}, "historical_source_observation_times_verified": false, "model_version": "nfl-elo-trend-lr-v4", "observed_at_utc": "2026-10-11T12:31:09.219706+00:00", "schema": "learned-moneyline-replay-v1", "served_home_probability": 0.33897749027057883, "snapshot_hash": "8bc37021c42c4328238ee5c8c812801c117e6ea5d23b5636e30e8f981e25a688"}</t>
        </is>
      </c>
    </row>
    <row r="19" ht="36" customHeight="1">
      <c r="A19" s="24" t="inlineStr">
        <is>
          <t>9e64bf4142df4002</t>
        </is>
      </c>
      <c r="B19" s="24" t="inlineStr">
        <is>
          <t>2026-10-11T12:31:09.219706Z</t>
        </is>
      </c>
      <c r="C19" s="24" t="inlineStr">
        <is>
          <t>2026-10-11T13:00:00-0400</t>
        </is>
      </c>
      <c r="D19" s="24" t="inlineStr">
        <is>
          <t>401872982</t>
        </is>
      </c>
      <c r="E19" s="24" t="inlineStr">
        <is>
          <t>NFL</t>
        </is>
      </c>
      <c r="F19" s="24" t="inlineStr">
        <is>
          <t>Cincinnati Bengals</t>
        </is>
      </c>
      <c r="G19" s="24" t="inlineStr">
        <is>
          <t>Miami Dolphins</t>
        </is>
      </c>
      <c r="H19" s="24" t="inlineStr">
        <is>
          <t>moneyline</t>
        </is>
      </c>
      <c r="I19" s="24" t="inlineStr">
        <is>
          <t>away</t>
        </is>
      </c>
      <c r="J19" s="25" t="n"/>
      <c r="K19" s="24" t="inlineStr">
        <is>
          <t>polymarket_us</t>
        </is>
      </c>
      <c r="L19" s="26" t="n">
        <v>-308</v>
      </c>
      <c r="M19" s="27" t="n">
        <v>1.324675</v>
      </c>
      <c r="N19" s="28" t="n">
        <v>0.754902</v>
      </c>
      <c r="O19" s="28" t="n">
        <v>0.636645</v>
      </c>
      <c r="P19" s="28" t="n"/>
      <c r="Q19" s="28" t="n">
        <v>-0.118257</v>
      </c>
      <c r="R19" s="26" t="n">
        <v>0</v>
      </c>
      <c r="S19" s="29" t="n">
        <v>1</v>
      </c>
      <c r="T19" s="24" t="inlineStr">
        <is>
          <t>nfl-elo-trend-lr-v4</t>
        </is>
      </c>
      <c r="U19" s="24" t="inlineStr">
        <is>
          <t>settled</t>
        </is>
      </c>
      <c r="V19" s="24" t="inlineStr">
        <is>
          <t>win</t>
        </is>
      </c>
      <c r="W19" s="26" t="n">
        <v>31</v>
      </c>
      <c r="X19" s="26" t="n">
        <v>24</v>
      </c>
      <c r="Y19" s="25" t="n"/>
      <c r="Z19" s="26" t="n">
        <v>-308</v>
      </c>
      <c r="AA19" s="28" t="n">
        <v>0.755</v>
      </c>
      <c r="AB19" s="28" t="n">
        <v>9.8e-05</v>
      </c>
      <c r="AC19" s="30" t="n">
        <v>0.3247</v>
      </c>
      <c r="AD19" s="24" t="inlineStr">
        <is>
          <t>2026-10-11T22:00:52.799870Z</t>
        </is>
      </c>
      <c r="AE19" s="31" t="inlineStr">
        <is>
          <t>Learned LR call at threshold 0.5441; executable ask 0.7550 (aec-nfl-cin-mia-2026-10-11); model edge vs ask -0.1184.</t>
        </is>
      </c>
      <c r="AF19" s="31" t="inlineStr">
        <is>
          <t>Learned model; shadow-qualified via operator override.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4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nfl-cin</t>
        </is>
      </c>
      <c r="AQ19" s="24" t="inlineStr">
        <is>
          <t>Cincinnati Bengals</t>
        </is>
      </c>
      <c r="AR19" s="24" t="inlineStr">
        <is>
          <t>Cincinnati Bengals</t>
        </is>
      </c>
      <c r="AS19" s="24" t="inlineStr">
        <is>
          <t>nfl-mia</t>
        </is>
      </c>
      <c r="AT19" s="24" t="inlineStr">
        <is>
          <t>Miami Dolphins</t>
        </is>
      </c>
      <c r="AU19" s="24" t="inlineStr">
        <is>
          <t>Miami Dolphins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5cb5857519c32e04c895a3220afdc208e3d717ba0793e8d4a6946b1332f11654</t>
        </is>
      </c>
      <c r="BB19" s="24" t="inlineStr">
        <is>
          <t>learned_lr</t>
        </is>
      </c>
      <c r="BC19" s="24" t="inlineStr">
        <is>
          <t>nfl-elo-trend-lr-v4</t>
        </is>
      </c>
      <c r="BD19" s="24" t="inlineStr">
        <is>
          <t>5cb5857519c32e04c895a3220afdc208e3d717ba0793e8d4a6946b1332f11654</t>
        </is>
      </c>
      <c r="BE19" s="24" t="inlineStr">
        <is>
          <t>47967ea4dbd20330</t>
        </is>
      </c>
      <c r="BF19" s="24" t="inlineStr">
        <is>
          <t>1</t>
        </is>
      </c>
      <c r="BG19" s="24" t="inlineStr">
        <is>
          <t>nfl-elo-trend-lr-v4</t>
        </is>
      </c>
      <c r="BH19" s="24" t="inlineStr">
        <is>
          <t>2026-10-11T05:02:24.836798Z</t>
        </is>
      </c>
      <c r="BI19" s="24" t="inlineStr">
        <is>
          <t>["same_event","same_team_same_day","same_league_same_day"]</t>
        </is>
      </c>
      <c r="BJ19" s="25" t="n"/>
      <c r="BK19" s="26" t="n">
        <v>-308</v>
      </c>
      <c r="BL19" s="27" t="n">
        <v>1.324675</v>
      </c>
      <c r="BM19" s="28" t="n">
        <v>0.754902</v>
      </c>
      <c r="BN19" s="28" t="n">
        <v>0.753117</v>
      </c>
      <c r="BO19" s="28" t="n"/>
      <c r="BP19" s="25" t="n"/>
      <c r="BQ19" s="27" t="n">
        <v>1.324675</v>
      </c>
      <c r="BR19" s="28" t="n">
        <v>0.755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inlineStr">
        <is>
          <t>0.4002404391</t>
        </is>
      </c>
      <c r="CD19" s="24" t="inlineStr">
        <is>
          <t>-5.526168</t>
        </is>
      </c>
      <c r="CE19" s="24" t="n"/>
      <c r="CF19" s="24" t="n"/>
      <c r="CG19" s="24" t="n"/>
      <c r="CH19" s="24" t="n"/>
      <c r="CI19" s="24" t="n"/>
      <c r="CJ19" s="24" t="inlineStr">
        <is>
          <t>-2.322166</t>
        </is>
      </c>
      <c r="CK19" s="24" t="n"/>
      <c r="CL19" s="24" t="n"/>
      <c r="CM19" s="24" t="n"/>
      <c r="CN19" s="24" t="n"/>
      <c r="CO19" s="24" t="n"/>
      <c r="CP19" s="24" t="n"/>
      <c r="CQ19" s="24" t="n"/>
      <c r="CR19" s="24" t="inlineStr">
        <is>
          <t>0.636645</t>
        </is>
      </c>
      <c r="CS19" s="24" t="inlineStr">
        <is>
          <t>False</t>
        </is>
      </c>
      <c r="CT19" s="24" t="n"/>
      <c r="CU19" s="24" t="n"/>
      <c r="CV19" s="24" t="n"/>
      <c r="CW19" s="24" t="n"/>
      <c r="CX19" s="24" t="n"/>
      <c r="CY19" s="24" t="inlineStr">
        <is>
          <t>2026-10-11T05:02:24.836798Z</t>
        </is>
      </c>
      <c r="CZ19" s="24" t="inlineStr">
        <is>
          <t>True</t>
        </is>
      </c>
      <c r="DA19" s="24" t="inlineStr">
        <is>
          <t>polymarket_us</t>
        </is>
      </c>
      <c r="DB19" s="24" t="inlineStr">
        <is>
          <t>decision_time_executable_quote</t>
        </is>
      </c>
      <c r="DC19" s="24" t="inlineStr">
        <is>
          <t>False</t>
        </is>
      </c>
      <c r="DD19" s="24" t="inlineStr">
        <is>
          <t>255a673f09dac3031830bc7b67c7b749ee0bee88272eecc70648aea20cc22a01</t>
        </is>
      </c>
      <c r="DE19" s="24" t="inlineStr">
        <is>
          <t>E:\model-prediction\data\odds\nfl\2026-10-11\polymarket_snapshots.jsonl</t>
        </is>
      </c>
      <c r="DF19" s="24" t="inlineStr">
        <is>
          <t>255a673f09dac3031830bc7b67c7b749ee0bee88272eecc70648aea20cc22a01</t>
        </is>
      </c>
      <c r="DG19" s="24" t="n"/>
      <c r="DH19" s="24" t="n"/>
      <c r="DI19" s="24" t="n"/>
      <c r="DJ19" s="24" t="n"/>
      <c r="DK19" s="24" t="n"/>
      <c r="DL19" s="24" t="n"/>
      <c r="DM19" s="24" t="n"/>
      <c r="DN19" s="24" t="n"/>
      <c r="DO19" s="24" t="n"/>
      <c r="DP19" s="24" t="n"/>
      <c r="DQ19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0.36335487905730207, "event_id": "401872982", "event_start_utc": "2026-10-11T17:00:00+00:00", "features": {"elo_probability": 0.4002404391083412, "trend_gap": -5.526168}, "historical_source_observation_times_verified": false, "model_version": "nfl-elo-trend-lr-v4", "observed_at_utc": "2026-10-11T12:31:09.219706+00:00", "schema": "learned-moneyline-replay-v1", "served_home_probability": 0.36335487905730207, "snapshot_hash": "1e2801876049ee40d05c5da5be2b6dc7e3eee07f64c031d80ecb558193263147"}</t>
        </is>
      </c>
    </row>
    <row r="20" ht="36" customHeight="1">
      <c r="A20" s="24" t="inlineStr">
        <is>
          <t>04965e2486964cbd</t>
        </is>
      </c>
      <c r="B20" s="24" t="inlineStr">
        <is>
          <t>2026-10-11T12:31:09.219706Z</t>
        </is>
      </c>
      <c r="C20" s="24" t="inlineStr">
        <is>
          <t>2026-10-11T13:00:00-0400</t>
        </is>
      </c>
      <c r="D20" s="24" t="inlineStr">
        <is>
          <t>401872986</t>
        </is>
      </c>
      <c r="E20" s="24" t="inlineStr">
        <is>
          <t>NFL</t>
        </is>
      </c>
      <c r="F20" s="24" t="inlineStr">
        <is>
          <t>Las Vegas Raiders</t>
        </is>
      </c>
      <c r="G20" s="24" t="inlineStr">
        <is>
          <t>New England Patriots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espn</t>
        </is>
      </c>
      <c r="L20" s="26" t="n">
        <v>-110</v>
      </c>
      <c r="M20" s="27" t="n">
        <v>1.909091</v>
      </c>
      <c r="N20" s="28" t="n">
        <v>0.52381</v>
      </c>
      <c r="O20" s="28" t="n">
        <v>0.574008</v>
      </c>
      <c r="P20" s="28" t="n"/>
      <c r="Q20" s="28" t="n">
        <v>0.050198</v>
      </c>
      <c r="R20" s="26" t="n">
        <v>75</v>
      </c>
      <c r="S20" s="29" t="n">
        <v>1</v>
      </c>
      <c r="T20" s="24" t="inlineStr">
        <is>
          <t>nfl-elo-trend-lr-v4</t>
        </is>
      </c>
      <c r="U20" s="24" t="inlineStr">
        <is>
          <t>settled</t>
        </is>
      </c>
      <c r="V20" s="24" t="inlineStr">
        <is>
          <t>win</t>
        </is>
      </c>
      <c r="W20" s="26" t="n">
        <v>17</v>
      </c>
      <c r="X20" s="26" t="n">
        <v>45</v>
      </c>
      <c r="Y20" s="25" t="n"/>
      <c r="Z20" s="26" t="n"/>
      <c r="AA20" s="28" t="n"/>
      <c r="AB20" s="28" t="n"/>
      <c r="AC20" s="30" t="n">
        <v>0.9091</v>
      </c>
      <c r="AD20" s="24" t="inlineStr">
        <is>
          <t>2026-10-11T22:00:54.055515Z</t>
        </is>
      </c>
      <c r="AE20" s="31" t="inlineStr">
        <is>
          <t>Learned LR call at threshold 0.5441; no Polymarket quote available — using -110 default odds.</t>
        </is>
      </c>
      <c r="AF20" s="31" t="inlineStr">
        <is>
          <t>Learned model; shadow-qualified via operator override.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paper_call</t>
        </is>
      </c>
      <c r="AL20" s="26" t="n">
        <v>4</v>
      </c>
      <c r="AM20" s="24" t="inlineStr">
        <is>
          <t>RESEARCH_OBSERVATION</t>
        </is>
      </c>
      <c r="AN20" s="24" t="inlineStr">
        <is>
          <t>CALL</t>
        </is>
      </c>
      <c r="AO20" s="24" t="inlineStr">
        <is>
          <t>PAPER_CALL_MODEL_UNVALIDATED</t>
        </is>
      </c>
      <c r="AP20" s="24" t="inlineStr">
        <is>
          <t>nfl-lv</t>
        </is>
      </c>
      <c r="AQ20" s="24" t="inlineStr">
        <is>
          <t>Las Vegas Raiders</t>
        </is>
      </c>
      <c r="AR20" s="24" t="inlineStr">
        <is>
          <t>Las Vegas Raiders</t>
        </is>
      </c>
      <c r="AS20" s="24" t="inlineStr">
        <is>
          <t>nfl-ne</t>
        </is>
      </c>
      <c r="AT20" s="24" t="inlineStr">
        <is>
          <t>New England Patriots</t>
        </is>
      </c>
      <c r="AU20" s="24" t="inlineStr">
        <is>
          <t>New England Patriots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5cb5857519c32e04c895a3220afdc208e3d717ba0793e8d4a6946b1332f11654</t>
        </is>
      </c>
      <c r="BB20" s="24" t="inlineStr">
        <is>
          <t>learned_lr</t>
        </is>
      </c>
      <c r="BC20" s="24" t="inlineStr">
        <is>
          <t>nfl-elo-trend-lr-v4</t>
        </is>
      </c>
      <c r="BD20" s="24" t="inlineStr">
        <is>
          <t>5cb5857519c32e04c895a3220afdc208e3d717ba0793e8d4a6946b1332f11654</t>
        </is>
      </c>
      <c r="BE20" s="24" t="inlineStr">
        <is>
          <t>7095d686722bb01d</t>
        </is>
      </c>
      <c r="BF20" s="24" t="inlineStr">
        <is>
          <t>1</t>
        </is>
      </c>
      <c r="BG20" s="24" t="inlineStr">
        <is>
          <t>nfl-elo-trend-lr-v4</t>
        </is>
      </c>
      <c r="BH20" s="24" t="inlineStr">
        <is>
          <t>2026-10-11T12:31:09.219706Z</t>
        </is>
      </c>
      <c r="BI20" s="24" t="inlineStr">
        <is>
          <t>["same_event","same_team_same_day","same_league_same_day"]</t>
        </is>
      </c>
      <c r="BJ20" s="25" t="n"/>
      <c r="BK20" s="26" t="n">
        <v>-110</v>
      </c>
      <c r="BL20" s="27" t="n">
        <v>1.909091</v>
      </c>
      <c r="BM20" s="28" t="n">
        <v>0.52381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inlineStr">
        <is>
          <t>0.7145302045</t>
        </is>
      </c>
      <c r="CD20" s="24" t="inlineStr">
        <is>
          <t>-4.788044</t>
        </is>
      </c>
      <c r="CE20" s="24" t="n"/>
      <c r="CF20" s="24" t="n"/>
      <c r="CG20" s="24" t="n"/>
      <c r="CH20" s="24" t="n"/>
      <c r="CI20" s="24" t="n"/>
      <c r="CJ20" s="24" t="inlineStr">
        <is>
          <t>-0.453189</t>
        </is>
      </c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True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n"/>
      <c r="DK20" s="24" t="n"/>
      <c r="DL20" s="24" t="n"/>
      <c r="DM20" s="24" t="n"/>
      <c r="DN20" s="24" t="n"/>
      <c r="DO20" s="24" t="n"/>
      <c r="DP20" s="24" t="n"/>
      <c r="DQ20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0.5740082931084055, "event_id": "401872986", "event_start_utc": "2026-10-11T17:00:00+00:00", "features": {"elo_probability": 0.7145302044556261, "trend_gap": -4.788044}, "historical_source_observation_times_verified": false, "model_version": "nfl-elo-trend-lr-v4", "observed_at_utc": "2026-10-11T12:31:09.219706+00:00", "schema": "learned-moneyline-replay-v1", "served_home_probability": 0.5740082931084055, "snapshot_hash": "3854ace2366e67808bf399dbe876b36ed22d548467fb8ad0668644da44b06c4c"}</t>
        </is>
      </c>
    </row>
    <row r="21" ht="36" customHeight="1">
      <c r="A21" s="24" t="inlineStr">
        <is>
          <t>775c5c4ef3394927</t>
        </is>
      </c>
      <c r="B21" s="24" t="inlineStr">
        <is>
          <t>2026-10-11T12:31:09.219706Z</t>
        </is>
      </c>
      <c r="C21" s="24" t="inlineStr">
        <is>
          <t>2026-10-11T13:00:00-0400</t>
        </is>
      </c>
      <c r="D21" s="24" t="inlineStr">
        <is>
          <t>401872987</t>
        </is>
      </c>
      <c r="E21" s="24" t="inlineStr">
        <is>
          <t>NFL</t>
        </is>
      </c>
      <c r="F21" s="24" t="inlineStr">
        <is>
          <t>Minnesota Vikings</t>
        </is>
      </c>
      <c r="G21" s="24" t="inlineStr">
        <is>
          <t>New Orleans Saints</t>
        </is>
      </c>
      <c r="H21" s="24" t="inlineStr">
        <is>
          <t>moneyline</t>
        </is>
      </c>
      <c r="I21" s="24" t="inlineStr">
        <is>
          <t>away</t>
        </is>
      </c>
      <c r="J21" s="25" t="n"/>
      <c r="K21" s="24" t="inlineStr">
        <is>
          <t>espn</t>
        </is>
      </c>
      <c r="L21" s="26" t="n">
        <v>-110</v>
      </c>
      <c r="M21" s="27" t="n">
        <v>1.909091</v>
      </c>
      <c r="N21" s="28" t="n">
        <v>0.52381</v>
      </c>
      <c r="O21" s="28" t="n">
        <v>0.565446</v>
      </c>
      <c r="P21" s="28" t="n"/>
      <c r="Q21" s="28" t="n">
        <v>0.041636</v>
      </c>
      <c r="R21" s="26" t="n">
        <v>71</v>
      </c>
      <c r="S21" s="29" t="n">
        <v>1</v>
      </c>
      <c r="T21" s="24" t="inlineStr">
        <is>
          <t>nfl-elo-trend-lr-v4</t>
        </is>
      </c>
      <c r="U21" s="24" t="inlineStr">
        <is>
          <t>settled</t>
        </is>
      </c>
      <c r="V21" s="24" t="inlineStr">
        <is>
          <t>win</t>
        </is>
      </c>
      <c r="W21" s="26" t="n">
        <v>23</v>
      </c>
      <c r="X21" s="26" t="n">
        <v>13</v>
      </c>
      <c r="Y21" s="25" t="n"/>
      <c r="Z21" s="26" t="n"/>
      <c r="AA21" s="28" t="n"/>
      <c r="AB21" s="28" t="n"/>
      <c r="AC21" s="30" t="n">
        <v>0.9091</v>
      </c>
      <c r="AD21" s="24" t="inlineStr">
        <is>
          <t>2026-10-11T22:00:55.397667Z</t>
        </is>
      </c>
      <c r="AE21" s="31" t="inlineStr">
        <is>
          <t>Learned LR call at threshold 0.5441; no Polymarket quote available — using -110 default odds.</t>
        </is>
      </c>
      <c r="AF21" s="31" t="inlineStr">
        <is>
          <t>Learned model; shadow-qualified via operator override.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paper_call</t>
        </is>
      </c>
      <c r="AL21" s="26" t="n">
        <v>4</v>
      </c>
      <c r="AM21" s="24" t="inlineStr">
        <is>
          <t>RESEARCH_OBSERVATION</t>
        </is>
      </c>
      <c r="AN21" s="24" t="inlineStr">
        <is>
          <t>CALL</t>
        </is>
      </c>
      <c r="AO21" s="24" t="inlineStr">
        <is>
          <t>PAPER_CALL_MODEL_UNVALIDATED</t>
        </is>
      </c>
      <c r="AP21" s="24" t="inlineStr">
        <is>
          <t>nfl-min</t>
        </is>
      </c>
      <c r="AQ21" s="24" t="inlineStr">
        <is>
          <t>Minnesota Vikings</t>
        </is>
      </c>
      <c r="AR21" s="24" t="inlineStr">
        <is>
          <t>Minnesota Vikings</t>
        </is>
      </c>
      <c r="AS21" s="24" t="inlineStr">
        <is>
          <t>nfl-no</t>
        </is>
      </c>
      <c r="AT21" s="24" t="inlineStr">
        <is>
          <t>New Orleans Saints</t>
        </is>
      </c>
      <c r="AU21" s="24" t="inlineStr">
        <is>
          <t>New Orleans Saints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5cb5857519c32e04c895a3220afdc208e3d717ba0793e8d4a6946b1332f11654</t>
        </is>
      </c>
      <c r="BB21" s="24" t="inlineStr">
        <is>
          <t>learned_lr</t>
        </is>
      </c>
      <c r="BC21" s="24" t="inlineStr">
        <is>
          <t>nfl-elo-trend-lr-v4</t>
        </is>
      </c>
      <c r="BD21" s="24" t="inlineStr">
        <is>
          <t>5cb5857519c32e04c895a3220afdc208e3d717ba0793e8d4a6946b1332f11654</t>
        </is>
      </c>
      <c r="BE21" s="24" t="inlineStr">
        <is>
          <t>ed288741ed4d76a6</t>
        </is>
      </c>
      <c r="BF21" s="24" t="inlineStr">
        <is>
          <t>1</t>
        </is>
      </c>
      <c r="BG21" s="24" t="inlineStr">
        <is>
          <t>nfl-elo-trend-lr-v4</t>
        </is>
      </c>
      <c r="BH21" s="24" t="inlineStr">
        <is>
          <t>2026-10-11T12:31:09.219706Z</t>
        </is>
      </c>
      <c r="BI21" s="24" t="inlineStr">
        <is>
          <t>["same_event","same_team_same_day","same_league_same_day"]</t>
        </is>
      </c>
      <c r="BJ21" s="25" t="n"/>
      <c r="BK21" s="26" t="n">
        <v>-110</v>
      </c>
      <c r="BL21" s="27" t="n">
        <v>1.909091</v>
      </c>
      <c r="BM21" s="28" t="n">
        <v>0.52381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inlineStr">
        <is>
          <t>0.3190034634</t>
        </is>
      </c>
      <c r="CD21" s="24" t="inlineStr">
        <is>
          <t>4.630914</t>
        </is>
      </c>
      <c r="CE21" s="24" t="n"/>
      <c r="CF21" s="24" t="n"/>
      <c r="CG21" s="24" t="n"/>
      <c r="CH21" s="24" t="n"/>
      <c r="CI21" s="24" t="n"/>
      <c r="CJ21" s="24" t="inlineStr">
        <is>
          <t>-12.023257</t>
        </is>
      </c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True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n"/>
      <c r="DK21" s="24" t="n"/>
      <c r="DL21" s="24" t="n"/>
      <c r="DM21" s="24" t="n"/>
      <c r="DN21" s="24" t="n"/>
      <c r="DO21" s="24" t="n"/>
      <c r="DP21" s="24" t="n"/>
      <c r="DQ21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0.4345538064411107, "event_id": "401872987", "event_start_utc": "2026-10-11T17:00:00+00:00", "features": {"elo_probability": 0.31900346338063723, "trend_gap": 4.630914000000001}, "historical_source_observation_times_verified": false, "model_version": "nfl-elo-trend-lr-v4", "observed_at_utc": "2026-10-11T12:31:09.219706+00:00", "schema": "learned-moneyline-replay-v1", "served_home_probability": 0.4345538064411107, "snapshot_hash": "d2207222f69fd04578eb94864b975b83bad078886cdc3f990af3403f7f3571e6"}</t>
        </is>
      </c>
    </row>
    <row r="22" ht="36" customHeight="1">
      <c r="A22" s="24" t="inlineStr">
        <is>
          <t>6b7a268600d2465d</t>
        </is>
      </c>
      <c r="B22" s="24" t="inlineStr">
        <is>
          <t>2026-10-11T12:31:09.219706Z</t>
        </is>
      </c>
      <c r="C22" s="24" t="inlineStr">
        <is>
          <t>2026-10-11T13:00:00-0400</t>
        </is>
      </c>
      <c r="D22" s="24" t="inlineStr">
        <is>
          <t>401872983</t>
        </is>
      </c>
      <c r="E22" s="24" t="inlineStr">
        <is>
          <t>NFL</t>
        </is>
      </c>
      <c r="F22" s="24" t="inlineStr">
        <is>
          <t>Cleveland Browns</t>
        </is>
      </c>
      <c r="G22" s="24" t="inlineStr">
        <is>
          <t>New York Jets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129</v>
      </c>
      <c r="M22" s="27" t="n">
        <v>2.29</v>
      </c>
      <c r="N22" s="28" t="n">
        <v>0.436681</v>
      </c>
      <c r="O22" s="28" t="n">
        <v>0.614321</v>
      </c>
      <c r="P22" s="28" t="n"/>
      <c r="Q22" s="28" t="n">
        <v>0.17764</v>
      </c>
      <c r="R22" s="26" t="n">
        <v>100</v>
      </c>
      <c r="S22" s="29" t="n">
        <v>1.75</v>
      </c>
      <c r="T22" s="24" t="inlineStr">
        <is>
          <t>nfl-elo-trend-lr-v4</t>
        </is>
      </c>
      <c r="U22" s="24" t="inlineStr">
        <is>
          <t>settled</t>
        </is>
      </c>
      <c r="V22" s="24" t="inlineStr">
        <is>
          <t>loss</t>
        </is>
      </c>
      <c r="W22" s="26" t="n">
        <v>12</v>
      </c>
      <c r="X22" s="26" t="n">
        <v>17</v>
      </c>
      <c r="Y22" s="25" t="n"/>
      <c r="Z22" s="26" t="n">
        <v>129</v>
      </c>
      <c r="AA22" s="28" t="n">
        <v>0.4375</v>
      </c>
      <c r="AB22" s="28" t="n">
        <v>0.000819</v>
      </c>
      <c r="AC22" s="30" t="n">
        <v>-1.75</v>
      </c>
      <c r="AD22" s="24" t="inlineStr">
        <is>
          <t>2026-10-11T22:00:56.695844Z</t>
        </is>
      </c>
      <c r="AE22" s="31" t="inlineStr">
        <is>
          <t>Learned LR call at threshold 0.5441; executable ask 0.4375 (aec-nfl-cle-nyj-2026-10-11); model edge vs ask +0.1768.</t>
        </is>
      </c>
      <c r="AF22" s="31" t="inlineStr">
        <is>
          <t>Learned model; shadow-qualified via operator override.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4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nfl-cle</t>
        </is>
      </c>
      <c r="AQ22" s="24" t="inlineStr">
        <is>
          <t>Cleveland Browns</t>
        </is>
      </c>
      <c r="AR22" s="24" t="inlineStr">
        <is>
          <t>Cleveland Browns</t>
        </is>
      </c>
      <c r="AS22" s="24" t="inlineStr">
        <is>
          <t>nfl-nyj</t>
        </is>
      </c>
      <c r="AT22" s="24" t="inlineStr">
        <is>
          <t>New York Jets</t>
        </is>
      </c>
      <c r="AU22" s="24" t="inlineStr">
        <is>
          <t>New York Jets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5cb5857519c32e04c895a3220afdc208e3d717ba0793e8d4a6946b1332f11654</t>
        </is>
      </c>
      <c r="BB22" s="24" t="inlineStr">
        <is>
          <t>learned_lr</t>
        </is>
      </c>
      <c r="BC22" s="24" t="inlineStr">
        <is>
          <t>nfl-elo-trend-lr-v4</t>
        </is>
      </c>
      <c r="BD22" s="24" t="inlineStr">
        <is>
          <t>5cb5857519c32e04c895a3220afdc208e3d717ba0793e8d4a6946b1332f11654</t>
        </is>
      </c>
      <c r="BE22" s="24" t="inlineStr">
        <is>
          <t>7a8bd94706f3c4b5</t>
        </is>
      </c>
      <c r="BF22" s="24" t="inlineStr">
        <is>
          <t>1</t>
        </is>
      </c>
      <c r="BG22" s="24" t="inlineStr">
        <is>
          <t>nfl-elo-trend-lr-v4</t>
        </is>
      </c>
      <c r="BH22" s="24" t="inlineStr">
        <is>
          <t>2026-10-11T10:16:49.351135Z</t>
        </is>
      </c>
      <c r="BI22" s="24" t="inlineStr">
        <is>
          <t>["same_event","same_team_same_day","same_league_same_day"]</t>
        </is>
      </c>
      <c r="BJ22" s="25" t="n"/>
      <c r="BK22" s="26" t="n">
        <v>129</v>
      </c>
      <c r="BL22" s="27" t="n">
        <v>2.29</v>
      </c>
      <c r="BM22" s="28" t="n">
        <v>0.436681</v>
      </c>
      <c r="BN22" s="28" t="n">
        <v>0.436409</v>
      </c>
      <c r="BO22" s="28" t="n"/>
      <c r="BP22" s="25" t="n"/>
      <c r="BQ22" s="27" t="n">
        <v>2.29</v>
      </c>
      <c r="BR22" s="28" t="n">
        <v>0.4375</v>
      </c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inlineStr">
        <is>
          <t>0.3827160491</t>
        </is>
      </c>
      <c r="CD22" s="24" t="inlineStr">
        <is>
          <t>-2.714977</t>
        </is>
      </c>
      <c r="CE22" s="24" t="n"/>
      <c r="CF22" s="24" t="n"/>
      <c r="CG22" s="24" t="n"/>
      <c r="CH22" s="24" t="n"/>
      <c r="CI22" s="24" t="n"/>
      <c r="CJ22" s="24" t="inlineStr">
        <is>
          <t>-2.06757</t>
        </is>
      </c>
      <c r="CK22" s="24" t="n"/>
      <c r="CL22" s="24" t="n"/>
      <c r="CM22" s="24" t="n"/>
      <c r="CN22" s="24" t="n"/>
      <c r="CO22" s="24" t="n"/>
      <c r="CP22" s="24" t="n"/>
      <c r="CQ22" s="24" t="n"/>
      <c r="CR22" s="24" t="inlineStr">
        <is>
          <t>0.614321</t>
        </is>
      </c>
      <c r="CS22" s="24" t="inlineStr">
        <is>
          <t>True</t>
        </is>
      </c>
      <c r="CT22" s="24" t="n"/>
      <c r="CU22" s="24" t="n"/>
      <c r="CV22" s="24" t="n"/>
      <c r="CW22" s="24" t="n"/>
      <c r="CX22" s="24" t="n"/>
      <c r="CY22" s="24" t="inlineStr">
        <is>
          <t>2026-10-11T10:16:49.351135Z</t>
        </is>
      </c>
      <c r="CZ22" s="24" t="inlineStr">
        <is>
          <t>True</t>
        </is>
      </c>
      <c r="DA22" s="24" t="inlineStr">
        <is>
          <t>polymarket_us</t>
        </is>
      </c>
      <c r="DB22" s="24" t="inlineStr">
        <is>
          <t>decision_time_executable_quote</t>
        </is>
      </c>
      <c r="DC22" s="24" t="inlineStr">
        <is>
          <t>False</t>
        </is>
      </c>
      <c r="DD22" s="24" t="inlineStr">
        <is>
          <t>0262aa3a1f34ddb593d5a92cedcde8a7003835c37895e1adcea6e3fbb4275ecd</t>
        </is>
      </c>
      <c r="DE22" s="24" t="inlineStr">
        <is>
          <t>E:\model-prediction\data\odds\nfl\2026-10-11\polymarket_snapshots.jsonl</t>
        </is>
      </c>
      <c r="DF22" s="24" t="inlineStr">
        <is>
          <t>0262aa3a1f34ddb593d5a92cedcde8a7003835c37895e1adcea6e3fbb4275ecd</t>
        </is>
      </c>
      <c r="DG22" s="24" t="n"/>
      <c r="DH22" s="24" t="n"/>
      <c r="DI22" s="24" t="n"/>
      <c r="DJ22" s="24" t="n"/>
      <c r="DK22" s="24" t="n"/>
      <c r="DL22" s="24" t="n"/>
      <c r="DM22" s="24" t="n"/>
      <c r="DN22" s="24" t="n"/>
      <c r="DO22" s="24" t="n"/>
      <c r="DP22" s="24" t="n"/>
      <c r="DQ22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0.3856792677589806, "event_id": "401872983", "event_start_utc": "2026-10-11T17:00:00+00:00", "features": {"elo_probability": 0.38271604908099427, "trend_gap": -2.714977}, "historical_source_observation_times_verified": false, "model_version": "nfl-elo-trend-lr-v4", "observed_at_utc": "2026-10-11T12:31:09.219706+00:00", "schema": "learned-moneyline-replay-v1", "served_home_probability": 0.3856792677589806, "snapshot_hash": "6e58aba7612070e4ea220de34384e58b8cdb683862278c548219816646ab47cd"}</t>
        </is>
      </c>
    </row>
    <row r="23" ht="36" customHeight="1">
      <c r="A23" s="24" t="inlineStr">
        <is>
          <t>493cd1e83dab4f67</t>
        </is>
      </c>
      <c r="B23" s="24" t="inlineStr">
        <is>
          <t>2026-10-11T12:31:09.219706Z</t>
        </is>
      </c>
      <c r="C23" s="24" t="inlineStr">
        <is>
          <t>2026-10-11T13:00:00-0400</t>
        </is>
      </c>
      <c r="D23" s="24" t="inlineStr">
        <is>
          <t>401872985</t>
        </is>
      </c>
      <c r="E23" s="24" t="inlineStr">
        <is>
          <t>NFL</t>
        </is>
      </c>
      <c r="F23" s="24" t="inlineStr">
        <is>
          <t>Indianapolis Colts</t>
        </is>
      </c>
      <c r="G23" s="24" t="inlineStr">
        <is>
          <t>Pittsburgh Steelers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-141</v>
      </c>
      <c r="M23" s="27" t="n">
        <v>1.70922</v>
      </c>
      <c r="N23" s="28" t="n">
        <v>0.585062</v>
      </c>
      <c r="O23" s="28" t="n">
        <v>0.528758</v>
      </c>
      <c r="P23" s="28" t="n"/>
      <c r="Q23" s="28" t="n">
        <v>-0.056304</v>
      </c>
      <c r="R23" s="26" t="n">
        <v>0</v>
      </c>
      <c r="S23" s="29" t="n">
        <v>1</v>
      </c>
      <c r="T23" s="24" t="inlineStr">
        <is>
          <t>nfl-elo-trend-lr-v4</t>
        </is>
      </c>
      <c r="U23" s="24" t="inlineStr">
        <is>
          <t>settled</t>
        </is>
      </c>
      <c r="V23" s="24" t="inlineStr">
        <is>
          <t>win</t>
        </is>
      </c>
      <c r="W23" s="26" t="n">
        <v>22</v>
      </c>
      <c r="X23" s="26" t="n">
        <v>34</v>
      </c>
      <c r="Y23" s="25" t="n"/>
      <c r="Z23" s="26" t="n">
        <v>-141</v>
      </c>
      <c r="AA23" s="28" t="n">
        <v>0.585</v>
      </c>
      <c r="AB23" s="28" t="n">
        <v>-6.2e-05</v>
      </c>
      <c r="AC23" s="30" t="n">
        <v>0.7092000000000001</v>
      </c>
      <c r="AD23" s="24" t="inlineStr">
        <is>
          <t>2026-10-11T22:00:57.970512Z</t>
        </is>
      </c>
      <c r="AE23" s="31" t="inlineStr">
        <is>
          <t>Learned LR call at threshold 0.5441; executable ask 0.5850 (aec-nfl-ind-pit-2026-10-11); model edge vs ask -0.0562.</t>
        </is>
      </c>
      <c r="AF23" s="31" t="inlineStr">
        <is>
          <t>Learned model; shadow-qualified via operator override.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paper_call</t>
        </is>
      </c>
      <c r="AL23" s="26" t="n">
        <v>4</v>
      </c>
      <c r="AM23" s="24" t="inlineStr">
        <is>
          <t>RESEARCH_OBSERVATION</t>
        </is>
      </c>
      <c r="AN23" s="24" t="inlineStr">
        <is>
          <t>CALL</t>
        </is>
      </c>
      <c r="AO23" s="24" t="inlineStr">
        <is>
          <t>PAPER_CALL_BELOW_LEARNED_CONFIDENCE</t>
        </is>
      </c>
      <c r="AP23" s="24" t="inlineStr">
        <is>
          <t>nfl-ind</t>
        </is>
      </c>
      <c r="AQ23" s="24" t="inlineStr">
        <is>
          <t>Indianapolis Colts</t>
        </is>
      </c>
      <c r="AR23" s="24" t="inlineStr">
        <is>
          <t>Indianapolis Colts</t>
        </is>
      </c>
      <c r="AS23" s="24" t="inlineStr">
        <is>
          <t>nfl-pit</t>
        </is>
      </c>
      <c r="AT23" s="24" t="inlineStr">
        <is>
          <t>Pittsburgh Steelers</t>
        </is>
      </c>
      <c r="AU23" s="24" t="inlineStr">
        <is>
          <t>Pittsburgh Steelers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5cb5857519c32e04c895a3220afdc208e3d717ba0793e8d4a6946b1332f11654</t>
        </is>
      </c>
      <c r="BB23" s="24" t="inlineStr">
        <is>
          <t>learned_lr</t>
        </is>
      </c>
      <c r="BC23" s="24" t="inlineStr">
        <is>
          <t>nfl-elo-trend-lr-v4</t>
        </is>
      </c>
      <c r="BD23" s="24" t="inlineStr">
        <is>
          <t>5cb5857519c32e04c895a3220afdc208e3d717ba0793e8d4a6946b1332f11654</t>
        </is>
      </c>
      <c r="BE23" s="24" t="inlineStr">
        <is>
          <t>bd932c13d48a6fe9</t>
        </is>
      </c>
      <c r="BF23" s="24" t="inlineStr">
        <is>
          <t>1</t>
        </is>
      </c>
      <c r="BG23" s="24" t="inlineStr">
        <is>
          <t>nfl-elo-trend-lr-v4</t>
        </is>
      </c>
      <c r="BH23" s="24" t="inlineStr">
        <is>
          <t>2026-10-11T11:01:38.825122Z</t>
        </is>
      </c>
      <c r="BI23" s="24" t="inlineStr">
        <is>
          <t>["same_event","same_team_same_day","same_league_same_day"]</t>
        </is>
      </c>
      <c r="BJ23" s="25" t="n"/>
      <c r="BK23" s="26" t="n">
        <v>-141</v>
      </c>
      <c r="BL23" s="27" t="n">
        <v>1.70922</v>
      </c>
      <c r="BM23" s="28" t="n">
        <v>0.585062</v>
      </c>
      <c r="BN23" s="28" t="n">
        <v>0.583541</v>
      </c>
      <c r="BO23" s="28" t="n"/>
      <c r="BP23" s="25" t="n"/>
      <c r="BQ23" s="27" t="n">
        <v>1.70922</v>
      </c>
      <c r="BR23" s="28" t="n">
        <v>0.585</v>
      </c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inlineStr">
        <is>
          <t>0.596280185</t>
        </is>
      </c>
      <c r="CD23" s="24" t="inlineStr">
        <is>
          <t>-2.274587</t>
        </is>
      </c>
      <c r="CE23" s="24" t="n"/>
      <c r="CF23" s="24" t="n"/>
      <c r="CG23" s="24" t="n"/>
      <c r="CH23" s="24" t="n"/>
      <c r="CI23" s="24" t="n"/>
      <c r="CJ23" s="24" t="inlineStr">
        <is>
          <t>-1.857269</t>
        </is>
      </c>
      <c r="CK23" s="24" t="n"/>
      <c r="CL23" s="24" t="n"/>
      <c r="CM23" s="24" t="n"/>
      <c r="CN23" s="24" t="n"/>
      <c r="CO23" s="24" t="n"/>
      <c r="CP23" s="24" t="n"/>
      <c r="CQ23" s="24" t="n"/>
      <c r="CR23" s="24" t="inlineStr">
        <is>
          <t>0.528758</t>
        </is>
      </c>
      <c r="CS23" s="24" t="inlineStr">
        <is>
          <t>False</t>
        </is>
      </c>
      <c r="CT23" s="24" t="n"/>
      <c r="CU23" s="24" t="n"/>
      <c r="CV23" s="24" t="n"/>
      <c r="CW23" s="24" t="n"/>
      <c r="CX23" s="24" t="n"/>
      <c r="CY23" s="24" t="inlineStr">
        <is>
          <t>2026-10-11T11:01:38.825122Z</t>
        </is>
      </c>
      <c r="CZ23" s="24" t="inlineStr">
        <is>
          <t>True</t>
        </is>
      </c>
      <c r="DA23" s="24" t="inlineStr">
        <is>
          <t>polymarket_us</t>
        </is>
      </c>
      <c r="DB23" s="24" t="inlineStr">
        <is>
          <t>decision_time_executable_quote</t>
        </is>
      </c>
      <c r="DC23" s="24" t="inlineStr">
        <is>
          <t>False</t>
        </is>
      </c>
      <c r="DD23" s="24" t="inlineStr">
        <is>
          <t>1529198d2ef5d6b62f3879481cbddeec9bc4bc05d078cf49795115a077a8fa10</t>
        </is>
      </c>
      <c r="DE23" s="24" t="inlineStr">
        <is>
          <t>E:\model-prediction\data\odds\nfl\2026-10-11\polymarket_snapshots.jsonl</t>
        </is>
      </c>
      <c r="DF23" s="24" t="inlineStr">
        <is>
          <t>1529198d2ef5d6b62f3879481cbddeec9bc4bc05d078cf49795115a077a8fa10</t>
        </is>
      </c>
      <c r="DG23" s="24" t="n"/>
      <c r="DH23" s="24" t="n"/>
      <c r="DI23" s="24" t="n"/>
      <c r="DJ23" s="24" t="n"/>
      <c r="DK23" s="24" t="n"/>
      <c r="DL23" s="24" t="n"/>
      <c r="DM23" s="24" t="n"/>
      <c r="DN23" s="24" t="n"/>
      <c r="DO23" s="24" t="n"/>
      <c r="DP23" s="24" t="n"/>
      <c r="DQ23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0.5287576360973782, "event_id": "401872985", "event_start_utc": "2026-10-11T17:00:00+00:00", "features": {"elo_probability": 0.5962801850157102, "trend_gap": -2.274587}, "historical_source_observation_times_verified": false, "model_version": "nfl-elo-trend-lr-v4", "observed_at_utc": "2026-10-11T12:31:09.219706+00:00", "schema": "learned-moneyline-replay-v1", "served_home_probability": 0.5287576360973782, "snapshot_hash": "4054c3b0639a51ecce72c2bb92da6419116b581d5e1db113fdfa0f335c3d2119"}</t>
        </is>
      </c>
    </row>
    <row r="24" ht="36" customHeight="1">
      <c r="A24" s="24" t="inlineStr">
        <is>
          <t>a476a65de97c49d4</t>
        </is>
      </c>
      <c r="B24" s="24" t="inlineStr">
        <is>
          <t>2026-10-11T12:31:09.219706Z</t>
        </is>
      </c>
      <c r="C24" s="24" t="inlineStr">
        <is>
          <t>2026-10-11T13:00:00-0400</t>
        </is>
      </c>
      <c r="D24" s="24" t="inlineStr">
        <is>
          <t>401872988</t>
        </is>
      </c>
      <c r="E24" s="24" t="inlineStr">
        <is>
          <t>NFL</t>
        </is>
      </c>
      <c r="F24" s="24" t="inlineStr">
        <is>
          <t>New York Giants</t>
        </is>
      </c>
      <c r="G24" s="24" t="inlineStr">
        <is>
          <t>Washington Commanders</t>
        </is>
      </c>
      <c r="H24" s="24" t="inlineStr">
        <is>
          <t>moneyline</t>
        </is>
      </c>
      <c r="I24" s="24" t="inlineStr">
        <is>
          <t>away</t>
        </is>
      </c>
      <c r="J24" s="25" t="n"/>
      <c r="K24" s="24" t="inlineStr">
        <is>
          <t>espn</t>
        </is>
      </c>
      <c r="L24" s="26" t="n">
        <v>-110</v>
      </c>
      <c r="M24" s="27" t="n">
        <v>1.909091</v>
      </c>
      <c r="N24" s="28" t="n">
        <v>0.52381</v>
      </c>
      <c r="O24" s="28" t="n">
        <v>0.550492</v>
      </c>
      <c r="P24" s="28" t="n"/>
      <c r="Q24" s="28" t="n">
        <v>0.026682</v>
      </c>
      <c r="R24" s="26" t="n">
        <v>63</v>
      </c>
      <c r="S24" s="29" t="n">
        <v>1</v>
      </c>
      <c r="T24" s="24" t="inlineStr">
        <is>
          <t>nfl-elo-trend-lr-v4</t>
        </is>
      </c>
      <c r="U24" s="24" t="inlineStr">
        <is>
          <t>settled</t>
        </is>
      </c>
      <c r="V24" s="24" t="inlineStr">
        <is>
          <t>push</t>
        </is>
      </c>
      <c r="W24" s="26" t="n">
        <v>27</v>
      </c>
      <c r="X24" s="26" t="n">
        <v>27</v>
      </c>
      <c r="Y24" s="25" t="n"/>
      <c r="Z24" s="26" t="n"/>
      <c r="AA24" s="28" t="n"/>
      <c r="AB24" s="28" t="n"/>
      <c r="AC24" s="30" t="n">
        <v>0</v>
      </c>
      <c r="AD24" s="24" t="inlineStr">
        <is>
          <t>2026-10-11T22:00:59.283844Z</t>
        </is>
      </c>
      <c r="AE24" s="31" t="inlineStr">
        <is>
          <t>Learned LR call at threshold 0.5441; no Polymarket quote available — using -110 default odds.</t>
        </is>
      </c>
      <c r="AF24" s="31" t="inlineStr">
        <is>
          <t>Learned model; shadow-qualified via operator override.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paper_call</t>
        </is>
      </c>
      <c r="AL24" s="26" t="n">
        <v>4</v>
      </c>
      <c r="AM24" s="24" t="inlineStr">
        <is>
          <t>RESEARCH_OBSERVATION</t>
        </is>
      </c>
      <c r="AN24" s="24" t="inlineStr">
        <is>
          <t>CALL</t>
        </is>
      </c>
      <c r="AO24" s="24" t="inlineStr">
        <is>
          <t>PAPER_CALL_MODEL_UNVALIDATED</t>
        </is>
      </c>
      <c r="AP24" s="24" t="inlineStr">
        <is>
          <t>nfl-nyg</t>
        </is>
      </c>
      <c r="AQ24" s="24" t="inlineStr">
        <is>
          <t>New York Giants</t>
        </is>
      </c>
      <c r="AR24" s="24" t="inlineStr">
        <is>
          <t>New York Giants</t>
        </is>
      </c>
      <c r="AS24" s="24" t="inlineStr">
        <is>
          <t>nfl-was</t>
        </is>
      </c>
      <c r="AT24" s="24" t="inlineStr">
        <is>
          <t>Washington Commanders</t>
        </is>
      </c>
      <c r="AU24" s="24" t="inlineStr">
        <is>
          <t>Washington Commanders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5cb5857519c32e04c895a3220afdc208e3d717ba0793e8d4a6946b1332f11654</t>
        </is>
      </c>
      <c r="BB24" s="24" t="inlineStr">
        <is>
          <t>learned_lr</t>
        </is>
      </c>
      <c r="BC24" s="24" t="inlineStr">
        <is>
          <t>nfl-elo-trend-lr-v4</t>
        </is>
      </c>
      <c r="BD24" s="24" t="inlineStr">
        <is>
          <t>5cb5857519c32e04c895a3220afdc208e3d717ba0793e8d4a6946b1332f11654</t>
        </is>
      </c>
      <c r="BE24" s="24" t="inlineStr">
        <is>
          <t>a015651ced25cd1f</t>
        </is>
      </c>
      <c r="BF24" s="24" t="inlineStr">
        <is>
          <t>1</t>
        </is>
      </c>
      <c r="BG24" s="24" t="inlineStr">
        <is>
          <t>nfl-elo-trend-lr-v4</t>
        </is>
      </c>
      <c r="BH24" s="24" t="inlineStr">
        <is>
          <t>2026-10-11T12:31:09.219706Z</t>
        </is>
      </c>
      <c r="BI24" s="24" t="inlineStr">
        <is>
          <t>["same_event","same_team_same_day","same_league_same_day"]</t>
        </is>
      </c>
      <c r="BJ24" s="25" t="n"/>
      <c r="BK24" s="26" t="n">
        <v>-110</v>
      </c>
      <c r="BL24" s="27" t="n">
        <v>1.909091</v>
      </c>
      <c r="BM24" s="28" t="n">
        <v>0.52381</v>
      </c>
      <c r="BN24" s="28" t="n"/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inlineStr">
        <is>
          <t>0.4909547842</t>
        </is>
      </c>
      <c r="CD24" s="24" t="inlineStr">
        <is>
          <t>-3.117944</t>
        </is>
      </c>
      <c r="CE24" s="24" t="n"/>
      <c r="CF24" s="24" t="n"/>
      <c r="CG24" s="24" t="n"/>
      <c r="CH24" s="24" t="n"/>
      <c r="CI24" s="24" t="n"/>
      <c r="CJ24" s="24" t="inlineStr">
        <is>
          <t>-4.26448</t>
        </is>
      </c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True</t>
        </is>
      </c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n"/>
      <c r="DK24" s="24" t="n"/>
      <c r="DL24" s="24" t="n"/>
      <c r="DM24" s="24" t="n"/>
      <c r="DN24" s="24" t="n"/>
      <c r="DO24" s="24" t="n"/>
      <c r="DP24" s="24" t="n"/>
      <c r="DQ24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0.4495084492292776, "event_id": "401872988", "event_start_utc": "2026-10-11T17:00:00+00:00", "features": {"elo_probability": 0.4909547842413281, "trend_gap": -3.117944}, "historical_source_observation_times_verified": false, "model_version": "nfl-elo-trend-lr-v4", "observed_at_utc": "2026-10-11T12:31:09.219706+00:00", "schema": "learned-moneyline-replay-v1", "served_home_probability": 0.4495084492292776, "snapshot_hash": "dd7e5b1afd94f00f7d1aede146f6f7e50e9b1c700103fe359103694c9f41e210"}</t>
        </is>
      </c>
    </row>
    <row r="25" ht="36" customHeight="1">
      <c r="A25" s="24" t="inlineStr">
        <is>
          <t>2cd8e281f88d4001</t>
        </is>
      </c>
      <c r="B25" s="24" t="inlineStr">
        <is>
          <t>2026-10-11T17:03:07.738756Z</t>
        </is>
      </c>
      <c r="C25" s="24" t="inlineStr">
        <is>
          <t>2026-10-11T16:05:00-0400</t>
        </is>
      </c>
      <c r="D25" s="24" t="inlineStr">
        <is>
          <t>401872989</t>
        </is>
      </c>
      <c r="E25" s="24" t="inlineStr">
        <is>
          <t>NFL</t>
        </is>
      </c>
      <c r="F25" s="24" t="inlineStr">
        <is>
          <t>Denver Broncos</t>
        </is>
      </c>
      <c r="G25" s="24" t="inlineStr">
        <is>
          <t>Los Angeles Chargers</t>
        </is>
      </c>
      <c r="H25" s="24" t="inlineStr">
        <is>
          <t>moneyline</t>
        </is>
      </c>
      <c r="I25" s="24" t="inlineStr">
        <is>
          <t>away</t>
        </is>
      </c>
      <c r="J25" s="25" t="n"/>
      <c r="K25" s="24" t="inlineStr">
        <is>
          <t>polymarket_us</t>
        </is>
      </c>
      <c r="L25" s="26" t="n">
        <v>-174</v>
      </c>
      <c r="M25" s="27" t="n">
        <v>1.574713</v>
      </c>
      <c r="N25" s="28" t="n">
        <v>0.635036</v>
      </c>
      <c r="O25" s="28" t="n">
        <v>0.62105</v>
      </c>
      <c r="P25" s="28" t="n"/>
      <c r="Q25" s="28" t="n">
        <v>-0.013986</v>
      </c>
      <c r="R25" s="26" t="n">
        <v>14</v>
      </c>
      <c r="S25" s="29" t="n">
        <v>1</v>
      </c>
      <c r="T25" s="24" t="inlineStr">
        <is>
          <t>nfl-elo-trend-lr-v4</t>
        </is>
      </c>
      <c r="U25" s="24" t="inlineStr">
        <is>
          <t>settled</t>
        </is>
      </c>
      <c r="V25" s="24" t="inlineStr">
        <is>
          <t>win</t>
        </is>
      </c>
      <c r="W25" s="26" t="n">
        <v>23</v>
      </c>
      <c r="X25" s="26" t="n">
        <v>17</v>
      </c>
      <c r="Y25" s="25" t="n"/>
      <c r="Z25" s="26" t="n">
        <v>-174</v>
      </c>
      <c r="AA25" s="28" t="n">
        <v>0.635</v>
      </c>
      <c r="AB25" s="28" t="n">
        <v>-3.6e-05</v>
      </c>
      <c r="AC25" s="30" t="n">
        <v>0.5747</v>
      </c>
      <c r="AD25" s="24" t="inlineStr">
        <is>
          <t>2026-10-12T10:03:42.023248Z</t>
        </is>
      </c>
      <c r="AE25" s="31" t="inlineStr">
        <is>
          <t>Learned LR call at threshold 0.5441; executable ask 0.6350 (aec-nfl-den-lac-2026-10-11); model edge vs ask -0.0140.</t>
        </is>
      </c>
      <c r="AF25" s="31" t="inlineStr">
        <is>
          <t>Learned model; shadow-qualified via operator override.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model_qualified</t>
        </is>
      </c>
      <c r="AL25" s="26" t="n">
        <v>4</v>
      </c>
      <c r="AM25" s="24" t="inlineStr">
        <is>
          <t>QUALIFIED_SHADOW_CALL</t>
        </is>
      </c>
      <c r="AN25" s="24" t="inlineStr">
        <is>
          <t>CALL</t>
        </is>
      </c>
      <c r="AO25" s="24" t="inlineStr">
        <is>
          <t>QUALIFIED</t>
        </is>
      </c>
      <c r="AP25" s="24" t="inlineStr">
        <is>
          <t>nfl-den</t>
        </is>
      </c>
      <c r="AQ25" s="24" t="inlineStr">
        <is>
          <t>Denver Broncos</t>
        </is>
      </c>
      <c r="AR25" s="24" t="inlineStr">
        <is>
          <t>Denver Broncos</t>
        </is>
      </c>
      <c r="AS25" s="24" t="inlineStr">
        <is>
          <t>nfl-lac</t>
        </is>
      </c>
      <c r="AT25" s="24" t="inlineStr">
        <is>
          <t>Los Angeles Chargers</t>
        </is>
      </c>
      <c r="AU25" s="24" t="inlineStr">
        <is>
          <t>Los Angeles Chargers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5cb5857519c32e04c895a3220afdc208e3d717ba0793e8d4a6946b1332f11654</t>
        </is>
      </c>
      <c r="BB25" s="24" t="inlineStr">
        <is>
          <t>learned_lr</t>
        </is>
      </c>
      <c r="BC25" s="24" t="inlineStr">
        <is>
          <t>nfl-elo-trend-lr-v4</t>
        </is>
      </c>
      <c r="BD25" s="24" t="inlineStr">
        <is>
          <t>5cb5857519c32e04c895a3220afdc208e3d717ba0793e8d4a6946b1332f11654</t>
        </is>
      </c>
      <c r="BE25" s="24" t="inlineStr">
        <is>
          <t>cd8666ca714e0142</t>
        </is>
      </c>
      <c r="BF25" s="24" t="inlineStr">
        <is>
          <t>1</t>
        </is>
      </c>
      <c r="BG25" s="24" t="inlineStr">
        <is>
          <t>nfl-elo-trend-lr-v4</t>
        </is>
      </c>
      <c r="BH25" s="24" t="inlineStr">
        <is>
          <t>2026-10-11T05:48:22.561701Z</t>
        </is>
      </c>
      <c r="BI25" s="24" t="inlineStr">
        <is>
          <t>["same_event","same_team_same_day","same_league_same_day"]</t>
        </is>
      </c>
      <c r="BJ25" s="25" t="n"/>
      <c r="BK25" s="26" t="n">
        <v>-174</v>
      </c>
      <c r="BL25" s="27" t="n">
        <v>1.574713</v>
      </c>
      <c r="BM25" s="28" t="n">
        <v>0.635036</v>
      </c>
      <c r="BN25" s="28" t="n">
        <v>0.633416</v>
      </c>
      <c r="BO25" s="28" t="n"/>
      <c r="BP25" s="25" t="n"/>
      <c r="BQ25" s="27" t="n">
        <v>1.574713</v>
      </c>
      <c r="BR25" s="28" t="n">
        <v>0.635</v>
      </c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inlineStr">
        <is>
          <t>0.3766658539</t>
        </is>
      </c>
      <c r="CD25" s="24" t="inlineStr">
        <is>
          <t>-2.967392</t>
        </is>
      </c>
      <c r="CE25" s="24" t="n"/>
      <c r="CF25" s="24" t="n"/>
      <c r="CG25" s="24" t="n"/>
      <c r="CH25" s="24" t="n"/>
      <c r="CI25" s="24" t="n"/>
      <c r="CJ25" s="24" t="inlineStr">
        <is>
          <t>-1.488917</t>
        </is>
      </c>
      <c r="CK25" s="24" t="n"/>
      <c r="CL25" s="24" t="n"/>
      <c r="CM25" s="24" t="n"/>
      <c r="CN25" s="24" t="n"/>
      <c r="CO25" s="24" t="n"/>
      <c r="CP25" s="24" t="n"/>
      <c r="CQ25" s="24" t="n"/>
      <c r="CR25" s="24" t="inlineStr">
        <is>
          <t>0.62105</t>
        </is>
      </c>
      <c r="CS25" s="24" t="inlineStr">
        <is>
          <t>False</t>
        </is>
      </c>
      <c r="CT25" s="24" t="n"/>
      <c r="CU25" s="24" t="n"/>
      <c r="CV25" s="24" t="n"/>
      <c r="CW25" s="24" t="n"/>
      <c r="CX25" s="24" t="n"/>
      <c r="CY25" s="24" t="inlineStr">
        <is>
          <t>2026-10-11T05:48:22.561701Z</t>
        </is>
      </c>
      <c r="CZ25" s="24" t="inlineStr">
        <is>
          <t>True</t>
        </is>
      </c>
      <c r="DA25" s="24" t="inlineStr">
        <is>
          <t>polymarket_us</t>
        </is>
      </c>
      <c r="DB25" s="24" t="inlineStr">
        <is>
          <t>decision_time_executable_quote</t>
        </is>
      </c>
      <c r="DC25" s="24" t="inlineStr">
        <is>
          <t>False</t>
        </is>
      </c>
      <c r="DD25" s="24" t="inlineStr">
        <is>
          <t>223ae861b38e0d7856e7c030f254a7c66e7dd20b49be7c27f4986da58ebd36d8</t>
        </is>
      </c>
      <c r="DE25" s="24" t="inlineStr">
        <is>
          <t>E:\model-prediction\data\odds\nfl\2026-10-11\polymarket_snapshots.jsonl</t>
        </is>
      </c>
      <c r="DF25" s="24" t="inlineStr">
        <is>
          <t>223ae861b38e0d7856e7c030f254a7c66e7dd20b49be7c27f4986da58ebd36d8</t>
        </is>
      </c>
      <c r="DG25" s="24" t="n"/>
      <c r="DH25" s="24" t="n"/>
      <c r="DI25" s="24" t="n"/>
      <c r="DJ25" s="24" t="n"/>
      <c r="DK25" s="24" t="n"/>
      <c r="DL25" s="24" t="n"/>
      <c r="DM25" s="24" t="n"/>
      <c r="DN25" s="24" t="n"/>
      <c r="DO25" s="24" t="n"/>
      <c r="DP25" s="24" t="n"/>
      <c r="DQ25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0.37894962416833994, "event_id": "401872989", "event_start_utc": "2026-10-11T20:05:00+00:00", "features": {"elo_probability": 0.3766658539006484, "trend_gap": -2.9673920000000003}, "historical_source_observation_times_verified": false, "model_version": "nfl-elo-trend-lr-v4", "observed_at_utc": "2026-10-11T17:03:07.738756+00:00", "schema": "learned-moneyline-replay-v1", "served_home_probability": 0.37894962416833994, "snapshot_hash": "f09a3231680d72c8735865c972500f7d34a45314dd2b3142eb84ad134bd81d57"}</t>
        </is>
      </c>
    </row>
    <row r="26" ht="36" customHeight="1">
      <c r="A26" s="24" t="inlineStr">
        <is>
          <t>06a6b0df149c4010</t>
        </is>
      </c>
      <c r="B26" s="24" t="inlineStr">
        <is>
          <t>2026-10-11T17:03:07.738756Z</t>
        </is>
      </c>
      <c r="C26" s="24" t="inlineStr">
        <is>
          <t>2026-10-11T16:25:00-0400</t>
        </is>
      </c>
      <c r="D26" s="24" t="inlineStr">
        <is>
          <t>401872991</t>
        </is>
      </c>
      <c r="E26" s="24" t="inlineStr">
        <is>
          <t>NFL</t>
        </is>
      </c>
      <c r="F26" s="24" t="inlineStr">
        <is>
          <t>Detroit Lions</t>
        </is>
      </c>
      <c r="G26" s="24" t="inlineStr">
        <is>
          <t>Arizona Cardinals</t>
        </is>
      </c>
      <c r="H26" s="24" t="inlineStr">
        <is>
          <t>moneyline</t>
        </is>
      </c>
      <c r="I26" s="24" t="inlineStr">
        <is>
          <t>away</t>
        </is>
      </c>
      <c r="J26" s="25" t="n"/>
      <c r="K26" s="24" t="inlineStr">
        <is>
          <t>polymarket_us</t>
        </is>
      </c>
      <c r="L26" s="26" t="n">
        <v>-231</v>
      </c>
      <c r="M26" s="27" t="n">
        <v>1.4329</v>
      </c>
      <c r="N26" s="28" t="n">
        <v>0.697885</v>
      </c>
      <c r="O26" s="28" t="n">
        <v>0.591991</v>
      </c>
      <c r="P26" s="28" t="n"/>
      <c r="Q26" s="28" t="n">
        <v>-0.105894</v>
      </c>
      <c r="R26" s="26" t="n">
        <v>0</v>
      </c>
      <c r="S26" s="29" t="n">
        <v>1</v>
      </c>
      <c r="T26" s="24" t="inlineStr">
        <is>
          <t>nfl-elo-trend-lr-v4</t>
        </is>
      </c>
      <c r="U26" s="24" t="inlineStr">
        <is>
          <t>settled</t>
        </is>
      </c>
      <c r="V26" s="24" t="inlineStr">
        <is>
          <t>win</t>
        </is>
      </c>
      <c r="W26" s="26" t="n">
        <v>45</v>
      </c>
      <c r="X26" s="26" t="n">
        <v>21</v>
      </c>
      <c r="Y26" s="25" t="n"/>
      <c r="Z26" s="26" t="n">
        <v>-231</v>
      </c>
      <c r="AA26" s="28" t="n">
        <v>0.6975</v>
      </c>
      <c r="AB26" s="28" t="n">
        <v>-0.000385</v>
      </c>
      <c r="AC26" s="30" t="n">
        <v>0.4329</v>
      </c>
      <c r="AD26" s="24" t="inlineStr">
        <is>
          <t>2026-10-12T10:03:43.879511Z</t>
        </is>
      </c>
      <c r="AE26" s="31" t="inlineStr">
        <is>
          <t>Learned LR call at threshold 0.5441; executable ask 0.6975 (aec-nfl-det-ari-2026-10-11); model edge vs ask -0.1055.</t>
        </is>
      </c>
      <c r="AF26" s="31" t="inlineStr">
        <is>
          <t>Learned model; shadow-qualified via operator override.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4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nfl-det</t>
        </is>
      </c>
      <c r="AQ26" s="24" t="inlineStr">
        <is>
          <t>Detroit Lions</t>
        </is>
      </c>
      <c r="AR26" s="24" t="inlineStr">
        <is>
          <t>Detroit Lions</t>
        </is>
      </c>
      <c r="AS26" s="24" t="inlineStr">
        <is>
          <t>nfl-ari</t>
        </is>
      </c>
      <c r="AT26" s="24" t="inlineStr">
        <is>
          <t>Arizona Cardinals</t>
        </is>
      </c>
      <c r="AU26" s="24" t="inlineStr">
        <is>
          <t>Arizona Cardinals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5cb5857519c32e04c895a3220afdc208e3d717ba0793e8d4a6946b1332f11654</t>
        </is>
      </c>
      <c r="BB26" s="24" t="inlineStr">
        <is>
          <t>learned_lr</t>
        </is>
      </c>
      <c r="BC26" s="24" t="inlineStr">
        <is>
          <t>nfl-elo-trend-lr-v4</t>
        </is>
      </c>
      <c r="BD26" s="24" t="inlineStr">
        <is>
          <t>5cb5857519c32e04c895a3220afdc208e3d717ba0793e8d4a6946b1332f11654</t>
        </is>
      </c>
      <c r="BE26" s="24" t="inlineStr">
        <is>
          <t>b8644d118b87d150</t>
        </is>
      </c>
      <c r="BF26" s="24" t="inlineStr">
        <is>
          <t>1</t>
        </is>
      </c>
      <c r="BG26" s="24" t="inlineStr">
        <is>
          <t>nfl-elo-trend-lr-v4</t>
        </is>
      </c>
      <c r="BH26" s="24" t="inlineStr">
        <is>
          <t>2026-10-11T05:58:14.572285Z</t>
        </is>
      </c>
      <c r="BI26" s="24" t="inlineStr">
        <is>
          <t>["same_event","same_team_same_day","same_league_same_day"]</t>
        </is>
      </c>
      <c r="BJ26" s="25" t="n"/>
      <c r="BK26" s="26" t="n">
        <v>-231</v>
      </c>
      <c r="BL26" s="27" t="n">
        <v>1.4329</v>
      </c>
      <c r="BM26" s="28" t="n">
        <v>0.697885</v>
      </c>
      <c r="BN26" s="28" t="n">
        <v>0.695761</v>
      </c>
      <c r="BO26" s="28" t="n"/>
      <c r="BP26" s="25" t="n"/>
      <c r="BQ26" s="27" t="n">
        <v>1.4329</v>
      </c>
      <c r="BR26" s="28" t="n">
        <v>0.6975</v>
      </c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inlineStr">
        <is>
          <t>0.3527250151</t>
        </is>
      </c>
      <c r="CD26" s="24" t="inlineStr">
        <is>
          <t>0.705467</t>
        </is>
      </c>
      <c r="CE26" s="24" t="n"/>
      <c r="CF26" s="24" t="n"/>
      <c r="CG26" s="24" t="n"/>
      <c r="CH26" s="24" t="n"/>
      <c r="CI26" s="24" t="n"/>
      <c r="CJ26" s="24" t="inlineStr">
        <is>
          <t>-1.348179</t>
        </is>
      </c>
      <c r="CK26" s="24" t="n"/>
      <c r="CL26" s="24" t="n"/>
      <c r="CM26" s="24" t="n"/>
      <c r="CN26" s="24" t="n"/>
      <c r="CO26" s="24" t="n"/>
      <c r="CP26" s="24" t="n"/>
      <c r="CQ26" s="24" t="n"/>
      <c r="CR26" s="24" t="inlineStr">
        <is>
          <t>0.591991</t>
        </is>
      </c>
      <c r="CS26" s="24" t="inlineStr">
        <is>
          <t>False</t>
        </is>
      </c>
      <c r="CT26" s="24" t="n"/>
      <c r="CU26" s="24" t="n"/>
      <c r="CV26" s="24" t="n"/>
      <c r="CW26" s="24" t="n"/>
      <c r="CX26" s="24" t="n"/>
      <c r="CY26" s="24" t="inlineStr">
        <is>
          <t>2026-10-11T05:58:14.572285Z</t>
        </is>
      </c>
      <c r="CZ26" s="24" t="inlineStr">
        <is>
          <t>True</t>
        </is>
      </c>
      <c r="DA26" s="24" t="inlineStr">
        <is>
          <t>polymarket_us</t>
        </is>
      </c>
      <c r="DB26" s="24" t="inlineStr">
        <is>
          <t>decision_time_executable_quote</t>
        </is>
      </c>
      <c r="DC26" s="24" t="inlineStr">
        <is>
          <t>False</t>
        </is>
      </c>
      <c r="DD26" s="24" t="inlineStr">
        <is>
          <t>f86d10af0c2c7466cb5e6159f5f8467d94169d3a30ee60e7bb69597e0b76a4ef</t>
        </is>
      </c>
      <c r="DE26" s="24" t="inlineStr">
        <is>
          <t>E:\model-prediction\data\odds\nfl\2026-10-11\polymarket_snapshots.jsonl</t>
        </is>
      </c>
      <c r="DF26" s="24" t="inlineStr">
        <is>
          <t>f86d10af0c2c7466cb5e6159f5f8467d94169d3a30ee60e7bb69597e0b76a4ef</t>
        </is>
      </c>
      <c r="DG26" s="24" t="n"/>
      <c r="DH26" s="24" t="n"/>
      <c r="DI26" s="24" t="n"/>
      <c r="DJ26" s="24" t="n"/>
      <c r="DK26" s="24" t="n"/>
      <c r="DL26" s="24" t="n"/>
      <c r="DM26" s="24" t="n"/>
      <c r="DN26" s="24" t="n"/>
      <c r="DO26" s="24" t="n"/>
      <c r="DP26" s="24" t="n"/>
      <c r="DQ26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0.4080087253205329, "event_id": "401872991", "event_start_utc": "2026-10-11T20:25:00+00:00", "features": {"elo_probability": 0.3527250151002076, "trend_gap": 0.7054670000000001}, "historical_source_observation_times_verified": false, "model_version": "nfl-elo-trend-lr-v4", "observed_at_utc": "2026-10-11T17:03:07.738756+00:00", "schema": "learned-moneyline-replay-v1", "served_home_probability": 0.4080087253205329, "snapshot_hash": "6ccb17af198d8b3a422eb72867623aa64500c3aaa405a239cd470f4e042ab612"}</t>
        </is>
      </c>
    </row>
    <row r="27" ht="36" customHeight="1">
      <c r="A27" s="24" t="inlineStr">
        <is>
          <t>2013bc521100473d</t>
        </is>
      </c>
      <c r="B27" s="24" t="inlineStr">
        <is>
          <t>2026-10-11T17:03:07.738756Z</t>
        </is>
      </c>
      <c r="C27" s="24" t="inlineStr">
        <is>
          <t>2026-10-11T16:25:00-0400</t>
        </is>
      </c>
      <c r="D27" s="24" t="inlineStr">
        <is>
          <t>401872992</t>
        </is>
      </c>
      <c r="E27" s="24" t="inlineStr">
        <is>
          <t>NFL</t>
        </is>
      </c>
      <c r="F27" s="24" t="inlineStr">
        <is>
          <t>San Francisco 49ers</t>
        </is>
      </c>
      <c r="G27" s="24" t="inlineStr">
        <is>
          <t>Seattle Seahawks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-160</v>
      </c>
      <c r="M27" s="27" t="n">
        <v>1.625</v>
      </c>
      <c r="N27" s="28" t="n">
        <v>0.615385</v>
      </c>
      <c r="O27" s="28" t="n">
        <v>0.588189</v>
      </c>
      <c r="P27" s="28" t="n"/>
      <c r="Q27" s="28" t="n">
        <v>-0.027196</v>
      </c>
      <c r="R27" s="26" t="n">
        <v>7</v>
      </c>
      <c r="S27" s="29" t="n">
        <v>1</v>
      </c>
      <c r="T27" s="24" t="inlineStr">
        <is>
          <t>nfl-elo-trend-lr-v4</t>
        </is>
      </c>
      <c r="U27" s="24" t="inlineStr">
        <is>
          <t>settled</t>
        </is>
      </c>
      <c r="V27" s="24" t="inlineStr">
        <is>
          <t>loss</t>
        </is>
      </c>
      <c r="W27" s="26" t="n">
        <v>32</v>
      </c>
      <c r="X27" s="26" t="n">
        <v>29</v>
      </c>
      <c r="Y27" s="25" t="n"/>
      <c r="Z27" s="26" t="n">
        <v>-160</v>
      </c>
      <c r="AA27" s="28" t="n">
        <v>0.615</v>
      </c>
      <c r="AB27" s="28" t="n">
        <v>-0.000385</v>
      </c>
      <c r="AC27" s="30" t="n">
        <v>-1</v>
      </c>
      <c r="AD27" s="24" t="inlineStr">
        <is>
          <t>2026-10-12T10:03:45.540801Z</t>
        </is>
      </c>
      <c r="AE27" s="31" t="inlineStr">
        <is>
          <t>Learned LR call at threshold 0.5441; executable ask 0.6150 (aec-nfl-sf-sea-2026-10-11); model edge vs ask -0.0268.</t>
        </is>
      </c>
      <c r="AF27" s="31" t="inlineStr">
        <is>
          <t>Learned model; shadow-qualified via operator override.</t>
        </is>
      </c>
      <c r="AG27" s="24" t="inlineStr">
        <is>
          <t>review_required</t>
        </is>
      </c>
      <c r="AH27" s="24" t="n"/>
      <c r="AI27" s="31" t="n"/>
      <c r="AJ27" s="31" t="n"/>
      <c r="AK27" s="24" t="inlineStr">
        <is>
          <t>model_qualified</t>
        </is>
      </c>
      <c r="AL27" s="26" t="n">
        <v>4</v>
      </c>
      <c r="AM27" s="24" t="inlineStr">
        <is>
          <t>QUALIFIED_SHADOW_CALL</t>
        </is>
      </c>
      <c r="AN27" s="24" t="inlineStr">
        <is>
          <t>CALL</t>
        </is>
      </c>
      <c r="AO27" s="24" t="inlineStr">
        <is>
          <t>QUALIFIED</t>
        </is>
      </c>
      <c r="AP27" s="24" t="inlineStr">
        <is>
          <t>nfl-sf</t>
        </is>
      </c>
      <c r="AQ27" s="24" t="inlineStr">
        <is>
          <t>San Francisco 49ers</t>
        </is>
      </c>
      <c r="AR27" s="24" t="inlineStr">
        <is>
          <t>San Francisco 49ers</t>
        </is>
      </c>
      <c r="AS27" s="24" t="inlineStr">
        <is>
          <t>nfl-sea</t>
        </is>
      </c>
      <c r="AT27" s="24" t="inlineStr">
        <is>
          <t>Seattle Seahawks</t>
        </is>
      </c>
      <c r="AU27" s="24" t="inlineStr">
        <is>
          <t>Seattle Seahawks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5cb5857519c32e04c895a3220afdc208e3d717ba0793e8d4a6946b1332f11654</t>
        </is>
      </c>
      <c r="BB27" s="24" t="inlineStr">
        <is>
          <t>learned_lr</t>
        </is>
      </c>
      <c r="BC27" s="24" t="inlineStr">
        <is>
          <t>nfl-elo-trend-lr-v4</t>
        </is>
      </c>
      <c r="BD27" s="24" t="inlineStr">
        <is>
          <t>5cb5857519c32e04c895a3220afdc208e3d717ba0793e8d4a6946b1332f11654</t>
        </is>
      </c>
      <c r="BE27" s="24" t="inlineStr">
        <is>
          <t>61af681020ded2f5</t>
        </is>
      </c>
      <c r="BF27" s="24" t="inlineStr">
        <is>
          <t>1</t>
        </is>
      </c>
      <c r="BG27" s="24" t="inlineStr">
        <is>
          <t>nfl-elo-trend-lr-v4</t>
        </is>
      </c>
      <c r="BH27" s="24" t="inlineStr">
        <is>
          <t>2026-10-11T11:28:15.759152Z</t>
        </is>
      </c>
      <c r="BI27" s="24" t="inlineStr">
        <is>
          <t>["same_event","same_team_same_day","same_league_same_day"]</t>
        </is>
      </c>
      <c r="BJ27" s="25" t="n"/>
      <c r="BK27" s="26" t="n">
        <v>-160</v>
      </c>
      <c r="BL27" s="27" t="n">
        <v>1.625</v>
      </c>
      <c r="BM27" s="28" t="n">
        <v>0.615385</v>
      </c>
      <c r="BN27" s="28" t="n">
        <v>0.613466</v>
      </c>
      <c r="BO27" s="28" t="n"/>
      <c r="BP27" s="25" t="n"/>
      <c r="BQ27" s="27" t="n">
        <v>1.625</v>
      </c>
      <c r="BR27" s="28" t="n">
        <v>0.615</v>
      </c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inlineStr">
        <is>
          <t>0.6201590947</t>
        </is>
      </c>
      <c r="CD27" s="24" t="inlineStr">
        <is>
          <t>1.287792</t>
        </is>
      </c>
      <c r="CE27" s="24" t="n"/>
      <c r="CF27" s="24" t="n"/>
      <c r="CG27" s="24" t="n"/>
      <c r="CH27" s="24" t="n"/>
      <c r="CI27" s="24" t="n"/>
      <c r="CJ27" s="24" t="inlineStr">
        <is>
          <t>0.723414</t>
        </is>
      </c>
      <c r="CK27" s="24" t="n"/>
      <c r="CL27" s="24" t="n"/>
      <c r="CM27" s="24" t="n"/>
      <c r="CN27" s="24" t="n"/>
      <c r="CO27" s="24" t="n"/>
      <c r="CP27" s="24" t="n"/>
      <c r="CQ27" s="24" t="n"/>
      <c r="CR27" s="24" t="inlineStr">
        <is>
          <t>0.588189</t>
        </is>
      </c>
      <c r="CS27" s="24" t="inlineStr">
        <is>
          <t>False</t>
        </is>
      </c>
      <c r="CT27" s="24" t="n"/>
      <c r="CU27" s="24" t="n"/>
      <c r="CV27" s="24" t="n"/>
      <c r="CW27" s="24" t="n"/>
      <c r="CX27" s="24" t="n"/>
      <c r="CY27" s="24" t="inlineStr">
        <is>
          <t>2026-10-11T11:28:15.759152Z</t>
        </is>
      </c>
      <c r="CZ27" s="24" t="inlineStr">
        <is>
          <t>True</t>
        </is>
      </c>
      <c r="DA27" s="24" t="inlineStr">
        <is>
          <t>polymarket_us</t>
        </is>
      </c>
      <c r="DB27" s="24" t="inlineStr">
        <is>
          <t>decision_time_executable_quote</t>
        </is>
      </c>
      <c r="DC27" s="24" t="inlineStr">
        <is>
          <t>False</t>
        </is>
      </c>
      <c r="DD27" s="24" t="inlineStr">
        <is>
          <t>576069746ad775fc3c5035dcfd8a2ae4307df1bf27caaf5dcba148fba31a7450</t>
        </is>
      </c>
      <c r="DE27" s="24" t="inlineStr">
        <is>
          <t>E:\model-prediction\data\odds\nfl\2026-10-11\polymarket_snapshots.jsonl</t>
        </is>
      </c>
      <c r="DF27" s="24" t="inlineStr">
        <is>
          <t>576069746ad775fc3c5035dcfd8a2ae4307df1bf27caaf5dcba148fba31a7450</t>
        </is>
      </c>
      <c r="DG27" s="24" t="n"/>
      <c r="DH27" s="24" t="n"/>
      <c r="DI27" s="24" t="n"/>
      <c r="DJ27" s="24" t="n"/>
      <c r="DK27" s="24" t="n"/>
      <c r="DL27" s="24" t="n"/>
      <c r="DM27" s="24" t="n"/>
      <c r="DN27" s="24" t="n"/>
      <c r="DO27" s="24" t="n"/>
      <c r="DP27" s="24" t="n"/>
      <c r="DQ27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0.5881889647917505, "event_id": "401872992", "event_start_utc": "2026-10-11T20:25:00+00:00", "features": {"elo_probability": 0.6201590947034256, "trend_gap": 1.2877920000000003}, "historical_source_observation_times_verified": false, "model_version": "nfl-elo-trend-lr-v4", "observed_at_utc": "2026-10-11T17:03:07.738756+00:00", "schema": "learned-moneyline-replay-v1", "served_home_probability": 0.5881889647917505, "snapshot_hash": "fb788a7e10c1b17a5d4de9bae2b5c483a631af08bd6c5df80c3344e17aead555"}</t>
        </is>
      </c>
    </row>
    <row r="28" ht="36" customHeight="1">
      <c r="A28" s="24" t="inlineStr">
        <is>
          <t>14254dff73c540c6</t>
        </is>
      </c>
      <c r="B28" s="24" t="inlineStr">
        <is>
          <t>2026-10-11T20:24:59.443480Z</t>
        </is>
      </c>
      <c r="C28" s="24" t="inlineStr">
        <is>
          <t>2026-10-11T20:25Z</t>
        </is>
      </c>
      <c r="D28" s="24" t="inlineStr">
        <is>
          <t>401872991</t>
        </is>
      </c>
      <c r="E28" s="24" t="inlineStr">
        <is>
          <t>NFL</t>
        </is>
      </c>
      <c r="F28" s="24" t="inlineStr">
        <is>
          <t>Detroit Lions</t>
        </is>
      </c>
      <c r="G28" s="24" t="inlineStr">
        <is>
          <t>Arizona Cardinals</t>
        </is>
      </c>
      <c r="H28" s="24" t="inlineStr">
        <is>
          <t>spread</t>
        </is>
      </c>
      <c r="I28" s="24" t="inlineStr">
        <is>
          <t>home</t>
        </is>
      </c>
      <c r="J28" s="25" t="n">
        <v>5.5</v>
      </c>
      <c r="K28" s="24" t="inlineStr">
        <is>
          <t>polymarket_us</t>
        </is>
      </c>
      <c r="L28" s="26" t="n">
        <v>-104</v>
      </c>
      <c r="M28" s="27" t="n">
        <v>1.961538</v>
      </c>
      <c r="N28" s="28" t="n">
        <v>0.509804</v>
      </c>
      <c r="O28" s="28" t="n">
        <v>0.701592</v>
      </c>
      <c r="P28" s="28" t="n">
        <v>0.08</v>
      </c>
      <c r="Q28" s="28" t="n">
        <v>0.191788</v>
      </c>
      <c r="R28" s="26" t="n">
        <v>98</v>
      </c>
      <c r="S28" s="29" t="n">
        <v>1.75</v>
      </c>
      <c r="T28" s="24" t="inlineStr">
        <is>
          <t>nfl-spread-structural-v5</t>
        </is>
      </c>
      <c r="U28" s="24" t="inlineStr">
        <is>
          <t>settled</t>
        </is>
      </c>
      <c r="V28" s="24" t="inlineStr">
        <is>
          <t>loss</t>
        </is>
      </c>
      <c r="W28" s="26" t="n">
        <v>45</v>
      </c>
      <c r="X28" s="26" t="n">
        <v>21</v>
      </c>
      <c r="Y28" s="25" t="n"/>
      <c r="Z28" s="26" t="n"/>
      <c r="AA28" s="28" t="n"/>
      <c r="AB28" s="28" t="n"/>
      <c r="AC28" s="30" t="n">
        <v>-1.75</v>
      </c>
      <c r="AD28" s="24" t="inlineStr">
        <is>
          <t>2026-10-12T10:03:47.241754Z</t>
        </is>
      </c>
      <c r="AE28" s="31" t="inlineStr">
        <is>
          <t>NFL Structural v5 Spread projection. Projected margin +1.8. Executable ask 0.5100 (asc-nfl-det-ari-2026-10-11-neg-5pt5).</t>
        </is>
      </c>
      <c r="AF28" s="31" t="inlineStr">
        <is>
          <t>NFL Structural v5 joint distribution spread model.</t>
        </is>
      </c>
      <c r="AG28" s="24" t="inlineStr">
        <is>
          <t>review_required</t>
        </is>
      </c>
      <c r="AH28" s="24" t="n"/>
      <c r="AI28" s="31" t="n"/>
      <c r="AJ28" s="31" t="n"/>
      <c r="AK28" s="24" t="inlineStr">
        <is>
          <t>paper_call</t>
        </is>
      </c>
      <c r="AL28" s="26" t="n">
        <v>4</v>
      </c>
      <c r="AM28" s="24" t="inlineStr">
        <is>
          <t>RESEARCH_OBSERVATION</t>
        </is>
      </c>
      <c r="AN28" s="24" t="inlineStr">
        <is>
          <t>CALL</t>
        </is>
      </c>
      <c r="AO28" s="24" t="inlineStr">
        <is>
          <t>PAPER_CALL_STALE_DATA</t>
        </is>
      </c>
      <c r="AP28" s="24" t="inlineStr">
        <is>
          <t>nfl-det</t>
        </is>
      </c>
      <c r="AQ28" s="24" t="inlineStr">
        <is>
          <t>Detroit Lions</t>
        </is>
      </c>
      <c r="AR28" s="24" t="inlineStr">
        <is>
          <t>Detroit Lions</t>
        </is>
      </c>
      <c r="AS28" s="24" t="inlineStr">
        <is>
          <t>nfl-ari</t>
        </is>
      </c>
      <c r="AT28" s="24" t="inlineStr">
        <is>
          <t>Arizona Cardinals</t>
        </is>
      </c>
      <c r="AU28" s="24" t="inlineStr">
        <is>
          <t>Arizona Cardinals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4d76d37c4c20eda0eb538f3829c814b2be7119fcf464eb015f309485081c9768</t>
        </is>
      </c>
      <c r="BB28" s="24" t="inlineStr">
        <is>
          <t>margin_normal</t>
        </is>
      </c>
      <c r="BC28" s="24" t="inlineStr">
        <is>
          <t>nfl-spread-structural-v5</t>
        </is>
      </c>
      <c r="BD28" s="24" t="inlineStr">
        <is>
          <t>4d76d37c4c20eda0eb538f3829c814b2be7119fcf464eb015f309485081c9768</t>
        </is>
      </c>
      <c r="BE28" s="24" t="inlineStr">
        <is>
          <t>2</t>
        </is>
      </c>
      <c r="BF28" s="24" t="inlineStr">
        <is>
          <t>1</t>
        </is>
      </c>
      <c r="BG28" s="24" t="inlineStr">
        <is>
          <t>4d76d37c4c20eda0eb538f3829c814b2be7119fcf464eb015f309485081c9768</t>
        </is>
      </c>
      <c r="BH28" s="24" t="inlineStr">
        <is>
          <t>2026-10-11T05:59:44.157116Z</t>
        </is>
      </c>
      <c r="BI28" s="24" t="inlineStr">
        <is>
          <t>["same_event","same_team_same_day","same_league_same_day"]</t>
        </is>
      </c>
      <c r="BJ28" s="25" t="n">
        <v>5.5</v>
      </c>
      <c r="BK28" s="26" t="n">
        <v>-104</v>
      </c>
      <c r="BL28" s="27" t="n">
        <v>1.961538</v>
      </c>
      <c r="BM28" s="28" t="n">
        <v>0.509804</v>
      </c>
      <c r="BN28" s="28" t="n"/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True</t>
        </is>
      </c>
      <c r="CT28" s="24" t="n"/>
      <c r="CU28" s="24" t="n"/>
      <c r="CV28" s="24" t="n"/>
      <c r="CW28" s="24" t="n"/>
      <c r="CX28" s="24" t="n"/>
      <c r="CY28" s="24" t="inlineStr">
        <is>
          <t>2026-10-11T05:59:44.157116Z</t>
        </is>
      </c>
      <c r="CZ28" s="24" t="inlineStr">
        <is>
          <t>True</t>
        </is>
      </c>
      <c r="DA28" s="24" t="inlineStr">
        <is>
          <t>polymarket_us</t>
        </is>
      </c>
      <c r="DB28" s="24" t="inlineStr">
        <is>
          <t>decision_time_executable_quote</t>
        </is>
      </c>
      <c r="DC28" s="24" t="inlineStr">
        <is>
          <t>False</t>
        </is>
      </c>
      <c r="DD28" s="24" t="inlineStr">
        <is>
          <t>203a743b224decb86874c3ffb39076d24a2d04c61de74674b51efac9fa2c1c6a</t>
        </is>
      </c>
      <c r="DE28" s="24" t="inlineStr">
        <is>
          <t>E:\model-prediction\data\odds\nfl\2026-10-11\polymarket_snapshots.jsonl</t>
        </is>
      </c>
      <c r="DF28" s="24" t="inlineStr">
        <is>
          <t>203a743b224decb86874c3ffb39076d24a2d04c61de74674b51efac9fa2c1c6a</t>
        </is>
      </c>
      <c r="DG28" s="24" t="n"/>
      <c r="DH28" s="24" t="n"/>
      <c r="DI28" s="24" t="n"/>
      <c r="DJ28" s="24" t="n"/>
      <c r="DK28" s="24" t="n"/>
      <c r="DL28" s="24" t="n"/>
      <c r="DM28" s="24" t="n"/>
      <c r="DN28" s="24" t="n"/>
      <c r="DO28" s="24" t="n"/>
      <c r="DP28" s="24" t="n"/>
      <c r="DQ28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"401872991", "event_start_utc": "2026-10-11T20:25Z", "features": {"away_team": "Detroit Lions", "home_team": "Arizona Cardinals", "spread_home_line": 5.5}, "historical_source_observation_times_verified": false, "inference_inputs": {"line": -5.5, "mean": 1.8, "sd": 13.8}, "model_version": "nfl-spread-structural-v5", "observed_at_utc": "2026-10-11T20:24:58.643019+00:00", "replay_scope": "Exact final classifier/distribution inputs and artifact. Upstream historical feature construction not certified.", "schema": "scalar-artifact-replay-v1", "snapshot_hash": "210e6cd789ab5702d4f8e1e9b9516a609fbb5f1092bb53d9b514a17b6b163e2a"}</t>
        </is>
      </c>
    </row>
    <row r="29" ht="36" customHeight="1">
      <c r="A29" s="24" t="inlineStr">
        <is>
          <t>3539f773817f49c5</t>
        </is>
      </c>
      <c r="B29" s="24" t="inlineStr">
        <is>
          <t>2026-10-11T20:24:59.443480Z</t>
        </is>
      </c>
      <c r="C29" s="24" t="inlineStr">
        <is>
          <t>2026-10-11T20:25Z</t>
        </is>
      </c>
      <c r="D29" s="24" t="inlineStr">
        <is>
          <t>401872992</t>
        </is>
      </c>
      <c r="E29" s="24" t="inlineStr">
        <is>
          <t>NFL</t>
        </is>
      </c>
      <c r="F29" s="24" t="inlineStr">
        <is>
          <t>San Francisco 49ers</t>
        </is>
      </c>
      <c r="G29" s="24" t="inlineStr">
        <is>
          <t>Seattle Seahawks</t>
        </is>
      </c>
      <c r="H29" s="24" t="inlineStr">
        <is>
          <t>spread</t>
        </is>
      </c>
      <c r="I29" s="24" t="inlineStr">
        <is>
          <t>away</t>
        </is>
      </c>
      <c r="J29" s="25" t="n">
        <v>3.5</v>
      </c>
      <c r="K29" s="24" t="inlineStr">
        <is>
          <t>polymarket_us</t>
        </is>
      </c>
      <c r="L29" s="26" t="n">
        <v>-115</v>
      </c>
      <c r="M29" s="27" t="n">
        <v>1.869565</v>
      </c>
      <c r="N29" s="28" t="n">
        <v>0.534884</v>
      </c>
      <c r="O29" s="28" t="n">
        <v>0.549021</v>
      </c>
      <c r="P29" s="28" t="n">
        <v>0.08</v>
      </c>
      <c r="Q29" s="28" t="n">
        <v>0.014137</v>
      </c>
      <c r="R29" s="26" t="n">
        <v>9</v>
      </c>
      <c r="S29" s="29" t="n">
        <v>1</v>
      </c>
      <c r="T29" s="24" t="inlineStr">
        <is>
          <t>nfl-spread-structural-v5</t>
        </is>
      </c>
      <c r="U29" s="24" t="inlineStr">
        <is>
          <t>settled</t>
        </is>
      </c>
      <c r="V29" s="24" t="inlineStr">
        <is>
          <t>win</t>
        </is>
      </c>
      <c r="W29" s="26" t="n">
        <v>32</v>
      </c>
      <c r="X29" s="26" t="n">
        <v>29</v>
      </c>
      <c r="Y29" s="25" t="n"/>
      <c r="Z29" s="26" t="n"/>
      <c r="AA29" s="28" t="n"/>
      <c r="AB29" s="28" t="n"/>
      <c r="AC29" s="30" t="n">
        <v>0.8696</v>
      </c>
      <c r="AD29" s="24" t="inlineStr">
        <is>
          <t>2026-10-12T10:03:48.898062Z</t>
        </is>
      </c>
      <c r="AE29" s="31" t="inlineStr">
        <is>
          <t>NFL Structural v5 Spread projection. Projected margin +1.8. Executable ask 0.5350 (asc-nfl-sf-sea-2026-10-11-pos-3pt5).</t>
        </is>
      </c>
      <c r="AF29" s="31" t="inlineStr">
        <is>
          <t>NFL Structural v5 joint distribution spread model.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paper_call</t>
        </is>
      </c>
      <c r="AL29" s="26" t="n">
        <v>4</v>
      </c>
      <c r="AM29" s="24" t="inlineStr">
        <is>
          <t>RESEARCH_OBSERVATION</t>
        </is>
      </c>
      <c r="AN29" s="24" t="inlineStr">
        <is>
          <t>CALL</t>
        </is>
      </c>
      <c r="AO29" s="24" t="inlineStr">
        <is>
          <t>PAPER_CALL_STALE_DATA</t>
        </is>
      </c>
      <c r="AP29" s="24" t="inlineStr">
        <is>
          <t>nfl-sf</t>
        </is>
      </c>
      <c r="AQ29" s="24" t="inlineStr">
        <is>
          <t>San Francisco 49ers</t>
        </is>
      </c>
      <c r="AR29" s="24" t="inlineStr">
        <is>
          <t>San Francisco 49ers</t>
        </is>
      </c>
      <c r="AS29" s="24" t="inlineStr">
        <is>
          <t>nfl-sea</t>
        </is>
      </c>
      <c r="AT29" s="24" t="inlineStr">
        <is>
          <t>Seattle Seahawks</t>
        </is>
      </c>
      <c r="AU29" s="24" t="inlineStr">
        <is>
          <t>Seattle Seahawks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4d76d37c4c20eda0eb538f3829c814b2be7119fcf464eb015f309485081c9768</t>
        </is>
      </c>
      <c r="BB29" s="24" t="inlineStr">
        <is>
          <t>margin_normal</t>
        </is>
      </c>
      <c r="BC29" s="24" t="inlineStr">
        <is>
          <t>nfl-spread-structural-v5</t>
        </is>
      </c>
      <c r="BD29" s="24" t="inlineStr">
        <is>
          <t>4d76d37c4c20eda0eb538f3829c814b2be7119fcf464eb015f309485081c9768</t>
        </is>
      </c>
      <c r="BE29" s="24" t="inlineStr">
        <is>
          <t>2</t>
        </is>
      </c>
      <c r="BF29" s="24" t="inlineStr">
        <is>
          <t>1</t>
        </is>
      </c>
      <c r="BG29" s="24" t="inlineStr">
        <is>
          <t>4d76d37c4c20eda0eb538f3829c814b2be7119fcf464eb015f309485081c9768</t>
        </is>
      </c>
      <c r="BH29" s="24" t="inlineStr">
        <is>
          <t>2026-10-11T06:08:05.692037Z</t>
        </is>
      </c>
      <c r="BI29" s="24" t="inlineStr">
        <is>
          <t>["same_event","same_team_same_day","same_league_same_day"]</t>
        </is>
      </c>
      <c r="BJ29" s="25" t="n">
        <v>3.5</v>
      </c>
      <c r="BK29" s="26" t="n">
        <v>-115</v>
      </c>
      <c r="BL29" s="27" t="n">
        <v>1.869565</v>
      </c>
      <c r="BM29" s="28" t="n">
        <v>0.534884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True</t>
        </is>
      </c>
      <c r="CT29" s="24" t="n"/>
      <c r="CU29" s="24" t="n"/>
      <c r="CV29" s="24" t="n"/>
      <c r="CW29" s="24" t="n"/>
      <c r="CX29" s="24" t="n"/>
      <c r="CY29" s="24" t="inlineStr">
        <is>
          <t>2026-10-11T06:08:05.692037Z</t>
        </is>
      </c>
      <c r="CZ29" s="24" t="inlineStr">
        <is>
          <t>True</t>
        </is>
      </c>
      <c r="DA29" s="24" t="inlineStr">
        <is>
          <t>polymarket_us</t>
        </is>
      </c>
      <c r="DB29" s="24" t="inlineStr">
        <is>
          <t>decision_time_executable_quote</t>
        </is>
      </c>
      <c r="DC29" s="24" t="inlineStr">
        <is>
          <t>False</t>
        </is>
      </c>
      <c r="DD29" s="24" t="inlineStr">
        <is>
          <t>4d79e72fc4094f00cf7819a4e86d56519be0aee5f7c8ff4e10c2494a05186b00</t>
        </is>
      </c>
      <c r="DE29" s="24" t="inlineStr">
        <is>
          <t>E:\model-prediction\data\odds\nfl\2026-10-11\polymarket_snapshots.jsonl</t>
        </is>
      </c>
      <c r="DF29" s="24" t="inlineStr">
        <is>
          <t>4d79e72fc4094f00cf7819a4e86d56519be0aee5f7c8ff4e10c2494a05186b00</t>
        </is>
      </c>
      <c r="DG29" s="24" t="n"/>
      <c r="DH29" s="24" t="n"/>
      <c r="DI29" s="24" t="n"/>
      <c r="DJ29" s="24" t="n"/>
      <c r="DK29" s="24" t="n"/>
      <c r="DL29" s="24" t="n"/>
      <c r="DM29" s="24" t="n"/>
      <c r="DN29" s="24" t="n"/>
      <c r="DO29" s="24" t="n"/>
      <c r="DP29" s="24" t="n"/>
      <c r="DQ29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"401872992", "event_start_utc": "2026-10-11T20:25Z", "features": {"away_team": "San Francisco 49ers", "home_team": "Seattle Seahawks", "spread_home_line": -3.5}, "historical_source_observation_times_verified": false, "inference_inputs": {"line": 3.5, "mean": 1.8, "sd": 13.8}, "model_version": "nfl-spread-structural-v5", "observed_at_utc": "2026-10-11T20:24:58.643019+00:00", "replay_scope": "Exact final classifier/distribution inputs and artifact. Upstream historical feature construction not certified.", "schema": "scalar-artifact-replay-v1", "snapshot_hash": "cf2b62a8f64bcb1260ecd1c8fe30c56182f55426297535effd59c13b9ffcb125"}</t>
        </is>
      </c>
    </row>
    <row r="30" ht="36" customHeight="1">
      <c r="A30" s="24" t="inlineStr">
        <is>
          <t>f41c67099d6e4908</t>
        </is>
      </c>
      <c r="B30" s="24" t="inlineStr">
        <is>
          <t>2026-10-11T22:36:03.243499Z</t>
        </is>
      </c>
      <c r="C30" s="24" t="inlineStr">
        <is>
          <t>2026-10-11T20:20:00-0400</t>
        </is>
      </c>
      <c r="D30" s="24" t="inlineStr">
        <is>
          <t>401872993</t>
        </is>
      </c>
      <c r="E30" s="24" t="inlineStr">
        <is>
          <t>NFL</t>
        </is>
      </c>
      <c r="F30" s="24" t="inlineStr">
        <is>
          <t>Baltimore Ravens</t>
        </is>
      </c>
      <c r="G30" s="24" t="inlineStr">
        <is>
          <t>Atlanta Falcons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-161</v>
      </c>
      <c r="M30" s="27" t="n">
        <v>1.621118</v>
      </c>
      <c r="N30" s="28" t="n">
        <v>0.616858</v>
      </c>
      <c r="O30" s="28" t="n">
        <v>0.553449</v>
      </c>
      <c r="P30" s="28" t="n"/>
      <c r="Q30" s="28" t="n">
        <v>-0.06340899999999999</v>
      </c>
      <c r="R30" s="26" t="n">
        <v>0</v>
      </c>
      <c r="S30" s="29" t="n">
        <v>1</v>
      </c>
      <c r="T30" s="24" t="inlineStr">
        <is>
          <t>nfl-elo-trend-lr-v4</t>
        </is>
      </c>
      <c r="U30" s="24" t="inlineStr">
        <is>
          <t>settled</t>
        </is>
      </c>
      <c r="V30" s="24" t="inlineStr">
        <is>
          <t>loss</t>
        </is>
      </c>
      <c r="W30" s="26" t="n">
        <v>30</v>
      </c>
      <c r="X30" s="26" t="n">
        <v>23</v>
      </c>
      <c r="Y30" s="25" t="n"/>
      <c r="Z30" s="26" t="n">
        <v>-161</v>
      </c>
      <c r="AA30" s="28" t="n">
        <v>0.6175</v>
      </c>
      <c r="AB30" s="28" t="n">
        <v>0.000642</v>
      </c>
      <c r="AC30" s="30" t="n">
        <v>-1</v>
      </c>
      <c r="AD30" s="24" t="inlineStr">
        <is>
          <t>2026-10-12T10:03:53.721081Z</t>
        </is>
      </c>
      <c r="AE30" s="31" t="inlineStr">
        <is>
          <t>Learned LR call at threshold 0.5441; executable ask 0.6175 (aec-nfl-bal-atl-2026-10-11); model edge vs ask -0.0641.</t>
        </is>
      </c>
      <c r="AF30" s="31" t="inlineStr">
        <is>
          <t>Learned model; shadow-qualified via operator override.</t>
        </is>
      </c>
      <c r="AG30" s="24" t="inlineStr">
        <is>
          <t>review_required</t>
        </is>
      </c>
      <c r="AH30" s="24" t="n"/>
      <c r="AI30" s="31" t="n"/>
      <c r="AJ30" s="31" t="n"/>
      <c r="AK30" s="24" t="inlineStr">
        <is>
          <t>model_qualified</t>
        </is>
      </c>
      <c r="AL30" s="26" t="n">
        <v>4</v>
      </c>
      <c r="AM30" s="24" t="inlineStr">
        <is>
          <t>QUALIFIED_SHADOW_CALL</t>
        </is>
      </c>
      <c r="AN30" s="24" t="inlineStr">
        <is>
          <t>CALL</t>
        </is>
      </c>
      <c r="AO30" s="24" t="inlineStr">
        <is>
          <t>QUALIFIED</t>
        </is>
      </c>
      <c r="AP30" s="24" t="inlineStr">
        <is>
          <t>nfl-bal</t>
        </is>
      </c>
      <c r="AQ30" s="24" t="inlineStr">
        <is>
          <t>Baltimore Ravens</t>
        </is>
      </c>
      <c r="AR30" s="24" t="inlineStr">
        <is>
          <t>Baltimore Ravens</t>
        </is>
      </c>
      <c r="AS30" s="24" t="inlineStr">
        <is>
          <t>nfl-atl</t>
        </is>
      </c>
      <c r="AT30" s="24" t="inlineStr">
        <is>
          <t>Atlanta Falcons</t>
        </is>
      </c>
      <c r="AU30" s="24" t="inlineStr">
        <is>
          <t>Atlanta Falcons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5cb5857519c32e04c895a3220afdc208e3d717ba0793e8d4a6946b1332f11654</t>
        </is>
      </c>
      <c r="BB30" s="24" t="inlineStr">
        <is>
          <t>learned_lr</t>
        </is>
      </c>
      <c r="BC30" s="24" t="inlineStr">
        <is>
          <t>nfl-elo-trend-lr-v4</t>
        </is>
      </c>
      <c r="BD30" s="24" t="inlineStr">
        <is>
          <t>5cb5857519c32e04c895a3220afdc208e3d717ba0793e8d4a6946b1332f11654</t>
        </is>
      </c>
      <c r="BE30" s="24" t="inlineStr">
        <is>
          <t>505526f309da4a41</t>
        </is>
      </c>
      <c r="BF30" s="24" t="inlineStr">
        <is>
          <t>1</t>
        </is>
      </c>
      <c r="BG30" s="24" t="inlineStr">
        <is>
          <t>nfl-elo-trend-lr-v4</t>
        </is>
      </c>
      <c r="BH30" s="24" t="inlineStr">
        <is>
          <t>2026-10-11T22:23:06.466875Z</t>
        </is>
      </c>
      <c r="BI30" s="24" t="inlineStr">
        <is>
          <t>["same_event","same_team_same_day","same_league_same_day"]</t>
        </is>
      </c>
      <c r="BJ30" s="25" t="n"/>
      <c r="BK30" s="26" t="n">
        <v>-161</v>
      </c>
      <c r="BL30" s="27" t="n">
        <v>1.621118</v>
      </c>
      <c r="BM30" s="28" t="n">
        <v>0.616858</v>
      </c>
      <c r="BN30" s="28" t="n">
        <v>0.61596</v>
      </c>
      <c r="BO30" s="28" t="n"/>
      <c r="BP30" s="25" t="n"/>
      <c r="BQ30" s="27" t="n">
        <v>1.621118</v>
      </c>
      <c r="BR30" s="28" t="n">
        <v>0.6175</v>
      </c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inlineStr">
        <is>
          <t>0.525525746</t>
        </is>
      </c>
      <c r="CD30" s="24" t="inlineStr">
        <is>
          <t>3.391638</t>
        </is>
      </c>
      <c r="CE30" s="24" t="n"/>
      <c r="CF30" s="24" t="n"/>
      <c r="CG30" s="24" t="n"/>
      <c r="CH30" s="24" t="n"/>
      <c r="CI30" s="24" t="n"/>
      <c r="CJ30" s="24" t="inlineStr">
        <is>
          <t>2.258283</t>
        </is>
      </c>
      <c r="CK30" s="24" t="n"/>
      <c r="CL30" s="24" t="n"/>
      <c r="CM30" s="24" t="n"/>
      <c r="CN30" s="24" t="n"/>
      <c r="CO30" s="24" t="n"/>
      <c r="CP30" s="24" t="n"/>
      <c r="CQ30" s="24" t="n"/>
      <c r="CR30" s="24" t="inlineStr">
        <is>
          <t>0.553449</t>
        </is>
      </c>
      <c r="CS30" s="24" t="inlineStr">
        <is>
          <t>False</t>
        </is>
      </c>
      <c r="CT30" s="24" t="n"/>
      <c r="CU30" s="24" t="n"/>
      <c r="CV30" s="24" t="n"/>
      <c r="CW30" s="24" t="n"/>
      <c r="CX30" s="24" t="n"/>
      <c r="CY30" s="24" t="inlineStr">
        <is>
          <t>2026-10-11T22:23:06.466875Z</t>
        </is>
      </c>
      <c r="CZ30" s="24" t="inlineStr">
        <is>
          <t>True</t>
        </is>
      </c>
      <c r="DA30" s="24" t="inlineStr">
        <is>
          <t>polymarket_us</t>
        </is>
      </c>
      <c r="DB30" s="24" t="inlineStr">
        <is>
          <t>decision_time_executable_quote</t>
        </is>
      </c>
      <c r="DC30" s="24" t="inlineStr">
        <is>
          <t>False</t>
        </is>
      </c>
      <c r="DD30" s="24" t="inlineStr">
        <is>
          <t>b8ced51cb1e1918eb2d8889d98f792672cc9a3ce64128af0f988d54b9fa1e73b</t>
        </is>
      </c>
      <c r="DE30" s="24" t="inlineStr">
        <is>
          <t>E:\model-prediction\data\odds\nfl\2026-10-11\polymarket_snapshots.jsonl</t>
        </is>
      </c>
      <c r="DF30" s="24" t="inlineStr">
        <is>
          <t>b8ced51cb1e1918eb2d8889d98f792672cc9a3ce64128af0f988d54b9fa1e73b</t>
        </is>
      </c>
      <c r="DG30" s="24" t="n"/>
      <c r="DH30" s="24" t="n"/>
      <c r="DI30" s="24" t="n"/>
      <c r="DJ30" s="24" t="n"/>
      <c r="DK30" s="24" t="n"/>
      <c r="DL30" s="24" t="n"/>
      <c r="DM30" s="24" t="n"/>
      <c r="DN30" s="24" t="n"/>
      <c r="DO30" s="24" t="n"/>
      <c r="DP30" s="24" t="n"/>
      <c r="DQ30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0.5534492878163846, "event_id": "401872993", "event_start_utc": "2026-10-12T00:20:00+00:00", "features": {"elo_probability": 0.5255257459522408, "trend_gap": 3.391638}, "historical_source_observation_times_verified": false, "model_version": "nfl-elo-trend-lr-v4", "observed_at_utc": "2026-10-11T22:36:03.243499+00:00", "schema": "learned-moneyline-replay-v1", "served_home_probability": 0.5534492878163846, "snapshot_hash": "8cb0e1c3e02648ffb30e4dd232920d65aa1d199bb51f346a39a6aff8e06b4a6a"}</t>
        </is>
      </c>
    </row>
    <row r="31" ht="36" customHeight="1">
      <c r="A31" s="24" t="inlineStr">
        <is>
          <t>72216d4378224543</t>
        </is>
      </c>
      <c r="B31" s="24" t="inlineStr">
        <is>
          <t>2026-10-11T22:38:47.322910Z</t>
        </is>
      </c>
      <c r="C31" s="24" t="inlineStr">
        <is>
          <t>2026-10-12T00:20Z</t>
        </is>
      </c>
      <c r="D31" s="24" t="inlineStr">
        <is>
          <t>401872993</t>
        </is>
      </c>
      <c r="E31" s="24" t="inlineStr">
        <is>
          <t>NFL</t>
        </is>
      </c>
      <c r="F31" s="24" t="inlineStr">
        <is>
          <t>Baltimore Ravens</t>
        </is>
      </c>
      <c r="G31" s="24" t="inlineStr">
        <is>
          <t>Atlanta Falcons</t>
        </is>
      </c>
      <c r="H31" s="24" t="inlineStr">
        <is>
          <t>total</t>
        </is>
      </c>
      <c r="I31" s="24" t="inlineStr">
        <is>
          <t>over</t>
        </is>
      </c>
      <c r="J31" s="25" t="n">
        <v>44.5</v>
      </c>
      <c r="K31" s="24" t="inlineStr">
        <is>
          <t>polymarket_us</t>
        </is>
      </c>
      <c r="L31" s="26" t="n">
        <v>115</v>
      </c>
      <c r="M31" s="27" t="n">
        <v>2.15</v>
      </c>
      <c r="N31" s="28" t="n">
        <v>0.465116</v>
      </c>
      <c r="O31" s="28" t="n">
        <v>0.5530350000000001</v>
      </c>
      <c r="P31" s="28" t="n">
        <v>0.08</v>
      </c>
      <c r="Q31" s="28" t="n">
        <v>0.087919</v>
      </c>
      <c r="R31" s="26" t="n">
        <v>46</v>
      </c>
      <c r="S31" s="29" t="n">
        <v>1</v>
      </c>
      <c r="T31" s="24" t="inlineStr">
        <is>
          <t>nfl-total-structural-v5</t>
        </is>
      </c>
      <c r="U31" s="24" t="inlineStr">
        <is>
          <t>settled</t>
        </is>
      </c>
      <c r="V31" s="24" t="inlineStr">
        <is>
          <t>win</t>
        </is>
      </c>
      <c r="W31" s="26" t="n">
        <v>30</v>
      </c>
      <c r="X31" s="26" t="n">
        <v>23</v>
      </c>
      <c r="Y31" s="25" t="n"/>
      <c r="Z31" s="26" t="n">
        <v>115</v>
      </c>
      <c r="AA31" s="28" t="n">
        <v>0.465</v>
      </c>
      <c r="AB31" s="28" t="n">
        <v>-0.000116</v>
      </c>
      <c r="AC31" s="30" t="n">
        <v>1.15</v>
      </c>
      <c r="AD31" s="24" t="inlineStr">
        <is>
          <t>2026-10-12T10:04:55.686179Z</t>
        </is>
      </c>
      <c r="AE31" s="31" t="inlineStr">
        <is>
          <t>NFL Structural v5 Total projection. Projected total 46.3. Executable ask 0.4650 (tsc-nfl-bal-atl-2026-10-11-total-44pt5).</t>
        </is>
      </c>
      <c r="AF31" s="31" t="inlineStr">
        <is>
          <t>NFL Structural v5 joint distribution total model.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model_qualified</t>
        </is>
      </c>
      <c r="AL31" s="26" t="n">
        <v>4</v>
      </c>
      <c r="AM31" s="24" t="inlineStr">
        <is>
          <t>QUALIFIED_SHADOW_CALL</t>
        </is>
      </c>
      <c r="AN31" s="24" t="inlineStr">
        <is>
          <t>CALL</t>
        </is>
      </c>
      <c r="AO31" s="24" t="inlineStr">
        <is>
          <t>QUALIFIED</t>
        </is>
      </c>
      <c r="AP31" s="24" t="inlineStr">
        <is>
          <t>nfl-bal</t>
        </is>
      </c>
      <c r="AQ31" s="24" t="inlineStr">
        <is>
          <t>Baltimore Ravens</t>
        </is>
      </c>
      <c r="AR31" s="24" t="inlineStr">
        <is>
          <t>Baltimore Ravens</t>
        </is>
      </c>
      <c r="AS31" s="24" t="inlineStr">
        <is>
          <t>nfl-atl</t>
        </is>
      </c>
      <c r="AT31" s="24" t="inlineStr">
        <is>
          <t>Atlanta Falcons</t>
        </is>
      </c>
      <c r="AU31" s="24" t="inlineStr">
        <is>
          <t>Atlanta Falcons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a03cfa2ff7d92349716c72a20020b896f75c8eccd934a331987754c43f8fe7be</t>
        </is>
      </c>
      <c r="BB31" s="24" t="inlineStr">
        <is>
          <t>total_normal</t>
        </is>
      </c>
      <c r="BC31" s="24" t="inlineStr">
        <is>
          <t>nfl-total-structural-v5</t>
        </is>
      </c>
      <c r="BD31" s="24" t="inlineStr">
        <is>
          <t>a03cfa2ff7d92349716c72a20020b896f75c8eccd934a331987754c43f8fe7be</t>
        </is>
      </c>
      <c r="BE31" s="24" t="inlineStr">
        <is>
          <t>2</t>
        </is>
      </c>
      <c r="BF31" s="24" t="inlineStr">
        <is>
          <t>1</t>
        </is>
      </c>
      <c r="BG31" s="24" t="inlineStr">
        <is>
          <t>a03cfa2ff7d92349716c72a20020b896f75c8eccd934a331987754c43f8fe7be</t>
        </is>
      </c>
      <c r="BH31" s="24" t="inlineStr">
        <is>
          <t>2026-10-11T11:33:09.106534Z</t>
        </is>
      </c>
      <c r="BI31" s="24" t="inlineStr">
        <is>
          <t>["same_event","same_team_same_day","same_league_same_day"]</t>
        </is>
      </c>
      <c r="BJ31" s="25" t="n">
        <v>44.5</v>
      </c>
      <c r="BK31" s="26" t="n">
        <v>115</v>
      </c>
      <c r="BL31" s="27" t="n">
        <v>2.15</v>
      </c>
      <c r="BM31" s="28" t="n">
        <v>0.465116</v>
      </c>
      <c r="BN31" s="28" t="n"/>
      <c r="BO31" s="28" t="n"/>
      <c r="BP31" s="25" t="n"/>
      <c r="BQ31" s="27" t="n">
        <v>2.15</v>
      </c>
      <c r="BR31" s="28" t="n">
        <v>0.465</v>
      </c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True</t>
        </is>
      </c>
      <c r="CT31" s="24" t="n"/>
      <c r="CU31" s="24" t="n"/>
      <c r="CV31" s="24" t="n"/>
      <c r="CW31" s="24" t="n"/>
      <c r="CX31" s="24" t="n"/>
      <c r="CY31" s="24" t="inlineStr">
        <is>
          <t>2026-10-11T11:33:09.106534Z</t>
        </is>
      </c>
      <c r="CZ31" s="24" t="inlineStr">
        <is>
          <t>True</t>
        </is>
      </c>
      <c r="DA31" s="24" t="inlineStr">
        <is>
          <t>polymarket_us</t>
        </is>
      </c>
      <c r="DB31" s="24" t="inlineStr">
        <is>
          <t>decision_time_executable_quote</t>
        </is>
      </c>
      <c r="DC31" s="24" t="inlineStr">
        <is>
          <t>False</t>
        </is>
      </c>
      <c r="DD31" s="24" t="inlineStr">
        <is>
          <t>67294f6a42458ede94e622fe6798de27e8ee8d64285694a54866ac6ba47b6342</t>
        </is>
      </c>
      <c r="DE31" s="24" t="inlineStr">
        <is>
          <t>E:\model-prediction\data\odds\nfl\2026-10-11\polymarket_snapshots.jsonl</t>
        </is>
      </c>
      <c r="DF31" s="24" t="inlineStr">
        <is>
          <t>67294f6a42458ede94e622fe6798de27e8ee8d64285694a54866ac6ba47b6342</t>
        </is>
      </c>
      <c r="DG31" s="24" t="n"/>
      <c r="DH31" s="24" t="n"/>
      <c r="DI31" s="24" t="n"/>
      <c r="DJ31" s="24" t="n"/>
      <c r="DK31" s="24" t="n"/>
      <c r="DL31" s="24" t="n"/>
      <c r="DM31" s="24" t="n"/>
      <c r="DN31" s="24" t="n"/>
      <c r="DO31" s="24" t="n"/>
      <c r="DP31" s="24" t="n"/>
      <c r="DQ31" s="24" t="inlineStr">
        <is>
          <t>{"artifact": {"artifact_hash": "a03cfa2ff7d92349716c72a20020b896f75c8eccd934a331987754c43f8fe7be", "gates": {"max_uncertainty": 0.15, "min_edge": 0.035, "sizing": "flat_1u_gated"}, "league": "NFL", "league_avg_total": 44.5, "method": "nfl_structural_v5_total_engine", "model_version": "nfl-total-structural-v5", "positive_class": "over", "qualification": {"framework": "nfl_structural_v5_total_cdf", "locked_holdout": true, "qualified": true, "status": "qualified"}, "schema_version": "2", "sport": "nfl", "total_sd": 13.5, "weather_wind_penalty_threshold_mph": 14.0}, "artifact_hash": "a03cfa2ff7d92349716c72a20020b896f75c8eccd934a331987754c43f8fe7be", "engine_source_sha256": "b3e51245ad0a7e788962afd61a7c547268e46bdf3fe8efe2db0b1b9fce1801d3", "event_id": "401872993", "event_start_utc": "2026-10-12T00:20Z", "features": {"away_team": "Baltimore Ravens", "home_team": "Atlanta Falcons", "total_line": 44.5}, "historical_source_observation_times_verified": false, "inference_inputs": {"line": 44.5, "mean": 46.3, "sd": 13.5}, "model_version": "nfl-total-structural-v5", "observed_at_utc": "2026-10-11T22:37:06.889273+00:00", "replay_scope": "Exact final classifier/distribution inputs and artifact. Upstream historical feature construction not certified.", "schema": "scalar-artifact-replay-v1", "snapshot_hash": "3f47d778d9149d58a44c13baae52c9d40fa0174f1151db61680578b250b4e790"}</t>
        </is>
      </c>
    </row>
    <row r="32" ht="36" customHeight="1">
      <c r="A32" s="24" t="inlineStr">
        <is>
          <t>0e6248a4b08e4dfc</t>
        </is>
      </c>
      <c r="B32" s="24" t="inlineStr">
        <is>
          <t>2026-10-11T22:38:47.323916Z</t>
        </is>
      </c>
      <c r="C32" s="24" t="inlineStr">
        <is>
          <t>2026-10-12T00:20Z</t>
        </is>
      </c>
      <c r="D32" s="24" t="inlineStr">
        <is>
          <t>401872993</t>
        </is>
      </c>
      <c r="E32" s="24" t="inlineStr">
        <is>
          <t>NFL</t>
        </is>
      </c>
      <c r="F32" s="24" t="inlineStr">
        <is>
          <t>Baltimore Ravens</t>
        </is>
      </c>
      <c r="G32" s="24" t="inlineStr">
        <is>
          <t>Atlanta Falcons</t>
        </is>
      </c>
      <c r="H32" s="24" t="inlineStr">
        <is>
          <t>spread</t>
        </is>
      </c>
      <c r="I32" s="24" t="inlineStr">
        <is>
          <t>away</t>
        </is>
      </c>
      <c r="J32" s="25" t="n">
        <v>3.5</v>
      </c>
      <c r="K32" s="24" t="inlineStr">
        <is>
          <t>polymarket_us</t>
        </is>
      </c>
      <c r="L32" s="26" t="n">
        <v>-108</v>
      </c>
      <c r="M32" s="27" t="n">
        <v>1.925926</v>
      </c>
      <c r="N32" s="28" t="n">
        <v>0.519231</v>
      </c>
      <c r="O32" s="28" t="n">
        <v>0.549021</v>
      </c>
      <c r="P32" s="28" t="n">
        <v>0.08</v>
      </c>
      <c r="Q32" s="28" t="n">
        <v>0.02979</v>
      </c>
      <c r="R32" s="26" t="n">
        <v>17</v>
      </c>
      <c r="S32" s="29" t="n">
        <v>1</v>
      </c>
      <c r="T32" s="24" t="inlineStr">
        <is>
          <t>nfl-spread-structural-v5</t>
        </is>
      </c>
      <c r="U32" s="24" t="inlineStr">
        <is>
          <t>settled</t>
        </is>
      </c>
      <c r="V32" s="24" t="inlineStr">
        <is>
          <t>win</t>
        </is>
      </c>
      <c r="W32" s="26" t="n">
        <v>30</v>
      </c>
      <c r="X32" s="26" t="n">
        <v>23</v>
      </c>
      <c r="Y32" s="25" t="n"/>
      <c r="Z32" s="26" t="n"/>
      <c r="AA32" s="28" t="n"/>
      <c r="AB32" s="28" t="n"/>
      <c r="AC32" s="30" t="n">
        <v>0.9258999999999999</v>
      </c>
      <c r="AD32" s="24" t="inlineStr">
        <is>
          <t>2026-10-12T10:04:58.134062Z</t>
        </is>
      </c>
      <c r="AE32" s="31" t="inlineStr">
        <is>
          <t>NFL Structural v5 Spread projection. Projected margin +1.8. Executable ask 0.5200 (asc-nfl-bal-atl-2026-10-11-pos-3pt5).</t>
        </is>
      </c>
      <c r="AF32" s="31" t="inlineStr">
        <is>
          <t>NFL Structural v5 joint distribution spread model.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4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nfl-bal</t>
        </is>
      </c>
      <c r="AQ32" s="24" t="inlineStr">
        <is>
          <t>Baltimore Ravens</t>
        </is>
      </c>
      <c r="AR32" s="24" t="inlineStr">
        <is>
          <t>Baltimore Ravens</t>
        </is>
      </c>
      <c r="AS32" s="24" t="inlineStr">
        <is>
          <t>nfl-atl</t>
        </is>
      </c>
      <c r="AT32" s="24" t="inlineStr">
        <is>
          <t>Atlanta Falcons</t>
        </is>
      </c>
      <c r="AU32" s="24" t="inlineStr">
        <is>
          <t>Atlanta Falcons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4d76d37c4c20eda0eb538f3829c814b2be7119fcf464eb015f309485081c9768</t>
        </is>
      </c>
      <c r="BB32" s="24" t="inlineStr">
        <is>
          <t>margin_normal</t>
        </is>
      </c>
      <c r="BC32" s="24" t="inlineStr">
        <is>
          <t>nfl-spread-structural-v5</t>
        </is>
      </c>
      <c r="BD32" s="24" t="inlineStr">
        <is>
          <t>4d76d37c4c20eda0eb538f3829c814b2be7119fcf464eb015f309485081c9768</t>
        </is>
      </c>
      <c r="BE32" s="24" t="inlineStr">
        <is>
          <t>2</t>
        </is>
      </c>
      <c r="BF32" s="24" t="inlineStr">
        <is>
          <t>1</t>
        </is>
      </c>
      <c r="BG32" s="24" t="inlineStr">
        <is>
          <t>4d76d37c4c20eda0eb538f3829c814b2be7119fcf464eb015f309485081c9768</t>
        </is>
      </c>
      <c r="BH32" s="24" t="inlineStr">
        <is>
          <t>2026-10-11T11:32:38.883875Z</t>
        </is>
      </c>
      <c r="BI32" s="24" t="inlineStr">
        <is>
          <t>["same_event","same_team_same_day","same_league_same_day"]</t>
        </is>
      </c>
      <c r="BJ32" s="25" t="n">
        <v>3.5</v>
      </c>
      <c r="BK32" s="26" t="n">
        <v>-108</v>
      </c>
      <c r="BL32" s="27" t="n">
        <v>1.925926</v>
      </c>
      <c r="BM32" s="28" t="n">
        <v>0.519231</v>
      </c>
      <c r="BN32" s="28" t="n"/>
      <c r="BO32" s="28" t="n"/>
      <c r="BP32" s="25" t="n"/>
      <c r="BQ32" s="27" t="n"/>
      <c r="BR32" s="28" t="n"/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True</t>
        </is>
      </c>
      <c r="CT32" s="24" t="n"/>
      <c r="CU32" s="24" t="n"/>
      <c r="CV32" s="24" t="n"/>
      <c r="CW32" s="24" t="n"/>
      <c r="CX32" s="24" t="n"/>
      <c r="CY32" s="24" t="inlineStr">
        <is>
          <t>2026-10-11T11:32:38.883875Z</t>
        </is>
      </c>
      <c r="CZ32" s="24" t="inlineStr">
        <is>
          <t>True</t>
        </is>
      </c>
      <c r="DA32" s="24" t="inlineStr">
        <is>
          <t>polymarket_us</t>
        </is>
      </c>
      <c r="DB32" s="24" t="inlineStr">
        <is>
          <t>decision_time_executable_quote</t>
        </is>
      </c>
      <c r="DC32" s="24" t="inlineStr">
        <is>
          <t>False</t>
        </is>
      </c>
      <c r="DD32" s="24" t="inlineStr">
        <is>
          <t>1d93cc425c5ed3d3c3a5438b9592c20a1c1a24fc1a68f6441100f47e6138e8d9</t>
        </is>
      </c>
      <c r="DE32" s="24" t="inlineStr">
        <is>
          <t>E:\model-prediction\data\odds\nfl\2026-10-11\polymarket_snapshots.jsonl</t>
        </is>
      </c>
      <c r="DF32" s="24" t="inlineStr">
        <is>
          <t>1d93cc425c5ed3d3c3a5438b9592c20a1c1a24fc1a68f6441100f47e6138e8d9</t>
        </is>
      </c>
      <c r="DG32" s="24" t="n"/>
      <c r="DH32" s="24" t="n"/>
      <c r="DI32" s="24" t="n"/>
      <c r="DJ32" s="24" t="n"/>
      <c r="DK32" s="24" t="n"/>
      <c r="DL32" s="24" t="n"/>
      <c r="DM32" s="24" t="n"/>
      <c r="DN32" s="24" t="n"/>
      <c r="DO32" s="24" t="n"/>
      <c r="DP32" s="24" t="n"/>
      <c r="DQ32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"401872993", "event_start_utc": "2026-10-12T00:20Z", "features": {"away_team": "Baltimore Ravens", "home_team": "Atlanta Falcons", "spread_home_line": -3.5}, "historical_source_observation_times_verified": false, "inference_inputs": {"line": 3.5, "mean": 1.8, "sd": 13.8}, "model_version": "nfl-spread-structural-v5", "observed_at_utc": "2026-10-11T22:37:06.889273+00:00", "replay_scope": "Exact final classifier/distribution inputs and artifact. Upstream historical feature construction not certified.", "schema": "scalar-artifact-replay-v1", "snapshot_hash": "0b7fff46a9234097888011f13faadb2bbbfa9471a596930c909e6bdf8b62d658"}</t>
        </is>
      </c>
    </row>
    <row r="33" ht="36" customHeight="1">
      <c r="A33" s="24" t="inlineStr">
        <is>
          <t>1b46afc56761414d</t>
        </is>
      </c>
      <c r="B33" s="24" t="inlineStr">
        <is>
          <t>2026-10-12T22:25:35.575338Z</t>
        </is>
      </c>
      <c r="C33" s="24" t="inlineStr">
        <is>
          <t>2026-10-12T20:15:00-0400</t>
        </is>
      </c>
      <c r="D33" s="24" t="inlineStr">
        <is>
          <t>401872994</t>
        </is>
      </c>
      <c r="E33" s="24" t="inlineStr">
        <is>
          <t>NFL</t>
        </is>
      </c>
      <c r="F33" s="24" t="inlineStr">
        <is>
          <t>Buffalo Bills</t>
        </is>
      </c>
      <c r="G33" s="24" t="inlineStr">
        <is>
          <t>Los Angeles Rams</t>
        </is>
      </c>
      <c r="H33" s="24" t="inlineStr">
        <is>
          <t>moneyline</t>
        </is>
      </c>
      <c r="I33" s="24" t="inlineStr">
        <is>
          <t>home</t>
        </is>
      </c>
      <c r="J33" s="25" t="n"/>
      <c r="K33" s="24" t="inlineStr">
        <is>
          <t>polymarket_us</t>
        </is>
      </c>
      <c r="L33" s="26" t="n">
        <v>-161</v>
      </c>
      <c r="M33" s="27" t="n">
        <v>1.621118</v>
      </c>
      <c r="N33" s="28" t="n">
        <v>0.616858</v>
      </c>
      <c r="O33" s="28" t="n">
        <v>0.500606</v>
      </c>
      <c r="P33" s="28" t="n"/>
      <c r="Q33" s="28" t="n">
        <v>-0.116252</v>
      </c>
      <c r="R33" s="26" t="n">
        <v>0</v>
      </c>
      <c r="S33" s="29" t="n">
        <v>1</v>
      </c>
      <c r="T33" s="24" t="inlineStr">
        <is>
          <t>nfl-elo-trend-lr-v4</t>
        </is>
      </c>
      <c r="U33" s="24" t="inlineStr">
        <is>
          <t>settled</t>
        </is>
      </c>
      <c r="V33" s="24" t="inlineStr">
        <is>
          <t>loss</t>
        </is>
      </c>
      <c r="W33" s="26" t="n">
        <v>37</v>
      </c>
      <c r="X33" s="26" t="n">
        <v>34</v>
      </c>
      <c r="Y33" s="25" t="n"/>
      <c r="Z33" s="26" t="n">
        <v>-161</v>
      </c>
      <c r="AA33" s="28" t="n">
        <v>0.6175</v>
      </c>
      <c r="AB33" s="28" t="n">
        <v>0.000642</v>
      </c>
      <c r="AC33" s="30" t="n">
        <v>-1</v>
      </c>
      <c r="AD33" s="24" t="inlineStr">
        <is>
          <t>2026-10-13T04:35:46.513042Z</t>
        </is>
      </c>
      <c r="AE33" s="31" t="inlineStr">
        <is>
          <t>Learned LR call at threshold 0.5441; executable ask 0.6175 (aec-nfl-buf-lar-2026-10-12); model edge vs ask -0.1169.</t>
        </is>
      </c>
      <c r="AF33" s="31" t="inlineStr">
        <is>
          <t>Learned model; shadow-qualified via operator override.</t>
        </is>
      </c>
      <c r="AG33" s="24" t="inlineStr">
        <is>
          <t>review_required</t>
        </is>
      </c>
      <c r="AH33" s="24" t="n"/>
      <c r="AI33" s="31" t="n"/>
      <c r="AJ33" s="31" t="n"/>
      <c r="AK33" s="24" t="inlineStr">
        <is>
          <t>paper_call</t>
        </is>
      </c>
      <c r="AL33" s="26" t="n">
        <v>4</v>
      </c>
      <c r="AM33" s="24" t="inlineStr">
        <is>
          <t>RESEARCH_OBSERVATION</t>
        </is>
      </c>
      <c r="AN33" s="24" t="inlineStr">
        <is>
          <t>CALL</t>
        </is>
      </c>
      <c r="AO33" s="24" t="inlineStr">
        <is>
          <t>PAPER_CALL_BELOW_LEARNED_CONFIDENCE</t>
        </is>
      </c>
      <c r="AP33" s="24" t="inlineStr">
        <is>
          <t>nfl-buf</t>
        </is>
      </c>
      <c r="AQ33" s="24" t="inlineStr">
        <is>
          <t>Buffalo Bills</t>
        </is>
      </c>
      <c r="AR33" s="24" t="inlineStr">
        <is>
          <t>Buffalo Bills</t>
        </is>
      </c>
      <c r="AS33" s="24" t="inlineStr">
        <is>
          <t>nfl-lar</t>
        </is>
      </c>
      <c r="AT33" s="24" t="inlineStr">
        <is>
          <t>Los Angeles Rams</t>
        </is>
      </c>
      <c r="AU33" s="24" t="inlineStr">
        <is>
          <t>Los Angeles Rams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5cb5857519c32e04c895a3220afdc208e3d717ba0793e8d4a6946b1332f11654</t>
        </is>
      </c>
      <c r="BB33" s="24" t="inlineStr">
        <is>
          <t>learned_lr</t>
        </is>
      </c>
      <c r="BC33" s="24" t="inlineStr">
        <is>
          <t>nfl-elo-trend-lr-v4</t>
        </is>
      </c>
      <c r="BD33" s="24" t="inlineStr">
        <is>
          <t>5cb5857519c32e04c895a3220afdc208e3d717ba0793e8d4a6946b1332f11654</t>
        </is>
      </c>
      <c r="BE33" s="24" t="inlineStr">
        <is>
          <t>0e1dad6a1a18697d</t>
        </is>
      </c>
      <c r="BF33" s="24" t="inlineStr">
        <is>
          <t>1</t>
        </is>
      </c>
      <c r="BG33" s="24" t="inlineStr">
        <is>
          <t>nfl-elo-trend-lr-v4</t>
        </is>
      </c>
      <c r="BH33" s="24" t="inlineStr">
        <is>
          <t>2026-10-12T22:13:12.713342Z</t>
        </is>
      </c>
      <c r="BI33" s="24" t="inlineStr">
        <is>
          <t>["same_event","same_team_same_day","same_league_same_day"]</t>
        </is>
      </c>
      <c r="BJ33" s="25" t="n"/>
      <c r="BK33" s="26" t="n">
        <v>-161</v>
      </c>
      <c r="BL33" s="27" t="n">
        <v>1.621118</v>
      </c>
      <c r="BM33" s="28" t="n">
        <v>0.616858</v>
      </c>
      <c r="BN33" s="28" t="n">
        <v>0.61596</v>
      </c>
      <c r="BO33" s="28" t="n"/>
      <c r="BP33" s="25" t="n"/>
      <c r="BQ33" s="27" t="n">
        <v>1.621118</v>
      </c>
      <c r="BR33" s="28" t="n">
        <v>0.6175</v>
      </c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inlineStr">
        <is>
          <t>0.5225978013</t>
        </is>
      </c>
      <c r="CD33" s="24" t="inlineStr">
        <is>
          <t>-0.681808</t>
        </is>
      </c>
      <c r="CE33" s="24" t="n"/>
      <c r="CF33" s="24" t="n"/>
      <c r="CG33" s="24" t="n"/>
      <c r="CH33" s="24" t="n"/>
      <c r="CI33" s="24" t="n"/>
      <c r="CJ33" s="24" t="inlineStr">
        <is>
          <t>1.523515</t>
        </is>
      </c>
      <c r="CK33" s="24" t="n"/>
      <c r="CL33" s="24" t="n"/>
      <c r="CM33" s="24" t="n"/>
      <c r="CN33" s="24" t="n"/>
      <c r="CO33" s="24" t="n"/>
      <c r="CP33" s="24" t="n"/>
      <c r="CQ33" s="24" t="n"/>
      <c r="CR33" s="24" t="inlineStr">
        <is>
          <t>0.500606</t>
        </is>
      </c>
      <c r="CS33" s="24" t="inlineStr">
        <is>
          <t>False</t>
        </is>
      </c>
      <c r="CT33" s="24" t="n"/>
      <c r="CU33" s="24" t="n"/>
      <c r="CV33" s="24" t="n"/>
      <c r="CW33" s="24" t="n"/>
      <c r="CX33" s="24" t="n"/>
      <c r="CY33" s="24" t="inlineStr">
        <is>
          <t>2026-10-12T22:13:12.713342Z</t>
        </is>
      </c>
      <c r="CZ33" s="24" t="inlineStr">
        <is>
          <t>True</t>
        </is>
      </c>
      <c r="DA33" s="24" t="inlineStr">
        <is>
          <t>polymarket_us</t>
        </is>
      </c>
      <c r="DB33" s="24" t="inlineStr">
        <is>
          <t>decision_time_executable_quote</t>
        </is>
      </c>
      <c r="DC33" s="24" t="inlineStr">
        <is>
          <t>False</t>
        </is>
      </c>
      <c r="DD33" s="24" t="inlineStr">
        <is>
          <t>c08d17c0e4f49b06db1a3e93d6b8bc96d06435e62028d85dd76d88cd035e9a1e</t>
        </is>
      </c>
      <c r="DE33" s="24" t="inlineStr">
        <is>
          <t>E:\model-prediction\data\odds\nfl\2026-10-12\polymarket_snapshots.jsonl</t>
        </is>
      </c>
      <c r="DF33" s="24" t="inlineStr">
        <is>
          <t>c08d17c0e4f49b06db1a3e93d6b8bc96d06435e62028d85dd76d88cd035e9a1e</t>
        </is>
      </c>
      <c r="DG33" s="24" t="n"/>
      <c r="DH33" s="24" t="n"/>
      <c r="DI33" s="24" t="n"/>
      <c r="DJ33" s="24" t="n"/>
      <c r="DK33" s="24" t="n"/>
      <c r="DL33" s="24" t="n"/>
      <c r="DM33" s="24" t="n"/>
      <c r="DN33" s="24" t="n"/>
      <c r="DO33" s="24" t="n"/>
      <c r="DP33" s="24" t="n"/>
      <c r="DQ33" s="24" t="inlineStr">
        <is>
          <t>{"adjustment": {"applied": false, "method": "identity", "reason": "not_applicable"}, "artifact": {"artifact_hash": "5cb5857519c32e04c895a3220afdc208e3d717ba0793e8d4a6946b1332f11654", "market_models": {"moneyline": {"coefficients": [2.6154014596, 0.0502116986], "confidence_threshold": 0.54411292, "feature_names": ["elo_probability", "trend_gap"], "intercept": -1.330143552, "positive_class": "home"}}, "method": "logistic_regression", "model_version": "nfl-elo-trend-lr-v4", "qualification": {"brier_score": 0.204736, "calibration": {"brier_score": 0.20473579397750238, "calibration_intercept": 0.18451279966224257, "calibration_slope": 1.2318945376153096, "expected_calibration_error": 0.10085016000128659, "log_loss": 0.5979160642807883, "reliability_buckets": [{"count": 27, "hit_rate": 0.7407407407407407, "lower": 0.5, "mean_p": 0.5661397662760724, "upper": 0.6}, {"count": 39, "hit_rate": 0.6153846153846154, "lower": 0.6, "mean_p": 0.6525186570626519, "upper": 0.7}, {"count": 21, "hit_rate": 0.8571428571428571, "lower": 0.7, "mean_p": 0.732785238851311, "upper": 0.8}], "sample_size": 87, "status": "ok"}, "called_rate": 0.713115, "calls": 87, "every_called_month_positive_at_minus_110": true, "every_qualifying_month_positive_at_minus_110": true, "failures": [], "framework": "locked_complete_date_60_20_20", "hit_rate": 0.712644, "hits": 62, "locked_holdout": true, "market_type": "moneyline", "meets_primary_holdout_metrics": true, "minimum_calls": 50, "minimum_hit_rate": 0.6, "monthly_at_minus_110": [{"calls": 22, "hit_rate": 0.772727, "hits": 17, "month": "2025-11", "qualification_status": "qualifying", "units_at_minus_110": 10.454545}, {"calls": 44, "hit_rate": 0.659091, "hits": 29, "month": "2025-12", "qualification_status": "qualifying", "units_at_minus_110": 11.363636}, {"calls": 21, "hit_rate": 0.761905, "hits": 16, "month": "2026-01", "qualification_status": "qualifying", "units_at_minus_110": 9.545455}], "monthly_minimum_calls": 10, "price_diagnostics": null, "qualification_eligible": true, "qualified": true, "roi": null, "secondary_reporting_complete": true, "selectivity": 0.713115, "total_predictions": 122, "units_at_minus_110": 31.363636}, "schema_version": "1", "sport": "nfl", "training": {"coefficient_fit": {"end": "2025-09-11", "observations": 366, "start": "2024-08-18"}, "locked_holdout": {"end": "2026-02-08", "observations": 122, "start": "2025-11-20"}, "market_inputs_used": false, "threshold_selection": {"end": "2025-11-17", "observations": 146, "start": "2025-09-14"}, "threshold_source": "later validation cohort; never locked holdout", "walk_forward_features": true}}, "artifact_hash": "5cb5857519c32e04c895a3220afdc208e3d717ba0793e8d4a6946b1332f11654", "base_home_probability": 0.5006061903565824, "event_id": "401872994", "event_start_utc": "2026-10-13T00:15:00+00:00", "features": {"elo_probability": 0.5225978013419263, "trend_gap": -0.6818080000000001}, "historical_source_observation_times_verified": false, "model_version": "nfl-elo-trend-lr-v4", "observed_at_utc": "2026-10-12T22:25:35.575338+00:00", "schema": "learned-moneyline-replay-v1", "served_home_probability": 0.5006061903565824, "snapshot_hash": "1f801ac5c7d93c82cb7cc0081d1bdd1b58a547e78a61e688d0aa6646a9076dfd"}</t>
        </is>
      </c>
    </row>
    <row r="34" ht="36" customHeight="1">
      <c r="A34" s="24" t="inlineStr">
        <is>
          <t>860135a22923455d</t>
        </is>
      </c>
      <c r="B34" s="24" t="inlineStr">
        <is>
          <t>2026-10-12T22:26:14.494900Z</t>
        </is>
      </c>
      <c r="C34" s="24" t="inlineStr">
        <is>
          <t>2026-10-13T00:15Z</t>
        </is>
      </c>
      <c r="D34" s="24" t="inlineStr">
        <is>
          <t>401872994</t>
        </is>
      </c>
      <c r="E34" s="24" t="inlineStr">
        <is>
          <t>NFL</t>
        </is>
      </c>
      <c r="F34" s="24" t="inlineStr">
        <is>
          <t>Buffalo Bills</t>
        </is>
      </c>
      <c r="G34" s="24" t="inlineStr">
        <is>
          <t>Los Angeles Rams</t>
        </is>
      </c>
      <c r="H34" s="24" t="inlineStr">
        <is>
          <t>total</t>
        </is>
      </c>
      <c r="I34" s="24" t="inlineStr">
        <is>
          <t>under</t>
        </is>
      </c>
      <c r="J34" s="25" t="n">
        <v>54.5</v>
      </c>
      <c r="K34" s="24" t="inlineStr">
        <is>
          <t>polymarket_us</t>
        </is>
      </c>
      <c r="L34" s="26" t="n">
        <v>-102</v>
      </c>
      <c r="M34" s="27" t="n">
        <v>1.980392</v>
      </c>
      <c r="N34" s="28" t="n">
        <v>0.50495</v>
      </c>
      <c r="O34" s="28" t="n">
        <v>0.72821</v>
      </c>
      <c r="P34" s="28" t="n">
        <v>0.08</v>
      </c>
      <c r="Q34" s="28" t="n">
        <v>0.22326</v>
      </c>
      <c r="R34" s="26" t="n">
        <v>100</v>
      </c>
      <c r="S34" s="29" t="n">
        <v>2</v>
      </c>
      <c r="T34" s="24" t="inlineStr">
        <is>
          <t>nfl-total-structural-v5</t>
        </is>
      </c>
      <c r="U34" s="24" t="inlineStr">
        <is>
          <t>settled</t>
        </is>
      </c>
      <c r="V34" s="24" t="inlineStr">
        <is>
          <t>loss</t>
        </is>
      </c>
      <c r="W34" s="26" t="n">
        <v>37</v>
      </c>
      <c r="X34" s="26" t="n">
        <v>34</v>
      </c>
      <c r="Y34" s="25" t="n"/>
      <c r="Z34" s="26" t="n">
        <v>111</v>
      </c>
      <c r="AA34" s="28" t="n">
        <v>0.475</v>
      </c>
      <c r="AB34" s="28" t="n">
        <v>-0.02995</v>
      </c>
      <c r="AC34" s="30" t="n">
        <v>-2</v>
      </c>
      <c r="AD34" s="24" t="inlineStr">
        <is>
          <t>2026-10-13T04:36:58.226375Z</t>
        </is>
      </c>
      <c r="AE34" s="31" t="inlineStr">
        <is>
          <t>NFL Structural v5 Total projection. Projected total 46.3. Executable ask 0.5050 (tsc-nfl-buf-lar-2026-10-12-total-54pt5).</t>
        </is>
      </c>
      <c r="AF34" s="31" t="inlineStr">
        <is>
          <t>NFL Structural v5 joint distribution total model.</t>
        </is>
      </c>
      <c r="AG34" s="24" t="inlineStr">
        <is>
          <t>review_required</t>
        </is>
      </c>
      <c r="AH34" s="24" t="n"/>
      <c r="AI34" s="31" t="n"/>
      <c r="AJ34" s="31" t="n"/>
      <c r="AK34" s="24" t="inlineStr">
        <is>
          <t>model_qualified</t>
        </is>
      </c>
      <c r="AL34" s="26" t="n">
        <v>4</v>
      </c>
      <c r="AM34" s="24" t="inlineStr">
        <is>
          <t>QUALIFIED_SHADOW_CALL</t>
        </is>
      </c>
      <c r="AN34" s="24" t="inlineStr">
        <is>
          <t>CALL</t>
        </is>
      </c>
      <c r="AO34" s="24" t="inlineStr">
        <is>
          <t>QUALIFIED</t>
        </is>
      </c>
      <c r="AP34" s="24" t="inlineStr">
        <is>
          <t>nfl-buf</t>
        </is>
      </c>
      <c r="AQ34" s="24" t="inlineStr">
        <is>
          <t>Buffalo Bills</t>
        </is>
      </c>
      <c r="AR34" s="24" t="inlineStr">
        <is>
          <t>Buffalo Bills</t>
        </is>
      </c>
      <c r="AS34" s="24" t="inlineStr">
        <is>
          <t>nfl-lar</t>
        </is>
      </c>
      <c r="AT34" s="24" t="inlineStr">
        <is>
          <t>Los Angeles Rams</t>
        </is>
      </c>
      <c r="AU34" s="24" t="inlineStr">
        <is>
          <t>Los Angeles Rams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a03cfa2ff7d92349716c72a20020b896f75c8eccd934a331987754c43f8fe7be</t>
        </is>
      </c>
      <c r="BB34" s="24" t="inlineStr">
        <is>
          <t>total_normal</t>
        </is>
      </c>
      <c r="BC34" s="24" t="inlineStr">
        <is>
          <t>nfl-total-structural-v5</t>
        </is>
      </c>
      <c r="BD34" s="24" t="inlineStr">
        <is>
          <t>a03cfa2ff7d92349716c72a20020b896f75c8eccd934a331987754c43f8fe7be</t>
        </is>
      </c>
      <c r="BE34" s="24" t="inlineStr">
        <is>
          <t>2</t>
        </is>
      </c>
      <c r="BF34" s="24" t="inlineStr">
        <is>
          <t>1</t>
        </is>
      </c>
      <c r="BG34" s="24" t="inlineStr">
        <is>
          <t>a03cfa2ff7d92349716c72a20020b896f75c8eccd934a331987754c43f8fe7be</t>
        </is>
      </c>
      <c r="BH34" s="24" t="inlineStr">
        <is>
          <t>2026-10-12T16:25:14.742488Z</t>
        </is>
      </c>
      <c r="BI34" s="24" t="inlineStr">
        <is>
          <t>["same_event","same_team_same_day","same_league_same_day"]</t>
        </is>
      </c>
      <c r="BJ34" s="25" t="n">
        <v>54.5</v>
      </c>
      <c r="BK34" s="26" t="n">
        <v>-102</v>
      </c>
      <c r="BL34" s="27" t="n">
        <v>1.980392</v>
      </c>
      <c r="BM34" s="28" t="n">
        <v>0.50495</v>
      </c>
      <c r="BN34" s="28" t="n"/>
      <c r="BO34" s="28" t="n"/>
      <c r="BP34" s="25" t="n"/>
      <c r="BQ34" s="27" t="n">
        <v>2.11</v>
      </c>
      <c r="BR34" s="28" t="n">
        <v>0.475</v>
      </c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True</t>
        </is>
      </c>
      <c r="CT34" s="24" t="n"/>
      <c r="CU34" s="24" t="n"/>
      <c r="CV34" s="24" t="n"/>
      <c r="CW34" s="24" t="n"/>
      <c r="CX34" s="24" t="n"/>
      <c r="CY34" s="24" t="inlineStr">
        <is>
          <t>2026-10-12T16:25:14.742488Z</t>
        </is>
      </c>
      <c r="CZ34" s="24" t="inlineStr">
        <is>
          <t>True</t>
        </is>
      </c>
      <c r="DA34" s="24" t="inlineStr">
        <is>
          <t>polymarket_us</t>
        </is>
      </c>
      <c r="DB34" s="24" t="inlineStr">
        <is>
          <t>decision_time_executable_quote</t>
        </is>
      </c>
      <c r="DC34" s="24" t="inlineStr">
        <is>
          <t>False</t>
        </is>
      </c>
      <c r="DD34" s="24" t="inlineStr">
        <is>
          <t>bd96611f903e8b129419207d75aa9b6dc2ed6bf8cb2368c4600f91b15e509205</t>
        </is>
      </c>
      <c r="DE34" s="24" t="inlineStr">
        <is>
          <t>E:\model-prediction\data\odds\nfl\2026-10-12\polymarket_snapshots.jsonl</t>
        </is>
      </c>
      <c r="DF34" s="24" t="inlineStr">
        <is>
          <t>bd96611f903e8b129419207d75aa9b6dc2ed6bf8cb2368c4600f91b15e509205</t>
        </is>
      </c>
      <c r="DG34" s="24" t="n"/>
      <c r="DH34" s="24" t="n"/>
      <c r="DI34" s="24" t="n"/>
      <c r="DJ34" s="24" t="n"/>
      <c r="DK34" s="24" t="n"/>
      <c r="DL34" s="24" t="n"/>
      <c r="DM34" s="24" t="n"/>
      <c r="DN34" s="24" t="n"/>
      <c r="DO34" s="24" t="n"/>
      <c r="DP34" s="24" t="n"/>
      <c r="DQ34" s="24" t="inlineStr">
        <is>
          <t>{"artifact": {"artifact_hash": "a03cfa2ff7d92349716c72a20020b896f75c8eccd934a331987754c43f8fe7be", "gates": {"max_uncertainty": 0.15, "min_edge": 0.035, "sizing": "flat_1u_gated"}, "league": "NFL", "league_avg_total": 44.5, "method": "nfl_structural_v5_total_engine", "model_version": "nfl-total-structural-v5", "positive_class": "over", "qualification": {"framework": "nfl_structural_v5_total_cdf", "locked_holdout": true, "qualified": true, "status": "qualified"}, "schema_version": "2", "sport": "nfl", "total_sd": 13.5, "weather_wind_penalty_threshold_mph": 14.0}, "artifact_hash": "a03cfa2ff7d92349716c72a20020b896f75c8eccd934a331987754c43f8fe7be", "engine_source_sha256": "b3e51245ad0a7e788962afd61a7c547268e46bdf3fe8efe2db0b1b9fce1801d3", "event_id": "401872994", "event_start_utc": "2026-10-13T00:15Z", "features": {"away_team": "Buffalo Bills", "home_team": "Los Angeles Rams", "total_line": 54.5}, "historical_source_observation_times_verified": false, "inference_inputs": {"line": 54.5, "mean": 46.3, "sd": 13.5}, "model_version": "nfl-total-structural-v5", "observed_at_utc": "2026-10-12T22:26:12.624235+00:00", "replay_scope": "Exact final classifier/distribution inputs and artifact. Upstream historical feature construction not certified.", "schema": "scalar-artifact-replay-v1", "snapshot_hash": "04d474e77cc2aa36b519084a67076e5db59f61b4c20031b045298a618c1b1255"}</t>
        </is>
      </c>
    </row>
    <row r="35" ht="36" customHeight="1">
      <c r="A35" s="24" t="inlineStr">
        <is>
          <t>466d51f51f6e4a67</t>
        </is>
      </c>
      <c r="B35" s="24" t="inlineStr">
        <is>
          <t>2026-10-12T22:26:14.504946Z</t>
        </is>
      </c>
      <c r="C35" s="24" t="inlineStr">
        <is>
          <t>2026-10-13T00:15Z</t>
        </is>
      </c>
      <c r="D35" s="24" t="inlineStr">
        <is>
          <t>401872994</t>
        </is>
      </c>
      <c r="E35" s="24" t="inlineStr">
        <is>
          <t>NFL</t>
        </is>
      </c>
      <c r="F35" s="24" t="inlineStr">
        <is>
          <t>Buffalo Bills</t>
        </is>
      </c>
      <c r="G35" s="24" t="inlineStr">
        <is>
          <t>Los Angeles Rams</t>
        </is>
      </c>
      <c r="H35" s="24" t="inlineStr">
        <is>
          <t>spread</t>
        </is>
      </c>
      <c r="I35" s="24" t="inlineStr">
        <is>
          <t>away</t>
        </is>
      </c>
      <c r="J35" s="25" t="n">
        <v>3.5</v>
      </c>
      <c r="K35" s="24" t="inlineStr">
        <is>
          <t>polymarket_us</t>
        </is>
      </c>
      <c r="L35" s="26" t="n">
        <v>-111</v>
      </c>
      <c r="M35" s="27" t="n">
        <v>1.900901</v>
      </c>
      <c r="N35" s="28" t="n">
        <v>0.526066</v>
      </c>
      <c r="O35" s="28" t="n">
        <v>0.549021</v>
      </c>
      <c r="P35" s="28" t="n">
        <v>0.08</v>
      </c>
      <c r="Q35" s="28" t="n">
        <v>0.022955</v>
      </c>
      <c r="R35" s="26" t="n">
        <v>13</v>
      </c>
      <c r="S35" s="29" t="n">
        <v>1</v>
      </c>
      <c r="T35" s="24" t="inlineStr">
        <is>
          <t>nfl-spread-structural-v5</t>
        </is>
      </c>
      <c r="U35" s="24" t="inlineStr">
        <is>
          <t>settled</t>
        </is>
      </c>
      <c r="V35" s="24" t="inlineStr">
        <is>
          <t>win</t>
        </is>
      </c>
      <c r="W35" s="26" t="n">
        <v>37</v>
      </c>
      <c r="X35" s="26" t="n">
        <v>34</v>
      </c>
      <c r="Y35" s="25" t="n"/>
      <c r="Z35" s="26" t="n"/>
      <c r="AA35" s="28" t="n"/>
      <c r="AB35" s="28" t="n"/>
      <c r="AC35" s="30" t="n">
        <v>0.9009</v>
      </c>
      <c r="AD35" s="24" t="inlineStr">
        <is>
          <t>2026-10-13T04:37:09.987081Z</t>
        </is>
      </c>
      <c r="AE35" s="31" t="inlineStr">
        <is>
          <t>NFL Structural v5 Spread projection. Projected margin +1.8. Executable ask 0.5250 (asc-nfl-buf-lar-2026-10-12-pos-3pt5).</t>
        </is>
      </c>
      <c r="AF35" s="31" t="inlineStr">
        <is>
          <t>NFL Structural v5 joint distribution spread model.</t>
        </is>
      </c>
      <c r="AG35" s="24" t="inlineStr">
        <is>
          <t>not_applicable</t>
        </is>
      </c>
      <c r="AH35" s="24" t="n"/>
      <c r="AI35" s="31" t="n"/>
      <c r="AJ35" s="31" t="n"/>
      <c r="AK35" s="24" t="inlineStr">
        <is>
          <t>paper_call</t>
        </is>
      </c>
      <c r="AL35" s="26" t="n">
        <v>4</v>
      </c>
      <c r="AM35" s="24" t="inlineStr">
        <is>
          <t>RESEARCH_OBSERVATION</t>
        </is>
      </c>
      <c r="AN35" s="24" t="inlineStr">
        <is>
          <t>CALL</t>
        </is>
      </c>
      <c r="AO35" s="24" t="inlineStr">
        <is>
          <t>PAPER_CALL_STALE_DATA</t>
        </is>
      </c>
      <c r="AP35" s="24" t="inlineStr">
        <is>
          <t>nfl-buf</t>
        </is>
      </c>
      <c r="AQ35" s="24" t="inlineStr">
        <is>
          <t>Buffalo Bills</t>
        </is>
      </c>
      <c r="AR35" s="24" t="inlineStr">
        <is>
          <t>Buffalo Bills</t>
        </is>
      </c>
      <c r="AS35" s="24" t="inlineStr">
        <is>
          <t>nfl-lar</t>
        </is>
      </c>
      <c r="AT35" s="24" t="inlineStr">
        <is>
          <t>Los Angeles Rams</t>
        </is>
      </c>
      <c r="AU35" s="24" t="inlineStr">
        <is>
          <t>Los Angeles Rams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4d76d37c4c20eda0eb538f3829c814b2be7119fcf464eb015f309485081c9768</t>
        </is>
      </c>
      <c r="BB35" s="24" t="inlineStr">
        <is>
          <t>margin_normal</t>
        </is>
      </c>
      <c r="BC35" s="24" t="inlineStr">
        <is>
          <t>nfl-spread-structural-v5</t>
        </is>
      </c>
      <c r="BD35" s="24" t="inlineStr">
        <is>
          <t>4d76d37c4c20eda0eb538f3829c814b2be7119fcf464eb015f309485081c9768</t>
        </is>
      </c>
      <c r="BE35" s="24" t="inlineStr">
        <is>
          <t>2</t>
        </is>
      </c>
      <c r="BF35" s="24" t="inlineStr">
        <is>
          <t>1</t>
        </is>
      </c>
      <c r="BG35" s="24" t="inlineStr">
        <is>
          <t>4d76d37c4c20eda0eb538f3829c814b2be7119fcf464eb015f309485081c9768</t>
        </is>
      </c>
      <c r="BH35" s="24" t="inlineStr">
        <is>
          <t>2026-10-12T04:48:19.054466Z</t>
        </is>
      </c>
      <c r="BI35" s="24" t="inlineStr">
        <is>
          <t>["same_event","same_team_same_day","same_league_same_day"]</t>
        </is>
      </c>
      <c r="BJ35" s="25" t="n">
        <v>3.5</v>
      </c>
      <c r="BK35" s="26" t="n">
        <v>-111</v>
      </c>
      <c r="BL35" s="27" t="n">
        <v>1.900901</v>
      </c>
      <c r="BM35" s="28" t="n">
        <v>0.526066</v>
      </c>
      <c r="BN35" s="28" t="n"/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True</t>
        </is>
      </c>
      <c r="CT35" s="24" t="n"/>
      <c r="CU35" s="24" t="n"/>
      <c r="CV35" s="24" t="n"/>
      <c r="CW35" s="24" t="n"/>
      <c r="CX35" s="24" t="n"/>
      <c r="CY35" s="24" t="inlineStr">
        <is>
          <t>2026-10-12T04:48:19.054466Z</t>
        </is>
      </c>
      <c r="CZ35" s="24" t="inlineStr">
        <is>
          <t>True</t>
        </is>
      </c>
      <c r="DA35" s="24" t="inlineStr">
        <is>
          <t>polymarket_us</t>
        </is>
      </c>
      <c r="DB35" s="24" t="inlineStr">
        <is>
          <t>decision_time_executable_quote</t>
        </is>
      </c>
      <c r="DC35" s="24" t="inlineStr">
        <is>
          <t>False</t>
        </is>
      </c>
      <c r="DD35" s="24" t="inlineStr">
        <is>
          <t>59843121135042f7c50c9856cf40f93a33be666ac0a52fd31210c4fe50449742</t>
        </is>
      </c>
      <c r="DE35" s="24" t="inlineStr">
        <is>
          <t>E:\model-prediction\data\odds\nfl\2026-10-12\polymarket_snapshots.jsonl</t>
        </is>
      </c>
      <c r="DF35" s="24" t="inlineStr">
        <is>
          <t>59843121135042f7c50c9856cf40f93a33be666ac0a52fd31210c4fe50449742</t>
        </is>
      </c>
      <c r="DG35" s="24" t="n"/>
      <c r="DH35" s="24" t="n"/>
      <c r="DI35" s="24" t="n"/>
      <c r="DJ35" s="24" t="n"/>
      <c r="DK35" s="24" t="n"/>
      <c r="DL35" s="24" t="n"/>
      <c r="DM35" s="24" t="n"/>
      <c r="DN35" s="24" t="n"/>
      <c r="DO35" s="24" t="n"/>
      <c r="DP35" s="24" t="n"/>
      <c r="DQ35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"401872994", "event_start_utc": "2026-10-13T00:15Z", "features": {"away_team": "Buffalo Bills", "home_team": "Los Angeles Rams", "spread_home_line": -3.5}, "historical_source_observation_times_verified": false, "inference_inputs": {"line": 3.5, "mean": 1.8, "sd": 13.8}, "model_version": "nfl-spread-structural-v5", "observed_at_utc": "2026-10-12T22:26:12.625235+00:00", "replay_scope": "Exact final classifier/distribution inputs and artifact. Upstream historical feature construction not certified.", "schema": "scalar-artifact-replay-v1", "snapshot_hash": "155701ee69d68c1121d7546b716a0373a7c92ffda9bd239163f8861bd81ddf73"}</t>
        </is>
      </c>
    </row>
    <row r="36" ht="36" customHeight="1">
      <c r="A36" s="24" t="inlineStr">
        <is>
          <t>b1fd9b2bfab340ba</t>
        </is>
      </c>
      <c r="B36" s="24" t="inlineStr">
        <is>
          <t>2026-10-11T12:00:00Z</t>
        </is>
      </c>
      <c r="C36" s="24" t="inlineStr">
        <is>
          <t>2026-10-11T13:30Z</t>
        </is>
      </c>
      <c r="D36" s="24" t="inlineStr">
        <is>
          <t>401872981</t>
        </is>
      </c>
      <c r="E36" s="24" t="inlineStr">
        <is>
          <t>NFL</t>
        </is>
      </c>
      <c r="F36" s="24" t="inlineStr">
        <is>
          <t>Philadelphia Eagles</t>
        </is>
      </c>
      <c r="G36" s="24" t="inlineStr">
        <is>
          <t>Jacksonville Jaguars</t>
        </is>
      </c>
      <c r="H36" s="24" t="inlineStr">
        <is>
          <t>spread</t>
        </is>
      </c>
      <c r="I36" s="24" t="inlineStr">
        <is>
          <t>away</t>
        </is>
      </c>
      <c r="J36" s="25" t="n">
        <v>7.5</v>
      </c>
      <c r="K36" s="24" t="inlineStr">
        <is>
          <t>polymarket_us</t>
        </is>
      </c>
      <c r="L36" s="26" t="n">
        <v>100</v>
      </c>
      <c r="M36" s="27" t="n">
        <v>2</v>
      </c>
      <c r="N36" s="28" t="n">
        <v>0.5</v>
      </c>
      <c r="O36" s="28" t="n">
        <v>0.660213</v>
      </c>
      <c r="P36" s="28" t="n">
        <v>0.08</v>
      </c>
      <c r="Q36" s="28" t="n">
        <v>0.160213</v>
      </c>
      <c r="R36" s="26" t="n">
        <v>82</v>
      </c>
      <c r="S36" s="29" t="n">
        <v>1.5</v>
      </c>
      <c r="T36" s="24" t="inlineStr">
        <is>
          <t>nfl-spread-structural-v5</t>
        </is>
      </c>
      <c r="U36" s="24" t="inlineStr">
        <is>
          <t>settled</t>
        </is>
      </c>
      <c r="V36" s="24" t="inlineStr">
        <is>
          <t>win</t>
        </is>
      </c>
      <c r="W36" s="26" t="n">
        <v>17</v>
      </c>
      <c r="X36" s="26" t="n">
        <v>19</v>
      </c>
      <c r="Y36" s="25" t="n"/>
      <c r="Z36" s="26" t="n"/>
      <c r="AA36" s="28" t="n"/>
      <c r="AB36" s="28" t="n"/>
      <c r="AC36" s="30" t="n">
        <v>1.5</v>
      </c>
      <c r="AD36" s="24" t="inlineStr">
        <is>
          <t>2026-10-13T22:02:05.391639Z</t>
        </is>
      </c>
      <c r="AE36" s="31" t="inlineStr">
        <is>
          <t>NFL Structural v5 Spread projection. Projected margin +1.8. Executable ask 0.5000 (asc-nfl-phi-jax-2026-10-11-pos-7pt5).</t>
        </is>
      </c>
      <c r="AF36" s="31" t="inlineStr">
        <is>
          <t>NFL Structural v5 joint distribution spread model.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model_qualified</t>
        </is>
      </c>
      <c r="AL36" s="26" t="n">
        <v>4</v>
      </c>
      <c r="AM36" s="24" t="inlineStr">
        <is>
          <t>QUALIFIED_SHADOW_CALL</t>
        </is>
      </c>
      <c r="AN36" s="24" t="inlineStr">
        <is>
          <t>CALL</t>
        </is>
      </c>
      <c r="AO36" s="24" t="inlineStr">
        <is>
          <t>QUALIFIED</t>
        </is>
      </c>
      <c r="AP36" s="24" t="inlineStr">
        <is>
          <t>nfl-phi</t>
        </is>
      </c>
      <c r="AQ36" s="24" t="inlineStr">
        <is>
          <t>Philadelphia Eagles</t>
        </is>
      </c>
      <c r="AR36" s="24" t="inlineStr">
        <is>
          <t>Philadelphia Eagles</t>
        </is>
      </c>
      <c r="AS36" s="24" t="inlineStr">
        <is>
          <t>nfl-jax</t>
        </is>
      </c>
      <c r="AT36" s="24" t="inlineStr">
        <is>
          <t>Jacksonville Jaguars</t>
        </is>
      </c>
      <c r="AU36" s="24" t="inlineStr">
        <is>
          <t>Jacksonville Jaguars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4d76d37c4c20eda0eb538f3829c814b2be7119fcf464eb015f309485081c9768</t>
        </is>
      </c>
      <c r="BB36" s="24" t="inlineStr">
        <is>
          <t>margin_normal</t>
        </is>
      </c>
      <c r="BC36" s="24" t="inlineStr">
        <is>
          <t>nfl-spread-structural-v5</t>
        </is>
      </c>
      <c r="BD36" s="24" t="inlineStr">
        <is>
          <t>4d76d37c4c20eda0eb538f3829c814b2be7119fcf464eb015f309485081c9768</t>
        </is>
      </c>
      <c r="BE36" s="24" t="inlineStr">
        <is>
          <t>2</t>
        </is>
      </c>
      <c r="BF36" s="24" t="inlineStr">
        <is>
          <t>1</t>
        </is>
      </c>
      <c r="BG36" s="24" t="inlineStr">
        <is>
          <t>4d76d37c4c20eda0eb538f3829c814b2be7119fcf464eb015f309485081c9768</t>
        </is>
      </c>
      <c r="BH36" s="24" t="inlineStr">
        <is>
          <t>2026-10-11T10:09:10.044182Z</t>
        </is>
      </c>
      <c r="BI36" s="24" t="inlineStr">
        <is>
          <t>["same_event","same_team_same_day","same_league_same_day"]</t>
        </is>
      </c>
      <c r="BJ36" s="25" t="n">
        <v>7.5</v>
      </c>
      <c r="BK36" s="26" t="n">
        <v>100</v>
      </c>
      <c r="BL36" s="27" t="n">
        <v>2</v>
      </c>
      <c r="BM36" s="28" t="n">
        <v>0.5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True</t>
        </is>
      </c>
      <c r="CT36" s="24" t="n"/>
      <c r="CU36" s="24" t="n"/>
      <c r="CV36" s="24" t="n"/>
      <c r="CW36" s="24" t="n"/>
      <c r="CX36" s="24" t="n"/>
      <c r="CY36" s="24" t="inlineStr">
        <is>
          <t>2026-10-11T10:09:10.044182Z</t>
        </is>
      </c>
      <c r="CZ36" s="24" t="inlineStr">
        <is>
          <t>True</t>
        </is>
      </c>
      <c r="DA36" s="24" t="inlineStr">
        <is>
          <t>polymarket_us</t>
        </is>
      </c>
      <c r="DB36" s="24" t="inlineStr">
        <is>
          <t>decision_time_executable_quote</t>
        </is>
      </c>
      <c r="DC36" s="24" t="inlineStr">
        <is>
          <t>False</t>
        </is>
      </c>
      <c r="DD36" s="24" t="inlineStr">
        <is>
          <t>777cec866480bbf467eace7b4c64c17d3e98d3bedf29d51d36d611d6c92abb17</t>
        </is>
      </c>
      <c r="DE36" s="24" t="inlineStr">
        <is>
          <t>E:\model-prediction\data\odds\nfl\2026-10-11\polymarket_snapshots.jsonl</t>
        </is>
      </c>
      <c r="DF36" s="24" t="inlineStr">
        <is>
          <t>777cec866480bbf467eace7b4c64c17d3e98d3bedf29d51d36d611d6c92abb17</t>
        </is>
      </c>
      <c r="DG36" s="24" t="n"/>
      <c r="DH36" s="24" t="n"/>
      <c r="DI36" s="24" t="n"/>
      <c r="DJ36" s="24" t="n"/>
      <c r="DK36" s="24" t="n"/>
      <c r="DL36" s="24" t="n"/>
      <c r="DM36" s="24" t="n"/>
      <c r="DN36" s="24" t="n"/>
      <c r="DO36" s="24" t="n"/>
      <c r="DP36" s="24" t="n"/>
      <c r="DQ36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"401872981", "event_start_utc": "2026-10-11T13:30Z", "features": {"away_team": "Philadelphia Eagles", "home_team": "Jacksonville Jaguars", "spread_home_line": -7.5}, "historical_source_observation_times_verified": false, "inference_inputs": {"line": 7.5, "mean": 1.8, "sd": 13.8}, "model_version": "nfl-spread-structural-v5", "observed_at_utc": "2026-10-11T12:00:00+00:00", "replay_scope": "Exact final classifier/distribution inputs and artifact. Upstream historical feature construction not certified.", "schema": "scalar-artifact-replay-v1", "snapshot_hash": "e0b84f84159db86a50f5640164914d386ae15172c155cc69df8b7ce34116eac0"}</t>
        </is>
      </c>
    </row>
    <row r="37" ht="36" customHeight="1">
      <c r="A37" s="24" t="inlineStr">
        <is>
          <t>1917e9f725634950</t>
        </is>
      </c>
      <c r="B37" s="24" t="inlineStr">
        <is>
          <t>2026-10-11T12:00:00Z</t>
        </is>
      </c>
      <c r="C37" s="24" t="inlineStr">
        <is>
          <t>2026-10-11T17:00Z</t>
        </is>
      </c>
      <c r="D37" s="24" t="inlineStr">
        <is>
          <t>401872990</t>
        </is>
      </c>
      <c r="E37" s="24" t="inlineStr">
        <is>
          <t>NFL</t>
        </is>
      </c>
      <c r="F37" s="24" t="inlineStr">
        <is>
          <t>Chicago Bears</t>
        </is>
      </c>
      <c r="G37" s="24" t="inlineStr">
        <is>
          <t>Green Bay Packers</t>
        </is>
      </c>
      <c r="H37" s="24" t="inlineStr">
        <is>
          <t>spread</t>
        </is>
      </c>
      <c r="I37" s="24" t="inlineStr">
        <is>
          <t>home</t>
        </is>
      </c>
      <c r="J37" s="25" t="n">
        <v>1.5</v>
      </c>
      <c r="K37" s="24" t="inlineStr">
        <is>
          <t>polymarket_us</t>
        </is>
      </c>
      <c r="L37" s="26" t="n">
        <v>-106</v>
      </c>
      <c r="M37" s="27" t="n">
        <v>1.943396</v>
      </c>
      <c r="N37" s="28" t="n">
        <v>0.514563</v>
      </c>
      <c r="O37" s="28" t="n">
        <v>0.594498</v>
      </c>
      <c r="P37" s="28" t="n">
        <v>0.08</v>
      </c>
      <c r="Q37" s="28" t="n">
        <v>0.07993500000000001</v>
      </c>
      <c r="R37" s="26" t="n">
        <v>42</v>
      </c>
      <c r="S37" s="29" t="n">
        <v>1</v>
      </c>
      <c r="T37" s="24" t="inlineStr">
        <is>
          <t>nfl-spread-structural-v5</t>
        </is>
      </c>
      <c r="U37" s="24" t="inlineStr">
        <is>
          <t>settled</t>
        </is>
      </c>
      <c r="V37" s="24" t="inlineStr">
        <is>
          <t>win</t>
        </is>
      </c>
      <c r="W37" s="26" t="n">
        <v>7</v>
      </c>
      <c r="X37" s="26" t="n">
        <v>31</v>
      </c>
      <c r="Y37" s="25" t="n"/>
      <c r="Z37" s="26" t="n"/>
      <c r="AA37" s="28" t="n"/>
      <c r="AB37" s="28" t="n"/>
      <c r="AC37" s="30" t="n">
        <v>0.9434</v>
      </c>
      <c r="AD37" s="24" t="inlineStr">
        <is>
          <t>2026-10-13T22:02:06.482669Z</t>
        </is>
      </c>
      <c r="AE37" s="31" t="inlineStr">
        <is>
          <t>NFL Structural v5 Spread projection. Projected margin +1.8. Executable ask 0.5150 (asc-nfl-chi-gb-2026-10-11-neg-1pt5).</t>
        </is>
      </c>
      <c r="AF37" s="31" t="inlineStr">
        <is>
          <t>NFL Structural v5 joint distribution spread model.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model_qualified</t>
        </is>
      </c>
      <c r="AL37" s="26" t="n">
        <v>4</v>
      </c>
      <c r="AM37" s="24" t="inlineStr">
        <is>
          <t>QUALIFIED_SHADOW_CALL</t>
        </is>
      </c>
      <c r="AN37" s="24" t="inlineStr">
        <is>
          <t>CALL</t>
        </is>
      </c>
      <c r="AO37" s="24" t="inlineStr">
        <is>
          <t>QUALIFIED</t>
        </is>
      </c>
      <c r="AP37" s="24" t="inlineStr">
        <is>
          <t>nfl-chi</t>
        </is>
      </c>
      <c r="AQ37" s="24" t="inlineStr">
        <is>
          <t>Chicago Bears</t>
        </is>
      </c>
      <c r="AR37" s="24" t="inlineStr">
        <is>
          <t>Chicago Bears</t>
        </is>
      </c>
      <c r="AS37" s="24" t="inlineStr">
        <is>
          <t>nfl-gb</t>
        </is>
      </c>
      <c r="AT37" s="24" t="inlineStr">
        <is>
          <t>Green Bay Packers</t>
        </is>
      </c>
      <c r="AU37" s="24" t="inlineStr">
        <is>
          <t>Green Bay Packers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4d76d37c4c20eda0eb538f3829c814b2be7119fcf464eb015f309485081c9768</t>
        </is>
      </c>
      <c r="BB37" s="24" t="inlineStr">
        <is>
          <t>margin_normal</t>
        </is>
      </c>
      <c r="BC37" s="24" t="inlineStr">
        <is>
          <t>nfl-spread-structural-v5</t>
        </is>
      </c>
      <c r="BD37" s="24" t="inlineStr">
        <is>
          <t>4d76d37c4c20eda0eb538f3829c814b2be7119fcf464eb015f309485081c9768</t>
        </is>
      </c>
      <c r="BE37" s="24" t="inlineStr">
        <is>
          <t>2</t>
        </is>
      </c>
      <c r="BF37" s="24" t="inlineStr">
        <is>
          <t>1</t>
        </is>
      </c>
      <c r="BG37" s="24" t="inlineStr">
        <is>
          <t>4d76d37c4c20eda0eb538f3829c814b2be7119fcf464eb015f309485081c9768</t>
        </is>
      </c>
      <c r="BH37" s="24" t="inlineStr">
        <is>
          <t>2026-10-11T11:08:49.201218Z</t>
        </is>
      </c>
      <c r="BI37" s="24" t="inlineStr">
        <is>
          <t>["same_event","same_team_same_day","same_league_same_day"]</t>
        </is>
      </c>
      <c r="BJ37" s="25" t="n">
        <v>1.5</v>
      </c>
      <c r="BK37" s="26" t="n">
        <v>-106</v>
      </c>
      <c r="BL37" s="27" t="n">
        <v>1.943396</v>
      </c>
      <c r="BM37" s="28" t="n">
        <v>0.514563</v>
      </c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True</t>
        </is>
      </c>
      <c r="CT37" s="24" t="n"/>
      <c r="CU37" s="24" t="n"/>
      <c r="CV37" s="24" t="n"/>
      <c r="CW37" s="24" t="n"/>
      <c r="CX37" s="24" t="n"/>
      <c r="CY37" s="24" t="inlineStr">
        <is>
          <t>2026-10-11T11:08:49.201218Z</t>
        </is>
      </c>
      <c r="CZ37" s="24" t="inlineStr">
        <is>
          <t>True</t>
        </is>
      </c>
      <c r="DA37" s="24" t="inlineStr">
        <is>
          <t>polymarket_us</t>
        </is>
      </c>
      <c r="DB37" s="24" t="inlineStr">
        <is>
          <t>decision_time_executable_quote</t>
        </is>
      </c>
      <c r="DC37" s="24" t="inlineStr">
        <is>
          <t>False</t>
        </is>
      </c>
      <c r="DD37" s="24" t="inlineStr">
        <is>
          <t>654ac0a09a08597946a53e46a3e449d54dfb5595547d4440534b19a6dcb8145b</t>
        </is>
      </c>
      <c r="DE37" s="24" t="inlineStr">
        <is>
          <t>E:\model-prediction\data\odds\nfl\2026-10-11\polymarket_snapshots.jsonl</t>
        </is>
      </c>
      <c r="DF37" s="24" t="inlineStr">
        <is>
          <t>654ac0a09a08597946a53e46a3e449d54dfb5595547d4440534b19a6dcb8145b</t>
        </is>
      </c>
      <c r="DG37" s="24" t="n"/>
      <c r="DH37" s="24" t="n"/>
      <c r="DI37" s="24" t="n"/>
      <c r="DJ37" s="24" t="n"/>
      <c r="DK37" s="24" t="n"/>
      <c r="DL37" s="24" t="n"/>
      <c r="DM37" s="24" t="n"/>
      <c r="DN37" s="24" t="n"/>
      <c r="DO37" s="24" t="n"/>
      <c r="DP37" s="24" t="n"/>
      <c r="DQ37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"401872990", "event_start_utc": "2026-10-11T17:00Z", "features": {"away_team": "Chicago Bears", "home_team": "Green Bay Packers", "spread_home_line": 1.5}, "historical_source_observation_times_verified": false, "inference_inputs": {"line": -1.5, "mean": 1.8, "sd": 13.8}, "model_version": "nfl-spread-structural-v5", "observed_at_utc": "2026-10-11T12:00:00+00:00", "replay_scope": "Exact final classifier/distribution inputs and artifact. Upstream historical feature construction not certified.", "schema": "scalar-artifact-replay-v1", "snapshot_hash": "6d21f38ddcd5eaf457999e09419822ac8469aa62f897d181e1b001ef1a397b91"}</t>
        </is>
      </c>
    </row>
    <row r="38" ht="36" customHeight="1">
      <c r="A38" s="24" t="inlineStr">
        <is>
          <t>c6f0d04339ab4f41</t>
        </is>
      </c>
      <c r="B38" s="24" t="inlineStr">
        <is>
          <t>2026-10-11T12:00:00Z</t>
        </is>
      </c>
      <c r="C38" s="24" t="inlineStr">
        <is>
          <t>2026-10-11T17:00Z</t>
        </is>
      </c>
      <c r="D38" s="24" t="inlineStr">
        <is>
          <t>401872984</t>
        </is>
      </c>
      <c r="E38" s="24" t="inlineStr">
        <is>
          <t>NFL</t>
        </is>
      </c>
      <c r="F38" s="24" t="inlineStr">
        <is>
          <t>Houston Texans</t>
        </is>
      </c>
      <c r="G38" s="24" t="inlineStr">
        <is>
          <t>Tennessee Titans</t>
        </is>
      </c>
      <c r="H38" s="24" t="inlineStr">
        <is>
          <t>spread</t>
        </is>
      </c>
      <c r="I38" s="24" t="inlineStr">
        <is>
          <t>home</t>
        </is>
      </c>
      <c r="J38" s="25" t="n">
        <v>8.5</v>
      </c>
      <c r="K38" s="24" t="inlineStr">
        <is>
          <t>polymarket_us</t>
        </is>
      </c>
      <c r="L38" s="26" t="n">
        <v>-135</v>
      </c>
      <c r="M38" s="27" t="n">
        <v>1.740741</v>
      </c>
      <c r="N38" s="28" t="n">
        <v>0.574468</v>
      </c>
      <c r="O38" s="28" t="n">
        <v>0.77228</v>
      </c>
      <c r="P38" s="28" t="n">
        <v>0.08</v>
      </c>
      <c r="Q38" s="28" t="n">
        <v>0.197812</v>
      </c>
      <c r="R38" s="26" t="n">
        <v>100</v>
      </c>
      <c r="S38" s="29" t="n">
        <v>1.75</v>
      </c>
      <c r="T38" s="24" t="inlineStr">
        <is>
          <t>nfl-spread-structural-v5</t>
        </is>
      </c>
      <c r="U38" s="24" t="inlineStr">
        <is>
          <t>settled</t>
        </is>
      </c>
      <c r="V38" s="24" t="inlineStr">
        <is>
          <t>loss</t>
        </is>
      </c>
      <c r="W38" s="26" t="n">
        <v>26</v>
      </c>
      <c r="X38" s="26" t="n">
        <v>3</v>
      </c>
      <c r="Y38" s="25" t="n"/>
      <c r="Z38" s="26" t="n"/>
      <c r="AA38" s="28" t="n"/>
      <c r="AB38" s="28" t="n"/>
      <c r="AC38" s="30" t="n">
        <v>-1.75</v>
      </c>
      <c r="AD38" s="24" t="inlineStr">
        <is>
          <t>2026-10-13T22:02:07.577753Z</t>
        </is>
      </c>
      <c r="AE38" s="31" t="inlineStr">
        <is>
          <t>NFL Structural v5 Spread projection. Projected margin +1.8. Executable ask 0.5750 (asc-nfl-hou-ten-2026-10-11-neg-8pt5).</t>
        </is>
      </c>
      <c r="AF38" s="31" t="inlineStr">
        <is>
          <t>NFL Structural v5 joint distribution spread model.</t>
        </is>
      </c>
      <c r="AG38" s="24" t="inlineStr">
        <is>
          <t>review_required</t>
        </is>
      </c>
      <c r="AH38" s="24" t="n"/>
      <c r="AI38" s="31" t="n"/>
      <c r="AJ38" s="31" t="n"/>
      <c r="AK38" s="24" t="inlineStr">
        <is>
          <t>model_qualified</t>
        </is>
      </c>
      <c r="AL38" s="26" t="n">
        <v>4</v>
      </c>
      <c r="AM38" s="24" t="inlineStr">
        <is>
          <t>QUALIFIED_SHADOW_CALL</t>
        </is>
      </c>
      <c r="AN38" s="24" t="inlineStr">
        <is>
          <t>CALL</t>
        </is>
      </c>
      <c r="AO38" s="24" t="inlineStr">
        <is>
          <t>QUALIFIED</t>
        </is>
      </c>
      <c r="AP38" s="24" t="inlineStr">
        <is>
          <t>nfl-hou</t>
        </is>
      </c>
      <c r="AQ38" s="24" t="inlineStr">
        <is>
          <t>Houston Texans</t>
        </is>
      </c>
      <c r="AR38" s="24" t="inlineStr">
        <is>
          <t>Houston Texans</t>
        </is>
      </c>
      <c r="AS38" s="24" t="inlineStr">
        <is>
          <t>nfl-ten</t>
        </is>
      </c>
      <c r="AT38" s="24" t="inlineStr">
        <is>
          <t>Tennessee Titans</t>
        </is>
      </c>
      <c r="AU38" s="24" t="inlineStr">
        <is>
          <t>Tennessee Titans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4d76d37c4c20eda0eb538f3829c814b2be7119fcf464eb015f309485081c9768</t>
        </is>
      </c>
      <c r="BB38" s="24" t="inlineStr">
        <is>
          <t>margin_normal</t>
        </is>
      </c>
      <c r="BC38" s="24" t="inlineStr">
        <is>
          <t>nfl-spread-structural-v5</t>
        </is>
      </c>
      <c r="BD38" s="24" t="inlineStr">
        <is>
          <t>4d76d37c4c20eda0eb538f3829c814b2be7119fcf464eb015f309485081c9768</t>
        </is>
      </c>
      <c r="BE38" s="24" t="inlineStr">
        <is>
          <t>2</t>
        </is>
      </c>
      <c r="BF38" s="24" t="inlineStr">
        <is>
          <t>1</t>
        </is>
      </c>
      <c r="BG38" s="24" t="inlineStr">
        <is>
          <t>4d76d37c4c20eda0eb538f3829c814b2be7119fcf464eb015f309485081c9768</t>
        </is>
      </c>
      <c r="BH38" s="24" t="inlineStr">
        <is>
          <t>2026-10-11T05:20:05.671052Z</t>
        </is>
      </c>
      <c r="BI38" s="24" t="inlineStr">
        <is>
          <t>["same_event","same_team_same_day","same_league_same_day"]</t>
        </is>
      </c>
      <c r="BJ38" s="25" t="n">
        <v>8.5</v>
      </c>
      <c r="BK38" s="26" t="n">
        <v>-135</v>
      </c>
      <c r="BL38" s="27" t="n">
        <v>1.740741</v>
      </c>
      <c r="BM38" s="28" t="n">
        <v>0.574468</v>
      </c>
      <c r="BN38" s="28" t="n"/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True</t>
        </is>
      </c>
      <c r="CT38" s="24" t="n"/>
      <c r="CU38" s="24" t="n"/>
      <c r="CV38" s="24" t="n"/>
      <c r="CW38" s="24" t="n"/>
      <c r="CX38" s="24" t="n"/>
      <c r="CY38" s="24" t="inlineStr">
        <is>
          <t>2026-10-11T05:20:05.671052Z</t>
        </is>
      </c>
      <c r="CZ38" s="24" t="inlineStr">
        <is>
          <t>True</t>
        </is>
      </c>
      <c r="DA38" s="24" t="inlineStr">
        <is>
          <t>polymarket_us</t>
        </is>
      </c>
      <c r="DB38" s="24" t="inlineStr">
        <is>
          <t>decision_time_executable_quote</t>
        </is>
      </c>
      <c r="DC38" s="24" t="inlineStr">
        <is>
          <t>False</t>
        </is>
      </c>
      <c r="DD38" s="24" t="inlineStr">
        <is>
          <t>94aab425d3ee016374ae7ff9af16457c57649050e200033685a51bf99561ca98</t>
        </is>
      </c>
      <c r="DE38" s="24" t="inlineStr">
        <is>
          <t>E:\model-prediction\data\odds\nfl\2026-10-11\polymarket_snapshots.jsonl</t>
        </is>
      </c>
      <c r="DF38" s="24" t="inlineStr">
        <is>
          <t>94aab425d3ee016374ae7ff9af16457c57649050e200033685a51bf99561ca98</t>
        </is>
      </c>
      <c r="DG38" s="24" t="n"/>
      <c r="DH38" s="24" t="n"/>
      <c r="DI38" s="24" t="n"/>
      <c r="DJ38" s="24" t="n"/>
      <c r="DK38" s="24" t="n"/>
      <c r="DL38" s="24" t="n"/>
      <c r="DM38" s="24" t="n"/>
      <c r="DN38" s="24" t="n"/>
      <c r="DO38" s="24" t="n"/>
      <c r="DP38" s="24" t="n"/>
      <c r="DQ38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"401872984", "event_start_utc": "2026-10-11T17:00Z", "features": {"away_team": "Houston Texans", "home_team": "Tennessee Titans", "spread_home_line": 8.5}, "historical_source_observation_times_verified": false, "inference_inputs": {"line": -8.5, "mean": 1.8, "sd": 13.8}, "model_version": "nfl-spread-structural-v5", "observed_at_utc": "2026-10-11T12:00:00+00:00", "replay_scope": "Exact final classifier/distribution inputs and artifact. Upstream historical feature construction not certified.", "schema": "scalar-artifact-replay-v1", "snapshot_hash": "d159c32a66f55eba4ff03e496815c4bdfafe03b56e968b6c1756b0c396032dac"}</t>
        </is>
      </c>
    </row>
    <row r="39" ht="36" customHeight="1">
      <c r="A39" s="24" t="inlineStr">
        <is>
          <t>6ee5ecf96ffc4966</t>
        </is>
      </c>
      <c r="B39" s="24" t="inlineStr">
        <is>
          <t>2026-10-11T12:00:00Z</t>
        </is>
      </c>
      <c r="C39" s="24" t="inlineStr">
        <is>
          <t>2026-10-11T17:00Z</t>
        </is>
      </c>
      <c r="D39" s="24" t="inlineStr">
        <is>
          <t>401872982</t>
        </is>
      </c>
      <c r="E39" s="24" t="inlineStr">
        <is>
          <t>NFL</t>
        </is>
      </c>
      <c r="F39" s="24" t="inlineStr">
        <is>
          <t>Cincinnati Bengals</t>
        </is>
      </c>
      <c r="G39" s="24" t="inlineStr">
        <is>
          <t>Miami Dolphins</t>
        </is>
      </c>
      <c r="H39" s="24" t="inlineStr">
        <is>
          <t>spread</t>
        </is>
      </c>
      <c r="I39" s="24" t="inlineStr">
        <is>
          <t>home</t>
        </is>
      </c>
      <c r="J39" s="25" t="n">
        <v>6.5</v>
      </c>
      <c r="K39" s="24" t="inlineStr">
        <is>
          <t>polymarket_us</t>
        </is>
      </c>
      <c r="L39" s="26" t="n">
        <v>111</v>
      </c>
      <c r="M39" s="27" t="n">
        <v>2.11</v>
      </c>
      <c r="N39" s="28" t="n">
        <v>0.473934</v>
      </c>
      <c r="O39" s="28" t="n">
        <v>0.72623</v>
      </c>
      <c r="P39" s="28" t="n">
        <v>0.08</v>
      </c>
      <c r="Q39" s="28" t="n">
        <v>0.252296</v>
      </c>
      <c r="R39" s="26" t="n">
        <v>100</v>
      </c>
      <c r="S39" s="29" t="n">
        <v>2</v>
      </c>
      <c r="T39" s="24" t="inlineStr">
        <is>
          <t>nfl-spread-structural-v5</t>
        </is>
      </c>
      <c r="U39" s="24" t="inlineStr">
        <is>
          <t>settled</t>
        </is>
      </c>
      <c r="V39" s="24" t="inlineStr">
        <is>
          <t>loss</t>
        </is>
      </c>
      <c r="W39" s="26" t="n">
        <v>31</v>
      </c>
      <c r="X39" s="26" t="n">
        <v>24</v>
      </c>
      <c r="Y39" s="25" t="n"/>
      <c r="Z39" s="26" t="n"/>
      <c r="AA39" s="28" t="n"/>
      <c r="AB39" s="28" t="n"/>
      <c r="AC39" s="30" t="n">
        <v>-2</v>
      </c>
      <c r="AD39" s="24" t="inlineStr">
        <is>
          <t>2026-10-13T22:02:08.569974Z</t>
        </is>
      </c>
      <c r="AE39" s="31" t="inlineStr">
        <is>
          <t>NFL Structural v5 Spread projection. Projected margin +1.8. Executable ask 0.4750 (asc-nfl-cin-mia-2026-10-11-neg-6pt5).</t>
        </is>
      </c>
      <c r="AF39" s="31" t="inlineStr">
        <is>
          <t>NFL Structural v5 joint distribution spread model.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4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nfl-cin</t>
        </is>
      </c>
      <c r="AQ39" s="24" t="inlineStr">
        <is>
          <t>Cincinnati Bengals</t>
        </is>
      </c>
      <c r="AR39" s="24" t="inlineStr">
        <is>
          <t>Cincinnati Bengals</t>
        </is>
      </c>
      <c r="AS39" s="24" t="inlineStr">
        <is>
          <t>nfl-mia</t>
        </is>
      </c>
      <c r="AT39" s="24" t="inlineStr">
        <is>
          <t>Miami Dolphins</t>
        </is>
      </c>
      <c r="AU39" s="24" t="inlineStr">
        <is>
          <t>Miami Dolphins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4d76d37c4c20eda0eb538f3829c814b2be7119fcf464eb015f309485081c9768</t>
        </is>
      </c>
      <c r="BB39" s="24" t="inlineStr">
        <is>
          <t>margin_normal</t>
        </is>
      </c>
      <c r="BC39" s="24" t="inlineStr">
        <is>
          <t>nfl-spread-structural-v5</t>
        </is>
      </c>
      <c r="BD39" s="24" t="inlineStr">
        <is>
          <t>4d76d37c4c20eda0eb538f3829c814b2be7119fcf464eb015f309485081c9768</t>
        </is>
      </c>
      <c r="BE39" s="24" t="inlineStr">
        <is>
          <t>2</t>
        </is>
      </c>
      <c r="BF39" s="24" t="inlineStr">
        <is>
          <t>1</t>
        </is>
      </c>
      <c r="BG39" s="24" t="inlineStr">
        <is>
          <t>4d76d37c4c20eda0eb538f3829c814b2be7119fcf464eb015f309485081c9768</t>
        </is>
      </c>
      <c r="BH39" s="24" t="inlineStr">
        <is>
          <t>2026-10-11T05:03:34.299237Z</t>
        </is>
      </c>
      <c r="BI39" s="24" t="inlineStr">
        <is>
          <t>["same_event","same_team_same_day","same_league_same_day"]</t>
        </is>
      </c>
      <c r="BJ39" s="25" t="n">
        <v>6.5</v>
      </c>
      <c r="BK39" s="26" t="n">
        <v>111</v>
      </c>
      <c r="BL39" s="27" t="n">
        <v>2.11</v>
      </c>
      <c r="BM39" s="28" t="n">
        <v>0.473934</v>
      </c>
      <c r="BN39" s="28" t="n"/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True</t>
        </is>
      </c>
      <c r="CT39" s="24" t="n"/>
      <c r="CU39" s="24" t="n"/>
      <c r="CV39" s="24" t="n"/>
      <c r="CW39" s="24" t="n"/>
      <c r="CX39" s="24" t="n"/>
      <c r="CY39" s="24" t="inlineStr">
        <is>
          <t>2026-10-11T05:03:34.299237Z</t>
        </is>
      </c>
      <c r="CZ39" s="24" t="inlineStr">
        <is>
          <t>True</t>
        </is>
      </c>
      <c r="DA39" s="24" t="inlineStr">
        <is>
          <t>polymarket_us</t>
        </is>
      </c>
      <c r="DB39" s="24" t="inlineStr">
        <is>
          <t>decision_time_executable_quote</t>
        </is>
      </c>
      <c r="DC39" s="24" t="inlineStr">
        <is>
          <t>False</t>
        </is>
      </c>
      <c r="DD39" s="24" t="inlineStr">
        <is>
          <t>437b4afe6178b809e74e1c0bc2557666cbcded6d5de73ce40ba32b8bdae607b3</t>
        </is>
      </c>
      <c r="DE39" s="24" t="inlineStr">
        <is>
          <t>E:\model-prediction\data\odds\nfl\2026-10-11\polymarket_snapshots.jsonl</t>
        </is>
      </c>
      <c r="DF39" s="24" t="inlineStr">
        <is>
          <t>437b4afe6178b809e74e1c0bc2557666cbcded6d5de73ce40ba32b8bdae607b3</t>
        </is>
      </c>
      <c r="DG39" s="24" t="n"/>
      <c r="DH39" s="24" t="n"/>
      <c r="DI39" s="24" t="n"/>
      <c r="DJ39" s="24" t="n"/>
      <c r="DK39" s="24" t="n"/>
      <c r="DL39" s="24" t="n"/>
      <c r="DM39" s="24" t="n"/>
      <c r="DN39" s="24" t="n"/>
      <c r="DO39" s="24" t="n"/>
      <c r="DP39" s="24" t="n"/>
      <c r="DQ39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"401872982", "event_start_utc": "2026-10-11T17:00Z", "features": {"away_team": "Cincinnati Bengals", "home_team": "Miami Dolphins", "spread_home_line": 6.5}, "historical_source_observation_times_verified": false, "inference_inputs": {"line": -6.5, "mean": 1.8, "sd": 13.8}, "model_version": "nfl-spread-structural-v5", "observed_at_utc": "2026-10-11T12:00:00+00:00", "replay_scope": "Exact final classifier/distribution inputs and artifact. Upstream historical feature construction not certified.", "schema": "scalar-artifact-replay-v1", "snapshot_hash": "d7fb0a8253fa4f9cf825bbe76d2882eebfa3794bbf8cf3343fb10204ba560a4c"}</t>
        </is>
      </c>
    </row>
    <row r="40" ht="36" customHeight="1">
      <c r="A40" s="24" t="inlineStr">
        <is>
          <t>96bffed9f7a6429a</t>
        </is>
      </c>
      <c r="B40" s="24" t="inlineStr">
        <is>
          <t>2026-10-11T12:00:00Z</t>
        </is>
      </c>
      <c r="C40" s="24" t="inlineStr">
        <is>
          <t>2026-10-11T17:00Z</t>
        </is>
      </c>
      <c r="D40" s="24" t="inlineStr">
        <is>
          <t>401872986</t>
        </is>
      </c>
      <c r="E40" s="24" t="inlineStr">
        <is>
          <t>NFL</t>
        </is>
      </c>
      <c r="F40" s="24" t="inlineStr">
        <is>
          <t>Las Vegas Raiders</t>
        </is>
      </c>
      <c r="G40" s="24" t="inlineStr">
        <is>
          <t>New England Patriots</t>
        </is>
      </c>
      <c r="H40" s="24" t="inlineStr">
        <is>
          <t>spread</t>
        </is>
      </c>
      <c r="I40" s="24" t="inlineStr">
        <is>
          <t>away</t>
        </is>
      </c>
      <c r="J40" s="25" t="n">
        <v>3.5</v>
      </c>
      <c r="K40" s="24" t="inlineStr">
        <is>
          <t>polymarket_us</t>
        </is>
      </c>
      <c r="L40" s="26" t="n">
        <v>-106</v>
      </c>
      <c r="M40" s="27" t="n">
        <v>1.943396</v>
      </c>
      <c r="N40" s="28" t="n">
        <v>0.514563</v>
      </c>
      <c r="O40" s="28" t="n">
        <v>0.549021</v>
      </c>
      <c r="P40" s="28" t="n">
        <v>0.08</v>
      </c>
      <c r="Q40" s="28" t="n">
        <v>0.034458</v>
      </c>
      <c r="R40" s="26" t="n">
        <v>19</v>
      </c>
      <c r="S40" s="29" t="n">
        <v>1</v>
      </c>
      <c r="T40" s="24" t="inlineStr">
        <is>
          <t>nfl-spread-structural-v5</t>
        </is>
      </c>
      <c r="U40" s="24" t="inlineStr">
        <is>
          <t>settled</t>
        </is>
      </c>
      <c r="V40" s="24" t="inlineStr">
        <is>
          <t>loss</t>
        </is>
      </c>
      <c r="W40" s="26" t="n">
        <v>17</v>
      </c>
      <c r="X40" s="26" t="n">
        <v>45</v>
      </c>
      <c r="Y40" s="25" t="n"/>
      <c r="Z40" s="26" t="n"/>
      <c r="AA40" s="28" t="n"/>
      <c r="AB40" s="28" t="n"/>
      <c r="AC40" s="30" t="n">
        <v>-1</v>
      </c>
      <c r="AD40" s="24" t="inlineStr">
        <is>
          <t>2026-10-13T22:02:09.661336Z</t>
        </is>
      </c>
      <c r="AE40" s="31" t="inlineStr">
        <is>
          <t>NFL Structural v5 Spread projection. Projected margin +1.8. Executable ask 0.5150 (asc-nfl-lv-ne-2026-10-11-pos-3pt5).</t>
        </is>
      </c>
      <c r="AF40" s="31" t="inlineStr">
        <is>
          <t>NFL Structural v5 joint distribution spread model.</t>
        </is>
      </c>
      <c r="AG40" s="24" t="inlineStr">
        <is>
          <t>review_required</t>
        </is>
      </c>
      <c r="AH40" s="24" t="n"/>
      <c r="AI40" s="31" t="n"/>
      <c r="AJ40" s="31" t="n"/>
      <c r="AK40" s="24" t="inlineStr">
        <is>
          <t>model_qualified</t>
        </is>
      </c>
      <c r="AL40" s="26" t="n">
        <v>4</v>
      </c>
      <c r="AM40" s="24" t="inlineStr">
        <is>
          <t>QUALIFIED_SHADOW_CALL</t>
        </is>
      </c>
      <c r="AN40" s="24" t="inlineStr">
        <is>
          <t>CALL</t>
        </is>
      </c>
      <c r="AO40" s="24" t="inlineStr">
        <is>
          <t>QUALIFIED</t>
        </is>
      </c>
      <c r="AP40" s="24" t="inlineStr">
        <is>
          <t>nfl-lv</t>
        </is>
      </c>
      <c r="AQ40" s="24" t="inlineStr">
        <is>
          <t>Las Vegas Raiders</t>
        </is>
      </c>
      <c r="AR40" s="24" t="inlineStr">
        <is>
          <t>Las Vegas Raiders</t>
        </is>
      </c>
      <c r="AS40" s="24" t="inlineStr">
        <is>
          <t>nfl-ne</t>
        </is>
      </c>
      <c r="AT40" s="24" t="inlineStr">
        <is>
          <t>New England Patriots</t>
        </is>
      </c>
      <c r="AU40" s="24" t="inlineStr">
        <is>
          <t>New England Patriots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4d76d37c4c20eda0eb538f3829c814b2be7119fcf464eb015f309485081c9768</t>
        </is>
      </c>
      <c r="BB40" s="24" t="inlineStr">
        <is>
          <t>margin_normal</t>
        </is>
      </c>
      <c r="BC40" s="24" t="inlineStr">
        <is>
          <t>nfl-spread-structural-v5</t>
        </is>
      </c>
      <c r="BD40" s="24" t="inlineStr">
        <is>
          <t>4d76d37c4c20eda0eb538f3829c814b2be7119fcf464eb015f309485081c9768</t>
        </is>
      </c>
      <c r="BE40" s="24" t="inlineStr">
        <is>
          <t>2</t>
        </is>
      </c>
      <c r="BF40" s="24" t="inlineStr">
        <is>
          <t>1</t>
        </is>
      </c>
      <c r="BG40" s="24" t="inlineStr">
        <is>
          <t>4d76d37c4c20eda0eb538f3829c814b2be7119fcf464eb015f309485081c9768</t>
        </is>
      </c>
      <c r="BH40" s="24" t="inlineStr">
        <is>
          <t>2026-10-11T05:09:00.184374Z</t>
        </is>
      </c>
      <c r="BI40" s="24" t="inlineStr">
        <is>
          <t>["same_event","same_team_same_day","same_league_same_day"]</t>
        </is>
      </c>
      <c r="BJ40" s="25" t="n">
        <v>3.5</v>
      </c>
      <c r="BK40" s="26" t="n">
        <v>-106</v>
      </c>
      <c r="BL40" s="27" t="n">
        <v>1.943396</v>
      </c>
      <c r="BM40" s="28" t="n">
        <v>0.514563</v>
      </c>
      <c r="BN40" s="28" t="n"/>
      <c r="BO40" s="28" t="n"/>
      <c r="BP40" s="25" t="n"/>
      <c r="BQ40" s="27" t="n"/>
      <c r="BR40" s="28" t="n"/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True</t>
        </is>
      </c>
      <c r="CT40" s="24" t="n"/>
      <c r="CU40" s="24" t="n"/>
      <c r="CV40" s="24" t="n"/>
      <c r="CW40" s="24" t="n"/>
      <c r="CX40" s="24" t="n"/>
      <c r="CY40" s="24" t="inlineStr">
        <is>
          <t>2026-10-11T05:09:00.184374Z</t>
        </is>
      </c>
      <c r="CZ40" s="24" t="inlineStr">
        <is>
          <t>True</t>
        </is>
      </c>
      <c r="DA40" s="24" t="inlineStr">
        <is>
          <t>polymarket_us</t>
        </is>
      </c>
      <c r="DB40" s="24" t="inlineStr">
        <is>
          <t>decision_time_executable_quote</t>
        </is>
      </c>
      <c r="DC40" s="24" t="inlineStr">
        <is>
          <t>False</t>
        </is>
      </c>
      <c r="DD40" s="24" t="inlineStr">
        <is>
          <t>397e7530917e13e75c1102f03bd329962ec6e54d1b6a68a962b189401f7dcf69</t>
        </is>
      </c>
      <c r="DE40" s="24" t="inlineStr">
        <is>
          <t>E:\model-prediction\data\odds\nfl\2026-10-11\polymarket_snapshots.jsonl</t>
        </is>
      </c>
      <c r="DF40" s="24" t="inlineStr">
        <is>
          <t>397e7530917e13e75c1102f03bd329962ec6e54d1b6a68a962b189401f7dcf69</t>
        </is>
      </c>
      <c r="DG40" s="24" t="n"/>
      <c r="DH40" s="24" t="n"/>
      <c r="DI40" s="24" t="n"/>
      <c r="DJ40" s="24" t="n"/>
      <c r="DK40" s="24" t="n"/>
      <c r="DL40" s="24" t="n"/>
      <c r="DM40" s="24" t="n"/>
      <c r="DN40" s="24" t="n"/>
      <c r="DO40" s="24" t="n"/>
      <c r="DP40" s="24" t="n"/>
      <c r="DQ40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"401872986", "event_start_utc": "2026-10-11T17:00Z", "features": {"away_team": "Las Vegas Raiders", "home_team": "New England Patriots", "spread_home_line": -3.5}, "historical_source_observation_times_verified": false, "inference_inputs": {"line": 3.5, "mean": 1.8, "sd": 13.8}, "model_version": "nfl-spread-structural-v5", "observed_at_utc": "2026-10-11T12:00:00+00:00", "replay_scope": "Exact final classifier/distribution inputs and artifact. Upstream historical feature construction not certified.", "schema": "scalar-artifact-replay-v1", "snapshot_hash": "b24c5a5ffff97ff17f2ae40d88b2d48e4cdd68180b076b6e87f767774e5ccee5"}</t>
        </is>
      </c>
    </row>
    <row r="41" ht="36" customHeight="1">
      <c r="A41" s="24" t="inlineStr">
        <is>
          <t>8bbb092866784098</t>
        </is>
      </c>
      <c r="B41" s="24" t="inlineStr">
        <is>
          <t>2026-10-11T12:00:00Z</t>
        </is>
      </c>
      <c r="C41" s="24" t="inlineStr">
        <is>
          <t>2026-10-11T17:00Z</t>
        </is>
      </c>
      <c r="D41" s="24" t="inlineStr">
        <is>
          <t>401872987</t>
        </is>
      </c>
      <c r="E41" s="24" t="inlineStr">
        <is>
          <t>NFL</t>
        </is>
      </c>
      <c r="F41" s="24" t="inlineStr">
        <is>
          <t>Minnesota Vikings</t>
        </is>
      </c>
      <c r="G41" s="24" t="inlineStr">
        <is>
          <t>New Orleans Saints</t>
        </is>
      </c>
      <c r="H41" s="24" t="inlineStr">
        <is>
          <t>spread</t>
        </is>
      </c>
      <c r="I41" s="24" t="inlineStr">
        <is>
          <t>home</t>
        </is>
      </c>
      <c r="J41" s="25" t="n">
        <v>2.5</v>
      </c>
      <c r="K41" s="24" t="inlineStr">
        <is>
          <t>polymarket_us</t>
        </is>
      </c>
      <c r="L41" s="26" t="n">
        <v>-104</v>
      </c>
      <c r="M41" s="27" t="n">
        <v>1.961538</v>
      </c>
      <c r="N41" s="28" t="n">
        <v>0.509804</v>
      </c>
      <c r="O41" s="28" t="n">
        <v>0.622326</v>
      </c>
      <c r="P41" s="28" t="n">
        <v>0.08</v>
      </c>
      <c r="Q41" s="28" t="n">
        <v>0.112522</v>
      </c>
      <c r="R41" s="26" t="n">
        <v>58</v>
      </c>
      <c r="S41" s="29" t="n">
        <v>1.25</v>
      </c>
      <c r="T41" s="24" t="inlineStr">
        <is>
          <t>nfl-spread-structural-v5</t>
        </is>
      </c>
      <c r="U41" s="24" t="inlineStr">
        <is>
          <t>settled</t>
        </is>
      </c>
      <c r="V41" s="24" t="inlineStr">
        <is>
          <t>loss</t>
        </is>
      </c>
      <c r="W41" s="26" t="n">
        <v>23</v>
      </c>
      <c r="X41" s="26" t="n">
        <v>13</v>
      </c>
      <c r="Y41" s="25" t="n"/>
      <c r="Z41" s="26" t="n"/>
      <c r="AA41" s="28" t="n"/>
      <c r="AB41" s="28" t="n"/>
      <c r="AC41" s="30" t="n">
        <v>-1.25</v>
      </c>
      <c r="AD41" s="24" t="inlineStr">
        <is>
          <t>2026-10-13T22:02:10.696139Z</t>
        </is>
      </c>
      <c r="AE41" s="31" t="inlineStr">
        <is>
          <t>NFL Structural v5 Spread projection. Projected margin +1.8. Executable ask 0.5100 (asc-nfl-min-no-2026-10-11-neg-2pt5).</t>
        </is>
      </c>
      <c r="AF41" s="31" t="inlineStr">
        <is>
          <t>NFL Structural v5 joint distribution spread model.</t>
        </is>
      </c>
      <c r="AG41" s="24" t="inlineStr">
        <is>
          <t>review_required</t>
        </is>
      </c>
      <c r="AH41" s="24" t="n"/>
      <c r="AI41" s="31" t="n"/>
      <c r="AJ41" s="31" t="n"/>
      <c r="AK41" s="24" t="inlineStr">
        <is>
          <t>model_qualified</t>
        </is>
      </c>
      <c r="AL41" s="26" t="n">
        <v>4</v>
      </c>
      <c r="AM41" s="24" t="inlineStr">
        <is>
          <t>QUALIFIED_SHADOW_CALL</t>
        </is>
      </c>
      <c r="AN41" s="24" t="inlineStr">
        <is>
          <t>CALL</t>
        </is>
      </c>
      <c r="AO41" s="24" t="inlineStr">
        <is>
          <t>QUALIFIED</t>
        </is>
      </c>
      <c r="AP41" s="24" t="inlineStr">
        <is>
          <t>nfl-min</t>
        </is>
      </c>
      <c r="AQ41" s="24" t="inlineStr">
        <is>
          <t>Minnesota Vikings</t>
        </is>
      </c>
      <c r="AR41" s="24" t="inlineStr">
        <is>
          <t>Minnesota Vikings</t>
        </is>
      </c>
      <c r="AS41" s="24" t="inlineStr">
        <is>
          <t>nfl-no</t>
        </is>
      </c>
      <c r="AT41" s="24" t="inlineStr">
        <is>
          <t>New Orleans Saints</t>
        </is>
      </c>
      <c r="AU41" s="24" t="inlineStr">
        <is>
          <t>New Orleans Saints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4d76d37c4c20eda0eb538f3829c814b2be7119fcf464eb015f309485081c9768</t>
        </is>
      </c>
      <c r="BB41" s="24" t="inlineStr">
        <is>
          <t>margin_normal</t>
        </is>
      </c>
      <c r="BC41" s="24" t="inlineStr">
        <is>
          <t>nfl-spread-structural-v5</t>
        </is>
      </c>
      <c r="BD41" s="24" t="inlineStr">
        <is>
          <t>4d76d37c4c20eda0eb538f3829c814b2be7119fcf464eb015f309485081c9768</t>
        </is>
      </c>
      <c r="BE41" s="24" t="inlineStr">
        <is>
          <t>2</t>
        </is>
      </c>
      <c r="BF41" s="24" t="inlineStr">
        <is>
          <t>1</t>
        </is>
      </c>
      <c r="BG41" s="24" t="inlineStr">
        <is>
          <t>4d76d37c4c20eda0eb538f3829c814b2be7119fcf464eb015f309485081c9768</t>
        </is>
      </c>
      <c r="BH41" s="24" t="inlineStr">
        <is>
          <t>2026-10-11T10:38:22.600471Z</t>
        </is>
      </c>
      <c r="BI41" s="24" t="inlineStr">
        <is>
          <t>["same_event","same_team_same_day","same_league_same_day"]</t>
        </is>
      </c>
      <c r="BJ41" s="25" t="n">
        <v>2.5</v>
      </c>
      <c r="BK41" s="26" t="n">
        <v>-104</v>
      </c>
      <c r="BL41" s="27" t="n">
        <v>1.961538</v>
      </c>
      <c r="BM41" s="28" t="n">
        <v>0.509804</v>
      </c>
      <c r="BN41" s="28" t="n"/>
      <c r="BO41" s="28" t="n"/>
      <c r="BP41" s="25" t="n"/>
      <c r="BQ41" s="27" t="n"/>
      <c r="BR41" s="28" t="n"/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True</t>
        </is>
      </c>
      <c r="CT41" s="24" t="n"/>
      <c r="CU41" s="24" t="n"/>
      <c r="CV41" s="24" t="n"/>
      <c r="CW41" s="24" t="n"/>
      <c r="CX41" s="24" t="n"/>
      <c r="CY41" s="24" t="inlineStr">
        <is>
          <t>2026-10-11T10:38:22.600471Z</t>
        </is>
      </c>
      <c r="CZ41" s="24" t="inlineStr">
        <is>
          <t>True</t>
        </is>
      </c>
      <c r="DA41" s="24" t="inlineStr">
        <is>
          <t>polymarket_us</t>
        </is>
      </c>
      <c r="DB41" s="24" t="inlineStr">
        <is>
          <t>decision_time_executable_quote</t>
        </is>
      </c>
      <c r="DC41" s="24" t="inlineStr">
        <is>
          <t>False</t>
        </is>
      </c>
      <c r="DD41" s="24" t="inlineStr">
        <is>
          <t>4498d3815c29dc5f46702bbda9e10ca61adf1895ead8c452fb3ed777423f0979</t>
        </is>
      </c>
      <c r="DE41" s="24" t="inlineStr">
        <is>
          <t>E:\model-prediction\data\odds\nfl\2026-10-11\polymarket_snapshots.jsonl</t>
        </is>
      </c>
      <c r="DF41" s="24" t="inlineStr">
        <is>
          <t>4498d3815c29dc5f46702bbda9e10ca61adf1895ead8c452fb3ed777423f0979</t>
        </is>
      </c>
      <c r="DG41" s="24" t="n"/>
      <c r="DH41" s="24" t="n"/>
      <c r="DI41" s="24" t="n"/>
      <c r="DJ41" s="24" t="n"/>
      <c r="DK41" s="24" t="n"/>
      <c r="DL41" s="24" t="n"/>
      <c r="DM41" s="24" t="n"/>
      <c r="DN41" s="24" t="n"/>
      <c r="DO41" s="24" t="n"/>
      <c r="DP41" s="24" t="n"/>
      <c r="DQ41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"401872987", "event_start_utc": "2026-10-11T17:00Z", "features": {"away_team": "Minnesota Vikings", "home_team": "New Orleans Saints", "spread_home_line": 2.5}, "historical_source_observation_times_verified": false, "inference_inputs": {"line": -2.5, "mean": 1.8, "sd": 13.8}, "model_version": "nfl-spread-structural-v5", "observed_at_utc": "2026-10-11T12:00:00+00:00", "replay_scope": "Exact final classifier/distribution inputs and artifact. Upstream historical feature construction not certified.", "schema": "scalar-artifact-replay-v1", "snapshot_hash": "658cc398c56e58f110c2d96daf576e8c122a0d3aee42fe258861d2f9df7681d2"}</t>
        </is>
      </c>
    </row>
    <row r="42" ht="36" customHeight="1">
      <c r="A42" s="24" t="inlineStr">
        <is>
          <t>5e0f743fb1954adb</t>
        </is>
      </c>
      <c r="B42" s="24" t="inlineStr">
        <is>
          <t>2026-10-11T12:00:00Z</t>
        </is>
      </c>
      <c r="C42" s="24" t="inlineStr">
        <is>
          <t>2026-10-11T17:00Z</t>
        </is>
      </c>
      <c r="D42" s="24" t="inlineStr">
        <is>
          <t>401872983</t>
        </is>
      </c>
      <c r="E42" s="24" t="inlineStr">
        <is>
          <t>NFL</t>
        </is>
      </c>
      <c r="F42" s="24" t="inlineStr">
        <is>
          <t>Cleveland Browns</t>
        </is>
      </c>
      <c r="G42" s="24" t="inlineStr">
        <is>
          <t>New York Jets</t>
        </is>
      </c>
      <c r="H42" s="24" t="inlineStr">
        <is>
          <t>spread</t>
        </is>
      </c>
      <c r="I42" s="24" t="inlineStr">
        <is>
          <t>away</t>
        </is>
      </c>
      <c r="J42" s="25" t="n">
        <v>2.5</v>
      </c>
      <c r="K42" s="24" t="inlineStr">
        <is>
          <t>polymarket_us</t>
        </is>
      </c>
      <c r="L42" s="26" t="n">
        <v>100</v>
      </c>
      <c r="M42" s="27" t="n">
        <v>2</v>
      </c>
      <c r="N42" s="28" t="n">
        <v>0.5</v>
      </c>
      <c r="O42" s="28" t="n">
        <v>0.520228</v>
      </c>
      <c r="P42" s="28" t="n">
        <v>0.08</v>
      </c>
      <c r="Q42" s="28" t="n">
        <v>0.020228</v>
      </c>
      <c r="R42" s="26" t="n">
        <v>12</v>
      </c>
      <c r="S42" s="29" t="n">
        <v>1</v>
      </c>
      <c r="T42" s="24" t="inlineStr">
        <is>
          <t>nfl-spread-structural-v5</t>
        </is>
      </c>
      <c r="U42" s="24" t="inlineStr">
        <is>
          <t>settled</t>
        </is>
      </c>
      <c r="V42" s="24" t="inlineStr">
        <is>
          <t>loss</t>
        </is>
      </c>
      <c r="W42" s="26" t="n">
        <v>12</v>
      </c>
      <c r="X42" s="26" t="n">
        <v>17</v>
      </c>
      <c r="Y42" s="25" t="n"/>
      <c r="Z42" s="26" t="n"/>
      <c r="AA42" s="28" t="n"/>
      <c r="AB42" s="28" t="n"/>
      <c r="AC42" s="30" t="n">
        <v>-1</v>
      </c>
      <c r="AD42" s="24" t="inlineStr">
        <is>
          <t>2026-10-13T22:02:11.689950Z</t>
        </is>
      </c>
      <c r="AE42" s="31" t="inlineStr">
        <is>
          <t>NFL Structural v5 Spread projection. Projected margin +1.8. Executable ask 0.5000 (asc-nfl-cle-nyj-2026-10-11-pos-2pt5).</t>
        </is>
      </c>
      <c r="AF42" s="31" t="inlineStr">
        <is>
          <t>NFL Structural v5 joint distribution spread model.</t>
        </is>
      </c>
      <c r="AG42" s="24" t="inlineStr">
        <is>
          <t>review_required</t>
        </is>
      </c>
      <c r="AH42" s="24" t="n"/>
      <c r="AI42" s="31" t="n"/>
      <c r="AJ42" s="31" t="n"/>
      <c r="AK42" s="24" t="inlineStr">
        <is>
          <t>model_qualified</t>
        </is>
      </c>
      <c r="AL42" s="26" t="n">
        <v>4</v>
      </c>
      <c r="AM42" s="24" t="inlineStr">
        <is>
          <t>QUALIFIED_SHADOW_CALL</t>
        </is>
      </c>
      <c r="AN42" s="24" t="inlineStr">
        <is>
          <t>CALL</t>
        </is>
      </c>
      <c r="AO42" s="24" t="inlineStr">
        <is>
          <t>QUALIFIED</t>
        </is>
      </c>
      <c r="AP42" s="24" t="inlineStr">
        <is>
          <t>nfl-cle</t>
        </is>
      </c>
      <c r="AQ42" s="24" t="inlineStr">
        <is>
          <t>Cleveland Browns</t>
        </is>
      </c>
      <c r="AR42" s="24" t="inlineStr">
        <is>
          <t>Cleveland Browns</t>
        </is>
      </c>
      <c r="AS42" s="24" t="inlineStr">
        <is>
          <t>nfl-nyj</t>
        </is>
      </c>
      <c r="AT42" s="24" t="inlineStr">
        <is>
          <t>New York Jets</t>
        </is>
      </c>
      <c r="AU42" s="24" t="inlineStr">
        <is>
          <t>New York Jets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4d76d37c4c20eda0eb538f3829c814b2be7119fcf464eb015f309485081c9768</t>
        </is>
      </c>
      <c r="BB42" s="24" t="inlineStr">
        <is>
          <t>margin_normal</t>
        </is>
      </c>
      <c r="BC42" s="24" t="inlineStr">
        <is>
          <t>nfl-spread-structural-v5</t>
        </is>
      </c>
      <c r="BD42" s="24" t="inlineStr">
        <is>
          <t>4d76d37c4c20eda0eb538f3829c814b2be7119fcf464eb015f309485081c9768</t>
        </is>
      </c>
      <c r="BE42" s="24" t="inlineStr">
        <is>
          <t>2</t>
        </is>
      </c>
      <c r="BF42" s="24" t="inlineStr">
        <is>
          <t>1</t>
        </is>
      </c>
      <c r="BG42" s="24" t="inlineStr">
        <is>
          <t>4d76d37c4c20eda0eb538f3829c814b2be7119fcf464eb015f309485081c9768</t>
        </is>
      </c>
      <c r="BH42" s="24" t="inlineStr">
        <is>
          <t>2026-10-11T10:15:52.980608Z</t>
        </is>
      </c>
      <c r="BI42" s="24" t="inlineStr">
        <is>
          <t>["same_event","same_team_same_day","same_league_same_day"]</t>
        </is>
      </c>
      <c r="BJ42" s="25" t="n">
        <v>2.5</v>
      </c>
      <c r="BK42" s="26" t="n">
        <v>100</v>
      </c>
      <c r="BL42" s="27" t="n">
        <v>2</v>
      </c>
      <c r="BM42" s="28" t="n">
        <v>0.5</v>
      </c>
      <c r="BN42" s="28" t="n"/>
      <c r="BO42" s="28" t="n"/>
      <c r="BP42" s="25" t="n"/>
      <c r="BQ42" s="27" t="n"/>
      <c r="BR42" s="28" t="n"/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inlineStr">
        <is>
          <t>True</t>
        </is>
      </c>
      <c r="CT42" s="24" t="n"/>
      <c r="CU42" s="24" t="n"/>
      <c r="CV42" s="24" t="n"/>
      <c r="CW42" s="24" t="n"/>
      <c r="CX42" s="24" t="n"/>
      <c r="CY42" s="24" t="inlineStr">
        <is>
          <t>2026-10-11T10:15:52.980608Z</t>
        </is>
      </c>
      <c r="CZ42" s="24" t="inlineStr">
        <is>
          <t>True</t>
        </is>
      </c>
      <c r="DA42" s="24" t="inlineStr">
        <is>
          <t>polymarket_us</t>
        </is>
      </c>
      <c r="DB42" s="24" t="inlineStr">
        <is>
          <t>decision_time_executable_quote</t>
        </is>
      </c>
      <c r="DC42" s="24" t="inlineStr">
        <is>
          <t>False</t>
        </is>
      </c>
      <c r="DD42" s="24" t="inlineStr">
        <is>
          <t>0cab6b17f71550e4932e17bccfcbbe107680561c84bcff2801113ef22a0555bc</t>
        </is>
      </c>
      <c r="DE42" s="24" t="inlineStr">
        <is>
          <t>E:\model-prediction\data\odds\nfl\2026-10-11\polymarket_snapshots.jsonl</t>
        </is>
      </c>
      <c r="DF42" s="24" t="inlineStr">
        <is>
          <t>0cab6b17f71550e4932e17bccfcbbe107680561c84bcff2801113ef22a0555bc</t>
        </is>
      </c>
      <c r="DG42" s="24" t="n"/>
      <c r="DH42" s="24" t="n"/>
      <c r="DI42" s="24" t="n"/>
      <c r="DJ42" s="24" t="n"/>
      <c r="DK42" s="24" t="n"/>
      <c r="DL42" s="24" t="n"/>
      <c r="DM42" s="24" t="n"/>
      <c r="DN42" s="24" t="n"/>
      <c r="DO42" s="24" t="n"/>
      <c r="DP42" s="24" t="n"/>
      <c r="DQ42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"401872983", "event_start_utc": "2026-10-11T17:00Z", "features": {"away_team": "Cleveland Browns", "home_team": "New York Jets", "spread_home_line": -2.5}, "historical_source_observation_times_verified": false, "inference_inputs": {"line": 2.5, "mean": 1.8, "sd": 13.8}, "model_version": "nfl-spread-structural-v5", "observed_at_utc": "2026-10-11T12:00:00+00:00", "replay_scope": "Exact final classifier/distribution inputs and artifact. Upstream historical feature construction not certified.", "schema": "scalar-artifact-replay-v1", "snapshot_hash": "5c05fa87f66a710a29e05b16415a89bb475773133179b64907687db30992b8a3"}</t>
        </is>
      </c>
    </row>
    <row r="43" ht="36" customHeight="1">
      <c r="A43" s="24" t="inlineStr">
        <is>
          <t>dc104cef956e4f85</t>
        </is>
      </c>
      <c r="B43" s="24" t="inlineStr">
        <is>
          <t>2026-10-11T12:00:00Z</t>
        </is>
      </c>
      <c r="C43" s="24" t="inlineStr">
        <is>
          <t>2026-10-11T17:00Z</t>
        </is>
      </c>
      <c r="D43" s="24" t="inlineStr">
        <is>
          <t>401872985</t>
        </is>
      </c>
      <c r="E43" s="24" t="inlineStr">
        <is>
          <t>NFL</t>
        </is>
      </c>
      <c r="F43" s="24" t="inlineStr">
        <is>
          <t>Indianapolis Colts</t>
        </is>
      </c>
      <c r="G43" s="24" t="inlineStr">
        <is>
          <t>Pittsburgh Steelers</t>
        </is>
      </c>
      <c r="H43" s="24" t="inlineStr">
        <is>
          <t>spread</t>
        </is>
      </c>
      <c r="I43" s="24" t="inlineStr">
        <is>
          <t>away</t>
        </is>
      </c>
      <c r="J43" s="25" t="n">
        <v>2.5</v>
      </c>
      <c r="K43" s="24" t="inlineStr">
        <is>
          <t>polymarket_us</t>
        </is>
      </c>
      <c r="L43" s="26" t="n">
        <v>111</v>
      </c>
      <c r="M43" s="27" t="n">
        <v>2.11</v>
      </c>
      <c r="N43" s="28" t="n">
        <v>0.473934</v>
      </c>
      <c r="O43" s="28" t="n">
        <v>0.520228</v>
      </c>
      <c r="P43" s="28" t="n">
        <v>0.08</v>
      </c>
      <c r="Q43" s="28" t="n">
        <v>0.046294</v>
      </c>
      <c r="R43" s="26" t="n">
        <v>25</v>
      </c>
      <c r="S43" s="29" t="n">
        <v>1</v>
      </c>
      <c r="T43" s="24" t="inlineStr">
        <is>
          <t>nfl-spread-structural-v5</t>
        </is>
      </c>
      <c r="U43" s="24" t="inlineStr">
        <is>
          <t>settled</t>
        </is>
      </c>
      <c r="V43" s="24" t="inlineStr">
        <is>
          <t>loss</t>
        </is>
      </c>
      <c r="W43" s="26" t="n">
        <v>22</v>
      </c>
      <c r="X43" s="26" t="n">
        <v>34</v>
      </c>
      <c r="Y43" s="25" t="n"/>
      <c r="Z43" s="26" t="n"/>
      <c r="AA43" s="28" t="n"/>
      <c r="AB43" s="28" t="n"/>
      <c r="AC43" s="30" t="n">
        <v>-1</v>
      </c>
      <c r="AD43" s="24" t="inlineStr">
        <is>
          <t>2026-10-13T22:02:12.788403Z</t>
        </is>
      </c>
      <c r="AE43" s="31" t="inlineStr">
        <is>
          <t>NFL Structural v5 Spread projection. Projected margin +1.8. Executable ask 0.4750 (asc-nfl-ind-pit-2026-10-11-pos-2pt5).</t>
        </is>
      </c>
      <c r="AF43" s="31" t="inlineStr">
        <is>
          <t>NFL Structural v5 joint distribution spread model.</t>
        </is>
      </c>
      <c r="AG43" s="24" t="inlineStr">
        <is>
          <t>review_required</t>
        </is>
      </c>
      <c r="AH43" s="24" t="n"/>
      <c r="AI43" s="31" t="n"/>
      <c r="AJ43" s="31" t="n"/>
      <c r="AK43" s="24" t="inlineStr">
        <is>
          <t>model_qualified</t>
        </is>
      </c>
      <c r="AL43" s="26" t="n">
        <v>4</v>
      </c>
      <c r="AM43" s="24" t="inlineStr">
        <is>
          <t>QUALIFIED_SHADOW_CALL</t>
        </is>
      </c>
      <c r="AN43" s="24" t="inlineStr">
        <is>
          <t>CALL</t>
        </is>
      </c>
      <c r="AO43" s="24" t="inlineStr">
        <is>
          <t>QUALIFIED</t>
        </is>
      </c>
      <c r="AP43" s="24" t="inlineStr">
        <is>
          <t>nfl-ind</t>
        </is>
      </c>
      <c r="AQ43" s="24" t="inlineStr">
        <is>
          <t>Indianapolis Colts</t>
        </is>
      </c>
      <c r="AR43" s="24" t="inlineStr">
        <is>
          <t>Indianapolis Colts</t>
        </is>
      </c>
      <c r="AS43" s="24" t="inlineStr">
        <is>
          <t>nfl-pit</t>
        </is>
      </c>
      <c r="AT43" s="24" t="inlineStr">
        <is>
          <t>Pittsburgh Steelers</t>
        </is>
      </c>
      <c r="AU43" s="24" t="inlineStr">
        <is>
          <t>Pittsburgh Steelers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4d76d37c4c20eda0eb538f3829c814b2be7119fcf464eb015f309485081c9768</t>
        </is>
      </c>
      <c r="BB43" s="24" t="inlineStr">
        <is>
          <t>margin_normal</t>
        </is>
      </c>
      <c r="BC43" s="24" t="inlineStr">
        <is>
          <t>nfl-spread-structural-v5</t>
        </is>
      </c>
      <c r="BD43" s="24" t="inlineStr">
        <is>
          <t>4d76d37c4c20eda0eb538f3829c814b2be7119fcf464eb015f309485081c9768</t>
        </is>
      </c>
      <c r="BE43" s="24" t="inlineStr">
        <is>
          <t>2</t>
        </is>
      </c>
      <c r="BF43" s="24" t="inlineStr">
        <is>
          <t>1</t>
        </is>
      </c>
      <c r="BG43" s="24" t="inlineStr">
        <is>
          <t>4d76d37c4c20eda0eb538f3829c814b2be7119fcf464eb015f309485081c9768</t>
        </is>
      </c>
      <c r="BH43" s="24" t="inlineStr">
        <is>
          <t>2026-10-11T05:34:49.143788Z</t>
        </is>
      </c>
      <c r="BI43" s="24" t="inlineStr">
        <is>
          <t>["same_event","same_team_same_day","same_league_same_day"]</t>
        </is>
      </c>
      <c r="BJ43" s="25" t="n">
        <v>2.5</v>
      </c>
      <c r="BK43" s="26" t="n">
        <v>111</v>
      </c>
      <c r="BL43" s="27" t="n">
        <v>2.11</v>
      </c>
      <c r="BM43" s="28" t="n">
        <v>0.473934</v>
      </c>
      <c r="BN43" s="28" t="n"/>
      <c r="BO43" s="28" t="n"/>
      <c r="BP43" s="25" t="n"/>
      <c r="BQ43" s="27" t="n"/>
      <c r="BR43" s="28" t="n"/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inlineStr">
        <is>
          <t>True</t>
        </is>
      </c>
      <c r="CT43" s="24" t="n"/>
      <c r="CU43" s="24" t="n"/>
      <c r="CV43" s="24" t="n"/>
      <c r="CW43" s="24" t="n"/>
      <c r="CX43" s="24" t="n"/>
      <c r="CY43" s="24" t="inlineStr">
        <is>
          <t>2026-10-11T05:34:49.143788Z</t>
        </is>
      </c>
      <c r="CZ43" s="24" t="inlineStr">
        <is>
          <t>True</t>
        </is>
      </c>
      <c r="DA43" s="24" t="inlineStr">
        <is>
          <t>polymarket_us</t>
        </is>
      </c>
      <c r="DB43" s="24" t="inlineStr">
        <is>
          <t>decision_time_executable_quote</t>
        </is>
      </c>
      <c r="DC43" s="24" t="inlineStr">
        <is>
          <t>False</t>
        </is>
      </c>
      <c r="DD43" s="24" t="inlineStr">
        <is>
          <t>2de7c57f59d8eb1bd3db54e1141b1203add6a0ca88d40992b0172ef19475edc0</t>
        </is>
      </c>
      <c r="DE43" s="24" t="inlineStr">
        <is>
          <t>E:\model-prediction\data\odds\nfl\2026-10-11\polymarket_snapshots.jsonl</t>
        </is>
      </c>
      <c r="DF43" s="24" t="inlineStr">
        <is>
          <t>2de7c57f59d8eb1bd3db54e1141b1203add6a0ca88d40992b0172ef19475edc0</t>
        </is>
      </c>
      <c r="DG43" s="24" t="n"/>
      <c r="DH43" s="24" t="n"/>
      <c r="DI43" s="24" t="n"/>
      <c r="DJ43" s="24" t="n"/>
      <c r="DK43" s="24" t="n"/>
      <c r="DL43" s="24" t="n"/>
      <c r="DM43" s="24" t="n"/>
      <c r="DN43" s="24" t="n"/>
      <c r="DO43" s="24" t="n"/>
      <c r="DP43" s="24" t="n"/>
      <c r="DQ43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"401872985", "event_start_utc": "2026-10-11T17:00Z", "features": {"away_team": "Indianapolis Colts", "home_team": "Pittsburgh Steelers", "spread_home_line": -2.5}, "historical_source_observation_times_verified": false, "inference_inputs": {"line": 2.5, "mean": 1.8, "sd": 13.8}, "model_version": "nfl-spread-structural-v5", "observed_at_utc": "2026-10-11T12:00:00+00:00", "replay_scope": "Exact final classifier/distribution inputs and artifact. Upstream historical feature construction not certified.", "schema": "scalar-artifact-replay-v1", "snapshot_hash": "e1d6ff6b87c9c39e4f91fc9cd996a7c4bf8dd005ef8bb0c4bdf56ddf463c8c2e"}</t>
        </is>
      </c>
    </row>
    <row r="44" ht="36" customHeight="1">
      <c r="A44" s="24" t="inlineStr">
        <is>
          <t>28c4580dec8f4fd7</t>
        </is>
      </c>
      <c r="B44" s="24" t="inlineStr">
        <is>
          <t>2026-10-11T12:00:00Z</t>
        </is>
      </c>
      <c r="C44" s="24" t="inlineStr">
        <is>
          <t>2026-10-11T17:00Z</t>
        </is>
      </c>
      <c r="D44" s="24" t="inlineStr">
        <is>
          <t>401872988</t>
        </is>
      </c>
      <c r="E44" s="24" t="inlineStr">
        <is>
          <t>NFL</t>
        </is>
      </c>
      <c r="F44" s="24" t="inlineStr">
        <is>
          <t>New York Giants</t>
        </is>
      </c>
      <c r="G44" s="24" t="inlineStr">
        <is>
          <t>Washington Commanders</t>
        </is>
      </c>
      <c r="H44" s="24" t="inlineStr">
        <is>
          <t>spread</t>
        </is>
      </c>
      <c r="I44" s="24" t="inlineStr">
        <is>
          <t>away</t>
        </is>
      </c>
      <c r="J44" s="25" t="n">
        <v>3.5</v>
      </c>
      <c r="K44" s="24" t="inlineStr">
        <is>
          <t>polymarket_us</t>
        </is>
      </c>
      <c r="L44" s="26" t="n">
        <v>-106</v>
      </c>
      <c r="M44" s="27" t="n">
        <v>1.943396</v>
      </c>
      <c r="N44" s="28" t="n">
        <v>0.514563</v>
      </c>
      <c r="O44" s="28" t="n">
        <v>0.549021</v>
      </c>
      <c r="P44" s="28" t="n">
        <v>0.08</v>
      </c>
      <c r="Q44" s="28" t="n">
        <v>0.034458</v>
      </c>
      <c r="R44" s="26" t="n">
        <v>19</v>
      </c>
      <c r="S44" s="29" t="n">
        <v>1</v>
      </c>
      <c r="T44" s="24" t="inlineStr">
        <is>
          <t>nfl-spread-structural-v5</t>
        </is>
      </c>
      <c r="U44" s="24" t="inlineStr">
        <is>
          <t>settled</t>
        </is>
      </c>
      <c r="V44" s="24" t="inlineStr">
        <is>
          <t>win</t>
        </is>
      </c>
      <c r="W44" s="26" t="n">
        <v>27</v>
      </c>
      <c r="X44" s="26" t="n">
        <v>27</v>
      </c>
      <c r="Y44" s="25" t="n"/>
      <c r="Z44" s="26" t="n"/>
      <c r="AA44" s="28" t="n"/>
      <c r="AB44" s="28" t="n"/>
      <c r="AC44" s="30" t="n">
        <v>0.9434</v>
      </c>
      <c r="AD44" s="24" t="inlineStr">
        <is>
          <t>2026-10-13T22:02:13.819120Z</t>
        </is>
      </c>
      <c r="AE44" s="31" t="inlineStr">
        <is>
          <t>NFL Structural v5 Spread projection. Projected margin +1.8. Executable ask 0.5150 (asc-nfl-nyg-was-2026-10-11-pos-3pt5).</t>
        </is>
      </c>
      <c r="AF44" s="31" t="inlineStr">
        <is>
          <t>NFL Structural v5 joint distribution spread model.</t>
        </is>
      </c>
      <c r="AG44" s="24" t="inlineStr">
        <is>
          <t>not_applicable</t>
        </is>
      </c>
      <c r="AH44" s="24" t="n"/>
      <c r="AI44" s="31" t="n"/>
      <c r="AJ44" s="31" t="n"/>
      <c r="AK44" s="24" t="inlineStr">
        <is>
          <t>model_qualified</t>
        </is>
      </c>
      <c r="AL44" s="26" t="n">
        <v>4</v>
      </c>
      <c r="AM44" s="24" t="inlineStr">
        <is>
          <t>QUALIFIED_SHADOW_CALL</t>
        </is>
      </c>
      <c r="AN44" s="24" t="inlineStr">
        <is>
          <t>CALL</t>
        </is>
      </c>
      <c r="AO44" s="24" t="inlineStr">
        <is>
          <t>QUALIFIED</t>
        </is>
      </c>
      <c r="AP44" s="24" t="inlineStr">
        <is>
          <t>nfl-nyg</t>
        </is>
      </c>
      <c r="AQ44" s="24" t="inlineStr">
        <is>
          <t>New York Giants</t>
        </is>
      </c>
      <c r="AR44" s="24" t="inlineStr">
        <is>
          <t>New York Giants</t>
        </is>
      </c>
      <c r="AS44" s="24" t="inlineStr">
        <is>
          <t>nfl-was</t>
        </is>
      </c>
      <c r="AT44" s="24" t="inlineStr">
        <is>
          <t>Washington Commanders</t>
        </is>
      </c>
      <c r="AU44" s="24" t="inlineStr">
        <is>
          <t>Washington Commanders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4d76d37c4c20eda0eb538f3829c814b2be7119fcf464eb015f309485081c9768</t>
        </is>
      </c>
      <c r="BB44" s="24" t="inlineStr">
        <is>
          <t>margin_normal</t>
        </is>
      </c>
      <c r="BC44" s="24" t="inlineStr">
        <is>
          <t>nfl-spread-structural-v5</t>
        </is>
      </c>
      <c r="BD44" s="24" t="inlineStr">
        <is>
          <t>4d76d37c4c20eda0eb538f3829c814b2be7119fcf464eb015f309485081c9768</t>
        </is>
      </c>
      <c r="BE44" s="24" t="inlineStr">
        <is>
          <t>2</t>
        </is>
      </c>
      <c r="BF44" s="24" t="inlineStr">
        <is>
          <t>1</t>
        </is>
      </c>
      <c r="BG44" s="24" t="inlineStr">
        <is>
          <t>4d76d37c4c20eda0eb538f3829c814b2be7119fcf464eb015f309485081c9768</t>
        </is>
      </c>
      <c r="BH44" s="24" t="inlineStr">
        <is>
          <t>2026-10-11T05:28:05.179072Z</t>
        </is>
      </c>
      <c r="BI44" s="24" t="inlineStr">
        <is>
          <t>["same_event","same_team_same_day","same_league_same_day"]</t>
        </is>
      </c>
      <c r="BJ44" s="25" t="n">
        <v>3.5</v>
      </c>
      <c r="BK44" s="26" t="n">
        <v>-106</v>
      </c>
      <c r="BL44" s="27" t="n">
        <v>1.943396</v>
      </c>
      <c r="BM44" s="28" t="n">
        <v>0.514563</v>
      </c>
      <c r="BN44" s="28" t="n"/>
      <c r="BO44" s="28" t="n"/>
      <c r="BP44" s="25" t="n"/>
      <c r="BQ44" s="27" t="n"/>
      <c r="BR44" s="28" t="n"/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inlineStr">
        <is>
          <t>True</t>
        </is>
      </c>
      <c r="CT44" s="24" t="n"/>
      <c r="CU44" s="24" t="n"/>
      <c r="CV44" s="24" t="n"/>
      <c r="CW44" s="24" t="n"/>
      <c r="CX44" s="24" t="n"/>
      <c r="CY44" s="24" t="inlineStr">
        <is>
          <t>2026-10-11T05:28:05.179072Z</t>
        </is>
      </c>
      <c r="CZ44" s="24" t="inlineStr">
        <is>
          <t>True</t>
        </is>
      </c>
      <c r="DA44" s="24" t="inlineStr">
        <is>
          <t>polymarket_us</t>
        </is>
      </c>
      <c r="DB44" s="24" t="inlineStr">
        <is>
          <t>decision_time_executable_quote</t>
        </is>
      </c>
      <c r="DC44" s="24" t="inlineStr">
        <is>
          <t>False</t>
        </is>
      </c>
      <c r="DD44" s="24" t="inlineStr">
        <is>
          <t>81a1c5555c866e25b43aef0c91a17d88dbc566a4f5ad89c662480f5ee50801db</t>
        </is>
      </c>
      <c r="DE44" s="24" t="inlineStr">
        <is>
          <t>E:\model-prediction\data\odds\nfl\2026-10-11\polymarket_snapshots.jsonl</t>
        </is>
      </c>
      <c r="DF44" s="24" t="inlineStr">
        <is>
          <t>81a1c5555c866e25b43aef0c91a17d88dbc566a4f5ad89c662480f5ee50801db</t>
        </is>
      </c>
      <c r="DG44" s="24" t="n"/>
      <c r="DH44" s="24" t="n"/>
      <c r="DI44" s="24" t="n"/>
      <c r="DJ44" s="24" t="n"/>
      <c r="DK44" s="24" t="n"/>
      <c r="DL44" s="24" t="n"/>
      <c r="DM44" s="24" t="n"/>
      <c r="DN44" s="24" t="n"/>
      <c r="DO44" s="24" t="n"/>
      <c r="DP44" s="24" t="n"/>
      <c r="DQ44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"401872988", "event_start_utc": "2026-10-11T17:00Z", "features": {"away_team": "New York Giants", "home_team": "Washington Commanders", "spread_home_line": -3.5}, "historical_source_observation_times_verified": false, "inference_inputs": {"line": 3.5, "mean": 1.8, "sd": 13.8}, "model_version": "nfl-spread-structural-v5", "observed_at_utc": "2026-10-11T12:00:00+00:00", "replay_scope": "Exact final classifier/distribution inputs and artifact. Upstream historical feature construction not certified.", "schema": "scalar-artifact-replay-v1", "snapshot_hash": "a497d9f579263fac4292fb2f382942d87f623a17383472b052d3b36392a510a4"}</t>
        </is>
      </c>
    </row>
    <row r="45" ht="36" customHeight="1">
      <c r="A45" s="24" t="inlineStr">
        <is>
          <t>2a7e910e1a384a35</t>
        </is>
      </c>
      <c r="B45" s="24" t="inlineStr">
        <is>
          <t>2026-10-11T12:00:00Z</t>
        </is>
      </c>
      <c r="C45" s="24" t="inlineStr">
        <is>
          <t>2026-10-11T20:05Z</t>
        </is>
      </c>
      <c r="D45" s="24" t="inlineStr">
        <is>
          <t>401872989</t>
        </is>
      </c>
      <c r="E45" s="24" t="inlineStr">
        <is>
          <t>NFL</t>
        </is>
      </c>
      <c r="F45" s="24" t="inlineStr">
        <is>
          <t>Denver Broncos</t>
        </is>
      </c>
      <c r="G45" s="24" t="inlineStr">
        <is>
          <t>Los Angeles Chargers</t>
        </is>
      </c>
      <c r="H45" s="24" t="inlineStr">
        <is>
          <t>spread</t>
        </is>
      </c>
      <c r="I45" s="24" t="inlineStr">
        <is>
          <t>home</t>
        </is>
      </c>
      <c r="J45" s="25" t="n">
        <v>3.5</v>
      </c>
      <c r="K45" s="24" t="inlineStr">
        <is>
          <t>polymarket_us</t>
        </is>
      </c>
      <c r="L45" s="26" t="n">
        <v>100</v>
      </c>
      <c r="M45" s="27" t="n">
        <v>2</v>
      </c>
      <c r="N45" s="28" t="n">
        <v>0.5</v>
      </c>
      <c r="O45" s="28" t="n">
        <v>0.649532</v>
      </c>
      <c r="P45" s="28" t="n">
        <v>0.08</v>
      </c>
      <c r="Q45" s="28" t="n">
        <v>0.149532</v>
      </c>
      <c r="R45" s="26" t="n">
        <v>77</v>
      </c>
      <c r="S45" s="29" t="n">
        <v>1.5</v>
      </c>
      <c r="T45" s="24" t="inlineStr">
        <is>
          <t>nfl-spread-structural-v5</t>
        </is>
      </c>
      <c r="U45" s="24" t="inlineStr">
        <is>
          <t>settled</t>
        </is>
      </c>
      <c r="V45" s="24" t="inlineStr">
        <is>
          <t>loss</t>
        </is>
      </c>
      <c r="W45" s="26" t="n">
        <v>23</v>
      </c>
      <c r="X45" s="26" t="n">
        <v>17</v>
      </c>
      <c r="Y45" s="25" t="n"/>
      <c r="Z45" s="26" t="n"/>
      <c r="AA45" s="28" t="n"/>
      <c r="AB45" s="28" t="n"/>
      <c r="AC45" s="30" t="n">
        <v>-1.5</v>
      </c>
      <c r="AD45" s="24" t="inlineStr">
        <is>
          <t>2026-10-13T22:02:14.957296Z</t>
        </is>
      </c>
      <c r="AE45" s="31" t="inlineStr">
        <is>
          <t>NFL Structural v5 Spread projection. Projected margin +1.8. Executable ask 0.5000 (asc-nfl-den-lac-2026-10-11-neg-3pt5).</t>
        </is>
      </c>
      <c r="AF45" s="31" t="inlineStr">
        <is>
          <t>NFL Structural v5 joint distribution spread model.</t>
        </is>
      </c>
      <c r="AG45" s="24" t="inlineStr">
        <is>
          <t>review_required</t>
        </is>
      </c>
      <c r="AH45" s="24" t="n"/>
      <c r="AI45" s="31" t="n"/>
      <c r="AJ45" s="31" t="n"/>
      <c r="AK45" s="24" t="inlineStr">
        <is>
          <t>model_qualified</t>
        </is>
      </c>
      <c r="AL45" s="26" t="n">
        <v>4</v>
      </c>
      <c r="AM45" s="24" t="inlineStr">
        <is>
          <t>QUALIFIED_SHADOW_CALL</t>
        </is>
      </c>
      <c r="AN45" s="24" t="inlineStr">
        <is>
          <t>CALL</t>
        </is>
      </c>
      <c r="AO45" s="24" t="inlineStr">
        <is>
          <t>QUALIFIED</t>
        </is>
      </c>
      <c r="AP45" s="24" t="inlineStr">
        <is>
          <t>nfl-den</t>
        </is>
      </c>
      <c r="AQ45" s="24" t="inlineStr">
        <is>
          <t>Denver Broncos</t>
        </is>
      </c>
      <c r="AR45" s="24" t="inlineStr">
        <is>
          <t>Denver Broncos</t>
        </is>
      </c>
      <c r="AS45" s="24" t="inlineStr">
        <is>
          <t>nfl-lac</t>
        </is>
      </c>
      <c r="AT45" s="24" t="inlineStr">
        <is>
          <t>Los Angeles Chargers</t>
        </is>
      </c>
      <c r="AU45" s="24" t="inlineStr">
        <is>
          <t>Los Angeles Chargers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4d76d37c4c20eda0eb538f3829c814b2be7119fcf464eb015f309485081c9768</t>
        </is>
      </c>
      <c r="BB45" s="24" t="inlineStr">
        <is>
          <t>margin_normal</t>
        </is>
      </c>
      <c r="BC45" s="24" t="inlineStr">
        <is>
          <t>nfl-spread-structural-v5</t>
        </is>
      </c>
      <c r="BD45" s="24" t="inlineStr">
        <is>
          <t>4d76d37c4c20eda0eb538f3829c814b2be7119fcf464eb015f309485081c9768</t>
        </is>
      </c>
      <c r="BE45" s="24" t="inlineStr">
        <is>
          <t>2</t>
        </is>
      </c>
      <c r="BF45" s="24" t="inlineStr">
        <is>
          <t>1</t>
        </is>
      </c>
      <c r="BG45" s="24" t="inlineStr">
        <is>
          <t>4d76d37c4c20eda0eb538f3829c814b2be7119fcf464eb015f309485081c9768</t>
        </is>
      </c>
      <c r="BH45" s="24" t="inlineStr">
        <is>
          <t>2026-10-11T05:50:02.209506Z</t>
        </is>
      </c>
      <c r="BI45" s="24" t="inlineStr">
        <is>
          <t>["same_event","same_team_same_day","same_league_same_day"]</t>
        </is>
      </c>
      <c r="BJ45" s="25" t="n">
        <v>3.5</v>
      </c>
      <c r="BK45" s="26" t="n">
        <v>100</v>
      </c>
      <c r="BL45" s="27" t="n">
        <v>2</v>
      </c>
      <c r="BM45" s="28" t="n">
        <v>0.5</v>
      </c>
      <c r="BN45" s="28" t="n"/>
      <c r="BO45" s="28" t="n"/>
      <c r="BP45" s="25" t="n"/>
      <c r="BQ45" s="27" t="n"/>
      <c r="BR45" s="28" t="n"/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True</t>
        </is>
      </c>
      <c r="CT45" s="24" t="n"/>
      <c r="CU45" s="24" t="n"/>
      <c r="CV45" s="24" t="n"/>
      <c r="CW45" s="24" t="n"/>
      <c r="CX45" s="24" t="n"/>
      <c r="CY45" s="24" t="inlineStr">
        <is>
          <t>2026-10-11T05:50:02.209506Z</t>
        </is>
      </c>
      <c r="CZ45" s="24" t="inlineStr">
        <is>
          <t>True</t>
        </is>
      </c>
      <c r="DA45" s="24" t="inlineStr">
        <is>
          <t>polymarket_us</t>
        </is>
      </c>
      <c r="DB45" s="24" t="inlineStr">
        <is>
          <t>decision_time_executable_quote</t>
        </is>
      </c>
      <c r="DC45" s="24" t="inlineStr">
        <is>
          <t>False</t>
        </is>
      </c>
      <c r="DD45" s="24" t="inlineStr">
        <is>
          <t>717a6c47fc9c920c20c3e02cc37b40319c3c1210eb96261b23aecf2588be6aea</t>
        </is>
      </c>
      <c r="DE45" s="24" t="inlineStr">
        <is>
          <t>E:\model-prediction\data\odds\nfl\2026-10-11\polymarket_snapshots.jsonl</t>
        </is>
      </c>
      <c r="DF45" s="24" t="inlineStr">
        <is>
          <t>717a6c47fc9c920c20c3e02cc37b40319c3c1210eb96261b23aecf2588be6aea</t>
        </is>
      </c>
      <c r="DG45" s="24" t="n"/>
      <c r="DH45" s="24" t="n"/>
      <c r="DI45" s="24" t="n"/>
      <c r="DJ45" s="24" t="n"/>
      <c r="DK45" s="24" t="n"/>
      <c r="DL45" s="24" t="n"/>
      <c r="DM45" s="24" t="n"/>
      <c r="DN45" s="24" t="n"/>
      <c r="DO45" s="24" t="n"/>
      <c r="DP45" s="24" t="n"/>
      <c r="DQ45" s="24" t="inlineStr">
        <is>
          <t>{"artifact": {"artifact_hash": "4d76d37c4c20eda0eb538f3829c814b2be7119fcf464eb015f309485081c9768", "gates": {"max_uncertainty": 0.15, "min_edge": 0.035, "sizing": "flat_1u_gated"}, "home_field_advantage_points": 1.8, "key_margins": {"1": 0.038, "10": 0.058, "14": 0.048, "2": 0.025, "3": 0.152, "4": 0.051, "6": 0.062, "7": 0.098}, "league": "NFL", "margin_sd": 13.8, "method": "nfl_structural_v5_margin_engine", "model_version": "nfl-spread-structural-v5", "positive_class": "away_cover", "qualification": {"framework": "nfl_structural_v5_margin_cdf", "locked_holdout": true, "qualified": true, "status": "qualified"}, "schema_version": "2", "sport": "nfl"}, "artifact_hash": "4d76d37c4c20eda0eb538f3829c814b2be7119fcf464eb015f309485081c9768", "engine_source_sha256": "b3e51245ad0a7e788962afd61a7c547268e46bdf3fe8efe2db0b1b9fce1801d3", "event_id": "401872989", "event_start_utc": "2026-10-11T20:05Z", "features": {"away_team": "Denver Broncos", "home_team": "Los Angeles Chargers", "spread_home_line": 3.5}, "historical_source_observation_times_verified": false, "inference_inputs": {"line": -3.5, "mean": 1.8, "sd": 13.8}, "model_version": "nfl-spread-structural-v5", "observed_at_utc": "2026-10-11T12:00:00+00:00", "replay_scope": "Exact final classifier/distribution inputs and artifact. Upstream historical feature construction not certified.", "schema": "scalar-artifact-replay-v1", "snapshot_hash": "379b3034de85bd3dfa81e18ca28ef39004d7393774fb3e81f006c7049dd757b9"}</t>
        </is>
      </c>
    </row>
    <row r="46" ht="36" customHeight="1">
      <c r="A46" s="24" t="inlineStr">
        <is>
          <t>7221522dee6b4734</t>
        </is>
      </c>
      <c r="B46" s="24" t="inlineStr">
        <is>
          <t>2026-10-11T12:00:00Z</t>
        </is>
      </c>
      <c r="C46" s="24" t="inlineStr">
        <is>
          <t>2026-10-11T13:30Z</t>
        </is>
      </c>
      <c r="D46" s="24" t="inlineStr">
        <is>
          <t>401872981</t>
        </is>
      </c>
      <c r="E46" s="24" t="inlineStr">
        <is>
          <t>NFL</t>
        </is>
      </c>
      <c r="F46" s="24" t="inlineStr">
        <is>
          <t>Philadelphia Eagles</t>
        </is>
      </c>
      <c r="G46" s="24" t="inlineStr">
        <is>
          <t>Jacksonville Jaguars</t>
        </is>
      </c>
      <c r="H46" s="24" t="inlineStr">
        <is>
          <t>total</t>
        </is>
      </c>
      <c r="I46" s="24" t="inlineStr">
        <is>
          <t>over</t>
        </is>
      </c>
      <c r="J46" s="25" t="n">
        <v>41.5</v>
      </c>
      <c r="K46" s="24" t="inlineStr">
        <is>
          <t>polymarket_us</t>
        </is>
      </c>
      <c r="L46" s="26" t="n">
        <v>-106</v>
      </c>
      <c r="M46" s="27" t="n">
        <v>1.943396</v>
      </c>
      <c r="N46" s="28" t="n">
        <v>0.514563</v>
      </c>
      <c r="O46" s="28" t="n">
        <v>0.638913</v>
      </c>
      <c r="P46" s="28" t="n">
        <v>0.08</v>
      </c>
      <c r="Q46" s="28" t="n">
        <v>0.12435</v>
      </c>
      <c r="R46" s="26" t="n">
        <v>64</v>
      </c>
      <c r="S46" s="29" t="n">
        <v>1.25</v>
      </c>
      <c r="T46" s="24" t="inlineStr">
        <is>
          <t>nfl-total-structural-v5</t>
        </is>
      </c>
      <c r="U46" s="24" t="inlineStr">
        <is>
          <t>settled</t>
        </is>
      </c>
      <c r="V46" s="24" t="inlineStr">
        <is>
          <t>loss</t>
        </is>
      </c>
      <c r="W46" s="26" t="n">
        <v>17</v>
      </c>
      <c r="X46" s="26" t="n">
        <v>19</v>
      </c>
      <c r="Y46" s="25" t="n"/>
      <c r="Z46" s="26" t="n">
        <v>-106</v>
      </c>
      <c r="AA46" s="28" t="n">
        <v>0.515</v>
      </c>
      <c r="AB46" s="28" t="n">
        <v>0.000437</v>
      </c>
      <c r="AC46" s="30" t="n">
        <v>-1.25</v>
      </c>
      <c r="AD46" s="24" t="inlineStr">
        <is>
          <t>2026-10-13T22:02:15.976122Z</t>
        </is>
      </c>
      <c r="AE46" s="31" t="inlineStr">
        <is>
          <t>NFL Structural v5 Total projection. Projected total 46.3. Executable ask 0.5150 (tsc-nfl-phi-jax-2026-10-11-total-41pt5).</t>
        </is>
      </c>
      <c r="AF46" s="31" t="inlineStr">
        <is>
          <t>NFL Structural v5 joint distribution total model.</t>
        </is>
      </c>
      <c r="AG46" s="24" t="inlineStr">
        <is>
          <t>review_required</t>
        </is>
      </c>
      <c r="AH46" s="24" t="n"/>
      <c r="AI46" s="31" t="n"/>
      <c r="AJ46" s="31" t="n"/>
      <c r="AK46" s="24" t="inlineStr">
        <is>
          <t>model_qualified</t>
        </is>
      </c>
      <c r="AL46" s="26" t="n">
        <v>4</v>
      </c>
      <c r="AM46" s="24" t="inlineStr">
        <is>
          <t>QUALIFIED_SHADOW_CALL</t>
        </is>
      </c>
      <c r="AN46" s="24" t="inlineStr">
        <is>
          <t>CALL</t>
        </is>
      </c>
      <c r="AO46" s="24" t="inlineStr">
        <is>
          <t>QUALIFIED</t>
        </is>
      </c>
      <c r="AP46" s="24" t="inlineStr">
        <is>
          <t>nfl-phi</t>
        </is>
      </c>
      <c r="AQ46" s="24" t="inlineStr">
        <is>
          <t>Philadelphia Eagles</t>
        </is>
      </c>
      <c r="AR46" s="24" t="inlineStr">
        <is>
          <t>Philadelphia Eagles</t>
        </is>
      </c>
      <c r="AS46" s="24" t="inlineStr">
        <is>
          <t>nfl-jax</t>
        </is>
      </c>
      <c r="AT46" s="24" t="inlineStr">
        <is>
          <t>Jacksonville Jaguars</t>
        </is>
      </c>
      <c r="AU46" s="24" t="inlineStr">
        <is>
          <t>Jacksonville Jaguars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a03cfa2ff7d92349716c72a20020b896f75c8eccd934a331987754c43f8fe7be</t>
        </is>
      </c>
      <c r="BB46" s="24" t="inlineStr">
        <is>
          <t>total_normal</t>
        </is>
      </c>
      <c r="BC46" s="24" t="inlineStr">
        <is>
          <t>nfl-total-structural-v5</t>
        </is>
      </c>
      <c r="BD46" s="24" t="inlineStr">
        <is>
          <t>a03cfa2ff7d92349716c72a20020b896f75c8eccd934a331987754c43f8fe7be</t>
        </is>
      </c>
      <c r="BE46" s="24" t="inlineStr">
        <is>
          <t>2</t>
        </is>
      </c>
      <c r="BF46" s="24" t="inlineStr">
        <is>
          <t>1</t>
        </is>
      </c>
      <c r="BG46" s="24" t="inlineStr">
        <is>
          <t>a03cfa2ff7d92349716c72a20020b896f75c8eccd934a331987754c43f8fe7be</t>
        </is>
      </c>
      <c r="BH46" s="24" t="inlineStr">
        <is>
          <t>2026-10-11T04:45:30.897903Z</t>
        </is>
      </c>
      <c r="BI46" s="24" t="inlineStr">
        <is>
          <t>["same_event","same_team_same_day","same_league_same_day"]</t>
        </is>
      </c>
      <c r="BJ46" s="25" t="n">
        <v>41.5</v>
      </c>
      <c r="BK46" s="26" t="n">
        <v>-106</v>
      </c>
      <c r="BL46" s="27" t="n">
        <v>1.943396</v>
      </c>
      <c r="BM46" s="28" t="n">
        <v>0.514563</v>
      </c>
      <c r="BN46" s="28" t="n"/>
      <c r="BO46" s="28" t="n"/>
      <c r="BP46" s="25" t="n"/>
      <c r="BQ46" s="27" t="n">
        <v>1.943396</v>
      </c>
      <c r="BR46" s="28" t="n">
        <v>0.515</v>
      </c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inlineStr">
        <is>
          <t>True</t>
        </is>
      </c>
      <c r="CT46" s="24" t="n"/>
      <c r="CU46" s="24" t="n"/>
      <c r="CV46" s="24" t="n"/>
      <c r="CW46" s="24" t="n"/>
      <c r="CX46" s="24" t="n"/>
      <c r="CY46" s="24" t="inlineStr">
        <is>
          <t>2026-10-11T04:45:30.897903Z</t>
        </is>
      </c>
      <c r="CZ46" s="24" t="inlineStr">
        <is>
          <t>True</t>
        </is>
      </c>
      <c r="DA46" s="24" t="inlineStr">
        <is>
          <t>polymarket_us</t>
        </is>
      </c>
      <c r="DB46" s="24" t="inlineStr">
        <is>
          <t>decision_time_executable_quote</t>
        </is>
      </c>
      <c r="DC46" s="24" t="inlineStr">
        <is>
          <t>False</t>
        </is>
      </c>
      <c r="DD46" s="24" t="inlineStr">
        <is>
          <t>09081eeb53bc8f3ffa7ab19820e83b55f961a92fceb01724c4df2205f00dd653</t>
        </is>
      </c>
      <c r="DE46" s="24" t="inlineStr">
        <is>
          <t>E:\model-prediction\data\odds\nfl\2026-10-11\polymarket_snapshots.jsonl</t>
        </is>
      </c>
      <c r="DF46" s="24" t="inlineStr">
        <is>
          <t>09081eeb53bc8f3ffa7ab19820e83b55f961a92fceb01724c4df2205f00dd653</t>
        </is>
      </c>
      <c r="DG46" s="24" t="n"/>
      <c r="DH46" s="24" t="n"/>
      <c r="DI46" s="24" t="n"/>
      <c r="DJ46" s="24" t="n"/>
      <c r="DK46" s="24" t="n"/>
      <c r="DL46" s="24" t="n"/>
      <c r="DM46" s="24" t="n"/>
      <c r="DN46" s="24" t="n"/>
      <c r="DO46" s="24" t="n"/>
      <c r="DP46" s="24" t="n"/>
      <c r="DQ46" s="24" t="inlineStr">
        <is>
          <t>{"artifact": {"artifact_hash": "a03cfa2ff7d92349716c72a20020b896f75c8eccd934a331987754c43f8fe7be", "gates": {"max_uncertainty": 0.15, "min_edge": 0.035, "sizing": "flat_1u_gated"}, "league": "NFL", "league_avg_total": 44.5, "method": "nfl_structural_v5_total_engine", "model_version": "nfl-total-structural-v5", "positive_class": "over", "qualification": {"framework": "nfl_structural_v5_total_cdf", "locked_holdout": true, "qualified": true, "status": "qualified"}, "schema_version": "2", "sport": "nfl", "total_sd": 13.5, "weather_wind_penalty_threshold_mph": 14.0}, "artifact_hash": "a03cfa2ff7d92349716c72a20020b896f75c8eccd934a331987754c43f8fe7be", "engine_source_sha256": "b3e51245ad0a7e788962afd61a7c547268e46bdf3fe8efe2db0b1b9fce1801d3", "event_id": "401872981", "event_start_utc": "2026-10-11T13:30Z", "features": {"away_team": "Philadelphia Eagles", "home_team": "Jacksonville Jaguars", "total_line": 41.5}, "historical_source_observation_times_verified": false, "inference_inputs": {"line": 41.5, "mean": 46.3, "sd": 13.5}, "model_version": "nfl-total-structural-v5", "observed_at_utc": "2026-10-11T12:00:00+00:00", "replay_scope": "Exact final classifier/distribution inputs and artifact. Upstream historical feature construction not certified.", "schema": "scalar-artifact-replay-v1", "snapshot_hash": "c8fc2752dd461e254d0ad2dc54d4bedb0fd213ebcb2934d874ee9244da023452"}</t>
        </is>
      </c>
    </row>
    <row r="47" ht="36" customHeight="1">
      <c r="A47" s="24" t="inlineStr">
        <is>
          <t>0a6ed033db984522</t>
        </is>
      </c>
      <c r="B47" s="24" t="inlineStr">
        <is>
          <t>2026-10-11T12:00:00Z</t>
        </is>
      </c>
      <c r="C47" s="24" t="inlineStr">
        <is>
          <t>2026-10-11T17:00Z</t>
        </is>
      </c>
      <c r="D47" s="24" t="inlineStr">
        <is>
          <t>401872990</t>
        </is>
      </c>
      <c r="E47" s="24" t="inlineStr">
        <is>
          <t>NFL</t>
        </is>
      </c>
      <c r="F47" s="24" t="inlineStr">
        <is>
          <t>Chicago Bears</t>
        </is>
      </c>
      <c r="G47" s="24" t="inlineStr">
        <is>
          <t>Green Bay Packers</t>
        </is>
      </c>
      <c r="H47" s="24" t="inlineStr">
        <is>
          <t>total</t>
        </is>
      </c>
      <c r="I47" s="24" t="inlineStr">
        <is>
          <t>under</t>
        </is>
      </c>
      <c r="J47" s="25" t="n">
        <v>46.5</v>
      </c>
      <c r="K47" s="24" t="inlineStr">
        <is>
          <t>polymarket_us</t>
        </is>
      </c>
      <c r="L47" s="26" t="n">
        <v>100</v>
      </c>
      <c r="M47" s="27" t="n">
        <v>2</v>
      </c>
      <c r="N47" s="28" t="n">
        <v>0.5</v>
      </c>
      <c r="O47" s="28" t="n">
        <v>0.50591</v>
      </c>
      <c r="P47" s="28" t="n">
        <v>0.08</v>
      </c>
      <c r="Q47" s="28" t="n">
        <v>0.00591</v>
      </c>
      <c r="R47" s="26" t="n">
        <v>5</v>
      </c>
      <c r="S47" s="29" t="n">
        <v>1</v>
      </c>
      <c r="T47" s="24" t="inlineStr">
        <is>
          <t>nfl-total-structural-v5</t>
        </is>
      </c>
      <c r="U47" s="24" t="inlineStr">
        <is>
          <t>settled</t>
        </is>
      </c>
      <c r="V47" s="24" t="inlineStr">
        <is>
          <t>win</t>
        </is>
      </c>
      <c r="W47" s="26" t="n">
        <v>7</v>
      </c>
      <c r="X47" s="26" t="n">
        <v>31</v>
      </c>
      <c r="Y47" s="25" t="n"/>
      <c r="Z47" s="26" t="n">
        <v>100</v>
      </c>
      <c r="AA47" s="28" t="n">
        <v>0.5</v>
      </c>
      <c r="AB47" s="28" t="n">
        <v>0</v>
      </c>
      <c r="AC47" s="30" t="n">
        <v>1</v>
      </c>
      <c r="AD47" s="24" t="inlineStr">
        <is>
          <t>2026-10-13T22:02:17.055499Z</t>
        </is>
      </c>
      <c r="AE47" s="31" t="inlineStr">
        <is>
          <t>NFL Structural v5 Total projection. Projected total 46.3. Executable ask 0.5000 (tsc-nfl-chi-gb-2026-10-11-total-46pt5).</t>
        </is>
      </c>
      <c r="AF47" s="31" t="inlineStr">
        <is>
          <t>NFL Structural v5 joint distribution total model.</t>
        </is>
      </c>
      <c r="AG47" s="24" t="inlineStr">
        <is>
          <t>not_applicable</t>
        </is>
      </c>
      <c r="AH47" s="24" t="n"/>
      <c r="AI47" s="31" t="n"/>
      <c r="AJ47" s="31" t="n"/>
      <c r="AK47" s="24" t="inlineStr">
        <is>
          <t>model_qualified</t>
        </is>
      </c>
      <c r="AL47" s="26" t="n">
        <v>4</v>
      </c>
      <c r="AM47" s="24" t="inlineStr">
        <is>
          <t>QUALIFIED_SHADOW_CALL</t>
        </is>
      </c>
      <c r="AN47" s="24" t="inlineStr">
        <is>
          <t>CALL</t>
        </is>
      </c>
      <c r="AO47" s="24" t="inlineStr">
        <is>
          <t>QUALIFIED</t>
        </is>
      </c>
      <c r="AP47" s="24" t="inlineStr">
        <is>
          <t>nfl-chi</t>
        </is>
      </c>
      <c r="AQ47" s="24" t="inlineStr">
        <is>
          <t>Chicago Bears</t>
        </is>
      </c>
      <c r="AR47" s="24" t="inlineStr">
        <is>
          <t>Chicago Bears</t>
        </is>
      </c>
      <c r="AS47" s="24" t="inlineStr">
        <is>
          <t>nfl-gb</t>
        </is>
      </c>
      <c r="AT47" s="24" t="inlineStr">
        <is>
          <t>Green Bay Packers</t>
        </is>
      </c>
      <c r="AU47" s="24" t="inlineStr">
        <is>
          <t>Green Bay Packers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a03cfa2ff7d92349716c72a20020b896f75c8eccd934a331987754c43f8fe7be</t>
        </is>
      </c>
      <c r="BB47" s="24" t="inlineStr">
        <is>
          <t>total_normal</t>
        </is>
      </c>
      <c r="BC47" s="24" t="inlineStr">
        <is>
          <t>nfl-total-structural-v5</t>
        </is>
      </c>
      <c r="BD47" s="24" t="inlineStr">
        <is>
          <t>a03cfa2ff7d92349716c72a20020b896f75c8eccd934a331987754c43f8fe7be</t>
        </is>
      </c>
      <c r="BE47" s="24" t="inlineStr">
        <is>
          <t>2</t>
        </is>
      </c>
      <c r="BF47" s="24" t="inlineStr">
        <is>
          <t>1</t>
        </is>
      </c>
      <c r="BG47" s="24" t="inlineStr">
        <is>
          <t>a03cfa2ff7d92349716c72a20020b896f75c8eccd934a331987754c43f8fe7be</t>
        </is>
      </c>
      <c r="BH47" s="24" t="inlineStr">
        <is>
          <t>2026-10-11T05:40:12.335383Z</t>
        </is>
      </c>
      <c r="BI47" s="24" t="inlineStr">
        <is>
          <t>["same_event","same_team_same_day","same_league_same_day"]</t>
        </is>
      </c>
      <c r="BJ47" s="25" t="n">
        <v>46.5</v>
      </c>
      <c r="BK47" s="26" t="n">
        <v>100</v>
      </c>
      <c r="BL47" s="27" t="n">
        <v>2</v>
      </c>
      <c r="BM47" s="28" t="n">
        <v>0.5</v>
      </c>
      <c r="BN47" s="28" t="n"/>
      <c r="BO47" s="28" t="n"/>
      <c r="BP47" s="25" t="n"/>
      <c r="BQ47" s="27" t="n">
        <v>2</v>
      </c>
      <c r="BR47" s="28" t="n">
        <v>0.5</v>
      </c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True</t>
        </is>
      </c>
      <c r="CT47" s="24" t="n"/>
      <c r="CU47" s="24" t="n"/>
      <c r="CV47" s="24" t="n"/>
      <c r="CW47" s="24" t="n"/>
      <c r="CX47" s="24" t="n"/>
      <c r="CY47" s="24" t="inlineStr">
        <is>
          <t>2026-10-11T05:40:12.335383Z</t>
        </is>
      </c>
      <c r="CZ47" s="24" t="inlineStr">
        <is>
          <t>True</t>
        </is>
      </c>
      <c r="DA47" s="24" t="inlineStr">
        <is>
          <t>polymarket_us</t>
        </is>
      </c>
      <c r="DB47" s="24" t="inlineStr">
        <is>
          <t>decision_time_executable_quote</t>
        </is>
      </c>
      <c r="DC47" s="24" t="inlineStr">
        <is>
          <t>False</t>
        </is>
      </c>
      <c r="DD47" s="24" t="inlineStr">
        <is>
          <t>45a46b938002c8881896f77db348ed058626a4b94b30f4c534ee002af96cef12</t>
        </is>
      </c>
      <c r="DE47" s="24" t="inlineStr">
        <is>
          <t>E:\model-prediction\data\odds\nfl\2026-10-11\polymarket_snapshots.jsonl</t>
        </is>
      </c>
      <c r="DF47" s="24" t="inlineStr">
        <is>
          <t>45a46b938002c8881896f77db348ed058626a4b94b30f4c534ee002af96cef12</t>
        </is>
      </c>
      <c r="DG47" s="24" t="n"/>
      <c r="DH47" s="24" t="n"/>
      <c r="DI47" s="24" t="n"/>
      <c r="DJ47" s="24" t="n"/>
      <c r="DK47" s="24" t="n"/>
      <c r="DL47" s="24" t="n"/>
      <c r="DM47" s="24" t="n"/>
      <c r="DN47" s="24" t="n"/>
      <c r="DO47" s="24" t="n"/>
      <c r="DP47" s="24" t="n"/>
      <c r="DQ47" s="24" t="inlineStr">
        <is>
          <t>{"artifact": {"artifact_hash": "a03cfa2ff7d92349716c72a20020b896f75c8eccd934a331987754c43f8fe7be", "gates": {"max_uncertainty": 0.15, "min_edge": 0.035, "sizing": "flat_1u_gated"}, "league": "NFL", "league_avg_total": 44.5, "method": "nfl_structural_v5_total_engine", "model_version": "nfl-total-structural-v5", "positive_class": "over", "qualification": {"framework": "nfl_structural_v5_total_cdf", "locked_holdout": true, "qualified": true, "status": "qualified"}, "schema_version": "2", "sport": "nfl", "total_sd": 13.5, "weather_wind_penalty_threshold_mph": 14.0}, "artifact_hash": "a03cfa2ff7d92349716c72a20020b896f75c8eccd934a331987754c43f8fe7be", "engine_source_sha256": "b3e51245ad0a7e788962afd61a7c547268e46bdf3fe8efe2db0b1b9fce1801d3", "event_id": "401872990", "event_start_utc": "2026-10-11T17:00Z", "features": {"away_team": "Chicago Bears", "home_team": "Green Bay Packers", "total_line": 46.5}, "historical_source_observation_times_verified": false, "inference_inputs": {"line": 46.5, "mean": 46.3, "sd": 13.5}, "model_version": "nfl-total-structural-v5", "observed_at_utc": "2026-10-11T12:00:00+00:00", "replay_scope": "Exact final classifier/distribution inputs and artifact. Upstream historical feature construction not certified.", "schema": "scalar-artifact-replay-v1", "snapshot_hash": "bb89c362c06dff64ac4b82c4781073e88b868ebf44dafbde2b6fbbf648a00100"}</t>
        </is>
      </c>
    </row>
    <row r="48" ht="36" customHeight="1">
      <c r="A48" s="24" t="inlineStr">
        <is>
          <t>ddcf8838f692448c</t>
        </is>
      </c>
      <c r="B48" s="24" t="inlineStr">
        <is>
          <t>2026-10-11T12:00:00Z</t>
        </is>
      </c>
      <c r="C48" s="24" t="inlineStr">
        <is>
          <t>2026-10-11T17:00Z</t>
        </is>
      </c>
      <c r="D48" s="24" t="inlineStr">
        <is>
          <t>401872984</t>
        </is>
      </c>
      <c r="E48" s="24" t="inlineStr">
        <is>
          <t>NFL</t>
        </is>
      </c>
      <c r="F48" s="24" t="inlineStr">
        <is>
          <t>Houston Texans</t>
        </is>
      </c>
      <c r="G48" s="24" t="inlineStr">
        <is>
          <t>Tennessee Titans</t>
        </is>
      </c>
      <c r="H48" s="24" t="inlineStr">
        <is>
          <t>total</t>
        </is>
      </c>
      <c r="I48" s="24" t="inlineStr">
        <is>
          <t>over</t>
        </is>
      </c>
      <c r="J48" s="25" t="n">
        <v>38.5</v>
      </c>
      <c r="K48" s="24" t="inlineStr">
        <is>
          <t>polymarket_us</t>
        </is>
      </c>
      <c r="L48" s="26" t="n">
        <v>111</v>
      </c>
      <c r="M48" s="27" t="n">
        <v>2.11</v>
      </c>
      <c r="N48" s="28" t="n">
        <v>0.473934</v>
      </c>
      <c r="O48" s="28" t="n">
        <v>0.718293</v>
      </c>
      <c r="P48" s="28" t="n">
        <v>0.08</v>
      </c>
      <c r="Q48" s="28" t="n">
        <v>0.244359</v>
      </c>
      <c r="R48" s="26" t="n">
        <v>100</v>
      </c>
      <c r="S48" s="29" t="n">
        <v>2</v>
      </c>
      <c r="T48" s="24" t="inlineStr">
        <is>
          <t>nfl-total-structural-v5</t>
        </is>
      </c>
      <c r="U48" s="24" t="inlineStr">
        <is>
          <t>settled</t>
        </is>
      </c>
      <c r="V48" s="24" t="inlineStr">
        <is>
          <t>loss</t>
        </is>
      </c>
      <c r="W48" s="26" t="n">
        <v>26</v>
      </c>
      <c r="X48" s="26" t="n">
        <v>3</v>
      </c>
      <c r="Y48" s="25" t="n"/>
      <c r="Z48" s="26" t="n">
        <v>113</v>
      </c>
      <c r="AA48" s="28" t="n">
        <v>0.47</v>
      </c>
      <c r="AB48" s="28" t="n">
        <v>-0.003934</v>
      </c>
      <c r="AC48" s="30" t="n">
        <v>-2</v>
      </c>
      <c r="AD48" s="24" t="inlineStr">
        <is>
          <t>2026-10-13T22:02:18.074139Z</t>
        </is>
      </c>
      <c r="AE48" s="31" t="inlineStr">
        <is>
          <t>NFL Structural v5 Total projection. Projected total 46.3. Executable ask 0.4750 (tsc-nfl-hou-ten-2026-10-11-total-38pt5).</t>
        </is>
      </c>
      <c r="AF48" s="31" t="inlineStr">
        <is>
          <t>NFL Structural v5 joint distribution total model.</t>
        </is>
      </c>
      <c r="AG48" s="24" t="inlineStr">
        <is>
          <t>review_required</t>
        </is>
      </c>
      <c r="AH48" s="24" t="n"/>
      <c r="AI48" s="31" t="n"/>
      <c r="AJ48" s="31" t="n"/>
      <c r="AK48" s="24" t="inlineStr">
        <is>
          <t>model_qualified</t>
        </is>
      </c>
      <c r="AL48" s="26" t="n">
        <v>4</v>
      </c>
      <c r="AM48" s="24" t="inlineStr">
        <is>
          <t>QUALIFIED_SHADOW_CALL</t>
        </is>
      </c>
      <c r="AN48" s="24" t="inlineStr">
        <is>
          <t>CALL</t>
        </is>
      </c>
      <c r="AO48" s="24" t="inlineStr">
        <is>
          <t>QUALIFIED</t>
        </is>
      </c>
      <c r="AP48" s="24" t="inlineStr">
        <is>
          <t>nfl-hou</t>
        </is>
      </c>
      <c r="AQ48" s="24" t="inlineStr">
        <is>
          <t>Houston Texans</t>
        </is>
      </c>
      <c r="AR48" s="24" t="inlineStr">
        <is>
          <t>Houston Texans</t>
        </is>
      </c>
      <c r="AS48" s="24" t="inlineStr">
        <is>
          <t>nfl-ten</t>
        </is>
      </c>
      <c r="AT48" s="24" t="inlineStr">
        <is>
          <t>Tennessee Titans</t>
        </is>
      </c>
      <c r="AU48" s="24" t="inlineStr">
        <is>
          <t>Tennessee Titans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a03cfa2ff7d92349716c72a20020b896f75c8eccd934a331987754c43f8fe7be</t>
        </is>
      </c>
      <c r="BB48" s="24" t="inlineStr">
        <is>
          <t>total_normal</t>
        </is>
      </c>
      <c r="BC48" s="24" t="inlineStr">
        <is>
          <t>nfl-total-structural-v5</t>
        </is>
      </c>
      <c r="BD48" s="24" t="inlineStr">
        <is>
          <t>a03cfa2ff7d92349716c72a20020b896f75c8eccd934a331987754c43f8fe7be</t>
        </is>
      </c>
      <c r="BE48" s="24" t="inlineStr">
        <is>
          <t>2</t>
        </is>
      </c>
      <c r="BF48" s="24" t="inlineStr">
        <is>
          <t>1</t>
        </is>
      </c>
      <c r="BG48" s="24" t="inlineStr">
        <is>
          <t>a03cfa2ff7d92349716c72a20020b896f75c8eccd934a331987754c43f8fe7be</t>
        </is>
      </c>
      <c r="BH48" s="24" t="inlineStr">
        <is>
          <t>2026-10-11T05:19:45.384748Z</t>
        </is>
      </c>
      <c r="BI48" s="24" t="inlineStr">
        <is>
          <t>["same_event","same_team_same_day","same_league_same_day"]</t>
        </is>
      </c>
      <c r="BJ48" s="25" t="n">
        <v>38.5</v>
      </c>
      <c r="BK48" s="26" t="n">
        <v>111</v>
      </c>
      <c r="BL48" s="27" t="n">
        <v>2.11</v>
      </c>
      <c r="BM48" s="28" t="n">
        <v>0.473934</v>
      </c>
      <c r="BN48" s="28" t="n"/>
      <c r="BO48" s="28" t="n"/>
      <c r="BP48" s="25" t="n"/>
      <c r="BQ48" s="27" t="n">
        <v>2.13</v>
      </c>
      <c r="BR48" s="28" t="n">
        <v>0.47</v>
      </c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inlineStr">
        <is>
          <t>True</t>
        </is>
      </c>
      <c r="CT48" s="24" t="n"/>
      <c r="CU48" s="24" t="n"/>
      <c r="CV48" s="24" t="n"/>
      <c r="CW48" s="24" t="n"/>
      <c r="CX48" s="24" t="n"/>
      <c r="CY48" s="24" t="inlineStr">
        <is>
          <t>2026-10-11T05:19:45.384748Z</t>
        </is>
      </c>
      <c r="CZ48" s="24" t="inlineStr">
        <is>
          <t>True</t>
        </is>
      </c>
      <c r="DA48" s="24" t="inlineStr">
        <is>
          <t>polymarket_us</t>
        </is>
      </c>
      <c r="DB48" s="24" t="inlineStr">
        <is>
          <t>decision_time_executable_quote</t>
        </is>
      </c>
      <c r="DC48" s="24" t="inlineStr">
        <is>
          <t>False</t>
        </is>
      </c>
      <c r="DD48" s="24" t="inlineStr">
        <is>
          <t>3b95b93bf9a9ed1a813d8f8e4eb5b5923165ec3ac59dac29fa57222bed94e8c7</t>
        </is>
      </c>
      <c r="DE48" s="24" t="inlineStr">
        <is>
          <t>E:\model-prediction\data\odds\nfl\2026-10-11\polymarket_snapshots.jsonl</t>
        </is>
      </c>
      <c r="DF48" s="24" t="inlineStr">
        <is>
          <t>3b95b93bf9a9ed1a813d8f8e4eb5b5923165ec3ac59dac29fa57222bed94e8c7</t>
        </is>
      </c>
      <c r="DG48" s="24" t="n"/>
      <c r="DH48" s="24" t="n"/>
      <c r="DI48" s="24" t="n"/>
      <c r="DJ48" s="24" t="n"/>
      <c r="DK48" s="24" t="n"/>
      <c r="DL48" s="24" t="n"/>
      <c r="DM48" s="24" t="n"/>
      <c r="DN48" s="24" t="n"/>
      <c r="DO48" s="24" t="n"/>
      <c r="DP48" s="24" t="n"/>
      <c r="DQ48" s="24" t="inlineStr">
        <is>
          <t>{"artifact": {"artifact_hash": "a03cfa2ff7d92349716c72a20020b896f75c8eccd934a331987754c43f8fe7be", "gates": {"max_uncertainty": 0.15, "min_edge": 0.035, "sizing": "flat_1u_gated"}, "league": "NFL", "league_avg_total": 44.5, "method": "nfl_structural_v5_total_engine", "model_version": "nfl-total-structural-v5", "positive_class": "over", "qualification": {"framework": "nfl_structural_v5_total_cdf", "locked_holdout": true, "qualified": true, "status": "qualified"}, "schema_version": "2", "sport": "nfl", "total_sd": 13.5, "weather_wind_penalty_threshold_mph": 14.0}, "artifact_hash": "a03cfa2ff7d92349716c72a20020b896f75c8eccd934a331987754c43f8fe7be", "engine_source_sha256": "b3e51245ad0a7e788962afd61a7c547268e46bdf3fe8efe2db0b1b9fce1801d3", "event_id": "401872984", "event_start_utc": "2026-10-11T17:00Z", "features": {"away_team": "Houston Texans", "home_team": "Tennessee Titans", "total_line": 38.5}, "historical_source_observation_times_verified": false, "inference_inputs": {"line": 38.5, "mean": 46.3, "sd": 13.5}, "model_version": "nfl-total-structural-v5", "observed_at_utc": "2026-10-11T12:00:00+00:00", "replay_scope": "Exact final classifier/distribution inputs and artifact. Upstream historical feature construction not certified.", "schema": "scalar-artifact-replay-v1", "snapshot_hash": "1e86d5ba17f50be5f15875273822137b798682cb1cd1a77eaee58d9d5c4d16bc"}</t>
        </is>
      </c>
    </row>
    <row r="49" ht="36" customHeight="1">
      <c r="A49" s="24" t="inlineStr">
        <is>
          <t>5e0f7fa346c9413c</t>
        </is>
      </c>
      <c r="B49" s="24" t="inlineStr">
        <is>
          <t>2026-10-11T12:00:00Z</t>
        </is>
      </c>
      <c r="C49" s="24" t="inlineStr">
        <is>
          <t>2026-10-11T17:00Z</t>
        </is>
      </c>
      <c r="D49" s="24" t="inlineStr">
        <is>
          <t>401872982</t>
        </is>
      </c>
      <c r="E49" s="24" t="inlineStr">
        <is>
          <t>NFL</t>
        </is>
      </c>
      <c r="F49" s="24" t="inlineStr">
        <is>
          <t>Cincinnati Bengals</t>
        </is>
      </c>
      <c r="G49" s="24" t="inlineStr">
        <is>
          <t>Miami Dolphins</t>
        </is>
      </c>
      <c r="H49" s="24" t="inlineStr">
        <is>
          <t>total</t>
        </is>
      </c>
      <c r="I49" s="24" t="inlineStr">
        <is>
          <t>over</t>
        </is>
      </c>
      <c r="J49" s="25" t="n">
        <v>44.5</v>
      </c>
      <c r="K49" s="24" t="inlineStr">
        <is>
          <t>polymarket_us</t>
        </is>
      </c>
      <c r="L49" s="26" t="n">
        <v>106</v>
      </c>
      <c r="M49" s="27" t="n">
        <v>2.06</v>
      </c>
      <c r="N49" s="28" t="n">
        <v>0.485437</v>
      </c>
      <c r="O49" s="28" t="n">
        <v>0.5530350000000001</v>
      </c>
      <c r="P49" s="28" t="n">
        <v>0.08</v>
      </c>
      <c r="Q49" s="28" t="n">
        <v>0.06759800000000001</v>
      </c>
      <c r="R49" s="26" t="n">
        <v>36</v>
      </c>
      <c r="S49" s="29" t="n">
        <v>1</v>
      </c>
      <c r="T49" s="24" t="inlineStr">
        <is>
          <t>nfl-total-structural-v5</t>
        </is>
      </c>
      <c r="U49" s="24" t="inlineStr">
        <is>
          <t>settled</t>
        </is>
      </c>
      <c r="V49" s="24" t="inlineStr">
        <is>
          <t>win</t>
        </is>
      </c>
      <c r="W49" s="26" t="n">
        <v>31</v>
      </c>
      <c r="X49" s="26" t="n">
        <v>24</v>
      </c>
      <c r="Y49" s="25" t="n"/>
      <c r="Z49" s="26" t="n">
        <v>106</v>
      </c>
      <c r="AA49" s="28" t="n">
        <v>0.485</v>
      </c>
      <c r="AB49" s="28" t="n">
        <v>-0.000437</v>
      </c>
      <c r="AC49" s="30" t="n">
        <v>1.06</v>
      </c>
      <c r="AD49" s="24" t="inlineStr">
        <is>
          <t>2026-10-13T22:02:19.170566Z</t>
        </is>
      </c>
      <c r="AE49" s="31" t="inlineStr">
        <is>
          <t>NFL Structural v5 Total projection. Projected total 46.3. Executable ask 0.4850 (tsc-nfl-cin-mia-2026-10-11-total-44pt5).</t>
        </is>
      </c>
      <c r="AF49" s="31" t="inlineStr">
        <is>
          <t>NFL Structural v5 joint distribution total model.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model_qualified</t>
        </is>
      </c>
      <c r="AL49" s="26" t="n">
        <v>4</v>
      </c>
      <c r="AM49" s="24" t="inlineStr">
        <is>
          <t>QUALIFIED_SHADOW_CALL</t>
        </is>
      </c>
      <c r="AN49" s="24" t="inlineStr">
        <is>
          <t>CALL</t>
        </is>
      </c>
      <c r="AO49" s="24" t="inlineStr">
        <is>
          <t>QUALIFIED</t>
        </is>
      </c>
      <c r="AP49" s="24" t="inlineStr">
        <is>
          <t>nfl-cin</t>
        </is>
      </c>
      <c r="AQ49" s="24" t="inlineStr">
        <is>
          <t>Cincinnati Bengals</t>
        </is>
      </c>
      <c r="AR49" s="24" t="inlineStr">
        <is>
          <t>Cincinnati Bengals</t>
        </is>
      </c>
      <c r="AS49" s="24" t="inlineStr">
        <is>
          <t>nfl-mia</t>
        </is>
      </c>
      <c r="AT49" s="24" t="inlineStr">
        <is>
          <t>Miami Dolphins</t>
        </is>
      </c>
      <c r="AU49" s="24" t="inlineStr">
        <is>
          <t>Miami Dolphins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a03cfa2ff7d92349716c72a20020b896f75c8eccd934a331987754c43f8fe7be</t>
        </is>
      </c>
      <c r="BB49" s="24" t="inlineStr">
        <is>
          <t>total_normal</t>
        </is>
      </c>
      <c r="BC49" s="24" t="inlineStr">
        <is>
          <t>nfl-total-structural-v5</t>
        </is>
      </c>
      <c r="BD49" s="24" t="inlineStr">
        <is>
          <t>a03cfa2ff7d92349716c72a20020b896f75c8eccd934a331987754c43f8fe7be</t>
        </is>
      </c>
      <c r="BE49" s="24" t="inlineStr">
        <is>
          <t>2</t>
        </is>
      </c>
      <c r="BF49" s="24" t="inlineStr">
        <is>
          <t>1</t>
        </is>
      </c>
      <c r="BG49" s="24" t="inlineStr">
        <is>
          <t>a03cfa2ff7d92349716c72a20020b896f75c8eccd934a331987754c43f8fe7be</t>
        </is>
      </c>
      <c r="BH49" s="24" t="inlineStr">
        <is>
          <t>2026-10-11T05:04:44.787724Z</t>
        </is>
      </c>
      <c r="BI49" s="24" t="inlineStr">
        <is>
          <t>["same_event","same_team_same_day","same_league_same_day"]</t>
        </is>
      </c>
      <c r="BJ49" s="25" t="n">
        <v>44.5</v>
      </c>
      <c r="BK49" s="26" t="n">
        <v>106</v>
      </c>
      <c r="BL49" s="27" t="n">
        <v>2.06</v>
      </c>
      <c r="BM49" s="28" t="n">
        <v>0.485437</v>
      </c>
      <c r="BN49" s="28" t="n"/>
      <c r="BO49" s="28" t="n"/>
      <c r="BP49" s="25" t="n"/>
      <c r="BQ49" s="27" t="n">
        <v>2.06</v>
      </c>
      <c r="BR49" s="28" t="n">
        <v>0.485</v>
      </c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inlineStr">
        <is>
          <t>True</t>
        </is>
      </c>
      <c r="CT49" s="24" t="n"/>
      <c r="CU49" s="24" t="n"/>
      <c r="CV49" s="24" t="n"/>
      <c r="CW49" s="24" t="n"/>
      <c r="CX49" s="24" t="n"/>
      <c r="CY49" s="24" t="inlineStr">
        <is>
          <t>2026-10-11T05:04:44.787724Z</t>
        </is>
      </c>
      <c r="CZ49" s="24" t="inlineStr">
        <is>
          <t>True</t>
        </is>
      </c>
      <c r="DA49" s="24" t="inlineStr">
        <is>
          <t>polymarket_us</t>
        </is>
      </c>
      <c r="DB49" s="24" t="inlineStr">
        <is>
          <t>decision_time_executable_quote</t>
        </is>
      </c>
      <c r="DC49" s="24" t="inlineStr">
        <is>
          <t>False</t>
        </is>
      </c>
      <c r="DD49" s="24" t="inlineStr">
        <is>
          <t>893d1b6b1bf5b28effb9a61e44f8d223f171ba12d048e076f6c47ba95f081d5f</t>
        </is>
      </c>
      <c r="DE49" s="24" t="inlineStr">
        <is>
          <t>E:\model-prediction\data\odds\nfl\2026-10-11\polymarket_snapshots.jsonl</t>
        </is>
      </c>
      <c r="DF49" s="24" t="inlineStr">
        <is>
          <t>893d1b6b1bf5b28effb9a61e44f8d223f171ba12d048e076f6c47ba95f081d5f</t>
        </is>
      </c>
      <c r="DG49" s="24" t="n"/>
      <c r="DH49" s="24" t="n"/>
      <c r="DI49" s="24" t="n"/>
      <c r="DJ49" s="24" t="n"/>
      <c r="DK49" s="24" t="n"/>
      <c r="DL49" s="24" t="n"/>
      <c r="DM49" s="24" t="n"/>
      <c r="DN49" s="24" t="n"/>
      <c r="DO49" s="24" t="n"/>
      <c r="DP49" s="24" t="n"/>
      <c r="DQ49" s="24" t="inlineStr">
        <is>
          <t>{"artifact": {"artifact_hash": "a03cfa2ff7d92349716c72a20020b896f75c8eccd934a331987754c43f8fe7be", "gates": {"max_uncertainty": 0.15, "min_edge": 0.035, "sizing": "flat_1u_gated"}, "league": "NFL", "league_avg_total": 44.5, "method": "nfl_structural_v5_total_engine", "model_version": "nfl-total-structural-v5", "positive_class": "over", "qualification": {"framework": "nfl_structural_v5_total_cdf", "locked_holdout": true, "qualified": true, "status": "qualified"}, "schema_version": "2", "sport": "nfl", "total_sd": 13.5, "weather_wind_penalty_threshold_mph": 14.0}, "artifact_hash": "a03cfa2ff7d92349716c72a20020b896f75c8eccd934a331987754c43f8fe7be", "engine_source_sha256": "b3e51245ad0a7e788962afd61a7c547268e46bdf3fe8efe2db0b1b9fce1801d3", "event_id": "401872982", "event_start_utc": "2026-10-11T17:00Z", "features": {"away_team": "Cincinnati Bengals", "home_team": "Miami Dolphins", "total_line": 44.5}, "historical_source_observation_times_verified": false, "inference_inputs": {"line": 44.5, "mean": 46.3, "sd": 13.5}, "model_version": "nfl-total-structural-v5", "observed_at_utc": "2026-10-11T12:00:00+00:00", "replay_scope": "Exact final classifier/distribution inputs and artifact. Upstream historical feature construction not certified.", "schema": "scalar-artifact-replay-v1", "snapshot_hash": "24a0b53f7d8476dbc9ca92a5cdcfd3026ef880b385731b805b32b28fc21b40a5"}</t>
        </is>
      </c>
    </row>
    <row r="50" ht="36" customHeight="1">
      <c r="A50" s="24" t="inlineStr">
        <is>
          <t>25c166cfdacb4a0f</t>
        </is>
      </c>
      <c r="B50" s="24" t="inlineStr">
        <is>
          <t>2026-10-11T12:00:00Z</t>
        </is>
      </c>
      <c r="C50" s="24" t="inlineStr">
        <is>
          <t>2026-10-11T17:00Z</t>
        </is>
      </c>
      <c r="D50" s="24" t="inlineStr">
        <is>
          <t>401872986</t>
        </is>
      </c>
      <c r="E50" s="24" t="inlineStr">
        <is>
          <t>NFL</t>
        </is>
      </c>
      <c r="F50" s="24" t="inlineStr">
        <is>
          <t>Las Vegas Raiders</t>
        </is>
      </c>
      <c r="G50" s="24" t="inlineStr">
        <is>
          <t>New England Patriots</t>
        </is>
      </c>
      <c r="H50" s="24" t="inlineStr">
        <is>
          <t>total</t>
        </is>
      </c>
      <c r="I50" s="24" t="inlineStr">
        <is>
          <t>over</t>
        </is>
      </c>
      <c r="J50" s="25" t="n">
        <v>45.5</v>
      </c>
      <c r="K50" s="24" t="inlineStr">
        <is>
          <t>polymarket_us</t>
        </is>
      </c>
      <c r="L50" s="26" t="n">
        <v>102</v>
      </c>
      <c r="M50" s="27" t="n">
        <v>2.02</v>
      </c>
      <c r="N50" s="28" t="n">
        <v>0.49505</v>
      </c>
      <c r="O50" s="28" t="n">
        <v>0.523627</v>
      </c>
      <c r="P50" s="28" t="n">
        <v>0.08</v>
      </c>
      <c r="Q50" s="28" t="n">
        <v>0.028577</v>
      </c>
      <c r="R50" s="26" t="n">
        <v>16</v>
      </c>
      <c r="S50" s="29" t="n">
        <v>1</v>
      </c>
      <c r="T50" s="24" t="inlineStr">
        <is>
          <t>nfl-total-structural-v5</t>
        </is>
      </c>
      <c r="U50" s="24" t="inlineStr">
        <is>
          <t>settled</t>
        </is>
      </c>
      <c r="V50" s="24" t="inlineStr">
        <is>
          <t>win</t>
        </is>
      </c>
      <c r="W50" s="26" t="n">
        <v>17</v>
      </c>
      <c r="X50" s="26" t="n">
        <v>45</v>
      </c>
      <c r="Y50" s="25" t="n"/>
      <c r="Z50" s="26" t="n">
        <v>102</v>
      </c>
      <c r="AA50" s="28" t="n">
        <v>0.495</v>
      </c>
      <c r="AB50" s="28" t="n">
        <v>-5e-05</v>
      </c>
      <c r="AC50" s="30" t="n">
        <v>1.02</v>
      </c>
      <c r="AD50" s="24" t="inlineStr">
        <is>
          <t>2026-10-13T22:02:20.209903Z</t>
        </is>
      </c>
      <c r="AE50" s="31" t="inlineStr">
        <is>
          <t>NFL Structural v5 Total projection. Projected total 46.3. Executable ask 0.4950 (tsc-nfl-lv-ne-2026-10-11-total-45pt5).</t>
        </is>
      </c>
      <c r="AF50" s="31" t="inlineStr">
        <is>
          <t>NFL Structural v5 joint distribution total model.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model_qualified</t>
        </is>
      </c>
      <c r="AL50" s="26" t="n">
        <v>4</v>
      </c>
      <c r="AM50" s="24" t="inlineStr">
        <is>
          <t>QUALIFIED_SHADOW_CALL</t>
        </is>
      </c>
      <c r="AN50" s="24" t="inlineStr">
        <is>
          <t>CALL</t>
        </is>
      </c>
      <c r="AO50" s="24" t="inlineStr">
        <is>
          <t>QUALIFIED</t>
        </is>
      </c>
      <c r="AP50" s="24" t="inlineStr">
        <is>
          <t>nfl-lv</t>
        </is>
      </c>
      <c r="AQ50" s="24" t="inlineStr">
        <is>
          <t>Las Vegas Raiders</t>
        </is>
      </c>
      <c r="AR50" s="24" t="inlineStr">
        <is>
          <t>Las Vegas Raiders</t>
        </is>
      </c>
      <c r="AS50" s="24" t="inlineStr">
        <is>
          <t>nfl-ne</t>
        </is>
      </c>
      <c r="AT50" s="24" t="inlineStr">
        <is>
          <t>New England Patriots</t>
        </is>
      </c>
      <c r="AU50" s="24" t="inlineStr">
        <is>
          <t>New England Patriots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shadow_qualified</t>
        </is>
      </c>
      <c r="BA50" s="24" t="inlineStr">
        <is>
          <t>a03cfa2ff7d92349716c72a20020b896f75c8eccd934a331987754c43f8fe7be</t>
        </is>
      </c>
      <c r="BB50" s="24" t="inlineStr">
        <is>
          <t>total_normal</t>
        </is>
      </c>
      <c r="BC50" s="24" t="inlineStr">
        <is>
          <t>nfl-total-structural-v5</t>
        </is>
      </c>
      <c r="BD50" s="24" t="inlineStr">
        <is>
          <t>a03cfa2ff7d92349716c72a20020b896f75c8eccd934a331987754c43f8fe7be</t>
        </is>
      </c>
      <c r="BE50" s="24" t="inlineStr">
        <is>
          <t>2</t>
        </is>
      </c>
      <c r="BF50" s="24" t="inlineStr">
        <is>
          <t>1</t>
        </is>
      </c>
      <c r="BG50" s="24" t="inlineStr">
        <is>
          <t>a03cfa2ff7d92349716c72a20020b896f75c8eccd934a331987754c43f8fe7be</t>
        </is>
      </c>
      <c r="BH50" s="24" t="inlineStr">
        <is>
          <t>2026-10-11T05:09:40.543470Z</t>
        </is>
      </c>
      <c r="BI50" s="24" t="inlineStr">
        <is>
          <t>["same_event","same_team_same_day","same_league_same_day"]</t>
        </is>
      </c>
      <c r="BJ50" s="25" t="n">
        <v>45.5</v>
      </c>
      <c r="BK50" s="26" t="n">
        <v>102</v>
      </c>
      <c r="BL50" s="27" t="n">
        <v>2.02</v>
      </c>
      <c r="BM50" s="28" t="n">
        <v>0.49505</v>
      </c>
      <c r="BN50" s="28" t="n"/>
      <c r="BO50" s="28" t="n"/>
      <c r="BP50" s="25" t="n"/>
      <c r="BQ50" s="27" t="n">
        <v>2.02</v>
      </c>
      <c r="BR50" s="28" t="n">
        <v>0.495</v>
      </c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inlineStr">
        <is>
          <t>True</t>
        </is>
      </c>
      <c r="CT50" s="24" t="n"/>
      <c r="CU50" s="24" t="n"/>
      <c r="CV50" s="24" t="n"/>
      <c r="CW50" s="24" t="n"/>
      <c r="CX50" s="24" t="n"/>
      <c r="CY50" s="24" t="inlineStr">
        <is>
          <t>2026-10-11T05:09:40.543470Z</t>
        </is>
      </c>
      <c r="CZ50" s="24" t="inlineStr">
        <is>
          <t>True</t>
        </is>
      </c>
      <c r="DA50" s="24" t="inlineStr">
        <is>
          <t>polymarket_us</t>
        </is>
      </c>
      <c r="DB50" s="24" t="inlineStr">
        <is>
          <t>decision_time_executable_quote</t>
        </is>
      </c>
      <c r="DC50" s="24" t="inlineStr">
        <is>
          <t>False</t>
        </is>
      </c>
      <c r="DD50" s="24" t="inlineStr">
        <is>
          <t>f8f03638ddb9bc88391b35c20f0018f16a50deac67d0a21178eb379dac3e6eee</t>
        </is>
      </c>
      <c r="DE50" s="24" t="inlineStr">
        <is>
          <t>E:\model-prediction\data\odds\nfl\2026-10-11\polymarket_snapshots.jsonl</t>
        </is>
      </c>
      <c r="DF50" s="24" t="inlineStr">
        <is>
          <t>f8f03638ddb9bc88391b35c20f0018f16a50deac67d0a21178eb379dac3e6eee</t>
        </is>
      </c>
      <c r="DG50" s="24" t="n"/>
      <c r="DH50" s="24" t="n"/>
      <c r="DI50" s="24" t="n"/>
      <c r="DJ50" s="24" t="n"/>
      <c r="DK50" s="24" t="n"/>
      <c r="DL50" s="24" t="n"/>
      <c r="DM50" s="24" t="n"/>
      <c r="DN50" s="24" t="n"/>
      <c r="DO50" s="24" t="n"/>
      <c r="DP50" s="24" t="n"/>
      <c r="DQ50" s="24" t="inlineStr">
        <is>
          <t>{"artifact": {"artifact_hash": "a03cfa2ff7d92349716c72a20020b896f75c8eccd934a331987754c43f8fe7be", "gates": {"max_uncertainty": 0.15, "min_edge": 0.035, "sizing": "flat_1u_gated"}, "league": "NFL", "league_avg_total": 44.5, "method": "nfl_structural_v5_total_engine", "model_version": "nfl-total-structural-v5", "positive_class": "over", "qualification": {"framework": "nfl_structural_v5_total_cdf", "locked_holdout": true, "qualified": true, "status": "qualified"}, "schema_version": "2", "sport": "nfl", "total_sd": 13.5, "weather_wind_penalty_threshold_mph": 14.0}, "artifact_hash": "a03cfa2ff7d92349716c72a20020b896f75c8eccd934a331987754c43f8fe7be", "engine_source_sha256": "b3e51245ad0a7e788962afd61a7c547268e46bdf3fe8efe2db0b1b9fce1801d3", "event_id": "401872986", "event_start_utc": "2026-10-11T17:00Z", "features": {"away_team": "Las Vegas Raiders", "home_team": "New England Patriots", "total_line": 45.5}, "historical_source_observation_times_verified": false, "inference_inputs": {"line": 45.5, "mean": 46.3, "sd": 13.5}, "model_version": "nfl-total-structural-v5", "observed_at_utc": "2026-10-11T12:00:00+00:00", "replay_scope": "Exact final classifier/distribution inputs and artifact. Upstream historical feature construction not certified.", "schema": "scalar-artifact-replay-v1", "snapshot_hash": "bc86cfbe418333d624529fad738529cfcba47325c0454e205f3223a11f327ccf"}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2026-10-13T22:02:20Z</dcterms:created>
  <dcterms:modified xmlns:dcterms="http://purl.org/dc/terms/" xmlns:xsi="http://www.w3.org/2001/XMLSchema-instance" xsi:type="dcterms:W3CDTF">2026-10-13T22:02:20Z</dcterms:modified>
</cp:coreProperties>
</file>