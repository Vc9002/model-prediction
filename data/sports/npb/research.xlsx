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215" headerRowCount="1">
  <autoFilter ref="A1:DQ215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COUNTA('Picks'!$A$2:$A$215)</f>
        <v/>
      </c>
      <c r="C4" s="6">
        <f>COUNTIF('Picks'!$U$2:$U$215,"open")</f>
        <v/>
      </c>
      <c r="E4" s="6">
        <f>COUNTIF('Picks'!$U$2:$U$215,"settled")</f>
        <v/>
      </c>
      <c r="G4" s="6">
        <f>IF(COUNTIFS('Picks'!$U$2:$U$215,"settled",'Picks'!$V$2:$V$215,"win")+COUNTIFS('Picks'!$U$2:$U$215,"settled",'Picks'!$V$2:$V$215,"loss")&gt;=$L$2,"Ready","Insufficient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COUNTIF('Picks'!$BX$2:$BX$215,"&gt;0")</f>
        <v/>
      </c>
      <c r="C7" s="6">
        <f>COUNTIFS('Picks'!$BX$2:$BX$215,"&gt;0",'Picks'!$V$2:$V$215,"win")&amp;"-"&amp;COUNTIFS('Picks'!$BX$2:$BX$215,"&gt;0",'Picks'!$V$2:$V$215,"loss")</f>
        <v/>
      </c>
      <c r="E7" s="7">
        <f>IFERROR(COUNTIFS('Picks'!$BX$2:$BX$215,"&gt;0",'Picks'!$V$2:$V$215,"win")/(COUNTIFS('Picks'!$BX$2:$BX$215,"&gt;0",'Picks'!$V$2:$V$215,"win")+COUNTIFS('Picks'!$BX$2:$BX$215,"&gt;0",'Picks'!$V$2:$V$215,"loss")),0)</f>
        <v/>
      </c>
      <c r="G7" s="7">
        <f>IFERROR(SUM('Picks'!$BY$2:$BY$215)/SUM('Picks'!$BX$2:$BX$215),0)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SUM('Picks'!$BY$2:$BY$215)</f>
        <v/>
      </c>
      <c r="C10" s="9">
        <f>IFERROR(AVERAGEIF('Picks'!$AB$2:$AB$215,"&lt;&gt;",'Picks'!$AB$2:$AB$215),0)</f>
        <v/>
      </c>
      <c r="E10" s="6">
        <f>COUNTIFS('Picks'!$AM$2:$AM$215,"QUALIFIED_SHADOW_CALL",'Picks'!$U$2:$U$215,"settled")</f>
        <v/>
      </c>
      <c r="G10" s="8">
        <f>SUMIFS('Picks'!$AC$2:$AC$215,'Picks'!$AM$2:$AM$215,"QUALIFIED_SHADOW_CALL")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COUNTIFS('Picks'!$H$2:$H$215,$A14,'Picks'!$U$2:$U$215,"settled")</f>
        <v/>
      </c>
      <c r="C14" s="13">
        <f>COUNTIFS('Picks'!$H$2:$H$215,$A14,'Picks'!$U$2:$U$215,"settled",'Picks'!$V$2:$V$215,"win")</f>
        <v/>
      </c>
      <c r="D14" s="13">
        <f>COUNTIFS('Picks'!$H$2:$H$215,$A14,'Picks'!$U$2:$U$215,"settled",'Picks'!$V$2:$V$215,"loss")</f>
        <v/>
      </c>
      <c r="E14" s="14">
        <f>IFERROR(C14/(C14+D14),0)</f>
        <v/>
      </c>
      <c r="F14" s="15">
        <f>SUMIFS('Picks'!$BY$2:$BY$215,'Picks'!$H$2:$H$215,$A14)</f>
        <v/>
      </c>
      <c r="G14" s="16">
        <f>IFERROR(AVERAGEIFS('Picks'!$AB$2:$AB$215,'Picks'!$H$2:$H$215,$A14,'Picks'!$U$2:$U$215,"settled"),0)</f>
        <v/>
      </c>
    </row>
    <row r="15">
      <c r="A15" s="17" t="inlineStr">
        <is>
          <t>spread</t>
        </is>
      </c>
      <c r="B15" s="18">
        <f>COUNTIFS('Picks'!$H$2:$H$215,$A15,'Picks'!$U$2:$U$215,"settled")</f>
        <v/>
      </c>
      <c r="C15" s="18">
        <f>COUNTIFS('Picks'!$H$2:$H$215,$A15,'Picks'!$U$2:$U$215,"settled",'Picks'!$V$2:$V$215,"win")</f>
        <v/>
      </c>
      <c r="D15" s="18">
        <f>COUNTIFS('Picks'!$H$2:$H$215,$A15,'Picks'!$U$2:$U$215,"settled",'Picks'!$V$2:$V$215,"loss")</f>
        <v/>
      </c>
      <c r="E15" s="19">
        <f>IFERROR(C15/(C15+D15),0)</f>
        <v/>
      </c>
      <c r="F15" s="20">
        <f>SUMIFS('Picks'!$BY$2:$BY$215,'Picks'!$H$2:$H$215,$A15)</f>
        <v/>
      </c>
      <c r="G15" s="21">
        <f>IFERROR(AVERAGEIFS('Picks'!$AB$2:$AB$215,'Picks'!$H$2:$H$215,$A15,'Picks'!$U$2:$U$215,"settled"),0)</f>
        <v/>
      </c>
    </row>
    <row r="16">
      <c r="A16" s="12" t="inlineStr">
        <is>
          <t>total</t>
        </is>
      </c>
      <c r="B16" s="13">
        <f>COUNTIFS('Picks'!$H$2:$H$215,$A16,'Picks'!$U$2:$U$215,"settled")</f>
        <v/>
      </c>
      <c r="C16" s="13">
        <f>COUNTIFS('Picks'!$H$2:$H$215,$A16,'Picks'!$U$2:$U$215,"settled",'Picks'!$V$2:$V$215,"win")</f>
        <v/>
      </c>
      <c r="D16" s="13">
        <f>COUNTIFS('Picks'!$H$2:$H$215,$A16,'Picks'!$U$2:$U$215,"settled",'Picks'!$V$2:$V$215,"loss")</f>
        <v/>
      </c>
      <c r="E16" s="14">
        <f>IFERROR(C16/(C16+D16),0)</f>
        <v/>
      </c>
      <c r="F16" s="15">
        <f>SUMIFS('Picks'!$BY$2:$BY$215,'Picks'!$H$2:$H$215,$A16)</f>
        <v/>
      </c>
      <c r="G16" s="16">
        <f>IFERROR(AVERAGEIFS('Picks'!$AB$2:$AB$215,'Picks'!$H$2:$H$215,$A16,'Picks'!$U$2:$U$215,"settled"),0)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3a2fbe541260425f</t>
        </is>
      </c>
      <c r="B2" s="24" t="inlineStr">
        <is>
          <t>2026-08-02T07:17:16.064524Z</t>
        </is>
      </c>
      <c r="C2" s="24" t="inlineStr">
        <is>
          <t>2026-08-02T08:00:00Z</t>
        </is>
      </c>
      <c r="D2" s="24" t="inlineStr">
        <is>
          <t>66797</t>
        </is>
      </c>
      <c r="E2" s="24" t="inlineStr">
        <is>
          <t>NPB</t>
        </is>
      </c>
      <c r="F2" s="24" t="inlineStr">
        <is>
          <t>Orix Buffaloes</t>
        </is>
      </c>
      <c r="G2" s="24" t="inlineStr">
        <is>
          <t>Saitama Seibu Lions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-156</v>
      </c>
      <c r="M2" s="27" t="n">
        <v>1.641026</v>
      </c>
      <c r="N2" s="28" t="n">
        <v>0.609375</v>
      </c>
      <c r="O2" s="28" t="n">
        <v>0.598142</v>
      </c>
      <c r="P2" s="28" t="n"/>
      <c r="Q2" s="28" t="n">
        <v>-0.011233</v>
      </c>
      <c r="R2" s="26" t="n">
        <v>14</v>
      </c>
      <c r="S2" s="29" t="n">
        <v>1.25</v>
      </c>
      <c r="T2" s="24" t="inlineStr">
        <is>
          <t>npb-tie-aware-elo-v2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5</v>
      </c>
      <c r="Y2" s="25" t="n"/>
      <c r="Z2" s="26" t="n"/>
      <c r="AA2" s="28" t="n"/>
      <c r="AB2" s="28" t="n"/>
      <c r="AC2" s="30" t="n">
        <v>0.8013</v>
      </c>
      <c r="AD2" s="24" t="inlineStr">
        <is>
          <t>2026-08-02T18:19:02.727428Z</t>
        </is>
      </c>
      <c r="AE2" s="31" t="inlineStr">
        <is>
          <t>Tie-aware Elo baseline; executable ask 0.6100 (market_slug=aec-npb-ssl-obr-2026-08-02). Tie probability=0.0279.</t>
        </is>
      </c>
      <c r="AF2" s="31" t="inlineStr">
        <is>
          <t>Config-promoted international baseball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paper_call</t>
        </is>
      </c>
      <c r="AL2" s="26" t="n">
        <v>3</v>
      </c>
      <c r="AM2" s="24" t="inlineStr">
        <is>
          <t>RESEARCH_OBSERVATION</t>
        </is>
      </c>
      <c r="AN2" s="24" t="inlineStr">
        <is>
          <t>CALL</t>
        </is>
      </c>
      <c r="AO2" s="24" t="inlineStr">
        <is>
          <t>PAPER_CALL_LOW_EDGE</t>
        </is>
      </c>
      <c r="AP2" s="24" t="inlineStr">
        <is>
          <t>Orix Buffaloes</t>
        </is>
      </c>
      <c r="AQ2" s="24" t="inlineStr">
        <is>
          <t>Orix Buffaloes</t>
        </is>
      </c>
      <c r="AR2" s="24" t="inlineStr">
        <is>
          <t>Orix Buffaloes</t>
        </is>
      </c>
      <c r="AS2" s="24" t="inlineStr">
        <is>
          <t>Saitama Seibu Lions</t>
        </is>
      </c>
      <c r="AT2" s="24" t="inlineStr">
        <is>
          <t>Saitama Seibu Lions</t>
        </is>
      </c>
      <c r="AU2" s="24" t="inlineStr">
        <is>
          <t>Saitama Seibu Lions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7bc7902a4eb8ef0d1e3f86c086eab30d4166d1bb4c513506b84d49652b442bb9</t>
        </is>
      </c>
      <c r="BB2" s="24" t="inlineStr">
        <is>
          <t>tie_aware_elo</t>
        </is>
      </c>
      <c r="BC2" s="24" t="inlineStr">
        <is>
          <t>npb-tie-aware-elo-v2</t>
        </is>
      </c>
      <c r="BD2" s="24" t="inlineStr">
        <is>
          <t>7bc7902a4eb8ef0d1e3f86c086eab30d4166d1bb4c513506b84d49652b442bb9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npb-tie-aware-elo-v2</t>
        </is>
      </c>
      <c r="BH2" s="24" t="inlineStr">
        <is>
          <t>2026-08-02T07:17:15.048364Z</t>
        </is>
      </c>
      <c r="BI2" s="24" t="inlineStr">
        <is>
          <t>["same_event","same_team_same_day","same_league_same_day"]</t>
        </is>
      </c>
      <c r="BJ2" s="25" t="n"/>
      <c r="BK2" s="26" t="n">
        <v>-156</v>
      </c>
      <c r="BL2" s="27" t="n">
        <v>1.641026</v>
      </c>
      <c r="BM2" s="28" t="n">
        <v>0.609375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>
        <v>1</v>
      </c>
      <c r="BY2" s="27" t="n">
        <v>0.91</v>
      </c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0.609375</t>
        </is>
      </c>
      <c r="DK2" s="24" t="n"/>
      <c r="DL2" s="24" t="n"/>
      <c r="DM2" s="24" t="n"/>
      <c r="DN2" s="24" t="n"/>
      <c r="DO2" s="24" t="n"/>
      <c r="DP2" s="24" t="n"/>
      <c r="DQ2" s="24" t="n"/>
    </row>
    <row r="3" ht="36" customHeight="1">
      <c r="A3" s="24" t="inlineStr">
        <is>
          <t>410262d0c1934015</t>
        </is>
      </c>
      <c r="B3" s="24" t="inlineStr">
        <is>
          <t>2026-08-02T08:20:42.087614Z</t>
        </is>
      </c>
      <c r="C3" s="24" t="inlineStr">
        <is>
          <t>2026-08-02T09:00:00Z</t>
        </is>
      </c>
      <c r="D3" s="24" t="inlineStr">
        <is>
          <t>66805</t>
        </is>
      </c>
      <c r="E3" s="24" t="inlineStr">
        <is>
          <t>NPB</t>
        </is>
      </c>
      <c r="F3" s="24" t="inlineStr">
        <is>
          <t>Hanshin Tigers</t>
        </is>
      </c>
      <c r="G3" s="24" t="inlineStr">
        <is>
          <t>Tokyo Yakult Swallows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-156</v>
      </c>
      <c r="M3" s="27" t="n">
        <v>1.641026</v>
      </c>
      <c r="N3" s="28" t="n">
        <v>0.609375</v>
      </c>
      <c r="O3" s="28" t="n">
        <v>0.589889</v>
      </c>
      <c r="P3" s="28" t="n"/>
      <c r="Q3" s="28" t="n">
        <v>-0.019486</v>
      </c>
      <c r="R3" s="26" t="n">
        <v>10</v>
      </c>
      <c r="S3" s="29" t="n">
        <v>1.25</v>
      </c>
      <c r="T3" s="24" t="inlineStr">
        <is>
          <t>npb-tie-aware-elo-v2</t>
        </is>
      </c>
      <c r="U3" s="24" t="inlineStr">
        <is>
          <t>settled</t>
        </is>
      </c>
      <c r="V3" s="24" t="inlineStr">
        <is>
          <t>win</t>
        </is>
      </c>
      <c r="W3" s="26" t="n">
        <v>4</v>
      </c>
      <c r="X3" s="26" t="n">
        <v>3</v>
      </c>
      <c r="Y3" s="25" t="n"/>
      <c r="Z3" s="26" t="n"/>
      <c r="AA3" s="28" t="n"/>
      <c r="AB3" s="28" t="n"/>
      <c r="AC3" s="30" t="n">
        <v>0.8013</v>
      </c>
      <c r="AD3" s="24" t="inlineStr">
        <is>
          <t>2026-08-02T18:19:02.786059Z</t>
        </is>
      </c>
      <c r="AE3" s="31" t="inlineStr">
        <is>
          <t>Tie-aware Elo baseline; executable ask 0.6100 (market_slug=aec-npb-tys-hta-2026-08-02). Tie probability=0.0287.</t>
        </is>
      </c>
      <c r="AF3" s="31" t="inlineStr">
        <is>
          <t>Config-promoted international baseball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paper_call</t>
        </is>
      </c>
      <c r="AL3" s="26" t="n">
        <v>3</v>
      </c>
      <c r="AM3" s="24" t="inlineStr">
        <is>
          <t>RESEARCH_OBSERVATION</t>
        </is>
      </c>
      <c r="AN3" s="24" t="inlineStr">
        <is>
          <t>CALL</t>
        </is>
      </c>
      <c r="AO3" s="24" t="inlineStr">
        <is>
          <t>PAPER_CALL_LOW_EDGE</t>
        </is>
      </c>
      <c r="AP3" s="24" t="inlineStr">
        <is>
          <t>Hanshin Tigers</t>
        </is>
      </c>
      <c r="AQ3" s="24" t="inlineStr">
        <is>
          <t>Hanshin Tigers</t>
        </is>
      </c>
      <c r="AR3" s="24" t="inlineStr">
        <is>
          <t>Hanshin Tigers</t>
        </is>
      </c>
      <c r="AS3" s="24" t="inlineStr">
        <is>
          <t>Tokyo Yakult Swallows</t>
        </is>
      </c>
      <c r="AT3" s="24" t="inlineStr">
        <is>
          <t>Tokyo Yakult Swallows</t>
        </is>
      </c>
      <c r="AU3" s="24" t="inlineStr">
        <is>
          <t>Tokyo Yakult Swallows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2a6cf3b60204b321f39347f04e6fe642c4fbe02fc5d69a03243771cd77d85043</t>
        </is>
      </c>
      <c r="BB3" s="24" t="inlineStr">
        <is>
          <t>tie_aware_elo</t>
        </is>
      </c>
      <c r="BC3" s="24" t="inlineStr">
        <is>
          <t>npb-tie-aware-elo-v2</t>
        </is>
      </c>
      <c r="BD3" s="24" t="inlineStr">
        <is>
          <t>2a6cf3b60204b321f39347f04e6fe642c4fbe02fc5d69a03243771cd77d85043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npb-tie-aware-elo-v2</t>
        </is>
      </c>
      <c r="BH3" s="24" t="inlineStr">
        <is>
          <t>2026-08-02T08:20:41.605573Z</t>
        </is>
      </c>
      <c r="BI3" s="24" t="inlineStr">
        <is>
          <t>["same_event","same_team_same_day","same_league_same_day"]</t>
        </is>
      </c>
      <c r="BJ3" s="25" t="n"/>
      <c r="BK3" s="26" t="n">
        <v>-156</v>
      </c>
      <c r="BL3" s="27" t="n">
        <v>1.641026</v>
      </c>
      <c r="BM3" s="28" t="n">
        <v>0.609375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>
        <v>1</v>
      </c>
      <c r="BY3" s="27" t="n">
        <v>0.91</v>
      </c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0.609375</t>
        </is>
      </c>
      <c r="DK3" s="24" t="n"/>
      <c r="DL3" s="24" t="n"/>
      <c r="DM3" s="24" t="n"/>
      <c r="DN3" s="24" t="n"/>
      <c r="DO3" s="24" t="n"/>
      <c r="DP3" s="24" t="n"/>
      <c r="DQ3" s="24" t="n"/>
    </row>
    <row r="4" ht="36" customHeight="1">
      <c r="A4" s="24" t="inlineStr">
        <is>
          <t>45e1046342e5401e</t>
        </is>
      </c>
      <c r="B4" s="24" t="inlineStr">
        <is>
          <t>2026-08-02T08:20:42.087614Z</t>
        </is>
      </c>
      <c r="C4" s="24" t="inlineStr">
        <is>
          <t>2026-08-02T09:00:00Z</t>
        </is>
      </c>
      <c r="D4" s="24" t="inlineStr">
        <is>
          <t>66806</t>
        </is>
      </c>
      <c r="E4" s="24" t="inlineStr">
        <is>
          <t>NPB</t>
        </is>
      </c>
      <c r="F4" s="24" t="inlineStr">
        <is>
          <t>Chunichi Dragons</t>
        </is>
      </c>
      <c r="G4" s="24" t="inlineStr">
        <is>
          <t>Hiroshima Carp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-108</v>
      </c>
      <c r="M4" s="27" t="n">
        <v>1.925926</v>
      </c>
      <c r="N4" s="28" t="n">
        <v>0.519231</v>
      </c>
      <c r="O4" s="28" t="n">
        <v>0.516289</v>
      </c>
      <c r="P4" s="28" t="n"/>
      <c r="Q4" s="28" t="n">
        <v>-0.002942</v>
      </c>
      <c r="R4" s="26" t="n">
        <v>19</v>
      </c>
      <c r="S4" s="29" t="n">
        <v>1</v>
      </c>
      <c r="T4" s="24" t="inlineStr">
        <is>
          <t>npb-tie-aware-elo-v2</t>
        </is>
      </c>
      <c r="U4" s="24" t="inlineStr">
        <is>
          <t>settled</t>
        </is>
      </c>
      <c r="V4" s="24" t="inlineStr">
        <is>
          <t>win</t>
        </is>
      </c>
      <c r="W4" s="26" t="n">
        <v>3</v>
      </c>
      <c r="X4" s="26" t="n">
        <v>4</v>
      </c>
      <c r="Y4" s="25" t="n"/>
      <c r="Z4" s="26" t="n"/>
      <c r="AA4" s="28" t="n"/>
      <c r="AB4" s="28" t="n"/>
      <c r="AC4" s="30" t="n">
        <v>0.9258999999999999</v>
      </c>
      <c r="AD4" s="24" t="inlineStr">
        <is>
          <t>2026-08-02T18:19:02.832015Z</t>
        </is>
      </c>
      <c r="AE4" s="31" t="inlineStr">
        <is>
          <t>Tie-aware Elo baseline; executable ask 0.5200 (market_slug=aec-npb-hci-cdh-2026-08-02). Tie probability=0.0352.</t>
        </is>
      </c>
      <c r="AF4" s="31" t="inlineStr">
        <is>
          <t>Config-promoted international baseball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paper_call</t>
        </is>
      </c>
      <c r="AL4" s="26" t="n">
        <v>3</v>
      </c>
      <c r="AM4" s="24" t="inlineStr">
        <is>
          <t>RESEARCH_OBSERVATION</t>
        </is>
      </c>
      <c r="AN4" s="24" t="inlineStr">
        <is>
          <t>CALL</t>
        </is>
      </c>
      <c r="AO4" s="24" t="inlineStr">
        <is>
          <t>PAPER_CALL_LOW_EDGE</t>
        </is>
      </c>
      <c r="AP4" s="24" t="inlineStr">
        <is>
          <t>Chunichi Dragons</t>
        </is>
      </c>
      <c r="AQ4" s="24" t="inlineStr">
        <is>
          <t>Chunichi Dragons</t>
        </is>
      </c>
      <c r="AR4" s="24" t="inlineStr">
        <is>
          <t>Chunichi Dragons</t>
        </is>
      </c>
      <c r="AS4" s="24" t="inlineStr">
        <is>
          <t>Hiroshima Carp</t>
        </is>
      </c>
      <c r="AT4" s="24" t="inlineStr">
        <is>
          <t>Hiroshima Carp</t>
        </is>
      </c>
      <c r="AU4" s="24" t="inlineStr">
        <is>
          <t>Hiroshima Carp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2a6cf3b60204b321f39347f04e6fe642c4fbe02fc5d69a03243771cd77d85043</t>
        </is>
      </c>
      <c r="BB4" s="24" t="inlineStr">
        <is>
          <t>tie_aware_elo</t>
        </is>
      </c>
      <c r="BC4" s="24" t="inlineStr">
        <is>
          <t>npb-tie-aware-elo-v2</t>
        </is>
      </c>
      <c r="BD4" s="24" t="inlineStr">
        <is>
          <t>2a6cf3b60204b321f39347f04e6fe642c4fbe02fc5d69a03243771cd77d85043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npb-tie-aware-elo-v2</t>
        </is>
      </c>
      <c r="BH4" s="24" t="inlineStr">
        <is>
          <t>2026-08-02T08:20:42.087439Z</t>
        </is>
      </c>
      <c r="BI4" s="24" t="inlineStr">
        <is>
          <t>["same_event","same_team_same_day","same_league_same_day"]</t>
        </is>
      </c>
      <c r="BJ4" s="25" t="n"/>
      <c r="BK4" s="26" t="n">
        <v>-108</v>
      </c>
      <c r="BL4" s="27" t="n">
        <v>1.925926</v>
      </c>
      <c r="BM4" s="28" t="n">
        <v>0.519231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>
        <v>1</v>
      </c>
      <c r="BY4" s="27" t="n">
        <v>0.91</v>
      </c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0.519231</t>
        </is>
      </c>
      <c r="DK4" s="24" t="n"/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e5ed76f20434451f</t>
        </is>
      </c>
      <c r="B5" s="24" t="inlineStr">
        <is>
          <t>2026-08-03T06:33:34.637203Z</t>
        </is>
      </c>
      <c r="C5" s="24" t="inlineStr">
        <is>
          <t>2026-08-03T09:00:00Z</t>
        </is>
      </c>
      <c r="D5" s="24" t="inlineStr">
        <is>
          <t>67498</t>
        </is>
      </c>
      <c r="E5" s="24" t="inlineStr">
        <is>
          <t>NPB</t>
        </is>
      </c>
      <c r="F5" s="24" t="inlineStr">
        <is>
          <t>Tohoku Rakuten Golden Eagles</t>
        </is>
      </c>
      <c r="G5" s="24" t="inlineStr">
        <is>
          <t>Orix Buffaloes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-122</v>
      </c>
      <c r="M5" s="27" t="n">
        <v>1.819672</v>
      </c>
      <c r="N5" s="28" t="n">
        <v>0.54955</v>
      </c>
      <c r="O5" s="28" t="n">
        <v>0.550397</v>
      </c>
      <c r="P5" s="28" t="n"/>
      <c r="Q5" s="28" t="n">
        <v>0.000847</v>
      </c>
      <c r="R5" s="26" t="n">
        <v>20</v>
      </c>
      <c r="S5" s="29" t="n">
        <v>1</v>
      </c>
      <c r="T5" s="24" t="inlineStr">
        <is>
          <t>npb-tie-aware-elo-v2</t>
        </is>
      </c>
      <c r="U5" s="24" t="inlineStr">
        <is>
          <t>settled</t>
        </is>
      </c>
      <c r="V5" s="24" t="inlineStr">
        <is>
          <t>win</t>
        </is>
      </c>
      <c r="W5" s="26" t="n">
        <v>6</v>
      </c>
      <c r="X5" s="26" t="n">
        <v>9</v>
      </c>
      <c r="Y5" s="25" t="n"/>
      <c r="Z5" s="26" t="n"/>
      <c r="AA5" s="28" t="n"/>
      <c r="AB5" s="28" t="n"/>
      <c r="AC5" s="30" t="n">
        <v>0.8197</v>
      </c>
      <c r="AD5" s="24" t="inlineStr">
        <is>
          <t>2026-08-03T19:52:12.453085Z</t>
        </is>
      </c>
      <c r="AE5" s="31" t="inlineStr">
        <is>
          <t>Tie-aware Elo baseline; executable ask 0.5500 (market_slug=aec-npb-obr-trge-2026-08-03). Tie probability=0.0321.</t>
        </is>
      </c>
      <c r="AF5" s="31" t="inlineStr">
        <is>
          <t>Config-promoted international baseball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paper_call</t>
        </is>
      </c>
      <c r="AL5" s="26" t="n">
        <v>3</v>
      </c>
      <c r="AM5" s="24" t="inlineStr">
        <is>
          <t>RESEARCH_OBSERVATION</t>
        </is>
      </c>
      <c r="AN5" s="24" t="inlineStr">
        <is>
          <t>CALL</t>
        </is>
      </c>
      <c r="AO5" s="24" t="inlineStr">
        <is>
          <t>PAPER_CALL_LOW_EDGE</t>
        </is>
      </c>
      <c r="AP5" s="24" t="inlineStr">
        <is>
          <t>Tohoku Rakuten Golden Eagles</t>
        </is>
      </c>
      <c r="AQ5" s="24" t="inlineStr">
        <is>
          <t>Tohoku Rakuten Golden Eagles</t>
        </is>
      </c>
      <c r="AR5" s="24" t="inlineStr">
        <is>
          <t>Tohoku Rakuten Golden Eagles</t>
        </is>
      </c>
      <c r="AS5" s="24" t="inlineStr">
        <is>
          <t>Orix Buffaloes</t>
        </is>
      </c>
      <c r="AT5" s="24" t="inlineStr">
        <is>
          <t>Orix Buffaloes</t>
        </is>
      </c>
      <c r="AU5" s="24" t="inlineStr">
        <is>
          <t>Orix Buffaloes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fe60ea981cb60cbb4cd1f8007017436a9fb4fad2d99764931f7f0d7461cd4907</t>
        </is>
      </c>
      <c r="BB5" s="24" t="inlineStr">
        <is>
          <t>tie_aware_elo</t>
        </is>
      </c>
      <c r="BC5" s="24" t="inlineStr">
        <is>
          <t>npb-tie-aware-elo-v2</t>
        </is>
      </c>
      <c r="BD5" s="24" t="inlineStr">
        <is>
          <t>fe60ea981cb60cbb4cd1f8007017436a9fb4fad2d99764931f7f0d7461cd4907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npb-tie-aware-elo-v2</t>
        </is>
      </c>
      <c r="BH5" s="24" t="inlineStr">
        <is>
          <t>2026-08-03T06:33:34.636987Z</t>
        </is>
      </c>
      <c r="BI5" s="24" t="inlineStr">
        <is>
          <t>["same_event","same_team_same_day","same_league_same_day"]</t>
        </is>
      </c>
      <c r="BJ5" s="25" t="n"/>
      <c r="BK5" s="26" t="n">
        <v>-122</v>
      </c>
      <c r="BL5" s="27" t="n">
        <v>1.819672</v>
      </c>
      <c r="BM5" s="28" t="n">
        <v>0.54955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>
        <v>1</v>
      </c>
      <c r="BY5" s="27" t="n">
        <v>0.91</v>
      </c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0.54955</t>
        </is>
      </c>
      <c r="DK5" s="24" t="n"/>
      <c r="DL5" s="24" t="n"/>
      <c r="DM5" s="24" t="n"/>
      <c r="DN5" s="24" t="n"/>
      <c r="DO5" s="24" t="n"/>
      <c r="DP5" s="24" t="n"/>
      <c r="DQ5" s="24" t="n"/>
    </row>
    <row r="6" ht="36" customHeight="1">
      <c r="A6" s="24" t="inlineStr">
        <is>
          <t>835cd2f91e9447d0</t>
        </is>
      </c>
      <c r="B6" s="24" t="inlineStr">
        <is>
          <t>2026-08-04T05:17:41.271393Z</t>
        </is>
      </c>
      <c r="C6" s="24" t="inlineStr">
        <is>
          <t>2026-08-04T08:45:00Z</t>
        </is>
      </c>
      <c r="D6" s="24" t="inlineStr">
        <is>
          <t>68272</t>
        </is>
      </c>
      <c r="E6" s="24" t="inlineStr">
        <is>
          <t>NPB</t>
        </is>
      </c>
      <c r="F6" s="24" t="inlineStr">
        <is>
          <t>Hanshin Tigers</t>
        </is>
      </c>
      <c r="G6" s="24" t="inlineStr">
        <is>
          <t>Yokohama BayStars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-163</v>
      </c>
      <c r="M6" s="27" t="n">
        <v>1.613497</v>
      </c>
      <c r="N6" s="28" t="n">
        <v>0.619772</v>
      </c>
      <c r="O6" s="28" t="n">
        <v>0.524037</v>
      </c>
      <c r="P6" s="28" t="n"/>
      <c r="Q6" s="28" t="n">
        <v>-0.095735</v>
      </c>
      <c r="R6" s="26" t="n">
        <v>0</v>
      </c>
      <c r="S6" s="29" t="n">
        <v>1</v>
      </c>
      <c r="T6" s="24" t="inlineStr">
        <is>
          <t>npb-tie-aware-elo-v2</t>
        </is>
      </c>
      <c r="U6" s="24" t="inlineStr">
        <is>
          <t>settled</t>
        </is>
      </c>
      <c r="V6" s="24" t="inlineStr">
        <is>
          <t>loss</t>
        </is>
      </c>
      <c r="W6" s="26" t="n">
        <v>0</v>
      </c>
      <c r="X6" s="26" t="n">
        <v>1</v>
      </c>
      <c r="Y6" s="25" t="n"/>
      <c r="Z6" s="26" t="n"/>
      <c r="AA6" s="28" t="n"/>
      <c r="AB6" s="28" t="n"/>
      <c r="AC6" s="30" t="n">
        <v>-1</v>
      </c>
      <c r="AD6" s="24" t="inlineStr">
        <is>
          <t>2026-08-04T18:04:43.764923Z</t>
        </is>
      </c>
      <c r="AE6" s="31" t="inlineStr">
        <is>
          <t>Tie-aware Elo baseline; executable ask 0.6200 (market_slug=aec-npb-ybo-hta-2026-08-04). Tie probability=0.0344.</t>
        </is>
      </c>
      <c r="AF6" s="31" t="inlineStr">
        <is>
          <t>Config-promoted international baseball baseline; gates enforced at log time.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paper_call</t>
        </is>
      </c>
      <c r="AL6" s="26" t="n">
        <v>3</v>
      </c>
      <c r="AM6" s="24" t="inlineStr">
        <is>
          <t>RESEARCH_OBSERVATION</t>
        </is>
      </c>
      <c r="AN6" s="24" t="inlineStr">
        <is>
          <t>CALL</t>
        </is>
      </c>
      <c r="AO6" s="24" t="inlineStr">
        <is>
          <t>PAPER_CALL_LOW_EDGE</t>
        </is>
      </c>
      <c r="AP6" s="24" t="inlineStr">
        <is>
          <t>Hanshin Tigers</t>
        </is>
      </c>
      <c r="AQ6" s="24" t="inlineStr">
        <is>
          <t>Hanshin Tigers</t>
        </is>
      </c>
      <c r="AR6" s="24" t="inlineStr">
        <is>
          <t>Hanshin Tigers</t>
        </is>
      </c>
      <c r="AS6" s="24" t="inlineStr">
        <is>
          <t>Yokohama BayStars</t>
        </is>
      </c>
      <c r="AT6" s="24" t="inlineStr">
        <is>
          <t>Yokohama BayStars</t>
        </is>
      </c>
      <c r="AU6" s="24" t="inlineStr">
        <is>
          <t>Yokohama BayStars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6d6669d47bc91bfec82db00ad3cb5bea565b364709e20a7346cef2b95011e4a9</t>
        </is>
      </c>
      <c r="BB6" s="24" t="inlineStr">
        <is>
          <t>tie_aware_elo</t>
        </is>
      </c>
      <c r="BC6" s="24" t="inlineStr">
        <is>
          <t>npb-tie-aware-elo-v2</t>
        </is>
      </c>
      <c r="BD6" s="24" t="inlineStr">
        <is>
          <t>6d6669d47bc91bfec82db00ad3cb5bea565b364709e20a7346cef2b95011e4a9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npb-tie-aware-elo-v2</t>
        </is>
      </c>
      <c r="BH6" s="24" t="inlineStr">
        <is>
          <t>2026-08-04T05:17:38.867915Z</t>
        </is>
      </c>
      <c r="BI6" s="24" t="inlineStr">
        <is>
          <t>["same_event","same_team_same_day","same_league_same_day"]</t>
        </is>
      </c>
      <c r="BJ6" s="25" t="n"/>
      <c r="BK6" s="26" t="n">
        <v>-163</v>
      </c>
      <c r="BL6" s="27" t="n">
        <v>1.613497</v>
      </c>
      <c r="BM6" s="28" t="n">
        <v>0.619772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>
        <v>1</v>
      </c>
      <c r="BY6" s="27" t="n">
        <v>-1</v>
      </c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False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0.619772</t>
        </is>
      </c>
      <c r="DK6" s="24" t="n"/>
      <c r="DL6" s="24" t="n"/>
      <c r="DM6" s="24" t="n"/>
      <c r="DN6" s="24" t="n"/>
      <c r="DO6" s="24" t="n"/>
      <c r="DP6" s="24" t="n"/>
      <c r="DQ6" s="24" t="n"/>
    </row>
    <row r="7" ht="36" customHeight="1">
      <c r="A7" s="24" t="inlineStr">
        <is>
          <t>07cba45ff6704ad2</t>
        </is>
      </c>
      <c r="B7" s="24" t="inlineStr">
        <is>
          <t>2026-08-04T08:55:29.194644Z</t>
        </is>
      </c>
      <c r="C7" s="24" t="inlineStr">
        <is>
          <t>2026-08-04T09:00:00Z</t>
        </is>
      </c>
      <c r="D7" s="24" t="inlineStr">
        <is>
          <t>68273</t>
        </is>
      </c>
      <c r="E7" s="24" t="inlineStr">
        <is>
          <t>NPB</t>
        </is>
      </c>
      <c r="F7" s="24" t="inlineStr">
        <is>
          <t>Tokyo Yakult Swallows</t>
        </is>
      </c>
      <c r="G7" s="24" t="inlineStr">
        <is>
          <t>Chunichi Dragons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-194</v>
      </c>
      <c r="M7" s="27" t="n">
        <v>1.515464</v>
      </c>
      <c r="N7" s="28" t="n">
        <v>0.659864</v>
      </c>
      <c r="O7" s="28" t="n">
        <v>0.596977</v>
      </c>
      <c r="P7" s="28" t="n"/>
      <c r="Q7" s="28" t="n">
        <v>-0.062887</v>
      </c>
      <c r="R7" s="26" t="n">
        <v>0</v>
      </c>
      <c r="S7" s="29" t="n">
        <v>1.25</v>
      </c>
      <c r="T7" s="24" t="inlineStr">
        <is>
          <t>npb-tie-aware-elo-v2</t>
        </is>
      </c>
      <c r="U7" s="24" t="inlineStr">
        <is>
          <t>settled</t>
        </is>
      </c>
      <c r="V7" s="24" t="inlineStr">
        <is>
          <t>win</t>
        </is>
      </c>
      <c r="W7" s="26" t="n">
        <v>3</v>
      </c>
      <c r="X7" s="26" t="n">
        <v>4</v>
      </c>
      <c r="Y7" s="25" t="n"/>
      <c r="Z7" s="26" t="n"/>
      <c r="AA7" s="28" t="n"/>
      <c r="AB7" s="28" t="n"/>
      <c r="AC7" s="30" t="n">
        <v>0.6443</v>
      </c>
      <c r="AD7" s="24" t="inlineStr">
        <is>
          <t>2026-08-04T18:04:43.845421Z</t>
        </is>
      </c>
      <c r="AE7" s="31" t="inlineStr">
        <is>
          <t>Tie-aware Elo baseline; executable ask 0.6600 (market_slug=aec-npb-cdh-tys-2026-08-04). Tie probability=0.0280.</t>
        </is>
      </c>
      <c r="AF7" s="31" t="inlineStr">
        <is>
          <t>Config-promoted international baseball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paper_call</t>
        </is>
      </c>
      <c r="AL7" s="26" t="n">
        <v>3</v>
      </c>
      <c r="AM7" s="24" t="inlineStr">
        <is>
          <t>RESEARCH_OBSERVATION</t>
        </is>
      </c>
      <c r="AN7" s="24" t="inlineStr">
        <is>
          <t>CALL</t>
        </is>
      </c>
      <c r="AO7" s="24" t="inlineStr">
        <is>
          <t>PAPER_CALL_LOW_EDGE</t>
        </is>
      </c>
      <c r="AP7" s="24" t="inlineStr">
        <is>
          <t>Tokyo Yakult Swallows</t>
        </is>
      </c>
      <c r="AQ7" s="24" t="inlineStr">
        <is>
          <t>Tokyo Yakult Swallows</t>
        </is>
      </c>
      <c r="AR7" s="24" t="inlineStr">
        <is>
          <t>Tokyo Yakult Swallows</t>
        </is>
      </c>
      <c r="AS7" s="24" t="inlineStr">
        <is>
          <t>Chunichi Dragons</t>
        </is>
      </c>
      <c r="AT7" s="24" t="inlineStr">
        <is>
          <t>Chunichi Dragons</t>
        </is>
      </c>
      <c r="AU7" s="24" t="inlineStr">
        <is>
          <t>Chunichi Dragons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bc4fda3fccd78fdc3bca8f7cc4fb910c9fcb1d51c5557416c7b46467f043e355</t>
        </is>
      </c>
      <c r="BB7" s="24" t="inlineStr">
        <is>
          <t>tie_aware_elo</t>
        </is>
      </c>
      <c r="BC7" s="24" t="inlineStr">
        <is>
          <t>npb-tie-aware-elo-v2</t>
        </is>
      </c>
      <c r="BD7" s="24" t="inlineStr">
        <is>
          <t>bc4fda3fccd78fdc3bca8f7cc4fb910c9fcb1d51c5557416c7b46467f043e355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npb-tie-aware-elo-v2</t>
        </is>
      </c>
      <c r="BH7" s="24" t="inlineStr">
        <is>
          <t>2026-08-04T08:55:27.161124Z</t>
        </is>
      </c>
      <c r="BI7" s="24" t="inlineStr">
        <is>
          <t>["same_event","same_team_same_day","same_league_same_day"]</t>
        </is>
      </c>
      <c r="BJ7" s="25" t="n"/>
      <c r="BK7" s="26" t="n">
        <v>-194</v>
      </c>
      <c r="BL7" s="27" t="n">
        <v>1.515464</v>
      </c>
      <c r="BM7" s="28" t="n">
        <v>0.659864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>
        <v>1</v>
      </c>
      <c r="BY7" s="27" t="n">
        <v>0.91</v>
      </c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False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0.659864</t>
        </is>
      </c>
      <c r="DK7" s="24" t="n"/>
      <c r="DL7" s="24" t="n"/>
      <c r="DM7" s="24" t="n"/>
      <c r="DN7" s="24" t="n"/>
      <c r="DO7" s="24" t="n"/>
      <c r="DP7" s="24" t="n"/>
      <c r="DQ7" s="24" t="n"/>
    </row>
    <row r="8" ht="36" customHeight="1">
      <c r="A8" s="24" t="inlineStr">
        <is>
          <t>5565c1c847ae409c</t>
        </is>
      </c>
      <c r="B8" s="24" t="inlineStr">
        <is>
          <t>2026-08-04T08:55:29.194644Z</t>
        </is>
      </c>
      <c r="C8" s="24" t="inlineStr">
        <is>
          <t>2026-08-04T09:00:00Z</t>
        </is>
      </c>
      <c r="D8" s="24" t="inlineStr">
        <is>
          <t>68274</t>
        </is>
      </c>
      <c r="E8" s="24" t="inlineStr">
        <is>
          <t>NPB</t>
        </is>
      </c>
      <c r="F8" s="24" t="inlineStr">
        <is>
          <t>Yomiuri Giants</t>
        </is>
      </c>
      <c r="G8" s="24" t="inlineStr">
        <is>
          <t>Hiroshima Carp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108</v>
      </c>
      <c r="M8" s="27" t="n">
        <v>2.08</v>
      </c>
      <c r="N8" s="28" t="n">
        <v>0.480769</v>
      </c>
      <c r="O8" s="28" t="n">
        <v>0.545695</v>
      </c>
      <c r="P8" s="28" t="n"/>
      <c r="Q8" s="28" t="n">
        <v>0.064926</v>
      </c>
      <c r="R8" s="26" t="n">
        <v>52</v>
      </c>
      <c r="S8" s="29" t="n">
        <v>1</v>
      </c>
      <c r="T8" s="24" t="inlineStr">
        <is>
          <t>npb-tie-aware-elo-v2</t>
        </is>
      </c>
      <c r="U8" s="24" t="inlineStr">
        <is>
          <t>settled</t>
        </is>
      </c>
      <c r="V8" s="24" t="inlineStr">
        <is>
          <t>loss</t>
        </is>
      </c>
      <c r="W8" s="26" t="n">
        <v>3</v>
      </c>
      <c r="X8" s="26" t="n">
        <v>4</v>
      </c>
      <c r="Y8" s="25" t="n"/>
      <c r="Z8" s="26" t="n"/>
      <c r="AA8" s="28" t="n"/>
      <c r="AB8" s="28" t="n"/>
      <c r="AC8" s="30" t="n">
        <v>-1</v>
      </c>
      <c r="AD8" s="24" t="inlineStr">
        <is>
          <t>2026-08-04T18:04:43.918073Z</t>
        </is>
      </c>
      <c r="AE8" s="31" t="inlineStr">
        <is>
          <t>Tie-aware Elo baseline; executable ask 0.4800 (market_slug=aec-npb-hci-ygo-2026-08-04). Tie probability=0.0325.</t>
        </is>
      </c>
      <c r="AF8" s="31" t="inlineStr">
        <is>
          <t>Config-promoted international baseball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paper_call</t>
        </is>
      </c>
      <c r="AL8" s="26" t="n">
        <v>3</v>
      </c>
      <c r="AM8" s="24" t="inlineStr">
        <is>
          <t>RESEARCH_OBSERVATION</t>
        </is>
      </c>
      <c r="AN8" s="24" t="inlineStr">
        <is>
          <t>CALL</t>
        </is>
      </c>
      <c r="AO8" s="24" t="inlineStr">
        <is>
          <t>PAPER_CALL_LOW_EDGE</t>
        </is>
      </c>
      <c r="AP8" s="24" t="inlineStr">
        <is>
          <t>Yomiuri Giants</t>
        </is>
      </c>
      <c r="AQ8" s="24" t="inlineStr">
        <is>
          <t>Yomiuri Giants</t>
        </is>
      </c>
      <c r="AR8" s="24" t="inlineStr">
        <is>
          <t>Yomiuri Giants</t>
        </is>
      </c>
      <c r="AS8" s="24" t="inlineStr">
        <is>
          <t>Hiroshima Carp</t>
        </is>
      </c>
      <c r="AT8" s="24" t="inlineStr">
        <is>
          <t>Hiroshima Carp</t>
        </is>
      </c>
      <c r="AU8" s="24" t="inlineStr">
        <is>
          <t>Hiroshima Carp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bc4fda3fccd78fdc3bca8f7cc4fb910c9fcb1d51c5557416c7b46467f043e355</t>
        </is>
      </c>
      <c r="BB8" s="24" t="inlineStr">
        <is>
          <t>tie_aware_elo</t>
        </is>
      </c>
      <c r="BC8" s="24" t="inlineStr">
        <is>
          <t>npb-tie-aware-elo-v2</t>
        </is>
      </c>
      <c r="BD8" s="24" t="inlineStr">
        <is>
          <t>bc4fda3fccd78fdc3bca8f7cc4fb910c9fcb1d51c5557416c7b46467f043e355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npb-tie-aware-elo-v2</t>
        </is>
      </c>
      <c r="BH8" s="24" t="inlineStr">
        <is>
          <t>2026-08-04T08:55:27.795687Z</t>
        </is>
      </c>
      <c r="BI8" s="24" t="inlineStr">
        <is>
          <t>["same_event","same_team_same_day","same_league_same_day"]</t>
        </is>
      </c>
      <c r="BJ8" s="25" t="n"/>
      <c r="BK8" s="26" t="n">
        <v>108</v>
      </c>
      <c r="BL8" s="27" t="n">
        <v>2.08</v>
      </c>
      <c r="BM8" s="28" t="n">
        <v>0.480769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>
        <v>1</v>
      </c>
      <c r="BY8" s="27" t="n">
        <v>-1</v>
      </c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0.480769</t>
        </is>
      </c>
      <c r="DK8" s="24" t="n"/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95f669c37c9d41e9</t>
        </is>
      </c>
      <c r="B9" s="24" t="inlineStr">
        <is>
          <t>2026-08-04T08:55:29.194644Z</t>
        </is>
      </c>
      <c r="C9" s="24" t="inlineStr">
        <is>
          <t>2026-08-04T09:00:00Z</t>
        </is>
      </c>
      <c r="D9" s="24" t="inlineStr">
        <is>
          <t>68275</t>
        </is>
      </c>
      <c r="E9" s="24" t="inlineStr">
        <is>
          <t>NPB</t>
        </is>
      </c>
      <c r="F9" s="24" t="inlineStr">
        <is>
          <t>Saitama Seibu Lions</t>
        </is>
      </c>
      <c r="G9" s="24" t="inlineStr">
        <is>
          <t>Chiba Lotte Marines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-133</v>
      </c>
      <c r="M9" s="27" t="n">
        <v>1.75188</v>
      </c>
      <c r="N9" s="28" t="n">
        <v>0.570815</v>
      </c>
      <c r="O9" s="28" t="n">
        <v>0.528517</v>
      </c>
      <c r="P9" s="28" t="n"/>
      <c r="Q9" s="28" t="n">
        <v>-0.042298</v>
      </c>
      <c r="R9" s="26" t="n">
        <v>0</v>
      </c>
      <c r="S9" s="29" t="n">
        <v>1</v>
      </c>
      <c r="T9" s="24" t="inlineStr">
        <is>
          <t>npb-tie-aware-elo-v2</t>
        </is>
      </c>
      <c r="U9" s="24" t="inlineStr">
        <is>
          <t>settled</t>
        </is>
      </c>
      <c r="V9" s="24" t="inlineStr">
        <is>
          <t>loss</t>
        </is>
      </c>
      <c r="W9" s="26" t="n">
        <v>3</v>
      </c>
      <c r="X9" s="26" t="n">
        <v>5</v>
      </c>
      <c r="Y9" s="25" t="n"/>
      <c r="Z9" s="26" t="n"/>
      <c r="AA9" s="28" t="n"/>
      <c r="AB9" s="28" t="n"/>
      <c r="AC9" s="30" t="n">
        <v>-1</v>
      </c>
      <c r="AD9" s="24" t="inlineStr">
        <is>
          <t>2026-08-04T18:04:43.989853Z</t>
        </is>
      </c>
      <c r="AE9" s="31" t="inlineStr">
        <is>
          <t>Tie-aware Elo baseline; executable ask 0.5700 (market_slug=aec-npb-clm-ssl-2026-08-04). Tie probability=0.0340.</t>
        </is>
      </c>
      <c r="AF9" s="31" t="inlineStr">
        <is>
          <t>Config-promoted international baseball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paper_call</t>
        </is>
      </c>
      <c r="AL9" s="26" t="n">
        <v>3</v>
      </c>
      <c r="AM9" s="24" t="inlineStr">
        <is>
          <t>RESEARCH_OBSERVATION</t>
        </is>
      </c>
      <c r="AN9" s="24" t="inlineStr">
        <is>
          <t>CALL</t>
        </is>
      </c>
      <c r="AO9" s="24" t="inlineStr">
        <is>
          <t>PAPER_CALL_LOW_EDGE</t>
        </is>
      </c>
      <c r="AP9" s="24" t="inlineStr">
        <is>
          <t>Saitama Seibu Lions</t>
        </is>
      </c>
      <c r="AQ9" s="24" t="inlineStr">
        <is>
          <t>Saitama Seibu Lions</t>
        </is>
      </c>
      <c r="AR9" s="24" t="inlineStr">
        <is>
          <t>Saitama Seibu Lions</t>
        </is>
      </c>
      <c r="AS9" s="24" t="inlineStr">
        <is>
          <t>Chiba Lotte Marines</t>
        </is>
      </c>
      <c r="AT9" s="24" t="inlineStr">
        <is>
          <t>Chiba Lotte Marines</t>
        </is>
      </c>
      <c r="AU9" s="24" t="inlineStr">
        <is>
          <t>Chiba Lotte Marines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bc4fda3fccd78fdc3bca8f7cc4fb910c9fcb1d51c5557416c7b46467f043e355</t>
        </is>
      </c>
      <c r="BB9" s="24" t="inlineStr">
        <is>
          <t>tie_aware_elo</t>
        </is>
      </c>
      <c r="BC9" s="24" t="inlineStr">
        <is>
          <t>npb-tie-aware-elo-v2</t>
        </is>
      </c>
      <c r="BD9" s="24" t="inlineStr">
        <is>
          <t>bc4fda3fccd78fdc3bca8f7cc4fb910c9fcb1d51c5557416c7b46467f043e355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npb-tie-aware-elo-v2</t>
        </is>
      </c>
      <c r="BH9" s="24" t="inlineStr">
        <is>
          <t>2026-08-04T08:55:28.470678Z</t>
        </is>
      </c>
      <c r="BI9" s="24" t="inlineStr">
        <is>
          <t>["same_event","same_team_same_day","same_league_same_day"]</t>
        </is>
      </c>
      <c r="BJ9" s="25" t="n"/>
      <c r="BK9" s="26" t="n">
        <v>-133</v>
      </c>
      <c r="BL9" s="27" t="n">
        <v>1.75188</v>
      </c>
      <c r="BM9" s="28" t="n">
        <v>0.570815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>
        <v>1</v>
      </c>
      <c r="BY9" s="27" t="n">
        <v>-1</v>
      </c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False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0.570815</t>
        </is>
      </c>
      <c r="DK9" s="24" t="n"/>
      <c r="DL9" s="24" t="n"/>
      <c r="DM9" s="24" t="n"/>
      <c r="DN9" s="24" t="n"/>
      <c r="DO9" s="24" t="n"/>
      <c r="DP9" s="24" t="n"/>
      <c r="DQ9" s="24" t="n"/>
    </row>
    <row r="10" ht="36" customHeight="1">
      <c r="A10" s="24" t="inlineStr">
        <is>
          <t>a6465e9b4f2148ae</t>
        </is>
      </c>
      <c r="B10" s="24" t="inlineStr">
        <is>
          <t>2026-08-04T08:55:29.194644Z</t>
        </is>
      </c>
      <c r="C10" s="24" t="inlineStr">
        <is>
          <t>2026-08-04T09:00:00Z</t>
        </is>
      </c>
      <c r="D10" s="24" t="inlineStr">
        <is>
          <t>68276</t>
        </is>
      </c>
      <c r="E10" s="24" t="inlineStr">
        <is>
          <t>NPB</t>
        </is>
      </c>
      <c r="F10" s="24" t="inlineStr">
        <is>
          <t>Nippon Ham Fighters</t>
        </is>
      </c>
      <c r="G10" s="24" t="inlineStr">
        <is>
          <t>Fukuoka SoftBank Hawks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-156</v>
      </c>
      <c r="M10" s="27" t="n">
        <v>1.641026</v>
      </c>
      <c r="N10" s="28" t="n">
        <v>0.609375</v>
      </c>
      <c r="O10" s="28" t="n">
        <v>0.579364</v>
      </c>
      <c r="P10" s="28" t="n"/>
      <c r="Q10" s="28" t="n">
        <v>-0.030011</v>
      </c>
      <c r="R10" s="26" t="n">
        <v>5</v>
      </c>
      <c r="S10" s="29" t="n">
        <v>1.25</v>
      </c>
      <c r="T10" s="24" t="inlineStr">
        <is>
          <t>npb-tie-aware-elo-v2</t>
        </is>
      </c>
      <c r="U10" s="24" t="inlineStr">
        <is>
          <t>settled</t>
        </is>
      </c>
      <c r="V10" s="24" t="inlineStr">
        <is>
          <t>win</t>
        </is>
      </c>
      <c r="W10" s="26" t="n">
        <v>0</v>
      </c>
      <c r="X10" s="26" t="n">
        <v>1</v>
      </c>
      <c r="Y10" s="25" t="n"/>
      <c r="Z10" s="26" t="n"/>
      <c r="AA10" s="28" t="n"/>
      <c r="AB10" s="28" t="n"/>
      <c r="AC10" s="30" t="n">
        <v>0.8013</v>
      </c>
      <c r="AD10" s="24" t="inlineStr">
        <is>
          <t>2026-08-04T18:04:44.062623Z</t>
        </is>
      </c>
      <c r="AE10" s="31" t="inlineStr">
        <is>
          <t>Tie-aware Elo baseline; executable ask 0.6100 (market_slug=aec-npb-fsh-nhf-2026-08-04). Tie probability=0.0295.</t>
        </is>
      </c>
      <c r="AF10" s="31" t="inlineStr">
        <is>
          <t>Config-promoted international baseball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paper_call</t>
        </is>
      </c>
      <c r="AL10" s="26" t="n">
        <v>3</v>
      </c>
      <c r="AM10" s="24" t="inlineStr">
        <is>
          <t>RESEARCH_OBSERVATION</t>
        </is>
      </c>
      <c r="AN10" s="24" t="inlineStr">
        <is>
          <t>CALL</t>
        </is>
      </c>
      <c r="AO10" s="24" t="inlineStr">
        <is>
          <t>PAPER_CALL_LOW_EDGE</t>
        </is>
      </c>
      <c r="AP10" s="24" t="inlineStr">
        <is>
          <t>Nippon Ham Fighters</t>
        </is>
      </c>
      <c r="AQ10" s="24" t="inlineStr">
        <is>
          <t>Nippon Ham Fighters</t>
        </is>
      </c>
      <c r="AR10" s="24" t="inlineStr">
        <is>
          <t>Nippon Ham Fighters</t>
        </is>
      </c>
      <c r="AS10" s="24" t="inlineStr">
        <is>
          <t>Fukuoka SoftBank Hawks</t>
        </is>
      </c>
      <c r="AT10" s="24" t="inlineStr">
        <is>
          <t>Fukuoka SoftBank Hawks</t>
        </is>
      </c>
      <c r="AU10" s="24" t="inlineStr">
        <is>
          <t>Fukuoka SoftBank Hawks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bc4fda3fccd78fdc3bca8f7cc4fb910c9fcb1d51c5557416c7b46467f043e355</t>
        </is>
      </c>
      <c r="BB10" s="24" t="inlineStr">
        <is>
          <t>tie_aware_elo</t>
        </is>
      </c>
      <c r="BC10" s="24" t="inlineStr">
        <is>
          <t>npb-tie-aware-elo-v2</t>
        </is>
      </c>
      <c r="BD10" s="24" t="inlineStr">
        <is>
          <t>bc4fda3fccd78fdc3bca8f7cc4fb910c9fcb1d51c5557416c7b46467f043e355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npb-tie-aware-elo-v2</t>
        </is>
      </c>
      <c r="BH10" s="24" t="inlineStr">
        <is>
          <t>2026-08-04T08:55:29.194611Z</t>
        </is>
      </c>
      <c r="BI10" s="24" t="inlineStr">
        <is>
          <t>["same_event","same_team_same_day","same_league_same_day"]</t>
        </is>
      </c>
      <c r="BJ10" s="25" t="n"/>
      <c r="BK10" s="26" t="n">
        <v>-156</v>
      </c>
      <c r="BL10" s="27" t="n">
        <v>1.641026</v>
      </c>
      <c r="BM10" s="28" t="n">
        <v>0.609375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>
        <v>1</v>
      </c>
      <c r="BY10" s="27" t="n">
        <v>0.91</v>
      </c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False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0.609375</t>
        </is>
      </c>
      <c r="DK10" s="24" t="n"/>
      <c r="DL10" s="24" t="n"/>
      <c r="DM10" s="24" t="n"/>
      <c r="DN10" s="24" t="n"/>
      <c r="DO10" s="24" t="n"/>
      <c r="DP10" s="24" t="n"/>
      <c r="DQ10" s="24" t="n"/>
    </row>
    <row r="11" ht="36" customHeight="1">
      <c r="A11" s="24" t="inlineStr">
        <is>
          <t>ba889f1490334b55</t>
        </is>
      </c>
      <c r="B11" s="24" t="inlineStr">
        <is>
          <t>2026-08-05T04:36:53.416116Z</t>
        </is>
      </c>
      <c r="C11" s="24" t="inlineStr">
        <is>
          <t>2026-08-05T08:45:00Z</t>
        </is>
      </c>
      <c r="D11" s="24" t="inlineStr">
        <is>
          <t>69524</t>
        </is>
      </c>
      <c r="E11" s="24" t="inlineStr">
        <is>
          <t>NPB</t>
        </is>
      </c>
      <c r="F11" s="24" t="inlineStr">
        <is>
          <t>Hanshin Tigers</t>
        </is>
      </c>
      <c r="G11" s="24" t="inlineStr">
        <is>
          <t>Yokohama BayStars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-150</v>
      </c>
      <c r="M11" s="27" t="n">
        <v>1.666667</v>
      </c>
      <c r="N11" s="28" t="n">
        <v>0.6</v>
      </c>
      <c r="O11" s="28" t="n">
        <v>0.512165</v>
      </c>
      <c r="P11" s="28" t="n"/>
      <c r="Q11" s="28" t="n">
        <v>-0.087835</v>
      </c>
      <c r="R11" s="26" t="n">
        <v>0</v>
      </c>
      <c r="S11" s="29" t="n">
        <v>1</v>
      </c>
      <c r="T11" s="24" t="inlineStr">
        <is>
          <t>npb-tie-aware-elo-v2</t>
        </is>
      </c>
      <c r="U11" s="24" t="inlineStr">
        <is>
          <t>settled</t>
        </is>
      </c>
      <c r="V11" s="24" t="inlineStr">
        <is>
          <t>loss</t>
        </is>
      </c>
      <c r="W11" s="26" t="n">
        <v>7</v>
      </c>
      <c r="X11" s="26" t="n">
        <v>11</v>
      </c>
      <c r="Y11" s="25" t="n"/>
      <c r="Z11" s="26" t="n"/>
      <c r="AA11" s="28" t="n"/>
      <c r="AB11" s="28" t="n"/>
      <c r="AC11" s="30" t="n">
        <v>-1</v>
      </c>
      <c r="AD11" s="24" t="inlineStr">
        <is>
          <t>2026-08-05T21:00:18.583620Z</t>
        </is>
      </c>
      <c r="AE11" s="31" t="inlineStr">
        <is>
          <t>Tie-aware Elo baseline; executable ask 0.6000 (market_slug=aec-npb-ybo-hta-2026-08-05). Tie probability=0.0354.</t>
        </is>
      </c>
      <c r="AF11" s="31" t="inlineStr">
        <is>
          <t>Config-promoted international baseball baseline; gates enforced at log time.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paper_call</t>
        </is>
      </c>
      <c r="AL11" s="26" t="n">
        <v>3</v>
      </c>
      <c r="AM11" s="24" t="inlineStr">
        <is>
          <t>RESEARCH_OBSERVATION</t>
        </is>
      </c>
      <c r="AN11" s="24" t="inlineStr">
        <is>
          <t>CALL</t>
        </is>
      </c>
      <c r="AO11" s="24" t="inlineStr">
        <is>
          <t>PAPER_CALL_LOW_EDGE</t>
        </is>
      </c>
      <c r="AP11" s="24" t="inlineStr">
        <is>
          <t>Hanshin Tigers</t>
        </is>
      </c>
      <c r="AQ11" s="24" t="inlineStr">
        <is>
          <t>Hanshin Tigers</t>
        </is>
      </c>
      <c r="AR11" s="24" t="inlineStr">
        <is>
          <t>Hanshin Tigers</t>
        </is>
      </c>
      <c r="AS11" s="24" t="inlineStr">
        <is>
          <t>Yokohama BayStars</t>
        </is>
      </c>
      <c r="AT11" s="24" t="inlineStr">
        <is>
          <t>Yokohama BayStars</t>
        </is>
      </c>
      <c r="AU11" s="24" t="inlineStr">
        <is>
          <t>Yokohama BayStars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587c95488a5eab49a474c082a9d83bc1218cd1ce498682f7305ccc207cdae6d9</t>
        </is>
      </c>
      <c r="BB11" s="24" t="inlineStr">
        <is>
          <t>tie_aware_elo</t>
        </is>
      </c>
      <c r="BC11" s="24" t="inlineStr">
        <is>
          <t>npb-tie-aware-elo-v2</t>
        </is>
      </c>
      <c r="BD11" s="24" t="inlineStr">
        <is>
          <t>587c95488a5eab49a474c082a9d83bc1218cd1ce498682f7305ccc207cdae6d9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npb-tie-aware-elo-v2</t>
        </is>
      </c>
      <c r="BH11" s="24" t="inlineStr">
        <is>
          <t>2026-08-05T04:36:49.025090Z</t>
        </is>
      </c>
      <c r="BI11" s="24" t="inlineStr">
        <is>
          <t>["same_event","same_team_same_day","same_league_same_day"]</t>
        </is>
      </c>
      <c r="BJ11" s="25" t="n"/>
      <c r="BK11" s="26" t="n">
        <v>-150</v>
      </c>
      <c r="BL11" s="27" t="n">
        <v>1.666667</v>
      </c>
      <c r="BM11" s="28" t="n">
        <v>0.6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>
        <v>1</v>
      </c>
      <c r="BY11" s="27" t="n">
        <v>-1</v>
      </c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False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0.6</t>
        </is>
      </c>
      <c r="DK11" s="24" t="n"/>
      <c r="DL11" s="24" t="n"/>
      <c r="DM11" s="24" t="n"/>
      <c r="DN11" s="24" t="n"/>
      <c r="DO11" s="24" t="n"/>
      <c r="DP11" s="24" t="n"/>
      <c r="DQ11" s="24" t="n"/>
    </row>
    <row r="12" ht="36" customHeight="1">
      <c r="A12" s="24" t="inlineStr">
        <is>
          <t>4fee8ebfb11943f8</t>
        </is>
      </c>
      <c r="B12" s="24" t="inlineStr">
        <is>
          <t>2026-08-05T04:36:53.416116Z</t>
        </is>
      </c>
      <c r="C12" s="24" t="inlineStr">
        <is>
          <t>2026-08-05T09:00:00Z</t>
        </is>
      </c>
      <c r="D12" s="24" t="inlineStr">
        <is>
          <t>69525</t>
        </is>
      </c>
      <c r="E12" s="24" t="inlineStr">
        <is>
          <t>NPB</t>
        </is>
      </c>
      <c r="F12" s="24" t="inlineStr">
        <is>
          <t>Tokyo Yakult Swallows</t>
        </is>
      </c>
      <c r="G12" s="24" t="inlineStr">
        <is>
          <t>Chunichi Dragons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-122</v>
      </c>
      <c r="M12" s="27" t="n">
        <v>1.819672</v>
      </c>
      <c r="N12" s="28" t="n">
        <v>0.54955</v>
      </c>
      <c r="O12" s="28" t="n">
        <v>0.605094</v>
      </c>
      <c r="P12" s="28" t="n"/>
      <c r="Q12" s="28" t="n">
        <v>0.055544</v>
      </c>
      <c r="R12" s="26" t="n">
        <v>48</v>
      </c>
      <c r="S12" s="29" t="n">
        <v>1.25</v>
      </c>
      <c r="T12" s="24" t="inlineStr">
        <is>
          <t>npb-tie-aware-elo-v2</t>
        </is>
      </c>
      <c r="U12" s="24" t="inlineStr">
        <is>
          <t>settled</t>
        </is>
      </c>
      <c r="V12" s="24" t="inlineStr">
        <is>
          <t>win</t>
        </is>
      </c>
      <c r="W12" s="26" t="n">
        <v>1</v>
      </c>
      <c r="X12" s="26" t="n">
        <v>4</v>
      </c>
      <c r="Y12" s="25" t="n"/>
      <c r="Z12" s="26" t="n"/>
      <c r="AA12" s="28" t="n"/>
      <c r="AB12" s="28" t="n"/>
      <c r="AC12" s="30" t="n">
        <v>1.0246</v>
      </c>
      <c r="AD12" s="24" t="inlineStr">
        <is>
          <t>2026-08-05T21:00:18.684954Z</t>
        </is>
      </c>
      <c r="AE12" s="31" t="inlineStr">
        <is>
          <t>Tie-aware Elo baseline; executable ask 0.5500 (market_slug=aec-npb-cdh-tys-2026-08-05). Tie probability=0.0272.</t>
        </is>
      </c>
      <c r="AF12" s="31" t="inlineStr">
        <is>
          <t>Config-promoted international baseball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Tokyo Yakult Swallows</t>
        </is>
      </c>
      <c r="AQ12" s="24" t="inlineStr">
        <is>
          <t>Tokyo Yakult Swallows</t>
        </is>
      </c>
      <c r="AR12" s="24" t="inlineStr">
        <is>
          <t>Tokyo Yakult Swallows</t>
        </is>
      </c>
      <c r="AS12" s="24" t="inlineStr">
        <is>
          <t>Chunichi Dragons</t>
        </is>
      </c>
      <c r="AT12" s="24" t="inlineStr">
        <is>
          <t>Chunichi Dragons</t>
        </is>
      </c>
      <c r="AU12" s="24" t="inlineStr">
        <is>
          <t>Chunichi Dragons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587c95488a5eab49a474c082a9d83bc1218cd1ce498682f7305ccc207cdae6d9</t>
        </is>
      </c>
      <c r="BB12" s="24" t="inlineStr">
        <is>
          <t>tie_aware_elo</t>
        </is>
      </c>
      <c r="BC12" s="24" t="inlineStr">
        <is>
          <t>npb-tie-aware-elo-v2</t>
        </is>
      </c>
      <c r="BD12" s="24" t="inlineStr">
        <is>
          <t>587c95488a5eab49a474c082a9d83bc1218cd1ce498682f7305ccc207cdae6d9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npb-tie-aware-elo-v2</t>
        </is>
      </c>
      <c r="BH12" s="24" t="inlineStr">
        <is>
          <t>2026-08-05T04:36:49.865696Z</t>
        </is>
      </c>
      <c r="BI12" s="24" t="inlineStr">
        <is>
          <t>["same_event","same_team_same_day","same_league_same_day"]</t>
        </is>
      </c>
      <c r="BJ12" s="25" t="n"/>
      <c r="BK12" s="26" t="n">
        <v>-122</v>
      </c>
      <c r="BL12" s="27" t="n">
        <v>1.819672</v>
      </c>
      <c r="BM12" s="28" t="n">
        <v>0.54955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>
        <v>1</v>
      </c>
      <c r="BY12" s="27" t="n">
        <v>0.91</v>
      </c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0.54955</t>
        </is>
      </c>
      <c r="DK12" s="24" t="n"/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6e9d79eeb8954b77</t>
        </is>
      </c>
      <c r="B13" s="24" t="inlineStr">
        <is>
          <t>2026-08-05T04:36:53.416116Z</t>
        </is>
      </c>
      <c r="C13" s="24" t="inlineStr">
        <is>
          <t>2026-08-05T09:00:00Z</t>
        </is>
      </c>
      <c r="D13" s="24" t="inlineStr">
        <is>
          <t>69526</t>
        </is>
      </c>
      <c r="E13" s="24" t="inlineStr">
        <is>
          <t>NPB</t>
        </is>
      </c>
      <c r="F13" s="24" t="inlineStr">
        <is>
          <t>Saitama Seibu Lions</t>
        </is>
      </c>
      <c r="G13" s="24" t="inlineStr">
        <is>
          <t>Chiba Lotte Marines</t>
        </is>
      </c>
      <c r="H13" s="24" t="inlineStr">
        <is>
          <t>moneyline</t>
        </is>
      </c>
      <c r="I13" s="24" t="inlineStr">
        <is>
          <t>away</t>
        </is>
      </c>
      <c r="J13" s="25" t="n"/>
      <c r="K13" s="24" t="inlineStr">
        <is>
          <t>polymarket_us</t>
        </is>
      </c>
      <c r="L13" s="26" t="n">
        <v>-113</v>
      </c>
      <c r="M13" s="27" t="n">
        <v>1.884956</v>
      </c>
      <c r="N13" s="28" t="n">
        <v>0.530516</v>
      </c>
      <c r="O13" s="28" t="n">
        <v>0.511776</v>
      </c>
      <c r="P13" s="28" t="n"/>
      <c r="Q13" s="28" t="n">
        <v>-0.01874</v>
      </c>
      <c r="R13" s="26" t="n">
        <v>11</v>
      </c>
      <c r="S13" s="29" t="n">
        <v>1</v>
      </c>
      <c r="T13" s="24" t="inlineStr">
        <is>
          <t>npb-tie-aware-elo-v2</t>
        </is>
      </c>
      <c r="U13" s="24" t="inlineStr">
        <is>
          <t>settled</t>
        </is>
      </c>
      <c r="V13" s="24" t="inlineStr">
        <is>
          <t>loss</t>
        </is>
      </c>
      <c r="W13" s="26" t="n">
        <v>0</v>
      </c>
      <c r="X13" s="26" t="n">
        <v>8</v>
      </c>
      <c r="Y13" s="25" t="n"/>
      <c r="Z13" s="26" t="n"/>
      <c r="AA13" s="28" t="n"/>
      <c r="AB13" s="28" t="n"/>
      <c r="AC13" s="30" t="n">
        <v>-1</v>
      </c>
      <c r="AD13" s="24" t="inlineStr">
        <is>
          <t>2026-08-05T21:00:18.770156Z</t>
        </is>
      </c>
      <c r="AE13" s="31" t="inlineStr">
        <is>
          <t>Tie-aware Elo baseline; executable ask 0.5300 (market_slug=aec-npb-clm-ssl-2026-08-05). Tie probability=0.0354.</t>
        </is>
      </c>
      <c r="AF13" s="31" t="inlineStr">
        <is>
          <t>Config-promoted international baseball baseline; gates enforced at log time.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paper_call</t>
        </is>
      </c>
      <c r="AL13" s="26" t="n">
        <v>3</v>
      </c>
      <c r="AM13" s="24" t="inlineStr">
        <is>
          <t>RESEARCH_OBSERVATION</t>
        </is>
      </c>
      <c r="AN13" s="24" t="inlineStr">
        <is>
          <t>CALL</t>
        </is>
      </c>
      <c r="AO13" s="24" t="inlineStr">
        <is>
          <t>PAPER_CALL_LOW_EDGE</t>
        </is>
      </c>
      <c r="AP13" s="24" t="inlineStr">
        <is>
          <t>Saitama Seibu Lions</t>
        </is>
      </c>
      <c r="AQ13" s="24" t="inlineStr">
        <is>
          <t>Saitama Seibu Lions</t>
        </is>
      </c>
      <c r="AR13" s="24" t="inlineStr">
        <is>
          <t>Saitama Seibu Lions</t>
        </is>
      </c>
      <c r="AS13" s="24" t="inlineStr">
        <is>
          <t>Chiba Lotte Marines</t>
        </is>
      </c>
      <c r="AT13" s="24" t="inlineStr">
        <is>
          <t>Chiba Lotte Marines</t>
        </is>
      </c>
      <c r="AU13" s="24" t="inlineStr">
        <is>
          <t>Chiba Lotte Marines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587c95488a5eab49a474c082a9d83bc1218cd1ce498682f7305ccc207cdae6d9</t>
        </is>
      </c>
      <c r="BB13" s="24" t="inlineStr">
        <is>
          <t>tie_aware_elo</t>
        </is>
      </c>
      <c r="BC13" s="24" t="inlineStr">
        <is>
          <t>npb-tie-aware-elo-v2</t>
        </is>
      </c>
      <c r="BD13" s="24" t="inlineStr">
        <is>
          <t>587c95488a5eab49a474c082a9d83bc1218cd1ce498682f7305ccc207cdae6d9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npb-tie-aware-elo-v2</t>
        </is>
      </c>
      <c r="BH13" s="24" t="inlineStr">
        <is>
          <t>2026-08-05T04:36:50.743012Z</t>
        </is>
      </c>
      <c r="BI13" s="24" t="inlineStr">
        <is>
          <t>["same_event","same_team_same_day","same_league_same_day"]</t>
        </is>
      </c>
      <c r="BJ13" s="25" t="n"/>
      <c r="BK13" s="26" t="n">
        <v>-113</v>
      </c>
      <c r="BL13" s="27" t="n">
        <v>1.884956</v>
      </c>
      <c r="BM13" s="28" t="n">
        <v>0.530516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>
        <v>1</v>
      </c>
      <c r="BY13" s="27" t="n">
        <v>-1</v>
      </c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False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0.530516</t>
        </is>
      </c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e390daaf0112448a</t>
        </is>
      </c>
      <c r="B14" s="24" t="inlineStr">
        <is>
          <t>2026-08-05T04:36:53.416116Z</t>
        </is>
      </c>
      <c r="C14" s="24" t="inlineStr">
        <is>
          <t>2026-08-05T09:00:00Z</t>
        </is>
      </c>
      <c r="D14" s="24" t="inlineStr">
        <is>
          <t>69527</t>
        </is>
      </c>
      <c r="E14" s="24" t="inlineStr">
        <is>
          <t>NPB</t>
        </is>
      </c>
      <c r="F14" s="24" t="inlineStr">
        <is>
          <t>Tohoku Rakuten Golden Eagles</t>
        </is>
      </c>
      <c r="G14" s="24" t="inlineStr">
        <is>
          <t>Orix Buffaloes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-170</v>
      </c>
      <c r="M14" s="27" t="n">
        <v>1.588235</v>
      </c>
      <c r="N14" s="28" t="n">
        <v>0.62963</v>
      </c>
      <c r="O14" s="28" t="n">
        <v>0.565314</v>
      </c>
      <c r="P14" s="28" t="n"/>
      <c r="Q14" s="28" t="n">
        <v>-0.064316</v>
      </c>
      <c r="R14" s="26" t="n">
        <v>0</v>
      </c>
      <c r="S14" s="29" t="n">
        <v>1</v>
      </c>
      <c r="T14" s="24" t="inlineStr">
        <is>
          <t>npb-tie-aware-elo-v2</t>
        </is>
      </c>
      <c r="U14" s="24" t="inlineStr">
        <is>
          <t>settled</t>
        </is>
      </c>
      <c r="V14" s="24" t="inlineStr">
        <is>
          <t>win</t>
        </is>
      </c>
      <c r="W14" s="26" t="n">
        <v>1</v>
      </c>
      <c r="X14" s="26" t="n">
        <v>3</v>
      </c>
      <c r="Y14" s="25" t="n"/>
      <c r="Z14" s="26" t="n"/>
      <c r="AA14" s="28" t="n"/>
      <c r="AB14" s="28" t="n"/>
      <c r="AC14" s="30" t="n">
        <v>0.5881999999999999</v>
      </c>
      <c r="AD14" s="24" t="inlineStr">
        <is>
          <t>2026-08-05T21:00:18.860547Z</t>
        </is>
      </c>
      <c r="AE14" s="31" t="inlineStr">
        <is>
          <t>Tie-aware Elo baseline; executable ask 0.6300 (market_slug=aec-npb-obr-trge-2026-08-05). Tie probability=0.0307.</t>
        </is>
      </c>
      <c r="AF14" s="31" t="inlineStr">
        <is>
          <t>Config-promoted international baseball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paper_call</t>
        </is>
      </c>
      <c r="AL14" s="26" t="n">
        <v>3</v>
      </c>
      <c r="AM14" s="24" t="inlineStr">
        <is>
          <t>RESEARCH_OBSERVATION</t>
        </is>
      </c>
      <c r="AN14" s="24" t="inlineStr">
        <is>
          <t>CALL</t>
        </is>
      </c>
      <c r="AO14" s="24" t="inlineStr">
        <is>
          <t>PAPER_CALL_LOW_EDGE</t>
        </is>
      </c>
      <c r="AP14" s="24" t="inlineStr">
        <is>
          <t>Tohoku Rakuten Golden Eagles</t>
        </is>
      </c>
      <c r="AQ14" s="24" t="inlineStr">
        <is>
          <t>Tohoku Rakuten Golden Eagles</t>
        </is>
      </c>
      <c r="AR14" s="24" t="inlineStr">
        <is>
          <t>Tohoku Rakuten Golden Eagles</t>
        </is>
      </c>
      <c r="AS14" s="24" t="inlineStr">
        <is>
          <t>Orix Buffaloes</t>
        </is>
      </c>
      <c r="AT14" s="24" t="inlineStr">
        <is>
          <t>Orix Buffaloes</t>
        </is>
      </c>
      <c r="AU14" s="24" t="inlineStr">
        <is>
          <t>Orix Buffaloes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587c95488a5eab49a474c082a9d83bc1218cd1ce498682f7305ccc207cdae6d9</t>
        </is>
      </c>
      <c r="BB14" s="24" t="inlineStr">
        <is>
          <t>tie_aware_elo</t>
        </is>
      </c>
      <c r="BC14" s="24" t="inlineStr">
        <is>
          <t>npb-tie-aware-elo-v2</t>
        </is>
      </c>
      <c r="BD14" s="24" t="inlineStr">
        <is>
          <t>587c95488a5eab49a474c082a9d83bc1218cd1ce498682f7305ccc207cdae6d9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npb-tie-aware-elo-v2</t>
        </is>
      </c>
      <c r="BH14" s="24" t="inlineStr">
        <is>
          <t>2026-08-05T04:36:51.558960Z</t>
        </is>
      </c>
      <c r="BI14" s="24" t="inlineStr">
        <is>
          <t>["same_event","same_team_same_day","same_league_same_day"]</t>
        </is>
      </c>
      <c r="BJ14" s="25" t="n"/>
      <c r="BK14" s="26" t="n">
        <v>-170</v>
      </c>
      <c r="BL14" s="27" t="n">
        <v>1.588235</v>
      </c>
      <c r="BM14" s="28" t="n">
        <v>0.62963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>
        <v>1</v>
      </c>
      <c r="BY14" s="27" t="n">
        <v>0.91</v>
      </c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False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0.62963</t>
        </is>
      </c>
      <c r="DK14" s="24" t="n"/>
      <c r="DL14" s="24" t="n"/>
      <c r="DM14" s="24" t="n"/>
      <c r="DN14" s="24" t="n"/>
      <c r="DO14" s="24" t="n"/>
      <c r="DP14" s="24" t="n"/>
      <c r="DQ14" s="24" t="n"/>
    </row>
    <row r="15" ht="36" customHeight="1">
      <c r="A15" s="24" t="inlineStr">
        <is>
          <t>7824cc7441d94f63</t>
        </is>
      </c>
      <c r="B15" s="24" t="inlineStr">
        <is>
          <t>2026-08-05T04:36:53.416116Z</t>
        </is>
      </c>
      <c r="C15" s="24" t="inlineStr">
        <is>
          <t>2026-08-05T09:00:00Z</t>
        </is>
      </c>
      <c r="D15" s="24" t="inlineStr">
        <is>
          <t>69528</t>
        </is>
      </c>
      <c r="E15" s="24" t="inlineStr">
        <is>
          <t>NPB</t>
        </is>
      </c>
      <c r="F15" s="24" t="inlineStr">
        <is>
          <t>Nippon Ham Fighters</t>
        </is>
      </c>
      <c r="G15" s="24" t="inlineStr">
        <is>
          <t>Fukuoka SoftBank Hawks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-144</v>
      </c>
      <c r="M15" s="27" t="n">
        <v>1.694444</v>
      </c>
      <c r="N15" s="28" t="n">
        <v>0.590164</v>
      </c>
      <c r="O15" s="28" t="n">
        <v>0.587499</v>
      </c>
      <c r="P15" s="28" t="n"/>
      <c r="Q15" s="28" t="n">
        <v>-0.002665</v>
      </c>
      <c r="R15" s="26" t="n">
        <v>19</v>
      </c>
      <c r="S15" s="29" t="n">
        <v>1.25</v>
      </c>
      <c r="T15" s="24" t="inlineStr">
        <is>
          <t>npb-tie-aware-elo-v2</t>
        </is>
      </c>
      <c r="U15" s="24" t="inlineStr">
        <is>
          <t>settled</t>
        </is>
      </c>
      <c r="V15" s="24" t="inlineStr">
        <is>
          <t>win</t>
        </is>
      </c>
      <c r="W15" s="26" t="n">
        <v>5</v>
      </c>
      <c r="X15" s="26" t="n">
        <v>7</v>
      </c>
      <c r="Y15" s="25" t="n"/>
      <c r="Z15" s="26" t="n"/>
      <c r="AA15" s="28" t="n"/>
      <c r="AB15" s="28" t="n"/>
      <c r="AC15" s="30" t="n">
        <v>0.8681</v>
      </c>
      <c r="AD15" s="24" t="inlineStr">
        <is>
          <t>2026-08-05T21:00:18.959265Z</t>
        </is>
      </c>
      <c r="AE15" s="31" t="inlineStr">
        <is>
          <t>Tie-aware Elo baseline; executable ask 0.5900 (market_slug=aec-npb-fsh-nhf-2026-08-05). Tie probability=0.0288.</t>
        </is>
      </c>
      <c r="AF15" s="31" t="inlineStr">
        <is>
          <t>Config-promoted international baseball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paper_call</t>
        </is>
      </c>
      <c r="AL15" s="26" t="n">
        <v>3</v>
      </c>
      <c r="AM15" s="24" t="inlineStr">
        <is>
          <t>RESEARCH_OBSERVATION</t>
        </is>
      </c>
      <c r="AN15" s="24" t="inlineStr">
        <is>
          <t>CALL</t>
        </is>
      </c>
      <c r="AO15" s="24" t="inlineStr">
        <is>
          <t>PAPER_CALL_LOW_EDGE</t>
        </is>
      </c>
      <c r="AP15" s="24" t="inlineStr">
        <is>
          <t>Nippon Ham Fighters</t>
        </is>
      </c>
      <c r="AQ15" s="24" t="inlineStr">
        <is>
          <t>Nippon Ham Fighters</t>
        </is>
      </c>
      <c r="AR15" s="24" t="inlineStr">
        <is>
          <t>Nippon Ham Fighters</t>
        </is>
      </c>
      <c r="AS15" s="24" t="inlineStr">
        <is>
          <t>Fukuoka SoftBank Hawks</t>
        </is>
      </c>
      <c r="AT15" s="24" t="inlineStr">
        <is>
          <t>Fukuoka SoftBank Hawks</t>
        </is>
      </c>
      <c r="AU15" s="24" t="inlineStr">
        <is>
          <t>Fukuoka SoftBank Hawks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587c95488a5eab49a474c082a9d83bc1218cd1ce498682f7305ccc207cdae6d9</t>
        </is>
      </c>
      <c r="BB15" s="24" t="inlineStr">
        <is>
          <t>tie_aware_elo</t>
        </is>
      </c>
      <c r="BC15" s="24" t="inlineStr">
        <is>
          <t>npb-tie-aware-elo-v2</t>
        </is>
      </c>
      <c r="BD15" s="24" t="inlineStr">
        <is>
          <t>587c95488a5eab49a474c082a9d83bc1218cd1ce498682f7305ccc207cdae6d9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npb-tie-aware-elo-v2</t>
        </is>
      </c>
      <c r="BH15" s="24" t="inlineStr">
        <is>
          <t>2026-08-05T04:36:52.448253Z</t>
        </is>
      </c>
      <c r="BI15" s="24" t="inlineStr">
        <is>
          <t>["same_event","same_team_same_day","same_league_same_day"]</t>
        </is>
      </c>
      <c r="BJ15" s="25" t="n"/>
      <c r="BK15" s="26" t="n">
        <v>-144</v>
      </c>
      <c r="BL15" s="27" t="n">
        <v>1.694444</v>
      </c>
      <c r="BM15" s="28" t="n">
        <v>0.590164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>
        <v>1</v>
      </c>
      <c r="BY15" s="27" t="n">
        <v>0.91</v>
      </c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False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0.590164</t>
        </is>
      </c>
      <c r="DK15" s="24" t="n"/>
      <c r="DL15" s="24" t="n"/>
      <c r="DM15" s="24" t="n"/>
      <c r="DN15" s="24" t="n"/>
      <c r="DO15" s="24" t="n"/>
      <c r="DP15" s="24" t="n"/>
      <c r="DQ15" s="24" t="n"/>
    </row>
    <row r="16" ht="36" customHeight="1">
      <c r="A16" s="24" t="inlineStr">
        <is>
          <t>63e486e3516242c8</t>
        </is>
      </c>
      <c r="B16" s="24" t="inlineStr">
        <is>
          <t>2026-08-05T04:36:53.416116Z</t>
        </is>
      </c>
      <c r="C16" s="24" t="inlineStr">
        <is>
          <t>2026-08-05T09:00:00Z</t>
        </is>
      </c>
      <c r="D16" s="24" t="inlineStr">
        <is>
          <t>69529</t>
        </is>
      </c>
      <c r="E16" s="24" t="inlineStr">
        <is>
          <t>NPB</t>
        </is>
      </c>
      <c r="F16" s="24" t="inlineStr">
        <is>
          <t>Yomiuri Giants</t>
        </is>
      </c>
      <c r="G16" s="24" t="inlineStr">
        <is>
          <t>Hiroshima Carp</t>
        </is>
      </c>
      <c r="H16" s="24" t="inlineStr">
        <is>
          <t>moneyline</t>
        </is>
      </c>
      <c r="I16" s="24" t="inlineStr">
        <is>
          <t>away</t>
        </is>
      </c>
      <c r="J16" s="25" t="n"/>
      <c r="K16" s="24" t="inlineStr">
        <is>
          <t>polymarket_us</t>
        </is>
      </c>
      <c r="L16" s="26" t="n">
        <v>-127</v>
      </c>
      <c r="M16" s="27" t="n">
        <v>1.787402</v>
      </c>
      <c r="N16" s="28" t="n">
        <v>0.5594710000000001</v>
      </c>
      <c r="O16" s="28" t="n">
        <v>0.532673</v>
      </c>
      <c r="P16" s="28" t="n"/>
      <c r="Q16" s="28" t="n">
        <v>-0.026798</v>
      </c>
      <c r="R16" s="26" t="n">
        <v>7</v>
      </c>
      <c r="S16" s="29" t="n">
        <v>1</v>
      </c>
      <c r="T16" s="24" t="inlineStr">
        <is>
          <t>npb-tie-aware-elo-v2</t>
        </is>
      </c>
      <c r="U16" s="24" t="inlineStr">
        <is>
          <t>settled</t>
        </is>
      </c>
      <c r="V16" s="24" t="inlineStr">
        <is>
          <t>win</t>
        </is>
      </c>
      <c r="W16" s="26" t="n">
        <v>4</v>
      </c>
      <c r="X16" s="26" t="n">
        <v>0</v>
      </c>
      <c r="Y16" s="25" t="n"/>
      <c r="Z16" s="26" t="n"/>
      <c r="AA16" s="28" t="n"/>
      <c r="AB16" s="28" t="n"/>
      <c r="AC16" s="30" t="n">
        <v>0.7874</v>
      </c>
      <c r="AD16" s="24" t="inlineStr">
        <is>
          <t>2026-08-05T21:00:19.078808Z</t>
        </is>
      </c>
      <c r="AE16" s="31" t="inlineStr">
        <is>
          <t>Tie-aware Elo baseline; executable ask 0.5600 (market_slug=aec-npb-hci-ygo-2026-08-05). Tie probability=0.0336.</t>
        </is>
      </c>
      <c r="AF16" s="31" t="inlineStr">
        <is>
          <t>Config-promoted international baseball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paper_call</t>
        </is>
      </c>
      <c r="AL16" s="26" t="n">
        <v>3</v>
      </c>
      <c r="AM16" s="24" t="inlineStr">
        <is>
          <t>RESEARCH_OBSERVATION</t>
        </is>
      </c>
      <c r="AN16" s="24" t="inlineStr">
        <is>
          <t>CALL</t>
        </is>
      </c>
      <c r="AO16" s="24" t="inlineStr">
        <is>
          <t>PAPER_CALL_LOW_EDGE</t>
        </is>
      </c>
      <c r="AP16" s="24" t="inlineStr">
        <is>
          <t>Yomiuri Giants</t>
        </is>
      </c>
      <c r="AQ16" s="24" t="inlineStr">
        <is>
          <t>Yomiuri Giants</t>
        </is>
      </c>
      <c r="AR16" s="24" t="inlineStr">
        <is>
          <t>Yomiuri Giants</t>
        </is>
      </c>
      <c r="AS16" s="24" t="inlineStr">
        <is>
          <t>Hiroshima Carp</t>
        </is>
      </c>
      <c r="AT16" s="24" t="inlineStr">
        <is>
          <t>Hiroshima Carp</t>
        </is>
      </c>
      <c r="AU16" s="24" t="inlineStr">
        <is>
          <t>Hiroshima Carp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587c95488a5eab49a474c082a9d83bc1218cd1ce498682f7305ccc207cdae6d9</t>
        </is>
      </c>
      <c r="BB16" s="24" t="inlineStr">
        <is>
          <t>tie_aware_elo</t>
        </is>
      </c>
      <c r="BC16" s="24" t="inlineStr">
        <is>
          <t>npb-tie-aware-elo-v2</t>
        </is>
      </c>
      <c r="BD16" s="24" t="inlineStr">
        <is>
          <t>587c95488a5eab49a474c082a9d83bc1218cd1ce498682f7305ccc207cdae6d9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npb-tie-aware-elo-v2</t>
        </is>
      </c>
      <c r="BH16" s="24" t="inlineStr">
        <is>
          <t>2026-08-05T04:36:53.416071Z</t>
        </is>
      </c>
      <c r="BI16" s="24" t="inlineStr">
        <is>
          <t>["same_event","same_team_same_day","same_league_same_day"]</t>
        </is>
      </c>
      <c r="BJ16" s="25" t="n"/>
      <c r="BK16" s="26" t="n">
        <v>-127</v>
      </c>
      <c r="BL16" s="27" t="n">
        <v>1.787402</v>
      </c>
      <c r="BM16" s="28" t="n">
        <v>0.5594710000000001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>
        <v>1</v>
      </c>
      <c r="BY16" s="27" t="n">
        <v>0.91</v>
      </c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False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0.559471</t>
        </is>
      </c>
      <c r="DK16" s="24" t="n"/>
      <c r="DL16" s="24" t="n"/>
      <c r="DM16" s="24" t="n"/>
      <c r="DN16" s="24" t="n"/>
      <c r="DO16" s="24" t="n"/>
      <c r="DP16" s="24" t="n"/>
      <c r="DQ16" s="24" t="n"/>
    </row>
    <row r="17" ht="36" customHeight="1">
      <c r="A17" s="24" t="inlineStr">
        <is>
          <t>b6208e6608f643b2</t>
        </is>
      </c>
      <c r="B17" s="24" t="inlineStr">
        <is>
          <t>2026-08-07T06:04:08.876576Z</t>
        </is>
      </c>
      <c r="C17" s="24" t="inlineStr">
        <is>
          <t>2026-08-07T09:00:00Z</t>
        </is>
      </c>
      <c r="D17" s="24" t="inlineStr">
        <is>
          <t>71688</t>
        </is>
      </c>
      <c r="E17" s="24" t="inlineStr">
        <is>
          <t>NPB</t>
        </is>
      </c>
      <c r="F17" s="24" t="inlineStr">
        <is>
          <t>Tokyo Yakult Swallows</t>
        </is>
      </c>
      <c r="G17" s="24" t="inlineStr">
        <is>
          <t>Yomiuri Giants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-156</v>
      </c>
      <c r="M17" s="27" t="n">
        <v>1.641026</v>
      </c>
      <c r="N17" s="28" t="n">
        <v>0.609375</v>
      </c>
      <c r="O17" s="28" t="n">
        <v>0.671883</v>
      </c>
      <c r="P17" s="28" t="n"/>
      <c r="Q17" s="28" t="n">
        <v>0.06250799999999999</v>
      </c>
      <c r="R17" s="26" t="n">
        <v>51</v>
      </c>
      <c r="S17" s="29" t="n">
        <v>1.75</v>
      </c>
      <c r="T17" s="24" t="inlineStr">
        <is>
          <t>npb-tie-aware-elo-v2</t>
        </is>
      </c>
      <c r="U17" s="24" t="inlineStr">
        <is>
          <t>settled</t>
        </is>
      </c>
      <c r="V17" s="24" t="inlineStr">
        <is>
          <t>loss</t>
        </is>
      </c>
      <c r="W17" s="26" t="n">
        <v>1</v>
      </c>
      <c r="X17" s="26" t="n">
        <v>0</v>
      </c>
      <c r="Y17" s="25" t="n"/>
      <c r="Z17" s="26" t="n"/>
      <c r="AA17" s="28" t="n"/>
      <c r="AB17" s="28" t="n"/>
      <c r="AC17" s="30" t="n">
        <v>-1.75</v>
      </c>
      <c r="AD17" s="24" t="inlineStr">
        <is>
          <t>2026-08-07T18:27:21.798527Z</t>
        </is>
      </c>
      <c r="AE17" s="31" t="inlineStr">
        <is>
          <t>Tie-aware Elo baseline; executable ask 0.6100 (market_slug=aec-npb-ygo-tys-2026-08-07). Tie probability=0.0209.</t>
        </is>
      </c>
      <c r="AF17" s="31" t="inlineStr">
        <is>
          <t>Config-promoted international baseball baseline; gates enforced at log time.</t>
        </is>
      </c>
      <c r="AG17" s="24" t="inlineStr">
        <is>
          <t>review_required</t>
        </is>
      </c>
      <c r="AH17" s="24" t="n"/>
      <c r="AI17" s="31" t="n"/>
      <c r="AJ17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17" s="24" t="inlineStr">
        <is>
          <t>paper_call</t>
        </is>
      </c>
      <c r="AL17" s="26" t="n">
        <v>3</v>
      </c>
      <c r="AM17" s="24" t="inlineStr">
        <is>
          <t>RESEARCH_OBSERVATION</t>
        </is>
      </c>
      <c r="AN17" s="24" t="inlineStr">
        <is>
          <t>CALL</t>
        </is>
      </c>
      <c r="AO17" s="24" t="inlineStr">
        <is>
          <t>PAPER_CALL_WINNER_OVERVALUED</t>
        </is>
      </c>
      <c r="AP17" s="24" t="inlineStr">
        <is>
          <t>Tokyo Yakult Swallows</t>
        </is>
      </c>
      <c r="AQ17" s="24" t="inlineStr">
        <is>
          <t>Tokyo Yakult Swallows</t>
        </is>
      </c>
      <c r="AR17" s="24" t="inlineStr">
        <is>
          <t>Tokyo Yakult Swallows</t>
        </is>
      </c>
      <c r="AS17" s="24" t="inlineStr">
        <is>
          <t>Yomiuri Giants</t>
        </is>
      </c>
      <c r="AT17" s="24" t="inlineStr">
        <is>
          <t>Yomiuri Giants</t>
        </is>
      </c>
      <c r="AU17" s="24" t="inlineStr">
        <is>
          <t>Yomiuri Giants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1397f2a2e62220577ae4a4ae8de10b8369816a7b15d915f063053eb9c759a04a</t>
        </is>
      </c>
      <c r="BB17" s="24" t="inlineStr">
        <is>
          <t>tie_aware_elo</t>
        </is>
      </c>
      <c r="BC17" s="24" t="inlineStr">
        <is>
          <t>npb-tie-aware-elo-v2</t>
        </is>
      </c>
      <c r="BD17" s="24" t="inlineStr">
        <is>
          <t>1397f2a2e62220577ae4a4ae8de10b8369816a7b15d915f063053eb9c759a04a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npb-tie-aware-elo-v2</t>
        </is>
      </c>
      <c r="BH17" s="24" t="inlineStr">
        <is>
          <t>2026-08-07T06:04:05.382616Z</t>
        </is>
      </c>
      <c r="BI17" s="24" t="inlineStr">
        <is>
          <t>["same_event","same_team_same_day","same_league_same_day"]</t>
        </is>
      </c>
      <c r="BJ17" s="25" t="n"/>
      <c r="BK17" s="26" t="n">
        <v>-156</v>
      </c>
      <c r="BL17" s="27" t="n">
        <v>1.641026</v>
      </c>
      <c r="BM17" s="28" t="n">
        <v>0.609375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>
        <v>1</v>
      </c>
      <c r="BY17" s="27" t="n">
        <v>-1</v>
      </c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0.609375</t>
        </is>
      </c>
      <c r="DK17" s="24" t="n"/>
      <c r="DL17" s="24" t="n"/>
      <c r="DM17" s="24" t="n"/>
      <c r="DN17" s="24" t="n"/>
      <c r="DO17" s="24" t="n"/>
      <c r="DP17" s="24" t="n"/>
      <c r="DQ17" s="24" t="n"/>
    </row>
    <row r="18" ht="36" customHeight="1">
      <c r="A18" s="24" t="inlineStr">
        <is>
          <t>a713a94747574b49</t>
        </is>
      </c>
      <c r="B18" s="24" t="inlineStr">
        <is>
          <t>2026-08-07T06:04:08.876576Z</t>
        </is>
      </c>
      <c r="C18" s="24" t="inlineStr">
        <is>
          <t>2026-08-07T09:00:00Z</t>
        </is>
      </c>
      <c r="D18" s="24" t="inlineStr">
        <is>
          <t>71689</t>
        </is>
      </c>
      <c r="E18" s="24" t="inlineStr">
        <is>
          <t>NPB</t>
        </is>
      </c>
      <c r="F18" s="24" t="inlineStr">
        <is>
          <t>Hiroshima Carp</t>
        </is>
      </c>
      <c r="G18" s="24" t="inlineStr">
        <is>
          <t>Yokohama BayStars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-203</v>
      </c>
      <c r="M18" s="27" t="n">
        <v>1.492611</v>
      </c>
      <c r="N18" s="28" t="n">
        <v>0.669967</v>
      </c>
      <c r="O18" s="28" t="n">
        <v>0.587646</v>
      </c>
      <c r="P18" s="28" t="n"/>
      <c r="Q18" s="28" t="n">
        <v>-0.08232100000000001</v>
      </c>
      <c r="R18" s="26" t="n">
        <v>0</v>
      </c>
      <c r="S18" s="29" t="n">
        <v>1.25</v>
      </c>
      <c r="T18" s="24" t="inlineStr">
        <is>
          <t>npb-tie-aware-elo-v2</t>
        </is>
      </c>
      <c r="U18" s="24" t="inlineStr">
        <is>
          <t>settled</t>
        </is>
      </c>
      <c r="V18" s="24" t="inlineStr">
        <is>
          <t>win</t>
        </is>
      </c>
      <c r="W18" s="26" t="n">
        <v>1</v>
      </c>
      <c r="X18" s="26" t="n">
        <v>2</v>
      </c>
      <c r="Y18" s="25" t="n"/>
      <c r="Z18" s="26" t="n"/>
      <c r="AA18" s="28" t="n"/>
      <c r="AB18" s="28" t="n"/>
      <c r="AC18" s="30" t="n">
        <v>0.6158</v>
      </c>
      <c r="AD18" s="24" t="inlineStr">
        <is>
          <t>2026-08-07T18:27:22.019890Z</t>
        </is>
      </c>
      <c r="AE18" s="31" t="inlineStr">
        <is>
          <t>Tie-aware Elo baseline; executable ask 0.6700 (market_slug=aec-npb-ybo-hci-2026-08-07). Tie probability=0.0287.</t>
        </is>
      </c>
      <c r="AF18" s="31" t="inlineStr">
        <is>
          <t>Config-promoted international baseball baseline; gates enforced at log time.</t>
        </is>
      </c>
      <c r="AG18" s="24" t="inlineStr">
        <is>
          <t>not_applicable</t>
        </is>
      </c>
      <c r="AH18" s="24" t="n"/>
      <c r="AI18" s="31" t="n"/>
      <c r="AJ18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18" s="24" t="inlineStr">
        <is>
          <t>paper_call</t>
        </is>
      </c>
      <c r="AL18" s="26" t="n">
        <v>3</v>
      </c>
      <c r="AM18" s="24" t="inlineStr">
        <is>
          <t>RESEARCH_OBSERVATION</t>
        </is>
      </c>
      <c r="AN18" s="24" t="inlineStr">
        <is>
          <t>CALL</t>
        </is>
      </c>
      <c r="AO18" s="24" t="inlineStr">
        <is>
          <t>PAPER_CALL_WINNER_OVERVALUED</t>
        </is>
      </c>
      <c r="AP18" s="24" t="inlineStr">
        <is>
          <t>Hiroshima Carp</t>
        </is>
      </c>
      <c r="AQ18" s="24" t="inlineStr">
        <is>
          <t>Hiroshima Carp</t>
        </is>
      </c>
      <c r="AR18" s="24" t="inlineStr">
        <is>
          <t>Hiroshima Carp</t>
        </is>
      </c>
      <c r="AS18" s="24" t="inlineStr">
        <is>
          <t>Yokohama BayStars</t>
        </is>
      </c>
      <c r="AT18" s="24" t="inlineStr">
        <is>
          <t>Yokohama BayStars</t>
        </is>
      </c>
      <c r="AU18" s="24" t="inlineStr">
        <is>
          <t>Yokohama BayStars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1397f2a2e62220577ae4a4ae8de10b8369816a7b15d915f063053eb9c759a04a</t>
        </is>
      </c>
      <c r="BB18" s="24" t="inlineStr">
        <is>
          <t>tie_aware_elo</t>
        </is>
      </c>
      <c r="BC18" s="24" t="inlineStr">
        <is>
          <t>npb-tie-aware-elo-v2</t>
        </is>
      </c>
      <c r="BD18" s="24" t="inlineStr">
        <is>
          <t>1397f2a2e62220577ae4a4ae8de10b8369816a7b15d915f063053eb9c759a04a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npb-tie-aware-elo-v2</t>
        </is>
      </c>
      <c r="BH18" s="24" t="inlineStr">
        <is>
          <t>2026-08-07T06:04:06.385882Z</t>
        </is>
      </c>
      <c r="BI18" s="24" t="inlineStr">
        <is>
          <t>["same_event","same_team_same_day","same_league_same_day"]</t>
        </is>
      </c>
      <c r="BJ18" s="25" t="n"/>
      <c r="BK18" s="26" t="n">
        <v>-203</v>
      </c>
      <c r="BL18" s="27" t="n">
        <v>1.492611</v>
      </c>
      <c r="BM18" s="28" t="n">
        <v>0.669967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>
        <v>1</v>
      </c>
      <c r="BY18" s="27" t="n">
        <v>0.91</v>
      </c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False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0.669967</t>
        </is>
      </c>
      <c r="DK18" s="24" t="n"/>
      <c r="DL18" s="24" t="n"/>
      <c r="DM18" s="24" t="n"/>
      <c r="DN18" s="24" t="n"/>
      <c r="DO18" s="24" t="n"/>
      <c r="DP18" s="24" t="n"/>
      <c r="DQ18" s="24" t="n"/>
    </row>
    <row r="19" ht="36" customHeight="1">
      <c r="A19" s="24" t="inlineStr">
        <is>
          <t>80c41bce75c94f02</t>
        </is>
      </c>
      <c r="B19" s="24" t="inlineStr">
        <is>
          <t>2026-08-07T06:04:08.876576Z</t>
        </is>
      </c>
      <c r="C19" s="24" t="inlineStr">
        <is>
          <t>2026-08-07T09:00:00Z</t>
        </is>
      </c>
      <c r="D19" s="24" t="inlineStr">
        <is>
          <t>71690</t>
        </is>
      </c>
      <c r="E19" s="24" t="inlineStr">
        <is>
          <t>NPB</t>
        </is>
      </c>
      <c r="F19" s="24" t="inlineStr">
        <is>
          <t>Chunichi Dragons</t>
        </is>
      </c>
      <c r="G19" s="24" t="inlineStr">
        <is>
          <t>Hanshin Tigers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-186</v>
      </c>
      <c r="M19" s="27" t="n">
        <v>1.537634</v>
      </c>
      <c r="N19" s="28" t="n">
        <v>0.65035</v>
      </c>
      <c r="O19" s="28" t="n">
        <v>0.577661</v>
      </c>
      <c r="P19" s="28" t="n"/>
      <c r="Q19" s="28" t="n">
        <v>-0.072689</v>
      </c>
      <c r="R19" s="26" t="n">
        <v>0</v>
      </c>
      <c r="S19" s="29" t="n">
        <v>1.25</v>
      </c>
      <c r="T19" s="24" t="inlineStr">
        <is>
          <t>npb-tie-aware-elo-v2</t>
        </is>
      </c>
      <c r="U19" s="24" t="inlineStr">
        <is>
          <t>settled</t>
        </is>
      </c>
      <c r="V19" s="24" t="inlineStr">
        <is>
          <t>loss</t>
        </is>
      </c>
      <c r="W19" s="26" t="n">
        <v>3</v>
      </c>
      <c r="X19" s="26" t="n">
        <v>2</v>
      </c>
      <c r="Y19" s="25" t="n"/>
      <c r="Z19" s="26" t="n"/>
      <c r="AA19" s="28" t="n"/>
      <c r="AB19" s="28" t="n"/>
      <c r="AC19" s="30" t="n">
        <v>-1.25</v>
      </c>
      <c r="AD19" s="24" t="inlineStr">
        <is>
          <t>2026-08-07T18:27:22.321727Z</t>
        </is>
      </c>
      <c r="AE19" s="31" t="inlineStr">
        <is>
          <t>Tie-aware Elo baseline; executable ask 0.6500 (market_slug=aec-npb-hta-cdh-2026-08-07). Tie probability=0.0296.</t>
        </is>
      </c>
      <c r="AF19" s="31" t="inlineStr">
        <is>
          <t>Config-promoted international baseball baseline; gates enforced at log time.</t>
        </is>
      </c>
      <c r="AG19" s="24" t="inlineStr">
        <is>
          <t>review_required</t>
        </is>
      </c>
      <c r="AH19" s="24" t="n"/>
      <c r="AI19" s="31" t="n"/>
      <c r="AJ19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19" s="24" t="inlineStr">
        <is>
          <t>paper_call</t>
        </is>
      </c>
      <c r="AL19" s="26" t="n">
        <v>3</v>
      </c>
      <c r="AM19" s="24" t="inlineStr">
        <is>
          <t>RESEARCH_OBSERVATION</t>
        </is>
      </c>
      <c r="AN19" s="24" t="inlineStr">
        <is>
          <t>CALL</t>
        </is>
      </c>
      <c r="AO19" s="24" t="inlineStr">
        <is>
          <t>PAPER_CALL_WINNER_OVERVALUED</t>
        </is>
      </c>
      <c r="AP19" s="24" t="inlineStr">
        <is>
          <t>Chunichi Dragons</t>
        </is>
      </c>
      <c r="AQ19" s="24" t="inlineStr">
        <is>
          <t>Chunichi Dragons</t>
        </is>
      </c>
      <c r="AR19" s="24" t="inlineStr">
        <is>
          <t>Chunichi Dragons</t>
        </is>
      </c>
      <c r="AS19" s="24" t="inlineStr">
        <is>
          <t>Hanshin Tigers</t>
        </is>
      </c>
      <c r="AT19" s="24" t="inlineStr">
        <is>
          <t>Hanshin Tigers</t>
        </is>
      </c>
      <c r="AU19" s="24" t="inlineStr">
        <is>
          <t>Hanshin Tigers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1397f2a2e62220577ae4a4ae8de10b8369816a7b15d915f063053eb9c759a04a</t>
        </is>
      </c>
      <c r="BB19" s="24" t="inlineStr">
        <is>
          <t>tie_aware_elo</t>
        </is>
      </c>
      <c r="BC19" s="24" t="inlineStr">
        <is>
          <t>npb-tie-aware-elo-v2</t>
        </is>
      </c>
      <c r="BD19" s="24" t="inlineStr">
        <is>
          <t>1397f2a2e62220577ae4a4ae8de10b8369816a7b15d915f063053eb9c759a04a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npb-tie-aware-elo-v2</t>
        </is>
      </c>
      <c r="BH19" s="24" t="inlineStr">
        <is>
          <t>2026-08-07T06:04:06.951384Z</t>
        </is>
      </c>
      <c r="BI19" s="24" t="inlineStr">
        <is>
          <t>["same_event","same_team_same_day","same_league_same_day"]</t>
        </is>
      </c>
      <c r="BJ19" s="25" t="n"/>
      <c r="BK19" s="26" t="n">
        <v>-186</v>
      </c>
      <c r="BL19" s="27" t="n">
        <v>1.537634</v>
      </c>
      <c r="BM19" s="28" t="n">
        <v>0.65035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>
        <v>1</v>
      </c>
      <c r="BY19" s="27" t="n">
        <v>-1</v>
      </c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False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0.65035</t>
        </is>
      </c>
      <c r="DK19" s="24" t="n"/>
      <c r="DL19" s="24" t="n"/>
      <c r="DM19" s="24" t="n"/>
      <c r="DN19" s="24" t="n"/>
      <c r="DO19" s="24" t="n"/>
      <c r="DP19" s="24" t="n"/>
      <c r="DQ19" s="24" t="n"/>
    </row>
    <row r="20" ht="36" customHeight="1">
      <c r="A20" s="24" t="inlineStr">
        <is>
          <t>8af9beec062f4eb8</t>
        </is>
      </c>
      <c r="B20" s="24" t="inlineStr">
        <is>
          <t>2026-08-07T06:04:08.876576Z</t>
        </is>
      </c>
      <c r="C20" s="24" t="inlineStr">
        <is>
          <t>2026-08-07T09:00:00Z</t>
        </is>
      </c>
      <c r="D20" s="24" t="inlineStr">
        <is>
          <t>71691</t>
        </is>
      </c>
      <c r="E20" s="24" t="inlineStr">
        <is>
          <t>NPB</t>
        </is>
      </c>
      <c r="F20" s="24" t="inlineStr">
        <is>
          <t>Tohoku Rakuten Golden Eagles</t>
        </is>
      </c>
      <c r="G20" s="24" t="inlineStr">
        <is>
          <t>Nippon Ham Fighters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-257</v>
      </c>
      <c r="M20" s="27" t="n">
        <v>1.389105</v>
      </c>
      <c r="N20" s="28" t="n">
        <v>0.719888</v>
      </c>
      <c r="O20" s="28" t="n">
        <v>0.648431</v>
      </c>
      <c r="P20" s="28" t="n"/>
      <c r="Q20" s="28" t="n">
        <v>-0.07145700000000001</v>
      </c>
      <c r="R20" s="26" t="n">
        <v>0</v>
      </c>
      <c r="S20" s="29" t="n">
        <v>1.75</v>
      </c>
      <c r="T20" s="24" t="inlineStr">
        <is>
          <t>npb-tie-aware-elo-v2</t>
        </is>
      </c>
      <c r="U20" s="24" t="inlineStr">
        <is>
          <t>settled</t>
        </is>
      </c>
      <c r="V20" s="24" t="inlineStr">
        <is>
          <t>win</t>
        </is>
      </c>
      <c r="W20" s="26" t="n">
        <v>2</v>
      </c>
      <c r="X20" s="26" t="n">
        <v>3</v>
      </c>
      <c r="Y20" s="25" t="n"/>
      <c r="Z20" s="26" t="n"/>
      <c r="AA20" s="28" t="n"/>
      <c r="AB20" s="28" t="n"/>
      <c r="AC20" s="30" t="n">
        <v>0.6808999999999999</v>
      </c>
      <c r="AD20" s="24" t="inlineStr">
        <is>
          <t>2026-08-07T18:27:22.543840Z</t>
        </is>
      </c>
      <c r="AE20" s="31" t="inlineStr">
        <is>
          <t>Tie-aware Elo baseline; executable ask 0.7200 (market_slug=aec-npb-nhf-trge-2026-08-07). Tie probability=0.0232.</t>
        </is>
      </c>
      <c r="AF20" s="31" t="inlineStr">
        <is>
          <t>Config-promoted international baseball baseline; gates enforced at log time.</t>
        </is>
      </c>
      <c r="AG20" s="24" t="inlineStr">
        <is>
          <t>not_applicable</t>
        </is>
      </c>
      <c r="AH20" s="24" t="n"/>
      <c r="AI20" s="31" t="n"/>
      <c r="AJ20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0" s="24" t="inlineStr">
        <is>
          <t>paper_call</t>
        </is>
      </c>
      <c r="AL20" s="26" t="n">
        <v>3</v>
      </c>
      <c r="AM20" s="24" t="inlineStr">
        <is>
          <t>RESEARCH_OBSERVATION</t>
        </is>
      </c>
      <c r="AN20" s="24" t="inlineStr">
        <is>
          <t>CALL</t>
        </is>
      </c>
      <c r="AO20" s="24" t="inlineStr">
        <is>
          <t>PAPER_CALL_WINNER_OVERVALUED</t>
        </is>
      </c>
      <c r="AP20" s="24" t="inlineStr">
        <is>
          <t>Tohoku Rakuten Golden Eagles</t>
        </is>
      </c>
      <c r="AQ20" s="24" t="inlineStr">
        <is>
          <t>Tohoku Rakuten Golden Eagles</t>
        </is>
      </c>
      <c r="AR20" s="24" t="inlineStr">
        <is>
          <t>Tohoku Rakuten Golden Eagles</t>
        </is>
      </c>
      <c r="AS20" s="24" t="inlineStr">
        <is>
          <t>Nippon Ham Fighters</t>
        </is>
      </c>
      <c r="AT20" s="24" t="inlineStr">
        <is>
          <t>Nippon Ham Fighters</t>
        </is>
      </c>
      <c r="AU20" s="24" t="inlineStr">
        <is>
          <t>Nippon Ham Fighters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1397f2a2e62220577ae4a4ae8de10b8369816a7b15d915f063053eb9c759a04a</t>
        </is>
      </c>
      <c r="BB20" s="24" t="inlineStr">
        <is>
          <t>tie_aware_elo</t>
        </is>
      </c>
      <c r="BC20" s="24" t="inlineStr">
        <is>
          <t>npb-tie-aware-elo-v2</t>
        </is>
      </c>
      <c r="BD20" s="24" t="inlineStr">
        <is>
          <t>1397f2a2e62220577ae4a4ae8de10b8369816a7b15d915f063053eb9c759a04a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npb-tie-aware-elo-v2</t>
        </is>
      </c>
      <c r="BH20" s="24" t="inlineStr">
        <is>
          <t>2026-08-07T06:04:07.658626Z</t>
        </is>
      </c>
      <c r="BI20" s="24" t="inlineStr">
        <is>
          <t>["same_event","same_team_same_day","same_league_same_day"]</t>
        </is>
      </c>
      <c r="BJ20" s="25" t="n"/>
      <c r="BK20" s="26" t="n">
        <v>-257</v>
      </c>
      <c r="BL20" s="27" t="n">
        <v>1.389105</v>
      </c>
      <c r="BM20" s="28" t="n">
        <v>0.719888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>
        <v>1</v>
      </c>
      <c r="BY20" s="27" t="n">
        <v>0.91</v>
      </c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False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0.719888</t>
        </is>
      </c>
      <c r="DK20" s="24" t="n"/>
      <c r="DL20" s="24" t="n"/>
      <c r="DM20" s="24" t="n"/>
      <c r="DN20" s="24" t="n"/>
      <c r="DO20" s="24" t="n"/>
      <c r="DP20" s="24" t="n"/>
      <c r="DQ20" s="24" t="n"/>
    </row>
    <row r="21" ht="36" customHeight="1">
      <c r="A21" s="24" t="inlineStr">
        <is>
          <t>53df51dcf4ef4440</t>
        </is>
      </c>
      <c r="B21" s="24" t="inlineStr">
        <is>
          <t>2026-08-07T06:04:08.876576Z</t>
        </is>
      </c>
      <c r="C21" s="24" t="inlineStr">
        <is>
          <t>2026-08-07T09:00:00Z</t>
        </is>
      </c>
      <c r="D21" s="24" t="inlineStr">
        <is>
          <t>71692</t>
        </is>
      </c>
      <c r="E21" s="24" t="inlineStr">
        <is>
          <t>NPB</t>
        </is>
      </c>
      <c r="F21" s="24" t="inlineStr">
        <is>
          <t>Fukuoka SoftBank Hawks</t>
        </is>
      </c>
      <c r="G21" s="24" t="inlineStr">
        <is>
          <t>Saitama Seibu Lions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-150</v>
      </c>
      <c r="M21" s="27" t="n">
        <v>1.666667</v>
      </c>
      <c r="N21" s="28" t="n">
        <v>0.6</v>
      </c>
      <c r="O21" s="28" t="n">
        <v>0.57184</v>
      </c>
      <c r="P21" s="28" t="n"/>
      <c r="Q21" s="28" t="n">
        <v>-0.02816</v>
      </c>
      <c r="R21" s="26" t="n">
        <v>6</v>
      </c>
      <c r="S21" s="29" t="n">
        <v>1.25</v>
      </c>
      <c r="T21" s="24" t="inlineStr">
        <is>
          <t>npb-tie-aware-elo-v2</t>
        </is>
      </c>
      <c r="U21" s="24" t="inlineStr">
        <is>
          <t>settled</t>
        </is>
      </c>
      <c r="V21" s="24" t="inlineStr">
        <is>
          <t>win</t>
        </is>
      </c>
      <c r="W21" s="26" t="n">
        <v>5</v>
      </c>
      <c r="X21" s="26" t="n">
        <v>2</v>
      </c>
      <c r="Y21" s="25" t="n"/>
      <c r="Z21" s="26" t="n"/>
      <c r="AA21" s="28" t="n"/>
      <c r="AB21" s="28" t="n"/>
      <c r="AC21" s="30" t="n">
        <v>0.8333</v>
      </c>
      <c r="AD21" s="24" t="inlineStr">
        <is>
          <t>2026-08-07T18:27:22.762636Z</t>
        </is>
      </c>
      <c r="AE21" s="31" t="inlineStr">
        <is>
          <t>Tie-aware Elo baseline; executable ask 0.6000 (market_slug=aec-npb-ssl-fsh-2026-08-07). Tie probability=0.0301.</t>
        </is>
      </c>
      <c r="AF21" s="31" t="inlineStr">
        <is>
          <t>Config-promoted international baseball baseline; gates enforced at log time.</t>
        </is>
      </c>
      <c r="AG21" s="24" t="inlineStr">
        <is>
          <t>not_applicable</t>
        </is>
      </c>
      <c r="AH21" s="24" t="n"/>
      <c r="AI21" s="31" t="n"/>
      <c r="AJ21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1" s="24" t="inlineStr">
        <is>
          <t>paper_call</t>
        </is>
      </c>
      <c r="AL21" s="26" t="n">
        <v>3</v>
      </c>
      <c r="AM21" s="24" t="inlineStr">
        <is>
          <t>RESEARCH_OBSERVATION</t>
        </is>
      </c>
      <c r="AN21" s="24" t="inlineStr">
        <is>
          <t>CALL</t>
        </is>
      </c>
      <c r="AO21" s="24" t="inlineStr">
        <is>
          <t>PAPER_CALL_WINNER_OVERVALUED</t>
        </is>
      </c>
      <c r="AP21" s="24" t="inlineStr">
        <is>
          <t>Fukuoka SoftBank Hawks</t>
        </is>
      </c>
      <c r="AQ21" s="24" t="inlineStr">
        <is>
          <t>Fukuoka SoftBank Hawks</t>
        </is>
      </c>
      <c r="AR21" s="24" t="inlineStr">
        <is>
          <t>Fukuoka SoftBank Hawks</t>
        </is>
      </c>
      <c r="AS21" s="24" t="inlineStr">
        <is>
          <t>Saitama Seibu Lions</t>
        </is>
      </c>
      <c r="AT21" s="24" t="inlineStr">
        <is>
          <t>Saitama Seibu Lions</t>
        </is>
      </c>
      <c r="AU21" s="24" t="inlineStr">
        <is>
          <t>Saitama Seibu Lions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1397f2a2e62220577ae4a4ae8de10b8369816a7b15d915f063053eb9c759a04a</t>
        </is>
      </c>
      <c r="BB21" s="24" t="inlineStr">
        <is>
          <t>tie_aware_elo</t>
        </is>
      </c>
      <c r="BC21" s="24" t="inlineStr">
        <is>
          <t>npb-tie-aware-elo-v2</t>
        </is>
      </c>
      <c r="BD21" s="24" t="inlineStr">
        <is>
          <t>1397f2a2e62220577ae4a4ae8de10b8369816a7b15d915f063053eb9c759a04a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npb-tie-aware-elo-v2</t>
        </is>
      </c>
      <c r="BH21" s="24" t="inlineStr">
        <is>
          <t>2026-08-07T06:04:08.234637Z</t>
        </is>
      </c>
      <c r="BI21" s="24" t="inlineStr">
        <is>
          <t>["same_event","same_team_same_day","same_league_same_day"]</t>
        </is>
      </c>
      <c r="BJ21" s="25" t="n"/>
      <c r="BK21" s="26" t="n">
        <v>-150</v>
      </c>
      <c r="BL21" s="27" t="n">
        <v>1.666667</v>
      </c>
      <c r="BM21" s="28" t="n">
        <v>0.6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>
        <v>1</v>
      </c>
      <c r="BY21" s="27" t="n">
        <v>0.91</v>
      </c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False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0.6</t>
        </is>
      </c>
      <c r="DK21" s="24" t="n"/>
      <c r="DL21" s="24" t="n"/>
      <c r="DM21" s="24" t="n"/>
      <c r="DN21" s="24" t="n"/>
      <c r="DO21" s="24" t="n"/>
      <c r="DP21" s="24" t="n"/>
      <c r="DQ21" s="24" t="n"/>
    </row>
    <row r="22" ht="36" customHeight="1">
      <c r="A22" s="24" t="inlineStr">
        <is>
          <t>09a39aaa7814454e</t>
        </is>
      </c>
      <c r="B22" s="24" t="inlineStr">
        <is>
          <t>2026-08-07T06:04:08.876576Z</t>
        </is>
      </c>
      <c r="C22" s="24" t="inlineStr">
        <is>
          <t>2026-08-07T09:00:00Z</t>
        </is>
      </c>
      <c r="D22" s="24" t="inlineStr">
        <is>
          <t>71693</t>
        </is>
      </c>
      <c r="E22" s="24" t="inlineStr">
        <is>
          <t>NPB</t>
        </is>
      </c>
      <c r="F22" s="24" t="inlineStr">
        <is>
          <t>Orix Buffaloes</t>
        </is>
      </c>
      <c r="G22" s="24" t="inlineStr">
        <is>
          <t>Chiba Lotte Marines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-113</v>
      </c>
      <c r="M22" s="27" t="n">
        <v>1.884956</v>
      </c>
      <c r="N22" s="28" t="n">
        <v>0.530516</v>
      </c>
      <c r="O22" s="28" t="n">
        <v>0.5519500000000001</v>
      </c>
      <c r="P22" s="28" t="n"/>
      <c r="Q22" s="28" t="n">
        <v>0.021434</v>
      </c>
      <c r="R22" s="26" t="n">
        <v>31</v>
      </c>
      <c r="S22" s="29" t="n">
        <v>1</v>
      </c>
      <c r="T22" s="24" t="inlineStr">
        <is>
          <t>npb-tie-aware-elo-v2</t>
        </is>
      </c>
      <c r="U22" s="24" t="inlineStr">
        <is>
          <t>settled</t>
        </is>
      </c>
      <c r="V22" s="24" t="inlineStr">
        <is>
          <t>loss</t>
        </is>
      </c>
      <c r="W22" s="26" t="n">
        <v>6</v>
      </c>
      <c r="X22" s="26" t="n">
        <v>2</v>
      </c>
      <c r="Y22" s="25" t="n"/>
      <c r="Z22" s="26" t="n"/>
      <c r="AA22" s="28" t="n"/>
      <c r="AB22" s="28" t="n"/>
      <c r="AC22" s="30" t="n">
        <v>-1</v>
      </c>
      <c r="AD22" s="24" t="inlineStr">
        <is>
          <t>2026-08-07T18:27:22.989329Z</t>
        </is>
      </c>
      <c r="AE22" s="31" t="inlineStr">
        <is>
          <t>Tie-aware Elo baseline; executable ask 0.5300 (market_slug=aec-npb-clm-obr-2026-08-07). Tie probability=0.0318.</t>
        </is>
      </c>
      <c r="AF22" s="31" t="inlineStr">
        <is>
          <t>Config-promoted international baseball baseline; gates enforced at log time.</t>
        </is>
      </c>
      <c r="AG22" s="24" t="inlineStr">
        <is>
          <t>review_required</t>
        </is>
      </c>
      <c r="AH22" s="24" t="n"/>
      <c r="AI22" s="31" t="n"/>
      <c r="AJ22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2" s="24" t="inlineStr">
        <is>
          <t>paper_call</t>
        </is>
      </c>
      <c r="AL22" s="26" t="n">
        <v>3</v>
      </c>
      <c r="AM22" s="24" t="inlineStr">
        <is>
          <t>RESEARCH_OBSERVATION</t>
        </is>
      </c>
      <c r="AN22" s="24" t="inlineStr">
        <is>
          <t>CALL</t>
        </is>
      </c>
      <c r="AO22" s="24" t="inlineStr">
        <is>
          <t>PAPER_CALL_WINNER_OVERVALUED</t>
        </is>
      </c>
      <c r="AP22" s="24" t="inlineStr">
        <is>
          <t>Orix Buffaloes</t>
        </is>
      </c>
      <c r="AQ22" s="24" t="inlineStr">
        <is>
          <t>Orix Buffaloes</t>
        </is>
      </c>
      <c r="AR22" s="24" t="inlineStr">
        <is>
          <t>Orix Buffaloes</t>
        </is>
      </c>
      <c r="AS22" s="24" t="inlineStr">
        <is>
          <t>Chiba Lotte Marines</t>
        </is>
      </c>
      <c r="AT22" s="24" t="inlineStr">
        <is>
          <t>Chiba Lotte Marines</t>
        </is>
      </c>
      <c r="AU22" s="24" t="inlineStr">
        <is>
          <t>Chiba Lotte Marines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1397f2a2e62220577ae4a4ae8de10b8369816a7b15d915f063053eb9c759a04a</t>
        </is>
      </c>
      <c r="BB22" s="24" t="inlineStr">
        <is>
          <t>tie_aware_elo</t>
        </is>
      </c>
      <c r="BC22" s="24" t="inlineStr">
        <is>
          <t>npb-tie-aware-elo-v2</t>
        </is>
      </c>
      <c r="BD22" s="24" t="inlineStr">
        <is>
          <t>1397f2a2e62220577ae4a4ae8de10b8369816a7b15d915f063053eb9c759a04a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npb-tie-aware-elo-v2</t>
        </is>
      </c>
      <c r="BH22" s="24" t="inlineStr">
        <is>
          <t>2026-08-07T06:04:08.876525Z</t>
        </is>
      </c>
      <c r="BI22" s="24" t="inlineStr">
        <is>
          <t>["same_event","same_team_same_day","same_league_same_day"]</t>
        </is>
      </c>
      <c r="BJ22" s="25" t="n"/>
      <c r="BK22" s="26" t="n">
        <v>-113</v>
      </c>
      <c r="BL22" s="27" t="n">
        <v>1.884956</v>
      </c>
      <c r="BM22" s="28" t="n">
        <v>0.530516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>
        <v>1</v>
      </c>
      <c r="BY22" s="27" t="n">
        <v>-1</v>
      </c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0.530516</t>
        </is>
      </c>
      <c r="DK22" s="24" t="n"/>
      <c r="DL22" s="24" t="n"/>
      <c r="DM22" s="24" t="n"/>
      <c r="DN22" s="24" t="n"/>
      <c r="DO22" s="24" t="n"/>
      <c r="DP22" s="24" t="n"/>
      <c r="DQ22" s="24" t="n"/>
    </row>
    <row r="23" ht="36" customHeight="1">
      <c r="A23" s="24" t="inlineStr">
        <is>
          <t>e35e916b42364169</t>
        </is>
      </c>
      <c r="B23" s="24" t="inlineStr">
        <is>
          <t>2026-08-08T04:06:50.014675Z</t>
        </is>
      </c>
      <c r="C23" s="24" t="inlineStr">
        <is>
          <t>2026-08-08T06:00:00Z</t>
        </is>
      </c>
      <c r="D23" s="24" t="inlineStr">
        <is>
          <t>72694</t>
        </is>
      </c>
      <c r="E23" s="24" t="inlineStr">
        <is>
          <t>NPB</t>
        </is>
      </c>
      <c r="F23" s="24" t="inlineStr">
        <is>
          <t>Tohoku Rakuten Golden Eagles</t>
        </is>
      </c>
      <c r="G23" s="24" t="inlineStr">
        <is>
          <t>Nippon Ham Fighters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-178</v>
      </c>
      <c r="M23" s="27" t="n">
        <v>1.561798</v>
      </c>
      <c r="N23" s="28" t="n">
        <v>0.640288</v>
      </c>
      <c r="O23" s="28" t="n">
        <v>0.654702</v>
      </c>
      <c r="P23" s="28" t="n"/>
      <c r="Q23" s="28" t="n">
        <v>0.014414</v>
      </c>
      <c r="R23" s="26" t="n">
        <v>27</v>
      </c>
      <c r="S23" s="29" t="n">
        <v>1.75</v>
      </c>
      <c r="T23" s="24" t="inlineStr">
        <is>
          <t>npb-tie-aware-elo-v2</t>
        </is>
      </c>
      <c r="U23" s="24" t="inlineStr">
        <is>
          <t>settled</t>
        </is>
      </c>
      <c r="V23" s="24" t="inlineStr">
        <is>
          <t>loss</t>
        </is>
      </c>
      <c r="W23" s="26" t="n">
        <v>6</v>
      </c>
      <c r="X23" s="26" t="n">
        <v>0</v>
      </c>
      <c r="Y23" s="25" t="n"/>
      <c r="Z23" s="26" t="n"/>
      <c r="AA23" s="28" t="n"/>
      <c r="AB23" s="28" t="n"/>
      <c r="AC23" s="30" t="n">
        <v>-1.75</v>
      </c>
      <c r="AD23" s="24" t="inlineStr">
        <is>
          <t>2026-08-08T18:35:03.473196Z</t>
        </is>
      </c>
      <c r="AE23" s="31" t="inlineStr">
        <is>
          <t>Tie-aware Elo baseline; executable ask 0.6400 (market_slug=aec-npb-nhf-trge-2026-08-08). Tie probability=0.0225.</t>
        </is>
      </c>
      <c r="AF23" s="31" t="inlineStr">
        <is>
          <t>Config-promoted international baseball baseline; gates enforced at log time.</t>
        </is>
      </c>
      <c r="AG23" s="24" t="inlineStr">
        <is>
          <t>review_required</t>
        </is>
      </c>
      <c r="AH23" s="24" t="n"/>
      <c r="AI23" s="31" t="n"/>
      <c r="AJ23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3" s="24" t="inlineStr">
        <is>
          <t>paper_call</t>
        </is>
      </c>
      <c r="AL23" s="26" t="n">
        <v>3</v>
      </c>
      <c r="AM23" s="24" t="inlineStr">
        <is>
          <t>RESEARCH_OBSERVATION</t>
        </is>
      </c>
      <c r="AN23" s="24" t="inlineStr">
        <is>
          <t>CALL</t>
        </is>
      </c>
      <c r="AO23" s="24" t="inlineStr">
        <is>
          <t>PAPER_CALL_WINNER_OVERVALUED</t>
        </is>
      </c>
      <c r="AP23" s="24" t="inlineStr">
        <is>
          <t>Tohoku Rakuten Golden Eagles</t>
        </is>
      </c>
      <c r="AQ23" s="24" t="inlineStr">
        <is>
          <t>Tohoku Rakuten Golden Eagles</t>
        </is>
      </c>
      <c r="AR23" s="24" t="inlineStr">
        <is>
          <t>Tohoku Rakuten Golden Eagles</t>
        </is>
      </c>
      <c r="AS23" s="24" t="inlineStr">
        <is>
          <t>Nippon Ham Fighters</t>
        </is>
      </c>
      <c r="AT23" s="24" t="inlineStr">
        <is>
          <t>Nippon Ham Fighters</t>
        </is>
      </c>
      <c r="AU23" s="24" t="inlineStr">
        <is>
          <t>Nippon Ham Fighters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e9ab59688d3b514e2e6e6a6178916377e656c91d0946e4a0432922d92c29eca9</t>
        </is>
      </c>
      <c r="BB23" s="24" t="inlineStr">
        <is>
          <t>tie_aware_elo</t>
        </is>
      </c>
      <c r="BC23" s="24" t="inlineStr">
        <is>
          <t>npb-tie-aware-elo-v2</t>
        </is>
      </c>
      <c r="BD23" s="24" t="inlineStr">
        <is>
          <t>e9ab59688d3b514e2e6e6a6178916377e656c91d0946e4a0432922d92c29eca9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npb-tie-aware-elo-v2</t>
        </is>
      </c>
      <c r="BH23" s="24" t="inlineStr">
        <is>
          <t>2026-08-08T04:06:46.964710Z</t>
        </is>
      </c>
      <c r="BI23" s="24" t="inlineStr">
        <is>
          <t>["same_event","same_team_same_day","same_league_same_day"]</t>
        </is>
      </c>
      <c r="BJ23" s="25" t="n"/>
      <c r="BK23" s="26" t="n">
        <v>-178</v>
      </c>
      <c r="BL23" s="27" t="n">
        <v>1.561798</v>
      </c>
      <c r="BM23" s="28" t="n">
        <v>0.640288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>
        <v>1</v>
      </c>
      <c r="BY23" s="27" t="n">
        <v>-1</v>
      </c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0.640288</t>
        </is>
      </c>
      <c r="DK23" s="24" t="n"/>
      <c r="DL23" s="24" t="n"/>
      <c r="DM23" s="24" t="n"/>
      <c r="DN23" s="24" t="n"/>
      <c r="DO23" s="24" t="n"/>
      <c r="DP23" s="24" t="n"/>
      <c r="DQ23" s="24" t="n"/>
    </row>
    <row r="24" ht="36" customHeight="1">
      <c r="A24" s="24" t="inlineStr">
        <is>
          <t>04d8165228a34d10</t>
        </is>
      </c>
      <c r="B24" s="24" t="inlineStr">
        <is>
          <t>2026-08-08T04:06:50.014675Z</t>
        </is>
      </c>
      <c r="C24" s="24" t="inlineStr">
        <is>
          <t>2026-08-08T06:00:00Z</t>
        </is>
      </c>
      <c r="D24" s="24" t="inlineStr">
        <is>
          <t>72695</t>
        </is>
      </c>
      <c r="E24" s="24" t="inlineStr">
        <is>
          <t>NPB</t>
        </is>
      </c>
      <c r="F24" s="24" t="inlineStr">
        <is>
          <t>Tokyo Yakult Swallows</t>
        </is>
      </c>
      <c r="G24" s="24" t="inlineStr">
        <is>
          <t>Yomiuri Giants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-127</v>
      </c>
      <c r="M24" s="27" t="n">
        <v>1.787402</v>
      </c>
      <c r="N24" s="28" t="n">
        <v>0.5594710000000001</v>
      </c>
      <c r="O24" s="28" t="n">
        <v>0.657907</v>
      </c>
      <c r="P24" s="28" t="n"/>
      <c r="Q24" s="28" t="n">
        <v>0.098436</v>
      </c>
      <c r="R24" s="26" t="n">
        <v>69</v>
      </c>
      <c r="S24" s="29" t="n">
        <v>1.75</v>
      </c>
      <c r="T24" s="24" t="inlineStr">
        <is>
          <t>npb-tie-aware-elo-v2</t>
        </is>
      </c>
      <c r="U24" s="24" t="inlineStr">
        <is>
          <t>settled</t>
        </is>
      </c>
      <c r="V24" s="24" t="inlineStr">
        <is>
          <t>win</t>
        </is>
      </c>
      <c r="W24" s="26" t="n">
        <v>2</v>
      </c>
      <c r="X24" s="26" t="n">
        <v>8</v>
      </c>
      <c r="Y24" s="25" t="n"/>
      <c r="Z24" s="26" t="n"/>
      <c r="AA24" s="28" t="n"/>
      <c r="AB24" s="28" t="n"/>
      <c r="AC24" s="30" t="n">
        <v>1.378</v>
      </c>
      <c r="AD24" s="24" t="inlineStr">
        <is>
          <t>2026-08-08T18:35:03.616191Z</t>
        </is>
      </c>
      <c r="AE24" s="31" t="inlineStr">
        <is>
          <t>Tie-aware Elo baseline; executable ask 0.5600 (market_slug=aec-npb-ygo-tys-2026-08-08). Tie probability=0.0222.</t>
        </is>
      </c>
      <c r="AF24" s="31" t="inlineStr">
        <is>
          <t>Config-promoted international baseball baseline; gates enforced at log time.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Tokyo Yakult Swallows</t>
        </is>
      </c>
      <c r="AQ24" s="24" t="inlineStr">
        <is>
          <t>Tokyo Yakult Swallows</t>
        </is>
      </c>
      <c r="AR24" s="24" t="inlineStr">
        <is>
          <t>Tokyo Yakult Swallows</t>
        </is>
      </c>
      <c r="AS24" s="24" t="inlineStr">
        <is>
          <t>Yomiuri Giants</t>
        </is>
      </c>
      <c r="AT24" s="24" t="inlineStr">
        <is>
          <t>Yomiuri Giants</t>
        </is>
      </c>
      <c r="AU24" s="24" t="inlineStr">
        <is>
          <t>Yomiuri Giants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e9ab59688d3b514e2e6e6a6178916377e656c91d0946e4a0432922d92c29eca9</t>
        </is>
      </c>
      <c r="BB24" s="24" t="inlineStr">
        <is>
          <t>tie_aware_elo</t>
        </is>
      </c>
      <c r="BC24" s="24" t="inlineStr">
        <is>
          <t>npb-tie-aware-elo-v2</t>
        </is>
      </c>
      <c r="BD24" s="24" t="inlineStr">
        <is>
          <t>e9ab59688d3b514e2e6e6a6178916377e656c91d0946e4a0432922d92c29eca9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npb-tie-aware-elo-v2</t>
        </is>
      </c>
      <c r="BH24" s="24" t="inlineStr">
        <is>
          <t>2026-08-08T04:06:47.516040Z</t>
        </is>
      </c>
      <c r="BI24" s="24" t="inlineStr">
        <is>
          <t>["same_event","same_team_same_day","same_league_same_day"]</t>
        </is>
      </c>
      <c r="BJ24" s="25" t="n"/>
      <c r="BK24" s="26" t="n">
        <v>-127</v>
      </c>
      <c r="BL24" s="27" t="n">
        <v>1.787402</v>
      </c>
      <c r="BM24" s="28" t="n">
        <v>0.5594710000000001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>
        <v>1</v>
      </c>
      <c r="BY24" s="27" t="n">
        <v>0.91</v>
      </c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0.559471</t>
        </is>
      </c>
      <c r="DK24" s="24" t="n"/>
      <c r="DL24" s="24" t="n"/>
      <c r="DM24" s="24" t="n"/>
      <c r="DN24" s="24" t="n"/>
      <c r="DO24" s="24" t="n"/>
      <c r="DP24" s="24" t="n"/>
      <c r="DQ24" s="24" t="n"/>
    </row>
    <row r="25" ht="36" customHeight="1">
      <c r="A25" s="24" t="inlineStr">
        <is>
          <t>fa8b50ba53d04184</t>
        </is>
      </c>
      <c r="B25" s="24" t="inlineStr">
        <is>
          <t>2026-08-08T04:06:50.014675Z</t>
        </is>
      </c>
      <c r="C25" s="24" t="inlineStr">
        <is>
          <t>2026-08-08T09:00:00Z</t>
        </is>
      </c>
      <c r="D25" s="24" t="inlineStr">
        <is>
          <t>72735</t>
        </is>
      </c>
      <c r="E25" s="24" t="inlineStr">
        <is>
          <t>NPB</t>
        </is>
      </c>
      <c r="F25" s="24" t="inlineStr">
        <is>
          <t>Fukuoka SoftBank Hawks</t>
        </is>
      </c>
      <c r="G25" s="24" t="inlineStr">
        <is>
          <t>Saitama Seibu Lions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-122</v>
      </c>
      <c r="M25" s="27" t="n">
        <v>1.819672</v>
      </c>
      <c r="N25" s="28" t="n">
        <v>0.54955</v>
      </c>
      <c r="O25" s="28" t="n">
        <v>0.585415</v>
      </c>
      <c r="P25" s="28" t="n"/>
      <c r="Q25" s="28" t="n">
        <v>0.035865</v>
      </c>
      <c r="R25" s="26" t="n">
        <v>38</v>
      </c>
      <c r="S25" s="29" t="n">
        <v>1.25</v>
      </c>
      <c r="T25" s="24" t="inlineStr">
        <is>
          <t>npb-tie-aware-elo-v2</t>
        </is>
      </c>
      <c r="U25" s="24" t="inlineStr">
        <is>
          <t>settled</t>
        </is>
      </c>
      <c r="V25" s="24" t="inlineStr">
        <is>
          <t>loss</t>
        </is>
      </c>
      <c r="W25" s="26" t="n">
        <v>1</v>
      </c>
      <c r="X25" s="26" t="n">
        <v>2</v>
      </c>
      <c r="Y25" s="25" t="n"/>
      <c r="Z25" s="26" t="n"/>
      <c r="AA25" s="28" t="n"/>
      <c r="AB25" s="28" t="n"/>
      <c r="AC25" s="30" t="n">
        <v>-1.25</v>
      </c>
      <c r="AD25" s="24" t="inlineStr">
        <is>
          <t>2026-08-08T18:35:03.747969Z</t>
        </is>
      </c>
      <c r="AE25" s="31" t="inlineStr">
        <is>
          <t>Tie-aware Elo baseline; executable ask 0.5500 (market_slug=aec-npb-ssl-fsh-2026-08-08). Tie probability=0.0288.</t>
        </is>
      </c>
      <c r="AF25" s="31" t="inlineStr">
        <is>
          <t>Config-promoted international baseball baseline; gates enforced at log time.</t>
        </is>
      </c>
      <c r="AG25" s="24" t="inlineStr">
        <is>
          <t>review_required</t>
        </is>
      </c>
      <c r="AH25" s="24" t="n"/>
      <c r="AI25" s="31" t="n"/>
      <c r="AJ25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5" s="24" t="inlineStr">
        <is>
          <t>paper_call</t>
        </is>
      </c>
      <c r="AL25" s="26" t="n">
        <v>3</v>
      </c>
      <c r="AM25" s="24" t="inlineStr">
        <is>
          <t>RESEARCH_OBSERVATION</t>
        </is>
      </c>
      <c r="AN25" s="24" t="inlineStr">
        <is>
          <t>CALL</t>
        </is>
      </c>
      <c r="AO25" s="24" t="inlineStr">
        <is>
          <t>PAPER_CALL_WINNER_OVERVALUED</t>
        </is>
      </c>
      <c r="AP25" s="24" t="inlineStr">
        <is>
          <t>Fukuoka SoftBank Hawks</t>
        </is>
      </c>
      <c r="AQ25" s="24" t="inlineStr">
        <is>
          <t>Fukuoka SoftBank Hawks</t>
        </is>
      </c>
      <c r="AR25" s="24" t="inlineStr">
        <is>
          <t>Fukuoka SoftBank Hawks</t>
        </is>
      </c>
      <c r="AS25" s="24" t="inlineStr">
        <is>
          <t>Saitama Seibu Lions</t>
        </is>
      </c>
      <c r="AT25" s="24" t="inlineStr">
        <is>
          <t>Saitama Seibu Lions</t>
        </is>
      </c>
      <c r="AU25" s="24" t="inlineStr">
        <is>
          <t>Saitama Seibu Lions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e9ab59688d3b514e2e6e6a6178916377e656c91d0946e4a0432922d92c29eca9</t>
        </is>
      </c>
      <c r="BB25" s="24" t="inlineStr">
        <is>
          <t>tie_aware_elo</t>
        </is>
      </c>
      <c r="BC25" s="24" t="inlineStr">
        <is>
          <t>npb-tie-aware-elo-v2</t>
        </is>
      </c>
      <c r="BD25" s="24" t="inlineStr">
        <is>
          <t>e9ab59688d3b514e2e6e6a6178916377e656c91d0946e4a0432922d92c29eca9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npb-tie-aware-elo-v2</t>
        </is>
      </c>
      <c r="BH25" s="24" t="inlineStr">
        <is>
          <t>2026-08-08T04:06:48.067662Z</t>
        </is>
      </c>
      <c r="BI25" s="24" t="inlineStr">
        <is>
          <t>["same_event","same_team_same_day","same_league_same_day"]</t>
        </is>
      </c>
      <c r="BJ25" s="25" t="n"/>
      <c r="BK25" s="26" t="n">
        <v>-122</v>
      </c>
      <c r="BL25" s="27" t="n">
        <v>1.819672</v>
      </c>
      <c r="BM25" s="28" t="n">
        <v>0.54955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>
        <v>1</v>
      </c>
      <c r="BY25" s="27" t="n">
        <v>-1</v>
      </c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0.54955</t>
        </is>
      </c>
      <c r="DK25" s="24" t="n"/>
      <c r="DL25" s="24" t="n"/>
      <c r="DM25" s="24" t="n"/>
      <c r="DN25" s="24" t="n"/>
      <c r="DO25" s="24" t="n"/>
      <c r="DP25" s="24" t="n"/>
      <c r="DQ25" s="24" t="n"/>
    </row>
    <row r="26" ht="36" customHeight="1">
      <c r="A26" s="24" t="inlineStr">
        <is>
          <t>2aa46eb0591e456a</t>
        </is>
      </c>
      <c r="B26" s="24" t="inlineStr">
        <is>
          <t>2026-08-08T04:06:50.014675Z</t>
        </is>
      </c>
      <c r="C26" s="24" t="inlineStr">
        <is>
          <t>2026-08-08T09:00:00Z</t>
        </is>
      </c>
      <c r="D26" s="24" t="inlineStr">
        <is>
          <t>72736</t>
        </is>
      </c>
      <c r="E26" s="24" t="inlineStr">
        <is>
          <t>NPB</t>
        </is>
      </c>
      <c r="F26" s="24" t="inlineStr">
        <is>
          <t>Orix Buffaloes</t>
        </is>
      </c>
      <c r="G26" s="24" t="inlineStr">
        <is>
          <t>Chiba Lotte Marines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108</v>
      </c>
      <c r="M26" s="27" t="n">
        <v>2.08</v>
      </c>
      <c r="N26" s="28" t="n">
        <v>0.480769</v>
      </c>
      <c r="O26" s="28" t="n">
        <v>0.5309430000000001</v>
      </c>
      <c r="P26" s="28" t="n"/>
      <c r="Q26" s="28" t="n">
        <v>0.050174</v>
      </c>
      <c r="R26" s="26" t="n">
        <v>45</v>
      </c>
      <c r="S26" s="29" t="n">
        <v>1</v>
      </c>
      <c r="T26" s="24" t="inlineStr">
        <is>
          <t>npb-tie-aware-elo-v2</t>
        </is>
      </c>
      <c r="U26" s="24" t="inlineStr">
        <is>
          <t>settled</t>
        </is>
      </c>
      <c r="V26" s="24" t="inlineStr">
        <is>
          <t>win</t>
        </is>
      </c>
      <c r="W26" s="26" t="n">
        <v>1</v>
      </c>
      <c r="X26" s="26" t="n">
        <v>4</v>
      </c>
      <c r="Y26" s="25" t="n"/>
      <c r="Z26" s="26" t="n"/>
      <c r="AA26" s="28" t="n"/>
      <c r="AB26" s="28" t="n"/>
      <c r="AC26" s="30" t="n">
        <v>1.08</v>
      </c>
      <c r="AD26" s="24" t="inlineStr">
        <is>
          <t>2026-08-08T18:35:03.877371Z</t>
        </is>
      </c>
      <c r="AE26" s="31" t="inlineStr">
        <is>
          <t>Tie-aware Elo baseline; executable ask 0.4800 (market_slug=aec-npb-clm-obr-2026-08-08). Tie probability=0.0336.</t>
        </is>
      </c>
      <c r="AF26" s="31" t="inlineStr">
        <is>
          <t>Config-promoted international baseball baseline; gates enforced at log time.</t>
        </is>
      </c>
      <c r="AG26" s="24" t="inlineStr">
        <is>
          <t>not_applicable</t>
        </is>
      </c>
      <c r="AH26" s="24" t="n"/>
      <c r="AI26" s="31" t="n"/>
      <c r="AJ26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6" s="24" t="inlineStr">
        <is>
          <t>paper_call</t>
        </is>
      </c>
      <c r="AL26" s="26" t="n">
        <v>3</v>
      </c>
      <c r="AM26" s="24" t="inlineStr">
        <is>
          <t>RESEARCH_OBSERVATION</t>
        </is>
      </c>
      <c r="AN26" s="24" t="inlineStr">
        <is>
          <t>CALL</t>
        </is>
      </c>
      <c r="AO26" s="24" t="inlineStr">
        <is>
          <t>PAPER_CALL_WINNER_OVERVALUED</t>
        </is>
      </c>
      <c r="AP26" s="24" t="inlineStr">
        <is>
          <t>Orix Buffaloes</t>
        </is>
      </c>
      <c r="AQ26" s="24" t="inlineStr">
        <is>
          <t>Orix Buffaloes</t>
        </is>
      </c>
      <c r="AR26" s="24" t="inlineStr">
        <is>
          <t>Orix Buffaloes</t>
        </is>
      </c>
      <c r="AS26" s="24" t="inlineStr">
        <is>
          <t>Chiba Lotte Marines</t>
        </is>
      </c>
      <c r="AT26" s="24" t="inlineStr">
        <is>
          <t>Chiba Lotte Marines</t>
        </is>
      </c>
      <c r="AU26" s="24" t="inlineStr">
        <is>
          <t>Chiba Lotte Marines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e9ab59688d3b514e2e6e6a6178916377e656c91d0946e4a0432922d92c29eca9</t>
        </is>
      </c>
      <c r="BB26" s="24" t="inlineStr">
        <is>
          <t>tie_aware_elo</t>
        </is>
      </c>
      <c r="BC26" s="24" t="inlineStr">
        <is>
          <t>npb-tie-aware-elo-v2</t>
        </is>
      </c>
      <c r="BD26" s="24" t="inlineStr">
        <is>
          <t>e9ab59688d3b514e2e6e6a6178916377e656c91d0946e4a0432922d92c29eca9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npb-tie-aware-elo-v2</t>
        </is>
      </c>
      <c r="BH26" s="24" t="inlineStr">
        <is>
          <t>2026-08-08T04:06:48.734721Z</t>
        </is>
      </c>
      <c r="BI26" s="24" t="inlineStr">
        <is>
          <t>["same_event","same_team_same_day","same_league_same_day"]</t>
        </is>
      </c>
      <c r="BJ26" s="25" t="n"/>
      <c r="BK26" s="26" t="n">
        <v>108</v>
      </c>
      <c r="BL26" s="27" t="n">
        <v>2.08</v>
      </c>
      <c r="BM26" s="28" t="n">
        <v>0.480769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>
        <v>1</v>
      </c>
      <c r="BY26" s="27" t="n">
        <v>0.91</v>
      </c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True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0.480769</t>
        </is>
      </c>
      <c r="DK26" s="24" t="n"/>
      <c r="DL26" s="24" t="n"/>
      <c r="DM26" s="24" t="n"/>
      <c r="DN26" s="24" t="n"/>
      <c r="DO26" s="24" t="n"/>
      <c r="DP26" s="24" t="n"/>
      <c r="DQ26" s="24" t="n"/>
    </row>
    <row r="27" ht="36" customHeight="1">
      <c r="A27" s="24" t="inlineStr">
        <is>
          <t>ea96d014d0a3498d</t>
        </is>
      </c>
      <c r="B27" s="24" t="inlineStr">
        <is>
          <t>2026-08-08T04:06:50.014675Z</t>
        </is>
      </c>
      <c r="C27" s="24" t="inlineStr">
        <is>
          <t>2026-08-08T09:00:00Z</t>
        </is>
      </c>
      <c r="D27" s="24" t="inlineStr">
        <is>
          <t>72737</t>
        </is>
      </c>
      <c r="E27" s="24" t="inlineStr">
        <is>
          <t>NPB</t>
        </is>
      </c>
      <c r="F27" s="24" t="inlineStr">
        <is>
          <t>Chunichi Dragons</t>
        </is>
      </c>
      <c r="G27" s="24" t="inlineStr">
        <is>
          <t>Hanshin Tigers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-127</v>
      </c>
      <c r="M27" s="27" t="n">
        <v>1.787402</v>
      </c>
      <c r="N27" s="28" t="n">
        <v>0.5594710000000001</v>
      </c>
      <c r="O27" s="28" t="n">
        <v>0.564611</v>
      </c>
      <c r="P27" s="28" t="n"/>
      <c r="Q27" s="28" t="n">
        <v>0.00514</v>
      </c>
      <c r="R27" s="26" t="n">
        <v>23</v>
      </c>
      <c r="S27" s="29" t="n">
        <v>1</v>
      </c>
      <c r="T27" s="24" t="inlineStr">
        <is>
          <t>npb-tie-aware-elo-v2</t>
        </is>
      </c>
      <c r="U27" s="24" t="inlineStr">
        <is>
          <t>settled</t>
        </is>
      </c>
      <c r="V27" s="24" t="inlineStr">
        <is>
          <t>loss</t>
        </is>
      </c>
      <c r="W27" s="26" t="n">
        <v>7</v>
      </c>
      <c r="X27" s="26" t="n">
        <v>1</v>
      </c>
      <c r="Y27" s="25" t="n"/>
      <c r="Z27" s="26" t="n"/>
      <c r="AA27" s="28" t="n"/>
      <c r="AB27" s="28" t="n"/>
      <c r="AC27" s="30" t="n">
        <v>-1</v>
      </c>
      <c r="AD27" s="24" t="inlineStr">
        <is>
          <t>2026-08-08T18:35:04.027549Z</t>
        </is>
      </c>
      <c r="AE27" s="31" t="inlineStr">
        <is>
          <t>Tie-aware Elo baseline; executable ask 0.5600 (market_slug=aec-npb-hta-cdh-2026-08-08). Tie probability=0.0307.</t>
        </is>
      </c>
      <c r="AF27" s="31" t="inlineStr">
        <is>
          <t>Config-promoted international baseball baseline; gates enforced at log time.</t>
        </is>
      </c>
      <c r="AG27" s="24" t="inlineStr">
        <is>
          <t>review_required</t>
        </is>
      </c>
      <c r="AH27" s="24" t="n"/>
      <c r="AI27" s="31" t="n"/>
      <c r="AJ27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7" s="24" t="inlineStr">
        <is>
          <t>paper_call</t>
        </is>
      </c>
      <c r="AL27" s="26" t="n">
        <v>3</v>
      </c>
      <c r="AM27" s="24" t="inlineStr">
        <is>
          <t>RESEARCH_OBSERVATION</t>
        </is>
      </c>
      <c r="AN27" s="24" t="inlineStr">
        <is>
          <t>CALL</t>
        </is>
      </c>
      <c r="AO27" s="24" t="inlineStr">
        <is>
          <t>PAPER_CALL_WINNER_OVERVALUED</t>
        </is>
      </c>
      <c r="AP27" s="24" t="inlineStr">
        <is>
          <t>Chunichi Dragons</t>
        </is>
      </c>
      <c r="AQ27" s="24" t="inlineStr">
        <is>
          <t>Chunichi Dragons</t>
        </is>
      </c>
      <c r="AR27" s="24" t="inlineStr">
        <is>
          <t>Chunichi Dragons</t>
        </is>
      </c>
      <c r="AS27" s="24" t="inlineStr">
        <is>
          <t>Hanshin Tigers</t>
        </is>
      </c>
      <c r="AT27" s="24" t="inlineStr">
        <is>
          <t>Hanshin Tigers</t>
        </is>
      </c>
      <c r="AU27" s="24" t="inlineStr">
        <is>
          <t>Hanshin Tigers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e9ab59688d3b514e2e6e6a6178916377e656c91d0946e4a0432922d92c29eca9</t>
        </is>
      </c>
      <c r="BB27" s="24" t="inlineStr">
        <is>
          <t>tie_aware_elo</t>
        </is>
      </c>
      <c r="BC27" s="24" t="inlineStr">
        <is>
          <t>npb-tie-aware-elo-v2</t>
        </is>
      </c>
      <c r="BD27" s="24" t="inlineStr">
        <is>
          <t>e9ab59688d3b514e2e6e6a6178916377e656c91d0946e4a0432922d92c29eca9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npb-tie-aware-elo-v2</t>
        </is>
      </c>
      <c r="BH27" s="24" t="inlineStr">
        <is>
          <t>2026-08-08T04:06:49.378255Z</t>
        </is>
      </c>
      <c r="BI27" s="24" t="inlineStr">
        <is>
          <t>["same_event","same_team_same_day","same_league_same_day"]</t>
        </is>
      </c>
      <c r="BJ27" s="25" t="n"/>
      <c r="BK27" s="26" t="n">
        <v>-127</v>
      </c>
      <c r="BL27" s="27" t="n">
        <v>1.787402</v>
      </c>
      <c r="BM27" s="28" t="n">
        <v>0.5594710000000001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>
        <v>1</v>
      </c>
      <c r="BY27" s="27" t="n">
        <v>-1</v>
      </c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0.559471</t>
        </is>
      </c>
      <c r="DK27" s="24" t="n"/>
      <c r="DL27" s="24" t="n"/>
      <c r="DM27" s="24" t="n"/>
      <c r="DN27" s="24" t="n"/>
      <c r="DO27" s="24" t="n"/>
      <c r="DP27" s="24" t="n"/>
      <c r="DQ27" s="24" t="n"/>
    </row>
    <row r="28" ht="36" customHeight="1">
      <c r="A28" s="24" t="inlineStr">
        <is>
          <t>777fe6f89e3f44f7</t>
        </is>
      </c>
      <c r="B28" s="24" t="inlineStr">
        <is>
          <t>2026-08-08T04:06:50.014675Z</t>
        </is>
      </c>
      <c r="C28" s="24" t="inlineStr">
        <is>
          <t>2026-08-08T09:00:00Z</t>
        </is>
      </c>
      <c r="D28" s="24" t="inlineStr">
        <is>
          <t>72738</t>
        </is>
      </c>
      <c r="E28" s="24" t="inlineStr">
        <is>
          <t>NPB</t>
        </is>
      </c>
      <c r="F28" s="24" t="inlineStr">
        <is>
          <t>Hiroshima Carp</t>
        </is>
      </c>
      <c r="G28" s="24" t="inlineStr">
        <is>
          <t>Yokohama BayStars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-150</v>
      </c>
      <c r="M28" s="27" t="n">
        <v>1.666667</v>
      </c>
      <c r="N28" s="28" t="n">
        <v>0.6</v>
      </c>
      <c r="O28" s="28" t="n">
        <v>0.596329</v>
      </c>
      <c r="P28" s="28" t="n"/>
      <c r="Q28" s="28" t="n">
        <v>-0.003671</v>
      </c>
      <c r="R28" s="26" t="n">
        <v>18</v>
      </c>
      <c r="S28" s="29" t="n">
        <v>1.25</v>
      </c>
      <c r="T28" s="24" t="inlineStr">
        <is>
          <t>npb-tie-aware-elo-v2</t>
        </is>
      </c>
      <c r="U28" s="24" t="inlineStr">
        <is>
          <t>settled</t>
        </is>
      </c>
      <c r="V28" s="24" t="inlineStr">
        <is>
          <t>win</t>
        </is>
      </c>
      <c r="W28" s="26" t="n">
        <v>3</v>
      </c>
      <c r="X28" s="26" t="n">
        <v>4</v>
      </c>
      <c r="Y28" s="25" t="n"/>
      <c r="Z28" s="26" t="n"/>
      <c r="AA28" s="28" t="n"/>
      <c r="AB28" s="28" t="n"/>
      <c r="AC28" s="30" t="n">
        <v>0.8333</v>
      </c>
      <c r="AD28" s="24" t="inlineStr">
        <is>
          <t>2026-08-08T18:35:04.159959Z</t>
        </is>
      </c>
      <c r="AE28" s="31" t="inlineStr">
        <is>
          <t>Tie-aware Elo baseline; executable ask 0.6000 (market_slug=aec-npb-ybo-hci-2026-08-08). Tie probability=0.0279.</t>
        </is>
      </c>
      <c r="AF28" s="31" t="inlineStr">
        <is>
          <t>Config-promoted international baseball baseline; gates enforced at log time.</t>
        </is>
      </c>
      <c r="AG28" s="24" t="inlineStr">
        <is>
          <t>not_applicable</t>
        </is>
      </c>
      <c r="AH28" s="24" t="n"/>
      <c r="AI28" s="31" t="n"/>
      <c r="AJ28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8" s="24" t="inlineStr">
        <is>
          <t>paper_call</t>
        </is>
      </c>
      <c r="AL28" s="26" t="n">
        <v>3</v>
      </c>
      <c r="AM28" s="24" t="inlineStr">
        <is>
          <t>RESEARCH_OBSERVATION</t>
        </is>
      </c>
      <c r="AN28" s="24" t="inlineStr">
        <is>
          <t>CALL</t>
        </is>
      </c>
      <c r="AO28" s="24" t="inlineStr">
        <is>
          <t>PAPER_CALL_WINNER_OVERVALUED</t>
        </is>
      </c>
      <c r="AP28" s="24" t="inlineStr">
        <is>
          <t>Hiroshima Carp</t>
        </is>
      </c>
      <c r="AQ28" s="24" t="inlineStr">
        <is>
          <t>Hiroshima Carp</t>
        </is>
      </c>
      <c r="AR28" s="24" t="inlineStr">
        <is>
          <t>Hiroshima Carp</t>
        </is>
      </c>
      <c r="AS28" s="24" t="inlineStr">
        <is>
          <t>Yokohama BayStars</t>
        </is>
      </c>
      <c r="AT28" s="24" t="inlineStr">
        <is>
          <t>Yokohama BayStars</t>
        </is>
      </c>
      <c r="AU28" s="24" t="inlineStr">
        <is>
          <t>Yokohama BayStars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e9ab59688d3b514e2e6e6a6178916377e656c91d0946e4a0432922d92c29eca9</t>
        </is>
      </c>
      <c r="BB28" s="24" t="inlineStr">
        <is>
          <t>tie_aware_elo</t>
        </is>
      </c>
      <c r="BC28" s="24" t="inlineStr">
        <is>
          <t>npb-tie-aware-elo-v2</t>
        </is>
      </c>
      <c r="BD28" s="24" t="inlineStr">
        <is>
          <t>e9ab59688d3b514e2e6e6a6178916377e656c91d0946e4a0432922d92c29eca9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npb-tie-aware-elo-v2</t>
        </is>
      </c>
      <c r="BH28" s="24" t="inlineStr">
        <is>
          <t>2026-08-08T04:06:50.014626Z</t>
        </is>
      </c>
      <c r="BI28" s="24" t="inlineStr">
        <is>
          <t>["same_event","same_team_same_day","same_league_same_day"]</t>
        </is>
      </c>
      <c r="BJ28" s="25" t="n"/>
      <c r="BK28" s="26" t="n">
        <v>-150</v>
      </c>
      <c r="BL28" s="27" t="n">
        <v>1.666667</v>
      </c>
      <c r="BM28" s="28" t="n">
        <v>0.6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>
        <v>1</v>
      </c>
      <c r="BY28" s="27" t="n">
        <v>0.91</v>
      </c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False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0.6</t>
        </is>
      </c>
      <c r="DK28" s="24" t="n"/>
      <c r="DL28" s="24" t="n"/>
      <c r="DM28" s="24" t="n"/>
      <c r="DN28" s="24" t="n"/>
      <c r="DO28" s="24" t="n"/>
      <c r="DP28" s="24" t="n"/>
      <c r="DQ28" s="24" t="n"/>
    </row>
    <row r="29" ht="36" customHeight="1">
      <c r="A29" s="24" t="inlineStr">
        <is>
          <t>1f70ae91533443d5</t>
        </is>
      </c>
      <c r="B29" s="24" t="inlineStr">
        <is>
          <t>2026-08-09T05:17:45.141972Z</t>
        </is>
      </c>
      <c r="C29" s="24" t="inlineStr">
        <is>
          <t>2026-08-09T08:00:00Z</t>
        </is>
      </c>
      <c r="D29" s="24" t="inlineStr">
        <is>
          <t>73655</t>
        </is>
      </c>
      <c r="E29" s="24" t="inlineStr">
        <is>
          <t>NPB</t>
        </is>
      </c>
      <c r="F29" s="24" t="inlineStr">
        <is>
          <t>Orix Buffaloes</t>
        </is>
      </c>
      <c r="G29" s="24" t="inlineStr">
        <is>
          <t>Chiba Lotte Marines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104</v>
      </c>
      <c r="M29" s="27" t="n">
        <v>2.04</v>
      </c>
      <c r="N29" s="28" t="n">
        <v>0.490196</v>
      </c>
      <c r="O29" s="28" t="n">
        <v>0.547003</v>
      </c>
      <c r="P29" s="28" t="n"/>
      <c r="Q29" s="28" t="n">
        <v>0.056807</v>
      </c>
      <c r="R29" s="26" t="n">
        <v>48</v>
      </c>
      <c r="S29" s="29" t="n">
        <v>1</v>
      </c>
      <c r="T29" s="24" t="inlineStr">
        <is>
          <t>npb-tie-aware-elo-v2</t>
        </is>
      </c>
      <c r="U29" s="24" t="inlineStr">
        <is>
          <t>settled</t>
        </is>
      </c>
      <c r="V29" s="24" t="inlineStr">
        <is>
          <t>win</t>
        </is>
      </c>
      <c r="W29" s="26" t="n">
        <v>2</v>
      </c>
      <c r="X29" s="26" t="n">
        <v>7</v>
      </c>
      <c r="Y29" s="25" t="n"/>
      <c r="Z29" s="26" t="n"/>
      <c r="AA29" s="28" t="n"/>
      <c r="AB29" s="28" t="n"/>
      <c r="AC29" s="30" t="n">
        <v>1.04</v>
      </c>
      <c r="AD29" s="24" t="inlineStr">
        <is>
          <t>2026-08-09T20:26:16.355091Z</t>
        </is>
      </c>
      <c r="AE29" s="31" t="inlineStr">
        <is>
          <t>Tie-aware Elo baseline; executable ask 0.4900 (market_slug=aec-npb-clm-obr-2026-08-09). Tie probability=0.0322.</t>
        </is>
      </c>
      <c r="AF29" s="31" t="inlineStr">
        <is>
          <t>Config-promoted international baseball baseline; gates enforced at log time.</t>
        </is>
      </c>
      <c r="AG29" s="24" t="inlineStr">
        <is>
          <t>not_applicable</t>
        </is>
      </c>
      <c r="AH29" s="24" t="n"/>
      <c r="AI29" s="31" t="n"/>
      <c r="AJ29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9" s="24" t="inlineStr">
        <is>
          <t>paper_call</t>
        </is>
      </c>
      <c r="AL29" s="26" t="n">
        <v>3</v>
      </c>
      <c r="AM29" s="24" t="inlineStr">
        <is>
          <t>RESEARCH_OBSERVATION</t>
        </is>
      </c>
      <c r="AN29" s="24" t="inlineStr">
        <is>
          <t>CALL</t>
        </is>
      </c>
      <c r="AO29" s="24" t="inlineStr">
        <is>
          <t>PAPER_CALL_WINNER_OVERVALUED</t>
        </is>
      </c>
      <c r="AP29" s="24" t="inlineStr">
        <is>
          <t>Orix Buffaloes</t>
        </is>
      </c>
      <c r="AQ29" s="24" t="inlineStr">
        <is>
          <t>Orix Buffaloes</t>
        </is>
      </c>
      <c r="AR29" s="24" t="inlineStr">
        <is>
          <t>Orix Buffaloes</t>
        </is>
      </c>
      <c r="AS29" s="24" t="inlineStr">
        <is>
          <t>Chiba Lotte Marines</t>
        </is>
      </c>
      <c r="AT29" s="24" t="inlineStr">
        <is>
          <t>Chiba Lotte Marines</t>
        </is>
      </c>
      <c r="AU29" s="24" t="inlineStr">
        <is>
          <t>Chiba Lotte Marines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1b7c2815d24b862bd8c1893baa5e4f65c12122708fa3c5aac2d6bac9c376d736</t>
        </is>
      </c>
      <c r="BB29" s="24" t="inlineStr">
        <is>
          <t>tie_aware_elo</t>
        </is>
      </c>
      <c r="BC29" s="24" t="inlineStr">
        <is>
          <t>npb-tie-aware-elo-v2</t>
        </is>
      </c>
      <c r="BD29" s="24" t="inlineStr">
        <is>
          <t>1b7c2815d24b862bd8c1893baa5e4f65c12122708fa3c5aac2d6bac9c376d736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npb-tie-aware-elo-v2</t>
        </is>
      </c>
      <c r="BH29" s="24" t="inlineStr">
        <is>
          <t>2026-08-09T05:17:43.172262Z</t>
        </is>
      </c>
      <c r="BI29" s="24" t="inlineStr">
        <is>
          <t>["same_event","same_team_same_day","same_league_same_day"]</t>
        </is>
      </c>
      <c r="BJ29" s="25" t="n"/>
      <c r="BK29" s="26" t="n">
        <v>104</v>
      </c>
      <c r="BL29" s="27" t="n">
        <v>2.04</v>
      </c>
      <c r="BM29" s="28" t="n">
        <v>0.490196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>
        <v>1</v>
      </c>
      <c r="BY29" s="27" t="n">
        <v>0.91</v>
      </c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0.490196</t>
        </is>
      </c>
      <c r="DK29" s="24" t="n"/>
      <c r="DL29" s="24" t="n"/>
      <c r="DM29" s="24" t="n"/>
      <c r="DN29" s="24" t="n"/>
      <c r="DO29" s="24" t="n"/>
      <c r="DP29" s="24" t="n"/>
      <c r="DQ29" s="24" t="n"/>
    </row>
    <row r="30" ht="36" customHeight="1">
      <c r="A30" s="24" t="inlineStr">
        <is>
          <t>dde9695350e144cd</t>
        </is>
      </c>
      <c r="B30" s="24" t="inlineStr">
        <is>
          <t>2026-08-09T05:17:45.141972Z</t>
        </is>
      </c>
      <c r="C30" s="24" t="inlineStr">
        <is>
          <t>2026-08-09T08:00:00Z</t>
        </is>
      </c>
      <c r="D30" s="24" t="inlineStr">
        <is>
          <t>73656</t>
        </is>
      </c>
      <c r="E30" s="24" t="inlineStr">
        <is>
          <t>NPB</t>
        </is>
      </c>
      <c r="F30" s="24" t="inlineStr">
        <is>
          <t>Fukuoka SoftBank Hawks</t>
        </is>
      </c>
      <c r="G30" s="24" t="inlineStr">
        <is>
          <t>Saitama Seibu Lions</t>
        </is>
      </c>
      <c r="H30" s="24" t="inlineStr">
        <is>
          <t>moneyline</t>
        </is>
      </c>
      <c r="I30" s="24" t="inlineStr">
        <is>
          <t>away</t>
        </is>
      </c>
      <c r="J30" s="25" t="n"/>
      <c r="K30" s="24" t="inlineStr">
        <is>
          <t>polymarket_us</t>
        </is>
      </c>
      <c r="L30" s="26" t="n">
        <v>-144</v>
      </c>
      <c r="M30" s="27" t="n">
        <v>1.694444</v>
      </c>
      <c r="N30" s="28" t="n">
        <v>0.590164</v>
      </c>
      <c r="O30" s="28" t="n">
        <v>0.571416</v>
      </c>
      <c r="P30" s="28" t="n"/>
      <c r="Q30" s="28" t="n">
        <v>-0.018748</v>
      </c>
      <c r="R30" s="26" t="n">
        <v>11</v>
      </c>
      <c r="S30" s="29" t="n">
        <v>1.25</v>
      </c>
      <c r="T30" s="24" t="inlineStr">
        <is>
          <t>npb-tie-aware-elo-v2</t>
        </is>
      </c>
      <c r="U30" s="24" t="inlineStr">
        <is>
          <t>settled</t>
        </is>
      </c>
      <c r="V30" s="24" t="inlineStr">
        <is>
          <t>win</t>
        </is>
      </c>
      <c r="W30" s="26" t="n">
        <v>5</v>
      </c>
      <c r="X30" s="26" t="n">
        <v>0</v>
      </c>
      <c r="Y30" s="25" t="n"/>
      <c r="Z30" s="26" t="n"/>
      <c r="AA30" s="28" t="n"/>
      <c r="AB30" s="28" t="n"/>
      <c r="AC30" s="30" t="n">
        <v>0.8681</v>
      </c>
      <c r="AD30" s="24" t="inlineStr">
        <is>
          <t>2026-08-09T20:26:16.493332Z</t>
        </is>
      </c>
      <c r="AE30" s="31" t="inlineStr">
        <is>
          <t>Tie-aware Elo baseline; executable ask 0.5900 (market_slug=aec-npb-ssl-fsh-2026-08-09). Tie probability=0.0300.</t>
        </is>
      </c>
      <c r="AF30" s="31" t="inlineStr">
        <is>
          <t>Config-promoted international baseball baseline; gates enforced at log time.</t>
        </is>
      </c>
      <c r="AG30" s="24" t="inlineStr">
        <is>
          <t>not_applicable</t>
        </is>
      </c>
      <c r="AH30" s="24" t="n"/>
      <c r="AI30" s="31" t="n"/>
      <c r="AJ30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30" s="24" t="inlineStr">
        <is>
          <t>paper_call</t>
        </is>
      </c>
      <c r="AL30" s="26" t="n">
        <v>3</v>
      </c>
      <c r="AM30" s="24" t="inlineStr">
        <is>
          <t>RESEARCH_OBSERVATION</t>
        </is>
      </c>
      <c r="AN30" s="24" t="inlineStr">
        <is>
          <t>CALL</t>
        </is>
      </c>
      <c r="AO30" s="24" t="inlineStr">
        <is>
          <t>PAPER_CALL_WINNER_OVERVALUED</t>
        </is>
      </c>
      <c r="AP30" s="24" t="inlineStr">
        <is>
          <t>Fukuoka SoftBank Hawks</t>
        </is>
      </c>
      <c r="AQ30" s="24" t="inlineStr">
        <is>
          <t>Fukuoka SoftBank Hawks</t>
        </is>
      </c>
      <c r="AR30" s="24" t="inlineStr">
        <is>
          <t>Fukuoka SoftBank Hawks</t>
        </is>
      </c>
      <c r="AS30" s="24" t="inlineStr">
        <is>
          <t>Saitama Seibu Lions</t>
        </is>
      </c>
      <c r="AT30" s="24" t="inlineStr">
        <is>
          <t>Saitama Seibu Lions</t>
        </is>
      </c>
      <c r="AU30" s="24" t="inlineStr">
        <is>
          <t>Saitama Seibu Lions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1b7c2815d24b862bd8c1893baa5e4f65c12122708fa3c5aac2d6bac9c376d736</t>
        </is>
      </c>
      <c r="BB30" s="24" t="inlineStr">
        <is>
          <t>tie_aware_elo</t>
        </is>
      </c>
      <c r="BC30" s="24" t="inlineStr">
        <is>
          <t>npb-tie-aware-elo-v2</t>
        </is>
      </c>
      <c r="BD30" s="24" t="inlineStr">
        <is>
          <t>1b7c2815d24b862bd8c1893baa5e4f65c12122708fa3c5aac2d6bac9c376d736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npb-tie-aware-elo-v2</t>
        </is>
      </c>
      <c r="BH30" s="24" t="inlineStr">
        <is>
          <t>2026-08-09T05:17:43.809915Z</t>
        </is>
      </c>
      <c r="BI30" s="24" t="inlineStr">
        <is>
          <t>["same_event","same_team_same_day","same_league_same_day"]</t>
        </is>
      </c>
      <c r="BJ30" s="25" t="n"/>
      <c r="BK30" s="26" t="n">
        <v>-144</v>
      </c>
      <c r="BL30" s="27" t="n">
        <v>1.694444</v>
      </c>
      <c r="BM30" s="28" t="n">
        <v>0.590164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>
        <v>1</v>
      </c>
      <c r="BY30" s="27" t="n">
        <v>0.91</v>
      </c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False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0.590164</t>
        </is>
      </c>
      <c r="DK30" s="24" t="n"/>
      <c r="DL30" s="24" t="n"/>
      <c r="DM30" s="24" t="n"/>
      <c r="DN30" s="24" t="n"/>
      <c r="DO30" s="24" t="n"/>
      <c r="DP30" s="24" t="n"/>
      <c r="DQ30" s="24" t="n"/>
    </row>
    <row r="31" ht="36" customHeight="1">
      <c r="A31" s="24" t="inlineStr">
        <is>
          <t>0ce75ac6e6a748fb</t>
        </is>
      </c>
      <c r="B31" s="24" t="inlineStr">
        <is>
          <t>2026-08-09T05:17:45.141972Z</t>
        </is>
      </c>
      <c r="C31" s="24" t="inlineStr">
        <is>
          <t>2026-08-09T09:00:00Z</t>
        </is>
      </c>
      <c r="D31" s="24" t="inlineStr">
        <is>
          <t>73664</t>
        </is>
      </c>
      <c r="E31" s="24" t="inlineStr">
        <is>
          <t>NPB</t>
        </is>
      </c>
      <c r="F31" s="24" t="inlineStr">
        <is>
          <t>Hiroshima Carp</t>
        </is>
      </c>
      <c r="G31" s="24" t="inlineStr">
        <is>
          <t>Yokohama BayStars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-156</v>
      </c>
      <c r="M31" s="27" t="n">
        <v>1.641026</v>
      </c>
      <c r="N31" s="28" t="n">
        <v>0.609375</v>
      </c>
      <c r="O31" s="28" t="n">
        <v>0.604738</v>
      </c>
      <c r="P31" s="28" t="n"/>
      <c r="Q31" s="28" t="n">
        <v>-0.004637</v>
      </c>
      <c r="R31" s="26" t="n">
        <v>18</v>
      </c>
      <c r="S31" s="29" t="n">
        <v>1.25</v>
      </c>
      <c r="T31" s="24" t="inlineStr">
        <is>
          <t>npb-tie-aware-elo-v2</t>
        </is>
      </c>
      <c r="U31" s="24" t="inlineStr">
        <is>
          <t>settled</t>
        </is>
      </c>
      <c r="V31" s="24" t="inlineStr">
        <is>
          <t>win</t>
        </is>
      </c>
      <c r="W31" s="26" t="n">
        <v>0</v>
      </c>
      <c r="X31" s="26" t="n">
        <v>3</v>
      </c>
      <c r="Y31" s="25" t="n"/>
      <c r="Z31" s="26" t="n"/>
      <c r="AA31" s="28" t="n"/>
      <c r="AB31" s="28" t="n"/>
      <c r="AC31" s="30" t="n">
        <v>0.8013</v>
      </c>
      <c r="AD31" s="24" t="inlineStr">
        <is>
          <t>2026-08-09T20:26:16.627025Z</t>
        </is>
      </c>
      <c r="AE31" s="31" t="inlineStr">
        <is>
          <t>Tie-aware Elo baseline; executable ask 0.6100 (market_slug=aec-npb-ybo-hci-2026-08-09). Tie probability=0.0271.</t>
        </is>
      </c>
      <c r="AF31" s="31" t="inlineStr">
        <is>
          <t>Config-promoted international baseball baseline; gates enforced at log time.</t>
        </is>
      </c>
      <c r="AG31" s="24" t="inlineStr">
        <is>
          <t>not_applicable</t>
        </is>
      </c>
      <c r="AH31" s="24" t="n"/>
      <c r="AI31" s="31" t="n"/>
      <c r="AJ31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31" s="24" t="inlineStr">
        <is>
          <t>paper_call</t>
        </is>
      </c>
      <c r="AL31" s="26" t="n">
        <v>3</v>
      </c>
      <c r="AM31" s="24" t="inlineStr">
        <is>
          <t>RESEARCH_OBSERVATION</t>
        </is>
      </c>
      <c r="AN31" s="24" t="inlineStr">
        <is>
          <t>CALL</t>
        </is>
      </c>
      <c r="AO31" s="24" t="inlineStr">
        <is>
          <t>PAPER_CALL_WINNER_OVERVALUED</t>
        </is>
      </c>
      <c r="AP31" s="24" t="inlineStr">
        <is>
          <t>Hiroshima Carp</t>
        </is>
      </c>
      <c r="AQ31" s="24" t="inlineStr">
        <is>
          <t>Hiroshima Carp</t>
        </is>
      </c>
      <c r="AR31" s="24" t="inlineStr">
        <is>
          <t>Hiroshima Carp</t>
        </is>
      </c>
      <c r="AS31" s="24" t="inlineStr">
        <is>
          <t>Yokohama BayStars</t>
        </is>
      </c>
      <c r="AT31" s="24" t="inlineStr">
        <is>
          <t>Yokohama BayStars</t>
        </is>
      </c>
      <c r="AU31" s="24" t="inlineStr">
        <is>
          <t>Yokohama BayStars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1b7c2815d24b862bd8c1893baa5e4f65c12122708fa3c5aac2d6bac9c376d736</t>
        </is>
      </c>
      <c r="BB31" s="24" t="inlineStr">
        <is>
          <t>tie_aware_elo</t>
        </is>
      </c>
      <c r="BC31" s="24" t="inlineStr">
        <is>
          <t>npb-tie-aware-elo-v2</t>
        </is>
      </c>
      <c r="BD31" s="24" t="inlineStr">
        <is>
          <t>1b7c2815d24b862bd8c1893baa5e4f65c12122708fa3c5aac2d6bac9c376d736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npb-tie-aware-elo-v2</t>
        </is>
      </c>
      <c r="BH31" s="24" t="inlineStr">
        <is>
          <t>2026-08-09T05:17:44.416064Z</t>
        </is>
      </c>
      <c r="BI31" s="24" t="inlineStr">
        <is>
          <t>["same_event","same_team_same_day","same_league_same_day"]</t>
        </is>
      </c>
      <c r="BJ31" s="25" t="n"/>
      <c r="BK31" s="26" t="n">
        <v>-156</v>
      </c>
      <c r="BL31" s="27" t="n">
        <v>1.641026</v>
      </c>
      <c r="BM31" s="28" t="n">
        <v>0.609375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>
        <v>1</v>
      </c>
      <c r="BY31" s="27" t="n">
        <v>0.91</v>
      </c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False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0.609375</t>
        </is>
      </c>
      <c r="DK31" s="24" t="n"/>
      <c r="DL31" s="24" t="n"/>
      <c r="DM31" s="24" t="n"/>
      <c r="DN31" s="24" t="n"/>
      <c r="DO31" s="24" t="n"/>
      <c r="DP31" s="24" t="n"/>
      <c r="DQ31" s="24" t="n"/>
    </row>
    <row r="32" ht="36" customHeight="1">
      <c r="A32" s="24" t="inlineStr">
        <is>
          <t>edc48d2b878540d9</t>
        </is>
      </c>
      <c r="B32" s="24" t="inlineStr">
        <is>
          <t>2026-08-09T05:17:45.141972Z</t>
        </is>
      </c>
      <c r="C32" s="24" t="inlineStr">
        <is>
          <t>2026-08-09T09:00:00Z</t>
        </is>
      </c>
      <c r="D32" s="24" t="inlineStr">
        <is>
          <t>73665</t>
        </is>
      </c>
      <c r="E32" s="24" t="inlineStr">
        <is>
          <t>NPB</t>
        </is>
      </c>
      <c r="F32" s="24" t="inlineStr">
        <is>
          <t>Chunichi Dragons</t>
        </is>
      </c>
      <c r="G32" s="24" t="inlineStr">
        <is>
          <t>Hanshin Tigers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-163</v>
      </c>
      <c r="M32" s="27" t="n">
        <v>1.613497</v>
      </c>
      <c r="N32" s="28" t="n">
        <v>0.619772</v>
      </c>
      <c r="O32" s="28" t="n">
        <v>0.540616</v>
      </c>
      <c r="P32" s="28" t="n"/>
      <c r="Q32" s="28" t="n">
        <v>-0.079156</v>
      </c>
      <c r="R32" s="26" t="n">
        <v>0</v>
      </c>
      <c r="S32" s="29" t="n">
        <v>1</v>
      </c>
      <c r="T32" s="24" t="inlineStr">
        <is>
          <t>npb-tie-aware-elo-v2</t>
        </is>
      </c>
      <c r="U32" s="24" t="inlineStr">
        <is>
          <t>settled</t>
        </is>
      </c>
      <c r="V32" s="24" t="inlineStr">
        <is>
          <t>win</t>
        </is>
      </c>
      <c r="W32" s="26" t="n">
        <v>0</v>
      </c>
      <c r="X32" s="26" t="n">
        <v>1</v>
      </c>
      <c r="Y32" s="25" t="n"/>
      <c r="Z32" s="26" t="n"/>
      <c r="AA32" s="28" t="n"/>
      <c r="AB32" s="28" t="n"/>
      <c r="AC32" s="30" t="n">
        <v>0.6135</v>
      </c>
      <c r="AD32" s="24" t="inlineStr">
        <is>
          <t>2026-08-09T20:26:16.763277Z</t>
        </is>
      </c>
      <c r="AE32" s="31" t="inlineStr">
        <is>
          <t>Tie-aware Elo baseline; executable ask 0.6200 (market_slug=aec-npb-hta-cdh-2026-08-09). Tie probability=0.0327.</t>
        </is>
      </c>
      <c r="AF32" s="31" t="inlineStr">
        <is>
          <t>Config-promoted international baseball baseline; gates enforced at log time.</t>
        </is>
      </c>
      <c r="AG32" s="24" t="inlineStr">
        <is>
          <t>not_applicable</t>
        </is>
      </c>
      <c r="AH32" s="24" t="n"/>
      <c r="AI32" s="31" t="n"/>
      <c r="AJ32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32" s="24" t="inlineStr">
        <is>
          <t>paper_call</t>
        </is>
      </c>
      <c r="AL32" s="26" t="n">
        <v>3</v>
      </c>
      <c r="AM32" s="24" t="inlineStr">
        <is>
          <t>RESEARCH_OBSERVATION</t>
        </is>
      </c>
      <c r="AN32" s="24" t="inlineStr">
        <is>
          <t>CALL</t>
        </is>
      </c>
      <c r="AO32" s="24" t="inlineStr">
        <is>
          <t>PAPER_CALL_WINNER_OVERVALUED</t>
        </is>
      </c>
      <c r="AP32" s="24" t="inlineStr">
        <is>
          <t>Chunichi Dragons</t>
        </is>
      </c>
      <c r="AQ32" s="24" t="inlineStr">
        <is>
          <t>Chunichi Dragons</t>
        </is>
      </c>
      <c r="AR32" s="24" t="inlineStr">
        <is>
          <t>Chunichi Dragons</t>
        </is>
      </c>
      <c r="AS32" s="24" t="inlineStr">
        <is>
          <t>Hanshin Tigers</t>
        </is>
      </c>
      <c r="AT32" s="24" t="inlineStr">
        <is>
          <t>Hanshin Tigers</t>
        </is>
      </c>
      <c r="AU32" s="24" t="inlineStr">
        <is>
          <t>Hanshin Tigers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1b7c2815d24b862bd8c1893baa5e4f65c12122708fa3c5aac2d6bac9c376d736</t>
        </is>
      </c>
      <c r="BB32" s="24" t="inlineStr">
        <is>
          <t>tie_aware_elo</t>
        </is>
      </c>
      <c r="BC32" s="24" t="inlineStr">
        <is>
          <t>npb-tie-aware-elo-v2</t>
        </is>
      </c>
      <c r="BD32" s="24" t="inlineStr">
        <is>
          <t>1b7c2815d24b862bd8c1893baa5e4f65c12122708fa3c5aac2d6bac9c376d736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npb-tie-aware-elo-v2</t>
        </is>
      </c>
      <c r="BH32" s="24" t="inlineStr">
        <is>
          <t>2026-08-09T05:17:45.141880Z</t>
        </is>
      </c>
      <c r="BI32" s="24" t="inlineStr">
        <is>
          <t>["same_event","same_team_same_day","same_league_same_day"]</t>
        </is>
      </c>
      <c r="BJ32" s="25" t="n"/>
      <c r="BK32" s="26" t="n">
        <v>-163</v>
      </c>
      <c r="BL32" s="27" t="n">
        <v>1.613497</v>
      </c>
      <c r="BM32" s="28" t="n">
        <v>0.619772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>
        <v>1</v>
      </c>
      <c r="BY32" s="27" t="n">
        <v>0.91</v>
      </c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False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0.619772</t>
        </is>
      </c>
      <c r="DK32" s="24" t="n"/>
      <c r="DL32" s="24" t="n"/>
      <c r="DM32" s="24" t="n"/>
      <c r="DN32" s="24" t="n"/>
      <c r="DO32" s="24" t="n"/>
      <c r="DP32" s="24" t="n"/>
      <c r="DQ32" s="24" t="n"/>
    </row>
    <row r="33" ht="36" customHeight="1">
      <c r="A33" s="24" t="inlineStr">
        <is>
          <t>2de7ef6136274bf0</t>
        </is>
      </c>
      <c r="B33" s="24" t="inlineStr">
        <is>
          <t>2026-08-12T08:21:35.145090Z</t>
        </is>
      </c>
      <c r="C33" s="24" t="inlineStr">
        <is>
          <t>2026-08-12T09:00:00Z</t>
        </is>
      </c>
      <c r="D33" s="24" t="inlineStr">
        <is>
          <t>76184</t>
        </is>
      </c>
      <c r="E33" s="24" t="inlineStr">
        <is>
          <t>NPB</t>
        </is>
      </c>
      <c r="F33" s="24" t="inlineStr">
        <is>
          <t>Hanshin Tigers</t>
        </is>
      </c>
      <c r="G33" s="24" t="inlineStr">
        <is>
          <t>Yomiuri Giants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127</v>
      </c>
      <c r="M33" s="27" t="n">
        <v>2.27</v>
      </c>
      <c r="N33" s="28" t="n">
        <v>0.440529</v>
      </c>
      <c r="O33" s="28" t="n">
        <v>0.515505</v>
      </c>
      <c r="P33" s="28" t="n"/>
      <c r="Q33" s="28" t="n">
        <v>0.074976</v>
      </c>
      <c r="R33" s="26" t="n">
        <v>57</v>
      </c>
      <c r="S33" s="29" t="n">
        <v>1</v>
      </c>
      <c r="T33" s="24" t="inlineStr">
        <is>
          <t>npb-tie-aware-elo-v2</t>
        </is>
      </c>
      <c r="U33" s="24" t="inlineStr">
        <is>
          <t>settled</t>
        </is>
      </c>
      <c r="V33" s="24" t="inlineStr">
        <is>
          <t>loss</t>
        </is>
      </c>
      <c r="W33" s="26" t="n">
        <v>5</v>
      </c>
      <c r="X33" s="26" t="n">
        <v>1</v>
      </c>
      <c r="Y33" s="25" t="n"/>
      <c r="Z33" s="26" t="n"/>
      <c r="AA33" s="28" t="n"/>
      <c r="AB33" s="28" t="n"/>
      <c r="AC33" s="30" t="n">
        <v>-1</v>
      </c>
      <c r="AD33" s="24" t="inlineStr">
        <is>
          <t>2026-08-12T21:15:45.502496Z</t>
        </is>
      </c>
      <c r="AE33" s="31" t="inlineStr">
        <is>
          <t>Tie-aware Elo baseline; executable ask 0.4400 (market_slug=aec-npb-ygo-hta-2026-08-12). Tie probability=0.0348.</t>
        </is>
      </c>
      <c r="AF33" s="31" t="inlineStr">
        <is>
          <t>Config-promoted international baseball baseline; gates enforced at log time.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paper_call</t>
        </is>
      </c>
      <c r="AL33" s="26" t="n">
        <v>3</v>
      </c>
      <c r="AM33" s="24" t="inlineStr">
        <is>
          <t>RESEARCH_OBSERVATION</t>
        </is>
      </c>
      <c r="AN33" s="24" t="inlineStr">
        <is>
          <t>CALL</t>
        </is>
      </c>
      <c r="AO33" s="24" t="inlineStr">
        <is>
          <t>PAPER_CALL_LOW_EDGE</t>
        </is>
      </c>
      <c r="AP33" s="24" t="inlineStr">
        <is>
          <t>Hanshin Tigers</t>
        </is>
      </c>
      <c r="AQ33" s="24" t="inlineStr">
        <is>
          <t>Hanshin Tigers</t>
        </is>
      </c>
      <c r="AR33" s="24" t="inlineStr">
        <is>
          <t>Hanshin Tigers</t>
        </is>
      </c>
      <c r="AS33" s="24" t="inlineStr">
        <is>
          <t>Yomiuri Giants</t>
        </is>
      </c>
      <c r="AT33" s="24" t="inlineStr">
        <is>
          <t>Yomiuri Giants</t>
        </is>
      </c>
      <c r="AU33" s="24" t="inlineStr">
        <is>
          <t>Yomiuri Giants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05ce5c163469a19fa69948e39f5a5c074f3e14d31fa465677897d80bd6c4e801</t>
        </is>
      </c>
      <c r="BB33" s="24" t="inlineStr">
        <is>
          <t>tie_aware_elo</t>
        </is>
      </c>
      <c r="BC33" s="24" t="inlineStr">
        <is>
          <t>npb-tie-aware-elo-v2</t>
        </is>
      </c>
      <c r="BD33" s="24" t="inlineStr">
        <is>
          <t>05ce5c163469a19fa69948e39f5a5c074f3e14d31fa465677897d80bd6c4e801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npb-tie-aware-elo-v2</t>
        </is>
      </c>
      <c r="BH33" s="24" t="inlineStr">
        <is>
          <t>2026-08-12T08:21:31.890109Z</t>
        </is>
      </c>
      <c r="BI33" s="24" t="inlineStr">
        <is>
          <t>["same_event","same_team_same_day","same_league_same_day"]</t>
        </is>
      </c>
      <c r="BJ33" s="25" t="n"/>
      <c r="BK33" s="26" t="n">
        <v>127</v>
      </c>
      <c r="BL33" s="27" t="n">
        <v>2.27</v>
      </c>
      <c r="BM33" s="28" t="n">
        <v>0.440529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True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0.440529</t>
        </is>
      </c>
      <c r="DK33" s="24" t="n"/>
      <c r="DL33" s="24" t="n"/>
      <c r="DM33" s="24" t="n"/>
      <c r="DN33" s="24" t="n"/>
      <c r="DO33" s="24" t="n"/>
      <c r="DP33" s="24" t="n"/>
      <c r="DQ33" s="24" t="n"/>
    </row>
    <row r="34" ht="36" customHeight="1">
      <c r="A34" s="24" t="inlineStr">
        <is>
          <t>acbde3c2abd54fbb</t>
        </is>
      </c>
      <c r="B34" s="24" t="inlineStr">
        <is>
          <t>2026-08-12T08:21:35.145090Z</t>
        </is>
      </c>
      <c r="C34" s="24" t="inlineStr">
        <is>
          <t>2026-08-12T09:00:00Z</t>
        </is>
      </c>
      <c r="D34" s="24" t="inlineStr">
        <is>
          <t>76185</t>
        </is>
      </c>
      <c r="E34" s="24" t="inlineStr">
        <is>
          <t>NPB</t>
        </is>
      </c>
      <c r="F34" s="24" t="inlineStr">
        <is>
          <t>Yokohama BayStars</t>
        </is>
      </c>
      <c r="G34" s="24" t="inlineStr">
        <is>
          <t>Chunichi Dragons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127</v>
      </c>
      <c r="M34" s="27" t="n">
        <v>2.27</v>
      </c>
      <c r="N34" s="28" t="n">
        <v>0.440529</v>
      </c>
      <c r="O34" s="28" t="n">
        <v>0.53288</v>
      </c>
      <c r="P34" s="28" t="n"/>
      <c r="Q34" s="28" t="n">
        <v>0.092351</v>
      </c>
      <c r="R34" s="26" t="n">
        <v>66</v>
      </c>
      <c r="S34" s="29" t="n">
        <v>1</v>
      </c>
      <c r="T34" s="24" t="inlineStr">
        <is>
          <t>npb-tie-aware-elo-v2</t>
        </is>
      </c>
      <c r="U34" s="24" t="inlineStr">
        <is>
          <t>settled</t>
        </is>
      </c>
      <c r="V34" s="24" t="inlineStr">
        <is>
          <t>loss</t>
        </is>
      </c>
      <c r="W34" s="26" t="n">
        <v>6</v>
      </c>
      <c r="X34" s="26" t="n">
        <v>3</v>
      </c>
      <c r="Y34" s="25" t="n"/>
      <c r="Z34" s="26" t="n"/>
      <c r="AA34" s="28" t="n"/>
      <c r="AB34" s="28" t="n"/>
      <c r="AC34" s="30" t="n">
        <v>-1</v>
      </c>
      <c r="AD34" s="24" t="inlineStr">
        <is>
          <t>2026-08-12T21:15:45.654852Z</t>
        </is>
      </c>
      <c r="AE34" s="31" t="inlineStr">
        <is>
          <t>Tie-aware Elo baseline; executable ask 0.4400 (market_slug=aec-npb-cdh-ybo-2026-08-12). Tie probability=0.0333.</t>
        </is>
      </c>
      <c r="AF34" s="31" t="inlineStr">
        <is>
          <t>Config-promoted international baseball baseline; gates enforced at log time.</t>
        </is>
      </c>
      <c r="AG34" s="24" t="inlineStr">
        <is>
          <t>review_required</t>
        </is>
      </c>
      <c r="AH34" s="24" t="n"/>
      <c r="AI34" s="31" t="n"/>
      <c r="AJ34" s="31" t="n"/>
      <c r="AK34" s="24" t="inlineStr">
        <is>
          <t>paper_call</t>
        </is>
      </c>
      <c r="AL34" s="26" t="n">
        <v>3</v>
      </c>
      <c r="AM34" s="24" t="inlineStr">
        <is>
          <t>RESEARCH_OBSERVATION</t>
        </is>
      </c>
      <c r="AN34" s="24" t="inlineStr">
        <is>
          <t>CALL</t>
        </is>
      </c>
      <c r="AO34" s="24" t="inlineStr">
        <is>
          <t>PAPER_CALL_LOW_EDGE</t>
        </is>
      </c>
      <c r="AP34" s="24" t="inlineStr">
        <is>
          <t>Yokohama BayStars</t>
        </is>
      </c>
      <c r="AQ34" s="24" t="inlineStr">
        <is>
          <t>Yokohama BayStars</t>
        </is>
      </c>
      <c r="AR34" s="24" t="inlineStr">
        <is>
          <t>Yokohama BayStars</t>
        </is>
      </c>
      <c r="AS34" s="24" t="inlineStr">
        <is>
          <t>Chunichi Dragons</t>
        </is>
      </c>
      <c r="AT34" s="24" t="inlineStr">
        <is>
          <t>Chunichi Dragons</t>
        </is>
      </c>
      <c r="AU34" s="24" t="inlineStr">
        <is>
          <t>Chunichi Dragons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05ce5c163469a19fa69948e39f5a5c074f3e14d31fa465677897d80bd6c4e801</t>
        </is>
      </c>
      <c r="BB34" s="24" t="inlineStr">
        <is>
          <t>tie_aware_elo</t>
        </is>
      </c>
      <c r="BC34" s="24" t="inlineStr">
        <is>
          <t>npb-tie-aware-elo-v2</t>
        </is>
      </c>
      <c r="BD34" s="24" t="inlineStr">
        <is>
          <t>05ce5c163469a19fa69948e39f5a5c074f3e14d31fa465677897d80bd6c4e801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npb-tie-aware-elo-v2</t>
        </is>
      </c>
      <c r="BH34" s="24" t="inlineStr">
        <is>
          <t>2026-08-12T08:21:32.791156Z</t>
        </is>
      </c>
      <c r="BI34" s="24" t="inlineStr">
        <is>
          <t>["same_event","same_team_same_day","same_league_same_day"]</t>
        </is>
      </c>
      <c r="BJ34" s="25" t="n"/>
      <c r="BK34" s="26" t="n">
        <v>127</v>
      </c>
      <c r="BL34" s="27" t="n">
        <v>2.27</v>
      </c>
      <c r="BM34" s="28" t="n">
        <v>0.440529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0.440529</t>
        </is>
      </c>
      <c r="DK34" s="24" t="n"/>
      <c r="DL34" s="24" t="n"/>
      <c r="DM34" s="24" t="n"/>
      <c r="DN34" s="24" t="n"/>
      <c r="DO34" s="24" t="n"/>
      <c r="DP34" s="24" t="n"/>
      <c r="DQ34" s="24" t="n"/>
    </row>
    <row r="35" ht="36" customHeight="1">
      <c r="A35" s="24" t="inlineStr">
        <is>
          <t>1a182660a149408e</t>
        </is>
      </c>
      <c r="B35" s="24" t="inlineStr">
        <is>
          <t>2026-08-12T08:21:35.145090Z</t>
        </is>
      </c>
      <c r="C35" s="24" t="inlineStr">
        <is>
          <t>2026-08-12T09:00:00Z</t>
        </is>
      </c>
      <c r="D35" s="24" t="inlineStr">
        <is>
          <t>76186</t>
        </is>
      </c>
      <c r="E35" s="24" t="inlineStr">
        <is>
          <t>NPB</t>
        </is>
      </c>
      <c r="F35" s="24" t="inlineStr">
        <is>
          <t>Saitama Seibu Lions</t>
        </is>
      </c>
      <c r="G35" s="24" t="inlineStr">
        <is>
          <t>Nippon Ham Fighters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-203</v>
      </c>
      <c r="M35" s="27" t="n">
        <v>1.492611</v>
      </c>
      <c r="N35" s="28" t="n">
        <v>0.669967</v>
      </c>
      <c r="O35" s="28" t="n">
        <v>0.567846</v>
      </c>
      <c r="P35" s="28" t="n"/>
      <c r="Q35" s="28" t="n">
        <v>-0.102121</v>
      </c>
      <c r="R35" s="26" t="n">
        <v>0</v>
      </c>
      <c r="S35" s="29" t="n">
        <v>1</v>
      </c>
      <c r="T35" s="24" t="inlineStr">
        <is>
          <t>npb-tie-aware-elo-v2</t>
        </is>
      </c>
      <c r="U35" s="24" t="inlineStr">
        <is>
          <t>settled</t>
        </is>
      </c>
      <c r="V35" s="24" t="inlineStr">
        <is>
          <t>loss</t>
        </is>
      </c>
      <c r="W35" s="26" t="n">
        <v>5</v>
      </c>
      <c r="X35" s="26" t="n">
        <v>2</v>
      </c>
      <c r="Y35" s="25" t="n"/>
      <c r="Z35" s="26" t="n"/>
      <c r="AA35" s="28" t="n"/>
      <c r="AB35" s="28" t="n"/>
      <c r="AC35" s="30" t="n">
        <v>-1</v>
      </c>
      <c r="AD35" s="24" t="inlineStr">
        <is>
          <t>2026-08-12T21:15:45.796432Z</t>
        </is>
      </c>
      <c r="AE35" s="31" t="inlineStr">
        <is>
          <t>Tie-aware Elo baseline; executable ask 0.6700 (market_slug=aec-npb-nhf-ssl-2026-08-12). Tie probability=0.0303.</t>
        </is>
      </c>
      <c r="AF35" s="31" t="inlineStr">
        <is>
          <t>Config-promoted international baseball baseline; gates enforced at log time.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paper_call</t>
        </is>
      </c>
      <c r="AL35" s="26" t="n">
        <v>3</v>
      </c>
      <c r="AM35" s="24" t="inlineStr">
        <is>
          <t>RESEARCH_OBSERVATION</t>
        </is>
      </c>
      <c r="AN35" s="24" t="inlineStr">
        <is>
          <t>CALL</t>
        </is>
      </c>
      <c r="AO35" s="24" t="inlineStr">
        <is>
          <t>PAPER_CALL_LOW_EDGE</t>
        </is>
      </c>
      <c r="AP35" s="24" t="inlineStr">
        <is>
          <t>Saitama Seibu Lions</t>
        </is>
      </c>
      <c r="AQ35" s="24" t="inlineStr">
        <is>
          <t>Saitama Seibu Lions</t>
        </is>
      </c>
      <c r="AR35" s="24" t="inlineStr">
        <is>
          <t>Saitama Seibu Lions</t>
        </is>
      </c>
      <c r="AS35" s="24" t="inlineStr">
        <is>
          <t>Nippon Ham Fighters</t>
        </is>
      </c>
      <c r="AT35" s="24" t="inlineStr">
        <is>
          <t>Nippon Ham Fighters</t>
        </is>
      </c>
      <c r="AU35" s="24" t="inlineStr">
        <is>
          <t>Nippon Ham Fighters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05ce5c163469a19fa69948e39f5a5c074f3e14d31fa465677897d80bd6c4e801</t>
        </is>
      </c>
      <c r="BB35" s="24" t="inlineStr">
        <is>
          <t>tie_aware_elo</t>
        </is>
      </c>
      <c r="BC35" s="24" t="inlineStr">
        <is>
          <t>npb-tie-aware-elo-v2</t>
        </is>
      </c>
      <c r="BD35" s="24" t="inlineStr">
        <is>
          <t>05ce5c163469a19fa69948e39f5a5c074f3e14d31fa465677897d80bd6c4e801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npb-tie-aware-elo-v2</t>
        </is>
      </c>
      <c r="BH35" s="24" t="inlineStr">
        <is>
          <t>2026-08-12T08:21:33.487442Z</t>
        </is>
      </c>
      <c r="BI35" s="24" t="inlineStr">
        <is>
          <t>["same_event","same_team_same_day","same_league_same_day"]</t>
        </is>
      </c>
      <c r="BJ35" s="25" t="n"/>
      <c r="BK35" s="26" t="n">
        <v>-203</v>
      </c>
      <c r="BL35" s="27" t="n">
        <v>1.492611</v>
      </c>
      <c r="BM35" s="28" t="n">
        <v>0.669967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False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0.669967</t>
        </is>
      </c>
      <c r="DK35" s="24" t="n"/>
      <c r="DL35" s="24" t="n"/>
      <c r="DM35" s="24" t="n"/>
      <c r="DN35" s="24" t="n"/>
      <c r="DO35" s="24" t="n"/>
      <c r="DP35" s="24" t="n"/>
      <c r="DQ35" s="24" t="n"/>
    </row>
    <row r="36" ht="36" customHeight="1">
      <c r="A36" s="24" t="inlineStr">
        <is>
          <t>a9555c4be9244fb0</t>
        </is>
      </c>
      <c r="B36" s="24" t="inlineStr">
        <is>
          <t>2026-08-12T08:21:35.145090Z</t>
        </is>
      </c>
      <c r="C36" s="24" t="inlineStr">
        <is>
          <t>2026-08-12T09:00:00Z</t>
        </is>
      </c>
      <c r="D36" s="24" t="inlineStr">
        <is>
          <t>76187</t>
        </is>
      </c>
      <c r="E36" s="24" t="inlineStr">
        <is>
          <t>NPB</t>
        </is>
      </c>
      <c r="F36" s="24" t="inlineStr">
        <is>
          <t>Orix Buffaloes</t>
        </is>
      </c>
      <c r="G36" s="24" t="inlineStr">
        <is>
          <t>Tohoku Rakuten Golden Eagles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-113</v>
      </c>
      <c r="M36" s="27" t="n">
        <v>1.884956</v>
      </c>
      <c r="N36" s="28" t="n">
        <v>0.530516</v>
      </c>
      <c r="O36" s="28" t="n">
        <v>0.514003</v>
      </c>
      <c r="P36" s="28" t="n"/>
      <c r="Q36" s="28" t="n">
        <v>-0.016513</v>
      </c>
      <c r="R36" s="26" t="n">
        <v>12</v>
      </c>
      <c r="S36" s="29" t="n">
        <v>1</v>
      </c>
      <c r="T36" s="24" t="inlineStr">
        <is>
          <t>npb-tie-aware-elo-v2</t>
        </is>
      </c>
      <c r="U36" s="24" t="inlineStr">
        <is>
          <t>settled</t>
        </is>
      </c>
      <c r="V36" s="24" t="inlineStr">
        <is>
          <t>loss</t>
        </is>
      </c>
      <c r="W36" s="26" t="n">
        <v>2</v>
      </c>
      <c r="X36" s="26" t="n">
        <v>7</v>
      </c>
      <c r="Y36" s="25" t="n"/>
      <c r="Z36" s="26" t="n"/>
      <c r="AA36" s="28" t="n"/>
      <c r="AB36" s="28" t="n"/>
      <c r="AC36" s="30" t="n">
        <v>-1</v>
      </c>
      <c r="AD36" s="24" t="inlineStr">
        <is>
          <t>2026-08-12T21:15:45.937916Z</t>
        </is>
      </c>
      <c r="AE36" s="31" t="inlineStr">
        <is>
          <t>Tie-aware Elo baseline; executable ask 0.5300 (market_slug=aec-npb-trge-obr-2026-08-12). Tie probability=0.0349.</t>
        </is>
      </c>
      <c r="AF36" s="31" t="inlineStr">
        <is>
          <t>Config-promoted international baseball baseline; gates enforced at log time.</t>
        </is>
      </c>
      <c r="AG36" s="24" t="inlineStr">
        <is>
          <t>review_required</t>
        </is>
      </c>
      <c r="AH36" s="24" t="n"/>
      <c r="AI36" s="31" t="n"/>
      <c r="AJ36" s="31" t="n"/>
      <c r="AK36" s="24" t="inlineStr">
        <is>
          <t>paper_call</t>
        </is>
      </c>
      <c r="AL36" s="26" t="n">
        <v>3</v>
      </c>
      <c r="AM36" s="24" t="inlineStr">
        <is>
          <t>RESEARCH_OBSERVATION</t>
        </is>
      </c>
      <c r="AN36" s="24" t="inlineStr">
        <is>
          <t>CALL</t>
        </is>
      </c>
      <c r="AO36" s="24" t="inlineStr">
        <is>
          <t>PAPER_CALL_LOW_EDGE</t>
        </is>
      </c>
      <c r="AP36" s="24" t="inlineStr">
        <is>
          <t>Orix Buffaloes</t>
        </is>
      </c>
      <c r="AQ36" s="24" t="inlineStr">
        <is>
          <t>Orix Buffaloes</t>
        </is>
      </c>
      <c r="AR36" s="24" t="inlineStr">
        <is>
          <t>Orix Buffaloes</t>
        </is>
      </c>
      <c r="AS36" s="24" t="inlineStr">
        <is>
          <t>Tohoku Rakuten Golden Eagles</t>
        </is>
      </c>
      <c r="AT36" s="24" t="inlineStr">
        <is>
          <t>Tohoku Rakuten Golden Eagles</t>
        </is>
      </c>
      <c r="AU36" s="24" t="inlineStr">
        <is>
          <t>Tohoku Rakuten Golden Eagles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05ce5c163469a19fa69948e39f5a5c074f3e14d31fa465677897d80bd6c4e801</t>
        </is>
      </c>
      <c r="BB36" s="24" t="inlineStr">
        <is>
          <t>tie_aware_elo</t>
        </is>
      </c>
      <c r="BC36" s="24" t="inlineStr">
        <is>
          <t>npb-tie-aware-elo-v2</t>
        </is>
      </c>
      <c r="BD36" s="24" t="inlineStr">
        <is>
          <t>05ce5c163469a19fa69948e39f5a5c074f3e14d31fa465677897d80bd6c4e801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npb-tie-aware-elo-v2</t>
        </is>
      </c>
      <c r="BH36" s="24" t="inlineStr">
        <is>
          <t>2026-08-12T08:21:33.970591Z</t>
        </is>
      </c>
      <c r="BI36" s="24" t="inlineStr">
        <is>
          <t>["same_event","same_team_same_day","same_league_same_day"]</t>
        </is>
      </c>
      <c r="BJ36" s="25" t="n"/>
      <c r="BK36" s="26" t="n">
        <v>-113</v>
      </c>
      <c r="BL36" s="27" t="n">
        <v>1.884956</v>
      </c>
      <c r="BM36" s="28" t="n">
        <v>0.530516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False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0.530516</t>
        </is>
      </c>
      <c r="DK36" s="24" t="n"/>
      <c r="DL36" s="24" t="n"/>
      <c r="DM36" s="24" t="n"/>
      <c r="DN36" s="24" t="n"/>
      <c r="DO36" s="24" t="n"/>
      <c r="DP36" s="24" t="n"/>
      <c r="DQ36" s="24" t="n"/>
    </row>
    <row r="37" ht="36" customHeight="1">
      <c r="A37" s="24" t="inlineStr">
        <is>
          <t>22d15b195e984d0a</t>
        </is>
      </c>
      <c r="B37" s="24" t="inlineStr">
        <is>
          <t>2026-08-12T08:21:35.145090Z</t>
        </is>
      </c>
      <c r="C37" s="24" t="inlineStr">
        <is>
          <t>2026-08-12T09:00:00Z</t>
        </is>
      </c>
      <c r="D37" s="24" t="inlineStr">
        <is>
          <t>76188</t>
        </is>
      </c>
      <c r="E37" s="24" t="inlineStr">
        <is>
          <t>NPB</t>
        </is>
      </c>
      <c r="F37" s="24" t="inlineStr">
        <is>
          <t>Chiba Lotte Marines</t>
        </is>
      </c>
      <c r="G37" s="24" t="inlineStr">
        <is>
          <t>Fukuoka SoftBank Hawks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-257</v>
      </c>
      <c r="M37" s="27" t="n">
        <v>1.389105</v>
      </c>
      <c r="N37" s="28" t="n">
        <v>0.719888</v>
      </c>
      <c r="O37" s="28" t="n">
        <v>0.654962</v>
      </c>
      <c r="P37" s="28" t="n"/>
      <c r="Q37" s="28" t="n">
        <v>-0.064926</v>
      </c>
      <c r="R37" s="26" t="n">
        <v>0</v>
      </c>
      <c r="S37" s="29" t="n">
        <v>1.75</v>
      </c>
      <c r="T37" s="24" t="inlineStr">
        <is>
          <t>npb-tie-aware-elo-v2</t>
        </is>
      </c>
      <c r="U37" s="24" t="inlineStr">
        <is>
          <t>settled</t>
        </is>
      </c>
      <c r="V37" s="24" t="inlineStr">
        <is>
          <t>win</t>
        </is>
      </c>
      <c r="W37" s="26" t="n">
        <v>4</v>
      </c>
      <c r="X37" s="26" t="n">
        <v>10</v>
      </c>
      <c r="Y37" s="25" t="n"/>
      <c r="Z37" s="26" t="n"/>
      <c r="AA37" s="28" t="n"/>
      <c r="AB37" s="28" t="n"/>
      <c r="AC37" s="30" t="n">
        <v>0.6808999999999999</v>
      </c>
      <c r="AD37" s="24" t="inlineStr">
        <is>
          <t>2026-08-12T21:15:46.081630Z</t>
        </is>
      </c>
      <c r="AE37" s="31" t="inlineStr">
        <is>
          <t>Tie-aware Elo baseline; executable ask 0.7200 (market_slug=aec-npb-fsh-clm-2026-08-12). Tie probability=0.0224.</t>
        </is>
      </c>
      <c r="AF37" s="31" t="inlineStr">
        <is>
          <t>Config-promoted international baseball baseline; gates enforced at log time.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paper_call</t>
        </is>
      </c>
      <c r="AL37" s="26" t="n">
        <v>3</v>
      </c>
      <c r="AM37" s="24" t="inlineStr">
        <is>
          <t>RESEARCH_OBSERVATION</t>
        </is>
      </c>
      <c r="AN37" s="24" t="inlineStr">
        <is>
          <t>CALL</t>
        </is>
      </c>
      <c r="AO37" s="24" t="inlineStr">
        <is>
          <t>PAPER_CALL_LOW_EDGE</t>
        </is>
      </c>
      <c r="AP37" s="24" t="inlineStr">
        <is>
          <t>Chiba Lotte Marines</t>
        </is>
      </c>
      <c r="AQ37" s="24" t="inlineStr">
        <is>
          <t>Chiba Lotte Marines</t>
        </is>
      </c>
      <c r="AR37" s="24" t="inlineStr">
        <is>
          <t>Chiba Lotte Marines</t>
        </is>
      </c>
      <c r="AS37" s="24" t="inlineStr">
        <is>
          <t>Fukuoka SoftBank Hawks</t>
        </is>
      </c>
      <c r="AT37" s="24" t="inlineStr">
        <is>
          <t>Fukuoka SoftBank Hawks</t>
        </is>
      </c>
      <c r="AU37" s="24" t="inlineStr">
        <is>
          <t>Fukuoka SoftBank Hawks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05ce5c163469a19fa69948e39f5a5c074f3e14d31fa465677897d80bd6c4e801</t>
        </is>
      </c>
      <c r="BB37" s="24" t="inlineStr">
        <is>
          <t>tie_aware_elo</t>
        </is>
      </c>
      <c r="BC37" s="24" t="inlineStr">
        <is>
          <t>npb-tie-aware-elo-v2</t>
        </is>
      </c>
      <c r="BD37" s="24" t="inlineStr">
        <is>
          <t>05ce5c163469a19fa69948e39f5a5c074f3e14d31fa465677897d80bd6c4e801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npb-tie-aware-elo-v2</t>
        </is>
      </c>
      <c r="BH37" s="24" t="inlineStr">
        <is>
          <t>2026-08-12T08:21:34.674761Z</t>
        </is>
      </c>
      <c r="BI37" s="24" t="inlineStr">
        <is>
          <t>["same_event","same_team_same_day","same_league_same_day"]</t>
        </is>
      </c>
      <c r="BJ37" s="25" t="n"/>
      <c r="BK37" s="26" t="n">
        <v>-257</v>
      </c>
      <c r="BL37" s="27" t="n">
        <v>1.389105</v>
      </c>
      <c r="BM37" s="28" t="n">
        <v>0.719888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False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0.719888</t>
        </is>
      </c>
      <c r="DK37" s="24" t="n"/>
      <c r="DL37" s="24" t="n"/>
      <c r="DM37" s="24" t="n"/>
      <c r="DN37" s="24" t="n"/>
      <c r="DO37" s="24" t="n"/>
      <c r="DP37" s="24" t="n"/>
      <c r="DQ37" s="24" t="n"/>
    </row>
    <row r="38" ht="36" customHeight="1">
      <c r="A38" s="24" t="inlineStr">
        <is>
          <t>a2967370bb244f6f</t>
        </is>
      </c>
      <c r="B38" s="24" t="inlineStr">
        <is>
          <t>2026-08-12T08:21:35.145090Z</t>
        </is>
      </c>
      <c r="C38" s="24" t="inlineStr">
        <is>
          <t>2026-08-12T09:00:00Z</t>
        </is>
      </c>
      <c r="D38" s="24" t="inlineStr">
        <is>
          <t>76189</t>
        </is>
      </c>
      <c r="E38" s="24" t="inlineStr">
        <is>
          <t>NPB</t>
        </is>
      </c>
      <c r="F38" s="24" t="inlineStr">
        <is>
          <t>Hiroshima Carp</t>
        </is>
      </c>
      <c r="G38" s="24" t="inlineStr">
        <is>
          <t>Tokyo Yakult Swallows</t>
        </is>
      </c>
      <c r="H38" s="24" t="inlineStr">
        <is>
          <t>moneyline</t>
        </is>
      </c>
      <c r="I38" s="24" t="inlineStr">
        <is>
          <t>away</t>
        </is>
      </c>
      <c r="J38" s="25" t="n"/>
      <c r="K38" s="24" t="inlineStr">
        <is>
          <t>polymarket_us</t>
        </is>
      </c>
      <c r="L38" s="26" t="n">
        <v>-127</v>
      </c>
      <c r="M38" s="27" t="n">
        <v>1.787402</v>
      </c>
      <c r="N38" s="28" t="n">
        <v>0.5594710000000001</v>
      </c>
      <c r="O38" s="28" t="n">
        <v>0.516541</v>
      </c>
      <c r="P38" s="28" t="n"/>
      <c r="Q38" s="28" t="n">
        <v>-0.04293</v>
      </c>
      <c r="R38" s="26" t="n">
        <v>0</v>
      </c>
      <c r="S38" s="29" t="n">
        <v>1</v>
      </c>
      <c r="T38" s="24" t="inlineStr">
        <is>
          <t>npb-tie-aware-elo-v2</t>
        </is>
      </c>
      <c r="U38" s="24" t="inlineStr">
        <is>
          <t>settled</t>
        </is>
      </c>
      <c r="V38" s="24" t="inlineStr">
        <is>
          <t>loss</t>
        </is>
      </c>
      <c r="W38" s="26" t="n">
        <v>0</v>
      </c>
      <c r="X38" s="26" t="n">
        <v>12</v>
      </c>
      <c r="Y38" s="25" t="n"/>
      <c r="Z38" s="26" t="n"/>
      <c r="AA38" s="28" t="n"/>
      <c r="AB38" s="28" t="n"/>
      <c r="AC38" s="30" t="n">
        <v>-1</v>
      </c>
      <c r="AD38" s="24" t="inlineStr">
        <is>
          <t>2026-08-12T21:15:46.267272Z</t>
        </is>
      </c>
      <c r="AE38" s="31" t="inlineStr">
        <is>
          <t>Tie-aware Elo baseline; executable ask 0.5600 (market_slug=aec-npb-tys-hci-2026-08-12). Tie probability=0.0347.</t>
        </is>
      </c>
      <c r="AF38" s="31" t="inlineStr">
        <is>
          <t>Config-promoted international baseball baseline; gates enforced at log time.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paper_call</t>
        </is>
      </c>
      <c r="AL38" s="26" t="n">
        <v>3</v>
      </c>
      <c r="AM38" s="24" t="inlineStr">
        <is>
          <t>RESEARCH_OBSERVATION</t>
        </is>
      </c>
      <c r="AN38" s="24" t="inlineStr">
        <is>
          <t>CALL</t>
        </is>
      </c>
      <c r="AO38" s="24" t="inlineStr">
        <is>
          <t>PAPER_CALL_LOW_EDGE</t>
        </is>
      </c>
      <c r="AP38" s="24" t="inlineStr">
        <is>
          <t>Hiroshima Carp</t>
        </is>
      </c>
      <c r="AQ38" s="24" t="inlineStr">
        <is>
          <t>Hiroshima Carp</t>
        </is>
      </c>
      <c r="AR38" s="24" t="inlineStr">
        <is>
          <t>Hiroshima Carp</t>
        </is>
      </c>
      <c r="AS38" s="24" t="inlineStr">
        <is>
          <t>Tokyo Yakult Swallows</t>
        </is>
      </c>
      <c r="AT38" s="24" t="inlineStr">
        <is>
          <t>Tokyo Yakult Swallows</t>
        </is>
      </c>
      <c r="AU38" s="24" t="inlineStr">
        <is>
          <t>Tokyo Yakult Swallows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05ce5c163469a19fa69948e39f5a5c074f3e14d31fa465677897d80bd6c4e801</t>
        </is>
      </c>
      <c r="BB38" s="24" t="inlineStr">
        <is>
          <t>tie_aware_elo</t>
        </is>
      </c>
      <c r="BC38" s="24" t="inlineStr">
        <is>
          <t>npb-tie-aware-elo-v2</t>
        </is>
      </c>
      <c r="BD38" s="24" t="inlineStr">
        <is>
          <t>05ce5c163469a19fa69948e39f5a5c074f3e14d31fa465677897d80bd6c4e801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npb-tie-aware-elo-v2</t>
        </is>
      </c>
      <c r="BH38" s="24" t="inlineStr">
        <is>
          <t>2026-08-12T08:21:35.145050Z</t>
        </is>
      </c>
      <c r="BI38" s="24" t="inlineStr">
        <is>
          <t>["same_event","same_team_same_day","same_league_same_day"]</t>
        </is>
      </c>
      <c r="BJ38" s="25" t="n"/>
      <c r="BK38" s="26" t="n">
        <v>-127</v>
      </c>
      <c r="BL38" s="27" t="n">
        <v>1.787402</v>
      </c>
      <c r="BM38" s="28" t="n">
        <v>0.5594710000000001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False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0.559471</t>
        </is>
      </c>
      <c r="DK38" s="24" t="n"/>
      <c r="DL38" s="24" t="n"/>
      <c r="DM38" s="24" t="n"/>
      <c r="DN38" s="24" t="n"/>
      <c r="DO38" s="24" t="n"/>
      <c r="DP38" s="24" t="n"/>
      <c r="DQ38" s="24" t="n"/>
    </row>
    <row r="39" ht="36" customHeight="1">
      <c r="A39" s="24" t="inlineStr">
        <is>
          <t>a17ab5132e4a416c</t>
        </is>
      </c>
      <c r="B39" s="24" t="inlineStr">
        <is>
          <t>2026-08-13T07:32:37.449638Z</t>
        </is>
      </c>
      <c r="C39" s="24" t="inlineStr">
        <is>
          <t>2026-08-13T09:00:00Z</t>
        </is>
      </c>
      <c r="D39" s="24" t="inlineStr">
        <is>
          <t>77187</t>
        </is>
      </c>
      <c r="E39" s="24" t="inlineStr">
        <is>
          <t>NPB</t>
        </is>
      </c>
      <c r="F39" s="24" t="inlineStr">
        <is>
          <t>Hanshin Tigers</t>
        </is>
      </c>
      <c r="G39" s="24" t="inlineStr">
        <is>
          <t>Yomiuri Giants</t>
        </is>
      </c>
      <c r="H39" s="24" t="inlineStr">
        <is>
          <t>moneyline</t>
        </is>
      </c>
      <c r="I39" s="24" t="inlineStr">
        <is>
          <t>away</t>
        </is>
      </c>
      <c r="J39" s="25" t="n"/>
      <c r="K39" s="24" t="inlineStr">
        <is>
          <t>polymarket_us</t>
        </is>
      </c>
      <c r="L39" s="26" t="n">
        <v>-108</v>
      </c>
      <c r="M39" s="27" t="n">
        <v>1.925926</v>
      </c>
      <c r="N39" s="28" t="n">
        <v>0.519231</v>
      </c>
      <c r="O39" s="28" t="n">
        <v>0.50388</v>
      </c>
      <c r="P39" s="28" t="n"/>
      <c r="Q39" s="28" t="n">
        <v>-0.015351</v>
      </c>
      <c r="R39" s="26" t="n">
        <v>12</v>
      </c>
      <c r="S39" s="29" t="n">
        <v>1</v>
      </c>
      <c r="T39" s="24" t="inlineStr">
        <is>
          <t>npb-tie-aware-elo-v2</t>
        </is>
      </c>
      <c r="U39" s="24" t="inlineStr">
        <is>
          <t>settled</t>
        </is>
      </c>
      <c r="V39" s="24" t="inlineStr">
        <is>
          <t>win</t>
        </is>
      </c>
      <c r="W39" s="26" t="n">
        <v>3</v>
      </c>
      <c r="X39" s="26" t="n">
        <v>2</v>
      </c>
      <c r="Y39" s="25" t="n"/>
      <c r="Z39" s="26" t="n"/>
      <c r="AA39" s="28" t="n"/>
      <c r="AB39" s="28" t="n"/>
      <c r="AC39" s="30" t="n">
        <v>0.9258999999999999</v>
      </c>
      <c r="AD39" s="24" t="inlineStr">
        <is>
          <t>2026-08-13T19:19:27.738871Z</t>
        </is>
      </c>
      <c r="AE39" s="31" t="inlineStr">
        <is>
          <t>Tie-aware Elo baseline; executable ask 0.5200 (market_slug=aec-npb-ygo-hta-2026-08-13). Tie probability=0.0358.</t>
        </is>
      </c>
      <c r="AF39" s="31" t="inlineStr">
        <is>
          <t>Config-promoted international baseball baseline; gates enforced at log time.</t>
        </is>
      </c>
      <c r="AG39" s="24" t="inlineStr">
        <is>
          <t>not_applicable</t>
        </is>
      </c>
      <c r="AH39" s="24" t="n"/>
      <c r="AI39" s="31" t="n"/>
      <c r="AJ39" s="31" t="n"/>
      <c r="AK39" s="24" t="inlineStr">
        <is>
          <t>paper_call</t>
        </is>
      </c>
      <c r="AL39" s="26" t="n">
        <v>3</v>
      </c>
      <c r="AM39" s="24" t="inlineStr">
        <is>
          <t>RESEARCH_OBSERVATION</t>
        </is>
      </c>
      <c r="AN39" s="24" t="inlineStr">
        <is>
          <t>CALL</t>
        </is>
      </c>
      <c r="AO39" s="24" t="inlineStr">
        <is>
          <t>PAPER_CALL_LOW_EDGE</t>
        </is>
      </c>
      <c r="AP39" s="24" t="inlineStr">
        <is>
          <t>Hanshin Tigers</t>
        </is>
      </c>
      <c r="AQ39" s="24" t="inlineStr">
        <is>
          <t>Hanshin Tigers</t>
        </is>
      </c>
      <c r="AR39" s="24" t="inlineStr">
        <is>
          <t>Hanshin Tigers</t>
        </is>
      </c>
      <c r="AS39" s="24" t="inlineStr">
        <is>
          <t>Yomiuri Giants</t>
        </is>
      </c>
      <c r="AT39" s="24" t="inlineStr">
        <is>
          <t>Yomiuri Giants</t>
        </is>
      </c>
      <c r="AU39" s="24" t="inlineStr">
        <is>
          <t>Yomiuri Giants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73d0572d55d5e962df216a5bc7e253f751021ae8c682a42661cae540d10ca7e1</t>
        </is>
      </c>
      <c r="BB39" s="24" t="inlineStr">
        <is>
          <t>tie_aware_elo</t>
        </is>
      </c>
      <c r="BC39" s="24" t="inlineStr">
        <is>
          <t>npb-tie-aware-elo-v2</t>
        </is>
      </c>
      <c r="BD39" s="24" t="inlineStr">
        <is>
          <t>73d0572d55d5e962df216a5bc7e253f751021ae8c682a42661cae540d10ca7e1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npb-tie-aware-elo-v2</t>
        </is>
      </c>
      <c r="BH39" s="24" t="inlineStr">
        <is>
          <t>2026-08-13T07:32:34.900584Z</t>
        </is>
      </c>
      <c r="BI39" s="24" t="inlineStr">
        <is>
          <t>["same_event","same_team_same_day","same_league_same_day"]</t>
        </is>
      </c>
      <c r="BJ39" s="25" t="n"/>
      <c r="BK39" s="26" t="n">
        <v>-108</v>
      </c>
      <c r="BL39" s="27" t="n">
        <v>1.925926</v>
      </c>
      <c r="BM39" s="28" t="n">
        <v>0.519231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False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0.519231</t>
        </is>
      </c>
      <c r="DK39" s="24" t="n"/>
      <c r="DL39" s="24" t="n"/>
      <c r="DM39" s="24" t="n"/>
      <c r="DN39" s="24" t="n"/>
      <c r="DO39" s="24" t="n"/>
      <c r="DP39" s="24" t="n"/>
      <c r="DQ39" s="24" t="n"/>
    </row>
    <row r="40" ht="36" customHeight="1">
      <c r="A40" s="24" t="inlineStr">
        <is>
          <t>7118096a03f74add</t>
        </is>
      </c>
      <c r="B40" s="24" t="inlineStr">
        <is>
          <t>2026-08-13T07:32:37.449638Z</t>
        </is>
      </c>
      <c r="C40" s="24" t="inlineStr">
        <is>
          <t>2026-08-13T09:00:00Z</t>
        </is>
      </c>
      <c r="D40" s="24" t="inlineStr">
        <is>
          <t>77188</t>
        </is>
      </c>
      <c r="E40" s="24" t="inlineStr">
        <is>
          <t>NPB</t>
        </is>
      </c>
      <c r="F40" s="24" t="inlineStr">
        <is>
          <t>Hiroshima Carp</t>
        </is>
      </c>
      <c r="G40" s="24" t="inlineStr">
        <is>
          <t>Tokyo Yakult Swallows</t>
        </is>
      </c>
      <c r="H40" s="24" t="inlineStr">
        <is>
          <t>moneyline</t>
        </is>
      </c>
      <c r="I40" s="24" t="inlineStr">
        <is>
          <t>home</t>
        </is>
      </c>
      <c r="J40" s="25" t="n"/>
      <c r="K40" s="24" t="inlineStr">
        <is>
          <t>polymarket_us</t>
        </is>
      </c>
      <c r="L40" s="26" t="n">
        <v>-122</v>
      </c>
      <c r="M40" s="27" t="n">
        <v>1.819672</v>
      </c>
      <c r="N40" s="28" t="n">
        <v>0.54955</v>
      </c>
      <c r="O40" s="28" t="n">
        <v>0.50975</v>
      </c>
      <c r="P40" s="28" t="n"/>
      <c r="Q40" s="28" t="n">
        <v>-0.0398</v>
      </c>
      <c r="R40" s="26" t="n">
        <v>0</v>
      </c>
      <c r="S40" s="29" t="n">
        <v>1</v>
      </c>
      <c r="T40" s="24" t="inlineStr">
        <is>
          <t>npb-tie-aware-elo-v2</t>
        </is>
      </c>
      <c r="U40" s="24" t="inlineStr">
        <is>
          <t>settled</t>
        </is>
      </c>
      <c r="V40" s="24" t="inlineStr">
        <is>
          <t>push</t>
        </is>
      </c>
      <c r="W40" s="26" t="n"/>
      <c r="X40" s="26" t="n"/>
      <c r="Y40" s="25" t="n"/>
      <c r="Z40" s="26" t="n"/>
      <c r="AA40" s="28" t="n"/>
      <c r="AB40" s="28" t="n"/>
      <c r="AC40" s="30" t="n">
        <v>0</v>
      </c>
      <c r="AD40" s="24" t="inlineStr">
        <is>
          <t>2026-08-31T06:26:55.478787Z</t>
        </is>
      </c>
      <c r="AE40" s="31" t="inlineStr">
        <is>
          <t>Tie-aware Elo baseline; executable ask 0.5500 (market_slug=aec-npb-tys-hci-2026-08-13). Tie probability=0.0353.</t>
        </is>
      </c>
      <c r="AF40" s="31" t="inlineStr">
        <is>
          <t>Config-promoted international baseball baseline; gates enforced at log time.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paper_call</t>
        </is>
      </c>
      <c r="AL40" s="26" t="n">
        <v>3</v>
      </c>
      <c r="AM40" s="24" t="inlineStr">
        <is>
          <t>RESEARCH_OBSERVATION</t>
        </is>
      </c>
      <c r="AN40" s="24" t="inlineStr">
        <is>
          <t>CALL</t>
        </is>
      </c>
      <c r="AO40" s="24" t="inlineStr">
        <is>
          <t>PAPER_CALL_LOW_EDGE</t>
        </is>
      </c>
      <c r="AP40" s="24" t="inlineStr">
        <is>
          <t>Hiroshima Carp</t>
        </is>
      </c>
      <c r="AQ40" s="24" t="inlineStr">
        <is>
          <t>Hiroshima Carp</t>
        </is>
      </c>
      <c r="AR40" s="24" t="inlineStr">
        <is>
          <t>Hiroshima Carp</t>
        </is>
      </c>
      <c r="AS40" s="24" t="inlineStr">
        <is>
          <t>Tokyo Yakult Swallows</t>
        </is>
      </c>
      <c r="AT40" s="24" t="inlineStr">
        <is>
          <t>Tokyo Yakult Swallows</t>
        </is>
      </c>
      <c r="AU40" s="24" t="inlineStr">
        <is>
          <t>Tokyo Yakult Swallows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73d0572d55d5e962df216a5bc7e253f751021ae8c682a42661cae540d10ca7e1</t>
        </is>
      </c>
      <c r="BB40" s="24" t="inlineStr">
        <is>
          <t>tie_aware_elo</t>
        </is>
      </c>
      <c r="BC40" s="24" t="inlineStr">
        <is>
          <t>npb-tie-aware-elo-v2</t>
        </is>
      </c>
      <c r="BD40" s="24" t="inlineStr">
        <is>
          <t>73d0572d55d5e962df216a5bc7e253f751021ae8c682a42661cae540d10ca7e1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npb-tie-aware-elo-v2</t>
        </is>
      </c>
      <c r="BH40" s="24" t="inlineStr">
        <is>
          <t>2026-08-13T07:32:35.510747Z</t>
        </is>
      </c>
      <c r="BI40" s="24" t="inlineStr">
        <is>
          <t>["same_event","same_team_same_day","same_league_same_day"]</t>
        </is>
      </c>
      <c r="BJ40" s="25" t="n"/>
      <c r="BK40" s="26" t="n">
        <v>-122</v>
      </c>
      <c r="BL40" s="27" t="n">
        <v>1.819672</v>
      </c>
      <c r="BM40" s="28" t="n">
        <v>0.54955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inlineStr">
        <is>
          <t>voided 2026-08-31: game never played on its slate date -- the official NPB source still lists C @ S on 2026-08-13 with no score (postponed; makeup games are replayed under a new game_id on a new date), so no result for this contract can ever exist and the row would stay open forever.</t>
        </is>
      </c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False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0.54955</t>
        </is>
      </c>
      <c r="DK40" s="24" t="n"/>
      <c r="DL40" s="24" t="n"/>
      <c r="DM40" s="24" t="n"/>
      <c r="DN40" s="24" t="n"/>
      <c r="DO40" s="24" t="n"/>
      <c r="DP40" s="24" t="n"/>
      <c r="DQ40" s="24" t="n"/>
    </row>
    <row r="41" ht="36" customHeight="1">
      <c r="A41" s="24" t="inlineStr">
        <is>
          <t>83e37e49db7a449f</t>
        </is>
      </c>
      <c r="B41" s="24" t="inlineStr">
        <is>
          <t>2026-08-13T07:32:37.449638Z</t>
        </is>
      </c>
      <c r="C41" s="24" t="inlineStr">
        <is>
          <t>2026-08-13T09:00:00Z</t>
        </is>
      </c>
      <c r="D41" s="24" t="inlineStr">
        <is>
          <t>77189</t>
        </is>
      </c>
      <c r="E41" s="24" t="inlineStr">
        <is>
          <t>NPB</t>
        </is>
      </c>
      <c r="F41" s="24" t="inlineStr">
        <is>
          <t>Yokohama BayStars</t>
        </is>
      </c>
      <c r="G41" s="24" t="inlineStr">
        <is>
          <t>Chunichi Dragons</t>
        </is>
      </c>
      <c r="H41" s="24" t="inlineStr">
        <is>
          <t>moneyline</t>
        </is>
      </c>
      <c r="I41" s="24" t="inlineStr">
        <is>
          <t>home</t>
        </is>
      </c>
      <c r="J41" s="25" t="n"/>
      <c r="K41" s="24" t="inlineStr">
        <is>
          <t>polymarket_us</t>
        </is>
      </c>
      <c r="L41" s="26" t="n">
        <v>-108</v>
      </c>
      <c r="M41" s="27" t="n">
        <v>1.925926</v>
      </c>
      <c r="N41" s="28" t="n">
        <v>0.519231</v>
      </c>
      <c r="O41" s="28" t="n">
        <v>0.5144570000000001</v>
      </c>
      <c r="P41" s="28" t="n"/>
      <c r="Q41" s="28" t="n">
        <v>-0.004774</v>
      </c>
      <c r="R41" s="26" t="n">
        <v>18</v>
      </c>
      <c r="S41" s="29" t="n">
        <v>1</v>
      </c>
      <c r="T41" s="24" t="inlineStr">
        <is>
          <t>npb-tie-aware-elo-v2</t>
        </is>
      </c>
      <c r="U41" s="24" t="inlineStr">
        <is>
          <t>settled</t>
        </is>
      </c>
      <c r="V41" s="24" t="inlineStr">
        <is>
          <t>loss</t>
        </is>
      </c>
      <c r="W41" s="26" t="n">
        <v>5</v>
      </c>
      <c r="X41" s="26" t="n">
        <v>1</v>
      </c>
      <c r="Y41" s="25" t="n"/>
      <c r="Z41" s="26" t="n"/>
      <c r="AA41" s="28" t="n"/>
      <c r="AB41" s="28" t="n"/>
      <c r="AC41" s="30" t="n">
        <v>-1</v>
      </c>
      <c r="AD41" s="24" t="inlineStr">
        <is>
          <t>2026-08-13T19:19:31.876417Z</t>
        </is>
      </c>
      <c r="AE41" s="31" t="inlineStr">
        <is>
          <t>Tie-aware Elo baseline; executable ask 0.5200 (market_slug=aec-npb-cdh-ybo-2026-08-13). Tie probability=0.0349.</t>
        </is>
      </c>
      <c r="AF41" s="31" t="inlineStr">
        <is>
          <t>Config-promoted international baseball baseline; gates enforced at log time.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paper_call</t>
        </is>
      </c>
      <c r="AL41" s="26" t="n">
        <v>3</v>
      </c>
      <c r="AM41" s="24" t="inlineStr">
        <is>
          <t>RESEARCH_OBSERVATION</t>
        </is>
      </c>
      <c r="AN41" s="24" t="inlineStr">
        <is>
          <t>CALL</t>
        </is>
      </c>
      <c r="AO41" s="24" t="inlineStr">
        <is>
          <t>PAPER_CALL_LOW_EDGE</t>
        </is>
      </c>
      <c r="AP41" s="24" t="inlineStr">
        <is>
          <t>Yokohama BayStars</t>
        </is>
      </c>
      <c r="AQ41" s="24" t="inlineStr">
        <is>
          <t>Yokohama BayStars</t>
        </is>
      </c>
      <c r="AR41" s="24" t="inlineStr">
        <is>
          <t>Yokohama BayStars</t>
        </is>
      </c>
      <c r="AS41" s="24" t="inlineStr">
        <is>
          <t>Chunichi Dragons</t>
        </is>
      </c>
      <c r="AT41" s="24" t="inlineStr">
        <is>
          <t>Chunichi Dragons</t>
        </is>
      </c>
      <c r="AU41" s="24" t="inlineStr">
        <is>
          <t>Chunichi Dragons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73d0572d55d5e962df216a5bc7e253f751021ae8c682a42661cae540d10ca7e1</t>
        </is>
      </c>
      <c r="BB41" s="24" t="inlineStr">
        <is>
          <t>tie_aware_elo</t>
        </is>
      </c>
      <c r="BC41" s="24" t="inlineStr">
        <is>
          <t>npb-tie-aware-elo-v2</t>
        </is>
      </c>
      <c r="BD41" s="24" t="inlineStr">
        <is>
          <t>73d0572d55d5e962df216a5bc7e253f751021ae8c682a42661cae540d10ca7e1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npb-tie-aware-elo-v2</t>
        </is>
      </c>
      <c r="BH41" s="24" t="inlineStr">
        <is>
          <t>2026-08-13T07:32:36.017681Z</t>
        </is>
      </c>
      <c r="BI41" s="24" t="inlineStr">
        <is>
          <t>["same_event","same_team_same_day","same_league_same_day"]</t>
        </is>
      </c>
      <c r="BJ41" s="25" t="n"/>
      <c r="BK41" s="26" t="n">
        <v>-108</v>
      </c>
      <c r="BL41" s="27" t="n">
        <v>1.925926</v>
      </c>
      <c r="BM41" s="28" t="n">
        <v>0.519231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False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0.519231</t>
        </is>
      </c>
      <c r="DK41" s="24" t="n"/>
      <c r="DL41" s="24" t="n"/>
      <c r="DM41" s="24" t="n"/>
      <c r="DN41" s="24" t="n"/>
      <c r="DO41" s="24" t="n"/>
      <c r="DP41" s="24" t="n"/>
      <c r="DQ41" s="24" t="n"/>
    </row>
    <row r="42" ht="36" customHeight="1">
      <c r="A42" s="24" t="inlineStr">
        <is>
          <t>a91f4d493230419e</t>
        </is>
      </c>
      <c r="B42" s="24" t="inlineStr">
        <is>
          <t>2026-08-13T07:32:37.449638Z</t>
        </is>
      </c>
      <c r="C42" s="24" t="inlineStr">
        <is>
          <t>2026-08-13T09:00:00Z</t>
        </is>
      </c>
      <c r="D42" s="24" t="inlineStr">
        <is>
          <t>77190</t>
        </is>
      </c>
      <c r="E42" s="24" t="inlineStr">
        <is>
          <t>NPB</t>
        </is>
      </c>
      <c r="F42" s="24" t="inlineStr">
        <is>
          <t>Saitama Seibu Lions</t>
        </is>
      </c>
      <c r="G42" s="24" t="inlineStr">
        <is>
          <t>Nippon Ham Fighters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-156</v>
      </c>
      <c r="M42" s="27" t="n">
        <v>1.641026</v>
      </c>
      <c r="N42" s="28" t="n">
        <v>0.609375</v>
      </c>
      <c r="O42" s="28" t="n">
        <v>0.5480120000000001</v>
      </c>
      <c r="P42" s="28" t="n"/>
      <c r="Q42" s="28" t="n">
        <v>-0.061363</v>
      </c>
      <c r="R42" s="26" t="n">
        <v>0</v>
      </c>
      <c r="S42" s="29" t="n">
        <v>1</v>
      </c>
      <c r="T42" s="24" t="inlineStr">
        <is>
          <t>npb-tie-aware-elo-v2</t>
        </is>
      </c>
      <c r="U42" s="24" t="inlineStr">
        <is>
          <t>settled</t>
        </is>
      </c>
      <c r="V42" s="24" t="inlineStr">
        <is>
          <t>win</t>
        </is>
      </c>
      <c r="W42" s="26" t="n">
        <v>2</v>
      </c>
      <c r="X42" s="26" t="n">
        <v>8</v>
      </c>
      <c r="Y42" s="25" t="n"/>
      <c r="Z42" s="26" t="n"/>
      <c r="AA42" s="28" t="n"/>
      <c r="AB42" s="28" t="n"/>
      <c r="AC42" s="30" t="n">
        <v>0.641</v>
      </c>
      <c r="AD42" s="24" t="inlineStr">
        <is>
          <t>2026-08-13T19:19:32.032279Z</t>
        </is>
      </c>
      <c r="AE42" s="31" t="inlineStr">
        <is>
          <t>Tie-aware Elo baseline; executable ask 0.6100 (market_slug=aec-npb-nhf-ssl-2026-08-13). Tie probability=0.0319.</t>
        </is>
      </c>
      <c r="AF42" s="31" t="inlineStr">
        <is>
          <t>Config-promoted international baseball baseline; gates enforced at log time.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paper_call</t>
        </is>
      </c>
      <c r="AL42" s="26" t="n">
        <v>3</v>
      </c>
      <c r="AM42" s="24" t="inlineStr">
        <is>
          <t>RESEARCH_OBSERVATION</t>
        </is>
      </c>
      <c r="AN42" s="24" t="inlineStr">
        <is>
          <t>CALL</t>
        </is>
      </c>
      <c r="AO42" s="24" t="inlineStr">
        <is>
          <t>PAPER_CALL_LOW_EDGE</t>
        </is>
      </c>
      <c r="AP42" s="24" t="inlineStr">
        <is>
          <t>Saitama Seibu Lions</t>
        </is>
      </c>
      <c r="AQ42" s="24" t="inlineStr">
        <is>
          <t>Saitama Seibu Lions</t>
        </is>
      </c>
      <c r="AR42" s="24" t="inlineStr">
        <is>
          <t>Saitama Seibu Lions</t>
        </is>
      </c>
      <c r="AS42" s="24" t="inlineStr">
        <is>
          <t>Nippon Ham Fighters</t>
        </is>
      </c>
      <c r="AT42" s="24" t="inlineStr">
        <is>
          <t>Nippon Ham Fighters</t>
        </is>
      </c>
      <c r="AU42" s="24" t="inlineStr">
        <is>
          <t>Nippon Ham Fighters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73d0572d55d5e962df216a5bc7e253f751021ae8c682a42661cae540d10ca7e1</t>
        </is>
      </c>
      <c r="BB42" s="24" t="inlineStr">
        <is>
          <t>tie_aware_elo</t>
        </is>
      </c>
      <c r="BC42" s="24" t="inlineStr">
        <is>
          <t>npb-tie-aware-elo-v2</t>
        </is>
      </c>
      <c r="BD42" s="24" t="inlineStr">
        <is>
          <t>73d0572d55d5e962df216a5bc7e253f751021ae8c682a42661cae540d10ca7e1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npb-tie-aware-elo-v2</t>
        </is>
      </c>
      <c r="BH42" s="24" t="inlineStr">
        <is>
          <t>2026-08-13T07:32:36.479497Z</t>
        </is>
      </c>
      <c r="BI42" s="24" t="inlineStr">
        <is>
          <t>["same_event","same_team_same_day","same_league_same_day"]</t>
        </is>
      </c>
      <c r="BJ42" s="25" t="n"/>
      <c r="BK42" s="26" t="n">
        <v>-156</v>
      </c>
      <c r="BL42" s="27" t="n">
        <v>1.641026</v>
      </c>
      <c r="BM42" s="28" t="n">
        <v>0.609375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False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0.609375</t>
        </is>
      </c>
      <c r="DK42" s="24" t="n"/>
      <c r="DL42" s="24" t="n"/>
      <c r="DM42" s="24" t="n"/>
      <c r="DN42" s="24" t="n"/>
      <c r="DO42" s="24" t="n"/>
      <c r="DP42" s="24" t="n"/>
      <c r="DQ42" s="24" t="n"/>
    </row>
    <row r="43" ht="36" customHeight="1">
      <c r="A43" s="24" t="inlineStr">
        <is>
          <t>634f5e09a84d49d4</t>
        </is>
      </c>
      <c r="B43" s="24" t="inlineStr">
        <is>
          <t>2026-08-13T07:32:37.449638Z</t>
        </is>
      </c>
      <c r="C43" s="24" t="inlineStr">
        <is>
          <t>2026-08-13T09:00:00Z</t>
        </is>
      </c>
      <c r="D43" s="24" t="inlineStr">
        <is>
          <t>77186</t>
        </is>
      </c>
      <c r="E43" s="24" t="inlineStr">
        <is>
          <t>NPB</t>
        </is>
      </c>
      <c r="F43" s="24" t="inlineStr">
        <is>
          <t>Orix Buffaloes</t>
        </is>
      </c>
      <c r="G43" s="24" t="inlineStr">
        <is>
          <t>Tohoku Rakuten Golden Eagles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-122</v>
      </c>
      <c r="M43" s="27" t="n">
        <v>1.819672</v>
      </c>
      <c r="N43" s="28" t="n">
        <v>0.54955</v>
      </c>
      <c r="O43" s="28" t="n">
        <v>0.507038</v>
      </c>
      <c r="P43" s="28" t="n"/>
      <c r="Q43" s="28" t="n">
        <v>-0.042512</v>
      </c>
      <c r="R43" s="26" t="n">
        <v>0</v>
      </c>
      <c r="S43" s="29" t="n">
        <v>1</v>
      </c>
      <c r="T43" s="24" t="inlineStr">
        <is>
          <t>npb-tie-aware-elo-v2</t>
        </is>
      </c>
      <c r="U43" s="24" t="inlineStr">
        <is>
          <t>settled</t>
        </is>
      </c>
      <c r="V43" s="24" t="inlineStr">
        <is>
          <t>loss</t>
        </is>
      </c>
      <c r="W43" s="26" t="n">
        <v>8</v>
      </c>
      <c r="X43" s="26" t="n">
        <v>2</v>
      </c>
      <c r="Y43" s="25" t="n"/>
      <c r="Z43" s="26" t="n"/>
      <c r="AA43" s="28" t="n"/>
      <c r="AB43" s="28" t="n"/>
      <c r="AC43" s="30" t="n">
        <v>-1</v>
      </c>
      <c r="AD43" s="24" t="inlineStr">
        <is>
          <t>2026-08-13T19:19:32.183896Z</t>
        </is>
      </c>
      <c r="AE43" s="31" t="inlineStr">
        <is>
          <t>Tie-aware Elo baseline; executable ask 0.5500 (market_slug=aec-npb-trge-obr-2026-08-13). Tie probability=0.0355.</t>
        </is>
      </c>
      <c r="AF43" s="31" t="inlineStr">
        <is>
          <t>Config-promoted international baseball baseline; gates enforced at log time.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paper_call</t>
        </is>
      </c>
      <c r="AL43" s="26" t="n">
        <v>3</v>
      </c>
      <c r="AM43" s="24" t="inlineStr">
        <is>
          <t>RESEARCH_OBSERVATION</t>
        </is>
      </c>
      <c r="AN43" s="24" t="inlineStr">
        <is>
          <t>CALL</t>
        </is>
      </c>
      <c r="AO43" s="24" t="inlineStr">
        <is>
          <t>PAPER_CALL_LOW_EDGE</t>
        </is>
      </c>
      <c r="AP43" s="24" t="inlineStr">
        <is>
          <t>Orix Buffaloes</t>
        </is>
      </c>
      <c r="AQ43" s="24" t="inlineStr">
        <is>
          <t>Orix Buffaloes</t>
        </is>
      </c>
      <c r="AR43" s="24" t="inlineStr">
        <is>
          <t>Orix Buffaloes</t>
        </is>
      </c>
      <c r="AS43" s="24" t="inlineStr">
        <is>
          <t>Tohoku Rakuten Golden Eagles</t>
        </is>
      </c>
      <c r="AT43" s="24" t="inlineStr">
        <is>
          <t>Tohoku Rakuten Golden Eagles</t>
        </is>
      </c>
      <c r="AU43" s="24" t="inlineStr">
        <is>
          <t>Tohoku Rakuten Golden Eagles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73d0572d55d5e962df216a5bc7e253f751021ae8c682a42661cae540d10ca7e1</t>
        </is>
      </c>
      <c r="BB43" s="24" t="inlineStr">
        <is>
          <t>tie_aware_elo</t>
        </is>
      </c>
      <c r="BC43" s="24" t="inlineStr">
        <is>
          <t>npb-tie-aware-elo-v2</t>
        </is>
      </c>
      <c r="BD43" s="24" t="inlineStr">
        <is>
          <t>73d0572d55d5e962df216a5bc7e253f751021ae8c682a42661cae540d10ca7e1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npb-tie-aware-elo-v2</t>
        </is>
      </c>
      <c r="BH43" s="24" t="inlineStr">
        <is>
          <t>2026-08-13T07:32:36.966712Z</t>
        </is>
      </c>
      <c r="BI43" s="24" t="inlineStr">
        <is>
          <t>["same_event","same_team_same_day","same_league_same_day"]</t>
        </is>
      </c>
      <c r="BJ43" s="25" t="n"/>
      <c r="BK43" s="26" t="n">
        <v>-122</v>
      </c>
      <c r="BL43" s="27" t="n">
        <v>1.819672</v>
      </c>
      <c r="BM43" s="28" t="n">
        <v>0.54955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False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0.54955</t>
        </is>
      </c>
      <c r="DK43" s="24" t="n"/>
      <c r="DL43" s="24" t="n"/>
      <c r="DM43" s="24" t="n"/>
      <c r="DN43" s="24" t="n"/>
      <c r="DO43" s="24" t="n"/>
      <c r="DP43" s="24" t="n"/>
      <c r="DQ43" s="24" t="n"/>
    </row>
    <row r="44" ht="36" customHeight="1">
      <c r="A44" s="24" t="inlineStr">
        <is>
          <t>24acc1da6c4a4dae</t>
        </is>
      </c>
      <c r="B44" s="24" t="inlineStr">
        <is>
          <t>2026-08-13T07:32:37.449638Z</t>
        </is>
      </c>
      <c r="C44" s="24" t="inlineStr">
        <is>
          <t>2026-08-13T09:00:00Z</t>
        </is>
      </c>
      <c r="D44" s="24" t="inlineStr">
        <is>
          <t>77191</t>
        </is>
      </c>
      <c r="E44" s="24" t="inlineStr">
        <is>
          <t>NPB</t>
        </is>
      </c>
      <c r="F44" s="24" t="inlineStr">
        <is>
          <t>Chiba Lotte Marines</t>
        </is>
      </c>
      <c r="G44" s="24" t="inlineStr">
        <is>
          <t>Fukuoka SoftBank Hawks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-203</v>
      </c>
      <c r="M44" s="27" t="n">
        <v>1.492611</v>
      </c>
      <c r="N44" s="28" t="n">
        <v>0.669967</v>
      </c>
      <c r="O44" s="28" t="n">
        <v>0.666743</v>
      </c>
      <c r="P44" s="28" t="n"/>
      <c r="Q44" s="28" t="n">
        <v>-0.003224</v>
      </c>
      <c r="R44" s="26" t="n">
        <v>18</v>
      </c>
      <c r="S44" s="29" t="n">
        <v>1.75</v>
      </c>
      <c r="T44" s="24" t="inlineStr">
        <is>
          <t>npb-tie-aware-elo-v2</t>
        </is>
      </c>
      <c r="U44" s="24" t="inlineStr">
        <is>
          <t>settled</t>
        </is>
      </c>
      <c r="V44" s="24" t="inlineStr">
        <is>
          <t>loss</t>
        </is>
      </c>
      <c r="W44" s="26" t="n">
        <v>4</v>
      </c>
      <c r="X44" s="26" t="n">
        <v>3</v>
      </c>
      <c r="Y44" s="25" t="n"/>
      <c r="Z44" s="26" t="n"/>
      <c r="AA44" s="28" t="n"/>
      <c r="AB44" s="28" t="n"/>
      <c r="AC44" s="30" t="n">
        <v>-1.75</v>
      </c>
      <c r="AD44" s="24" t="inlineStr">
        <is>
          <t>2026-08-13T19:19:32.338984Z</t>
        </is>
      </c>
      <c r="AE44" s="31" t="inlineStr">
        <is>
          <t>Tie-aware Elo baseline; executable ask 0.6700 (market_slug=aec-npb-fsh-clm-2026-08-13). Tie probability=0.0213.</t>
        </is>
      </c>
      <c r="AF44" s="31" t="inlineStr">
        <is>
          <t>Config-promoted international baseball baseline; gates enforced at log time.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paper_call</t>
        </is>
      </c>
      <c r="AL44" s="26" t="n">
        <v>3</v>
      </c>
      <c r="AM44" s="24" t="inlineStr">
        <is>
          <t>RESEARCH_OBSERVATION</t>
        </is>
      </c>
      <c r="AN44" s="24" t="inlineStr">
        <is>
          <t>CALL</t>
        </is>
      </c>
      <c r="AO44" s="24" t="inlineStr">
        <is>
          <t>PAPER_CALL_LOW_EDGE</t>
        </is>
      </c>
      <c r="AP44" s="24" t="inlineStr">
        <is>
          <t>Chiba Lotte Marines</t>
        </is>
      </c>
      <c r="AQ44" s="24" t="inlineStr">
        <is>
          <t>Chiba Lotte Marines</t>
        </is>
      </c>
      <c r="AR44" s="24" t="inlineStr">
        <is>
          <t>Chiba Lotte Marines</t>
        </is>
      </c>
      <c r="AS44" s="24" t="inlineStr">
        <is>
          <t>Fukuoka SoftBank Hawks</t>
        </is>
      </c>
      <c r="AT44" s="24" t="inlineStr">
        <is>
          <t>Fukuoka SoftBank Hawks</t>
        </is>
      </c>
      <c r="AU44" s="24" t="inlineStr">
        <is>
          <t>Fukuoka SoftBank Hawks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73d0572d55d5e962df216a5bc7e253f751021ae8c682a42661cae540d10ca7e1</t>
        </is>
      </c>
      <c r="BB44" s="24" t="inlineStr">
        <is>
          <t>tie_aware_elo</t>
        </is>
      </c>
      <c r="BC44" s="24" t="inlineStr">
        <is>
          <t>npb-tie-aware-elo-v2</t>
        </is>
      </c>
      <c r="BD44" s="24" t="inlineStr">
        <is>
          <t>73d0572d55d5e962df216a5bc7e253f751021ae8c682a42661cae540d10ca7e1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npb-tie-aware-elo-v2</t>
        </is>
      </c>
      <c r="BH44" s="24" t="inlineStr">
        <is>
          <t>2026-08-13T07:32:37.449581Z</t>
        </is>
      </c>
      <c r="BI44" s="24" t="inlineStr">
        <is>
          <t>["same_event","same_team_same_day","same_league_same_day"]</t>
        </is>
      </c>
      <c r="BJ44" s="25" t="n"/>
      <c r="BK44" s="26" t="n">
        <v>-203</v>
      </c>
      <c r="BL44" s="27" t="n">
        <v>1.492611</v>
      </c>
      <c r="BM44" s="28" t="n">
        <v>0.669967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False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0.669967</t>
        </is>
      </c>
      <c r="DK44" s="24" t="n"/>
      <c r="DL44" s="24" t="n"/>
      <c r="DM44" s="24" t="n"/>
      <c r="DN44" s="24" t="n"/>
      <c r="DO44" s="24" t="n"/>
      <c r="DP44" s="24" t="n"/>
      <c r="DQ44" s="24" t="n"/>
    </row>
    <row r="45" ht="36" customHeight="1">
      <c r="A45" s="24" t="inlineStr">
        <is>
          <t>e5d9c62f9f99482d</t>
        </is>
      </c>
      <c r="B45" s="24" t="inlineStr">
        <is>
          <t>2026-08-14T07:40:55.509700Z</t>
        </is>
      </c>
      <c r="C45" s="24" t="inlineStr">
        <is>
          <t>2026-08-14T09:00:00Z</t>
        </is>
      </c>
      <c r="D45" s="24" t="inlineStr">
        <is>
          <t>78213</t>
        </is>
      </c>
      <c r="E45" s="24" t="inlineStr">
        <is>
          <t>NPB</t>
        </is>
      </c>
      <c r="F45" s="24" t="inlineStr">
        <is>
          <t>Yokohama BayStars</t>
        </is>
      </c>
      <c r="G45" s="24" t="inlineStr">
        <is>
          <t>Tokyo Yakult Swallows</t>
        </is>
      </c>
      <c r="H45" s="24" t="inlineStr">
        <is>
          <t>moneyline</t>
        </is>
      </c>
      <c r="I45" s="24" t="inlineStr">
        <is>
          <t>away</t>
        </is>
      </c>
      <c r="J45" s="25" t="n"/>
      <c r="K45" s="24" t="inlineStr">
        <is>
          <t>polymarket_us</t>
        </is>
      </c>
      <c r="L45" s="26" t="n">
        <v>-138</v>
      </c>
      <c r="M45" s="27" t="n">
        <v>1.724638</v>
      </c>
      <c r="N45" s="28" t="n">
        <v>0.579832</v>
      </c>
      <c r="O45" s="28" t="n">
        <v>0.600357</v>
      </c>
      <c r="P45" s="28" t="n"/>
      <c r="Q45" s="28" t="n">
        <v>0.020525</v>
      </c>
      <c r="R45" s="26" t="n">
        <v>30</v>
      </c>
      <c r="S45" s="29" t="n">
        <v>1.25</v>
      </c>
      <c r="T45" s="24" t="inlineStr">
        <is>
          <t>npb-tie-aware-elo-v2</t>
        </is>
      </c>
      <c r="U45" s="24" t="inlineStr">
        <is>
          <t>settled</t>
        </is>
      </c>
      <c r="V45" s="24" t="inlineStr">
        <is>
          <t>loss</t>
        </is>
      </c>
      <c r="W45" s="26" t="n">
        <v>2</v>
      </c>
      <c r="X45" s="26" t="n">
        <v>7</v>
      </c>
      <c r="Y45" s="25" t="n"/>
      <c r="Z45" s="26" t="n"/>
      <c r="AA45" s="28" t="n"/>
      <c r="AB45" s="28" t="n"/>
      <c r="AC45" s="30" t="n">
        <v>-1.25</v>
      </c>
      <c r="AD45" s="24" t="inlineStr">
        <is>
          <t>2026-08-14T18:41:44.684386Z</t>
        </is>
      </c>
      <c r="AE45" s="31" t="inlineStr">
        <is>
          <t>Tie-aware Elo baseline; executable ask 0.5800 (market_slug=aec-npb-tys-ybo-2026-08-14). Tie probability=0.0273.</t>
        </is>
      </c>
      <c r="AF45" s="31" t="inlineStr">
        <is>
          <t>Config-promoted international baseball baseline; gates enforced at log time.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3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Yokohama BayStars</t>
        </is>
      </c>
      <c r="AQ45" s="24" t="inlineStr">
        <is>
          <t>Yokohama BayStars</t>
        </is>
      </c>
      <c r="AR45" s="24" t="inlineStr">
        <is>
          <t>Yokohama BayStars</t>
        </is>
      </c>
      <c r="AS45" s="24" t="inlineStr">
        <is>
          <t>Tokyo Yakult Swallows</t>
        </is>
      </c>
      <c r="AT45" s="24" t="inlineStr">
        <is>
          <t>Tokyo Yakult Swallows</t>
        </is>
      </c>
      <c r="AU45" s="24" t="inlineStr">
        <is>
          <t>Tokyo Yakult Swallows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0ec6a8155fa0d073b51a8fb402271a58a1cf6672cf76c1fa6677626e466d761c</t>
        </is>
      </c>
      <c r="BB45" s="24" t="inlineStr">
        <is>
          <t>tie_aware_elo</t>
        </is>
      </c>
      <c r="BC45" s="24" t="inlineStr">
        <is>
          <t>npb-tie-aware-elo-v2</t>
        </is>
      </c>
      <c r="BD45" s="24" t="inlineStr">
        <is>
          <t>0ec6a8155fa0d073b51a8fb402271a58a1cf6672cf76c1fa6677626e466d761c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npb-tie-aware-elo-v2</t>
        </is>
      </c>
      <c r="BH45" s="24" t="inlineStr">
        <is>
          <t>2026-08-14T07:40:51.902870Z</t>
        </is>
      </c>
      <c r="BI45" s="24" t="inlineStr">
        <is>
          <t>["same_event","same_team_same_day","same_league_same_day"]</t>
        </is>
      </c>
      <c r="BJ45" s="25" t="n"/>
      <c r="BK45" s="26" t="n">
        <v>-138</v>
      </c>
      <c r="BL45" s="27" t="n">
        <v>1.724638</v>
      </c>
      <c r="BM45" s="28" t="n">
        <v>0.579832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True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0.579832</t>
        </is>
      </c>
      <c r="DK45" s="24" t="n"/>
      <c r="DL45" s="24" t="n"/>
      <c r="DM45" s="24" t="n"/>
      <c r="DN45" s="24" t="n"/>
      <c r="DO45" s="24" t="n"/>
      <c r="DP45" s="24" t="n"/>
      <c r="DQ45" s="24" t="n"/>
    </row>
    <row r="46" ht="36" customHeight="1">
      <c r="A46" s="24" t="inlineStr">
        <is>
          <t>69eb5cc06923402e</t>
        </is>
      </c>
      <c r="B46" s="24" t="inlineStr">
        <is>
          <t>2026-08-14T07:40:55.509700Z</t>
        </is>
      </c>
      <c r="C46" s="24" t="inlineStr">
        <is>
          <t>2026-08-14T09:00:00Z</t>
        </is>
      </c>
      <c r="D46" s="24" t="inlineStr">
        <is>
          <t>78214</t>
        </is>
      </c>
      <c r="E46" s="24" t="inlineStr">
        <is>
          <t>NPB</t>
        </is>
      </c>
      <c r="F46" s="24" t="inlineStr">
        <is>
          <t>Yomiuri Giants</t>
        </is>
      </c>
      <c r="G46" s="24" t="inlineStr">
        <is>
          <t>Chunichi Dragons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-122</v>
      </c>
      <c r="M46" s="27" t="n">
        <v>1.819672</v>
      </c>
      <c r="N46" s="28" t="n">
        <v>0.54955</v>
      </c>
      <c r="O46" s="28" t="n">
        <v>0.509559</v>
      </c>
      <c r="P46" s="28" t="n"/>
      <c r="Q46" s="28" t="n">
        <v>-0.039991</v>
      </c>
      <c r="R46" s="26" t="n">
        <v>0</v>
      </c>
      <c r="S46" s="29" t="n">
        <v>1</v>
      </c>
      <c r="T46" s="24" t="inlineStr">
        <is>
          <t>npb-tie-aware-elo-v2</t>
        </is>
      </c>
      <c r="U46" s="24" t="inlineStr">
        <is>
          <t>settled</t>
        </is>
      </c>
      <c r="V46" s="24" t="inlineStr">
        <is>
          <t>loss</t>
        </is>
      </c>
      <c r="W46" s="26" t="n">
        <v>1</v>
      </c>
      <c r="X46" s="26" t="n">
        <v>0</v>
      </c>
      <c r="Y46" s="25" t="n"/>
      <c r="Z46" s="26" t="n"/>
      <c r="AA46" s="28" t="n"/>
      <c r="AB46" s="28" t="n"/>
      <c r="AC46" s="30" t="n">
        <v>-1</v>
      </c>
      <c r="AD46" s="24" t="inlineStr">
        <is>
          <t>2026-08-14T18:41:44.911989Z</t>
        </is>
      </c>
      <c r="AE46" s="31" t="inlineStr">
        <is>
          <t>Tie-aware Elo baseline; executable ask 0.5500 (market_slug=aec-npb-cdh-ygo-2026-08-14). Tie probability=0.0352.</t>
        </is>
      </c>
      <c r="AF46" s="31" t="inlineStr">
        <is>
          <t>Config-promoted international baseball baseline; gates enforced at log time.</t>
        </is>
      </c>
      <c r="AG46" s="24" t="inlineStr">
        <is>
          <t>review_required</t>
        </is>
      </c>
      <c r="AH46" s="24" t="n"/>
      <c r="AI46" s="31" t="n"/>
      <c r="AJ46" s="31" t="n"/>
      <c r="AK46" s="24" t="inlineStr">
        <is>
          <t>paper_call</t>
        </is>
      </c>
      <c r="AL46" s="26" t="n">
        <v>3</v>
      </c>
      <c r="AM46" s="24" t="inlineStr">
        <is>
          <t>RESEARCH_OBSERVATION</t>
        </is>
      </c>
      <c r="AN46" s="24" t="inlineStr">
        <is>
          <t>CALL</t>
        </is>
      </c>
      <c r="AO46" s="24" t="inlineStr">
        <is>
          <t>PAPER_CALL_LOW_EDGE</t>
        </is>
      </c>
      <c r="AP46" s="24" t="inlineStr">
        <is>
          <t>Yomiuri Giants</t>
        </is>
      </c>
      <c r="AQ46" s="24" t="inlineStr">
        <is>
          <t>Yomiuri Giants</t>
        </is>
      </c>
      <c r="AR46" s="24" t="inlineStr">
        <is>
          <t>Yomiuri Giants</t>
        </is>
      </c>
      <c r="AS46" s="24" t="inlineStr">
        <is>
          <t>Chunichi Dragons</t>
        </is>
      </c>
      <c r="AT46" s="24" t="inlineStr">
        <is>
          <t>Chunichi Dragons</t>
        </is>
      </c>
      <c r="AU46" s="24" t="inlineStr">
        <is>
          <t>Chunichi Dragons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0ec6a8155fa0d073b51a8fb402271a58a1cf6672cf76c1fa6677626e466d761c</t>
        </is>
      </c>
      <c r="BB46" s="24" t="inlineStr">
        <is>
          <t>tie_aware_elo</t>
        </is>
      </c>
      <c r="BC46" s="24" t="inlineStr">
        <is>
          <t>npb-tie-aware-elo-v2</t>
        </is>
      </c>
      <c r="BD46" s="24" t="inlineStr">
        <is>
          <t>0ec6a8155fa0d073b51a8fb402271a58a1cf6672cf76c1fa6677626e466d761c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npb-tie-aware-elo-v2</t>
        </is>
      </c>
      <c r="BH46" s="24" t="inlineStr">
        <is>
          <t>2026-08-14T07:40:52.646880Z</t>
        </is>
      </c>
      <c r="BI46" s="24" t="inlineStr">
        <is>
          <t>["same_event","same_team_same_day","same_league_same_day"]</t>
        </is>
      </c>
      <c r="BJ46" s="25" t="n"/>
      <c r="BK46" s="26" t="n">
        <v>-122</v>
      </c>
      <c r="BL46" s="27" t="n">
        <v>1.819672</v>
      </c>
      <c r="BM46" s="28" t="n">
        <v>0.54955</v>
      </c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False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0.54955</t>
        </is>
      </c>
      <c r="DK46" s="24" t="n"/>
      <c r="DL46" s="24" t="n"/>
      <c r="DM46" s="24" t="n"/>
      <c r="DN46" s="24" t="n"/>
      <c r="DO46" s="24" t="n"/>
      <c r="DP46" s="24" t="n"/>
      <c r="DQ46" s="24" t="n"/>
    </row>
    <row r="47" ht="36" customHeight="1">
      <c r="A47" s="24" t="inlineStr">
        <is>
          <t>42db52ba39e04587</t>
        </is>
      </c>
      <c r="B47" s="24" t="inlineStr">
        <is>
          <t>2026-08-14T07:40:55.509700Z</t>
        </is>
      </c>
      <c r="C47" s="24" t="inlineStr">
        <is>
          <t>2026-08-14T09:00:00Z</t>
        </is>
      </c>
      <c r="D47" s="24" t="inlineStr">
        <is>
          <t>78215</t>
        </is>
      </c>
      <c r="E47" s="24" t="inlineStr">
        <is>
          <t>NPB</t>
        </is>
      </c>
      <c r="F47" s="24" t="inlineStr">
        <is>
          <t>Hanshin Tigers</t>
        </is>
      </c>
      <c r="G47" s="24" t="inlineStr">
        <is>
          <t>Hiroshima Carp</t>
        </is>
      </c>
      <c r="H47" s="24" t="inlineStr">
        <is>
          <t>moneyline</t>
        </is>
      </c>
      <c r="I47" s="24" t="inlineStr">
        <is>
          <t>away</t>
        </is>
      </c>
      <c r="J47" s="25" t="n"/>
      <c r="K47" s="24" t="inlineStr">
        <is>
          <t>polymarket_us</t>
        </is>
      </c>
      <c r="L47" s="26" t="n">
        <v>-194</v>
      </c>
      <c r="M47" s="27" t="n">
        <v>1.515464</v>
      </c>
      <c r="N47" s="28" t="n">
        <v>0.659864</v>
      </c>
      <c r="O47" s="28" t="n">
        <v>0.610401</v>
      </c>
      <c r="P47" s="28" t="n"/>
      <c r="Q47" s="28" t="n">
        <v>-0.049463</v>
      </c>
      <c r="R47" s="26" t="n">
        <v>0</v>
      </c>
      <c r="S47" s="29" t="n">
        <v>1.5</v>
      </c>
      <c r="T47" s="24" t="inlineStr">
        <is>
          <t>npb-tie-aware-elo-v2</t>
        </is>
      </c>
      <c r="U47" s="24" t="inlineStr">
        <is>
          <t>settled</t>
        </is>
      </c>
      <c r="V47" s="24" t="inlineStr">
        <is>
          <t>loss</t>
        </is>
      </c>
      <c r="W47" s="26" t="n">
        <v>1</v>
      </c>
      <c r="X47" s="26" t="n">
        <v>6</v>
      </c>
      <c r="Y47" s="25" t="n"/>
      <c r="Z47" s="26" t="n"/>
      <c r="AA47" s="28" t="n"/>
      <c r="AB47" s="28" t="n"/>
      <c r="AC47" s="30" t="n">
        <v>-1.5</v>
      </c>
      <c r="AD47" s="24" t="inlineStr">
        <is>
          <t>2026-08-14T18:41:45.102998Z</t>
        </is>
      </c>
      <c r="AE47" s="31" t="inlineStr">
        <is>
          <t>Tie-aware Elo baseline; executable ask 0.6600 (market_slug=aec-npb-hci-hta-2026-08-14). Tie probability=0.0264.</t>
        </is>
      </c>
      <c r="AF47" s="31" t="inlineStr">
        <is>
          <t>Config-promoted international baseball baseline; gates enforced at log time.</t>
        </is>
      </c>
      <c r="AG47" s="24" t="inlineStr">
        <is>
          <t>review_required</t>
        </is>
      </c>
      <c r="AH47" s="24" t="n"/>
      <c r="AI47" s="31" t="n"/>
      <c r="AJ47" s="31" t="n"/>
      <c r="AK47" s="24" t="inlineStr">
        <is>
          <t>paper_call</t>
        </is>
      </c>
      <c r="AL47" s="26" t="n">
        <v>3</v>
      </c>
      <c r="AM47" s="24" t="inlineStr">
        <is>
          <t>RESEARCH_OBSERVATION</t>
        </is>
      </c>
      <c r="AN47" s="24" t="inlineStr">
        <is>
          <t>CALL</t>
        </is>
      </c>
      <c r="AO47" s="24" t="inlineStr">
        <is>
          <t>PAPER_CALL_LOW_EDGE</t>
        </is>
      </c>
      <c r="AP47" s="24" t="inlineStr">
        <is>
          <t>Hanshin Tigers</t>
        </is>
      </c>
      <c r="AQ47" s="24" t="inlineStr">
        <is>
          <t>Hanshin Tigers</t>
        </is>
      </c>
      <c r="AR47" s="24" t="inlineStr">
        <is>
          <t>Hanshin Tigers</t>
        </is>
      </c>
      <c r="AS47" s="24" t="inlineStr">
        <is>
          <t>Hiroshima Carp</t>
        </is>
      </c>
      <c r="AT47" s="24" t="inlineStr">
        <is>
          <t>Hiroshima Carp</t>
        </is>
      </c>
      <c r="AU47" s="24" t="inlineStr">
        <is>
          <t>Hiroshima Carp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0ec6a8155fa0d073b51a8fb402271a58a1cf6672cf76c1fa6677626e466d761c</t>
        </is>
      </c>
      <c r="BB47" s="24" t="inlineStr">
        <is>
          <t>tie_aware_elo</t>
        </is>
      </c>
      <c r="BC47" s="24" t="inlineStr">
        <is>
          <t>npb-tie-aware-elo-v2</t>
        </is>
      </c>
      <c r="BD47" s="24" t="inlineStr">
        <is>
          <t>0ec6a8155fa0d073b51a8fb402271a58a1cf6672cf76c1fa6677626e466d761c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npb-tie-aware-elo-v2</t>
        </is>
      </c>
      <c r="BH47" s="24" t="inlineStr">
        <is>
          <t>2026-08-14T07:40:53.203833Z</t>
        </is>
      </c>
      <c r="BI47" s="24" t="inlineStr">
        <is>
          <t>["same_event","same_team_same_day","same_league_same_day"]</t>
        </is>
      </c>
      <c r="BJ47" s="25" t="n"/>
      <c r="BK47" s="26" t="n">
        <v>-194</v>
      </c>
      <c r="BL47" s="27" t="n">
        <v>1.515464</v>
      </c>
      <c r="BM47" s="28" t="n">
        <v>0.659864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False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0.659864</t>
        </is>
      </c>
      <c r="DK47" s="24" t="n"/>
      <c r="DL47" s="24" t="n"/>
      <c r="DM47" s="24" t="n"/>
      <c r="DN47" s="24" t="n"/>
      <c r="DO47" s="24" t="n"/>
      <c r="DP47" s="24" t="n"/>
      <c r="DQ47" s="24" t="n"/>
    </row>
    <row r="48" ht="36" customHeight="1">
      <c r="A48" s="24" t="inlineStr">
        <is>
          <t>b182dc54efc348d9</t>
        </is>
      </c>
      <c r="B48" s="24" t="inlineStr">
        <is>
          <t>2026-08-14T07:40:55.509700Z</t>
        </is>
      </c>
      <c r="C48" s="24" t="inlineStr">
        <is>
          <t>2026-08-14T09:00:00Z</t>
        </is>
      </c>
      <c r="D48" s="24" t="inlineStr">
        <is>
          <t>78216</t>
        </is>
      </c>
      <c r="E48" s="24" t="inlineStr">
        <is>
          <t>NPB</t>
        </is>
      </c>
      <c r="F48" s="24" t="inlineStr">
        <is>
          <t>Chiba Lotte Marines</t>
        </is>
      </c>
      <c r="G48" s="24" t="inlineStr">
        <is>
          <t>Saitama Seibu Lions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-127</v>
      </c>
      <c r="M48" s="27" t="n">
        <v>1.787402</v>
      </c>
      <c r="N48" s="28" t="n">
        <v>0.5594710000000001</v>
      </c>
      <c r="O48" s="28" t="n">
        <v>0.542219</v>
      </c>
      <c r="P48" s="28" t="n"/>
      <c r="Q48" s="28" t="n">
        <v>-0.017252</v>
      </c>
      <c r="R48" s="26" t="n">
        <v>11</v>
      </c>
      <c r="S48" s="29" t="n">
        <v>1</v>
      </c>
      <c r="T48" s="24" t="inlineStr">
        <is>
          <t>npb-tie-aware-elo-v2</t>
        </is>
      </c>
      <c r="U48" s="24" t="inlineStr">
        <is>
          <t>settled</t>
        </is>
      </c>
      <c r="V48" s="24" t="inlineStr">
        <is>
          <t>win</t>
        </is>
      </c>
      <c r="W48" s="26" t="n">
        <v>0</v>
      </c>
      <c r="X48" s="26" t="n">
        <v>7</v>
      </c>
      <c r="Y48" s="25" t="n"/>
      <c r="Z48" s="26" t="n"/>
      <c r="AA48" s="28" t="n"/>
      <c r="AB48" s="28" t="n"/>
      <c r="AC48" s="30" t="n">
        <v>0.7874</v>
      </c>
      <c r="AD48" s="24" t="inlineStr">
        <is>
          <t>2026-08-14T18:41:45.294955Z</t>
        </is>
      </c>
      <c r="AE48" s="31" t="inlineStr">
        <is>
          <t>Tie-aware Elo baseline; executable ask 0.5600 (market_slug=aec-npb-ssl-clm-2026-08-14). Tie probability=0.0324.</t>
        </is>
      </c>
      <c r="AF48" s="31" t="inlineStr">
        <is>
          <t>Config-promoted international baseball baseline; gates enforced at log time.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paper_call</t>
        </is>
      </c>
      <c r="AL48" s="26" t="n">
        <v>3</v>
      </c>
      <c r="AM48" s="24" t="inlineStr">
        <is>
          <t>RESEARCH_OBSERVATION</t>
        </is>
      </c>
      <c r="AN48" s="24" t="inlineStr">
        <is>
          <t>CALL</t>
        </is>
      </c>
      <c r="AO48" s="24" t="inlineStr">
        <is>
          <t>PAPER_CALL_LOW_EDGE</t>
        </is>
      </c>
      <c r="AP48" s="24" t="inlineStr">
        <is>
          <t>Chiba Lotte Marines</t>
        </is>
      </c>
      <c r="AQ48" s="24" t="inlineStr">
        <is>
          <t>Chiba Lotte Marines</t>
        </is>
      </c>
      <c r="AR48" s="24" t="inlineStr">
        <is>
          <t>Chiba Lotte Marines</t>
        </is>
      </c>
      <c r="AS48" s="24" t="inlineStr">
        <is>
          <t>Saitama Seibu Lions</t>
        </is>
      </c>
      <c r="AT48" s="24" t="inlineStr">
        <is>
          <t>Saitama Seibu Lions</t>
        </is>
      </c>
      <c r="AU48" s="24" t="inlineStr">
        <is>
          <t>Saitama Seibu Lions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0ec6a8155fa0d073b51a8fb402271a58a1cf6672cf76c1fa6677626e466d761c</t>
        </is>
      </c>
      <c r="BB48" s="24" t="inlineStr">
        <is>
          <t>tie_aware_elo</t>
        </is>
      </c>
      <c r="BC48" s="24" t="inlineStr">
        <is>
          <t>npb-tie-aware-elo-v2</t>
        </is>
      </c>
      <c r="BD48" s="24" t="inlineStr">
        <is>
          <t>0ec6a8155fa0d073b51a8fb402271a58a1cf6672cf76c1fa6677626e466d761c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npb-tie-aware-elo-v2</t>
        </is>
      </c>
      <c r="BH48" s="24" t="inlineStr">
        <is>
          <t>2026-08-14T07:40:54.330267Z</t>
        </is>
      </c>
      <c r="BI48" s="24" t="inlineStr">
        <is>
          <t>["same_event","same_team_same_day","same_league_same_day"]</t>
        </is>
      </c>
      <c r="BJ48" s="25" t="n"/>
      <c r="BK48" s="26" t="n">
        <v>-127</v>
      </c>
      <c r="BL48" s="27" t="n">
        <v>1.787402</v>
      </c>
      <c r="BM48" s="28" t="n">
        <v>0.5594710000000001</v>
      </c>
      <c r="BN48" s="28" t="n"/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False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0.559471</t>
        </is>
      </c>
      <c r="DK48" s="24" t="n"/>
      <c r="DL48" s="24" t="n"/>
      <c r="DM48" s="24" t="n"/>
      <c r="DN48" s="24" t="n"/>
      <c r="DO48" s="24" t="n"/>
      <c r="DP48" s="24" t="n"/>
      <c r="DQ48" s="24" t="n"/>
    </row>
    <row r="49" ht="36" customHeight="1">
      <c r="A49" s="24" t="inlineStr">
        <is>
          <t>4d2ec4bd963a4200</t>
        </is>
      </c>
      <c r="B49" s="24" t="inlineStr">
        <is>
          <t>2026-08-14T07:40:55.509700Z</t>
        </is>
      </c>
      <c r="C49" s="24" t="inlineStr">
        <is>
          <t>2026-08-14T09:00:00Z</t>
        </is>
      </c>
      <c r="D49" s="24" t="inlineStr">
        <is>
          <t>78217</t>
        </is>
      </c>
      <c r="E49" s="24" t="inlineStr">
        <is>
          <t>NPB</t>
        </is>
      </c>
      <c r="F49" s="24" t="inlineStr">
        <is>
          <t>Nippon Ham Fighters</t>
        </is>
      </c>
      <c r="G49" s="24" t="inlineStr">
        <is>
          <t>Orix Buffaloes</t>
        </is>
      </c>
      <c r="H49" s="24" t="inlineStr">
        <is>
          <t>moneyline</t>
        </is>
      </c>
      <c r="I49" s="24" t="inlineStr">
        <is>
          <t>away</t>
        </is>
      </c>
      <c r="J49" s="25" t="n"/>
      <c r="K49" s="24" t="inlineStr">
        <is>
          <t>polymarket_us</t>
        </is>
      </c>
      <c r="L49" s="26" t="n">
        <v>-150</v>
      </c>
      <c r="M49" s="27" t="n">
        <v>1.666667</v>
      </c>
      <c r="N49" s="28" t="n">
        <v>0.6</v>
      </c>
      <c r="O49" s="28" t="n">
        <v>0.541187</v>
      </c>
      <c r="P49" s="28" t="n"/>
      <c r="Q49" s="28" t="n">
        <v>-0.058813</v>
      </c>
      <c r="R49" s="26" t="n">
        <v>0</v>
      </c>
      <c r="S49" s="29" t="n">
        <v>1</v>
      </c>
      <c r="T49" s="24" t="inlineStr">
        <is>
          <t>npb-tie-aware-elo-v2</t>
        </is>
      </c>
      <c r="U49" s="24" t="inlineStr">
        <is>
          <t>settled</t>
        </is>
      </c>
      <c r="V49" s="24" t="inlineStr">
        <is>
          <t>loss</t>
        </is>
      </c>
      <c r="W49" s="26" t="n">
        <v>2</v>
      </c>
      <c r="X49" s="26" t="n">
        <v>6</v>
      </c>
      <c r="Y49" s="25" t="n"/>
      <c r="Z49" s="26" t="n"/>
      <c r="AA49" s="28" t="n"/>
      <c r="AB49" s="28" t="n"/>
      <c r="AC49" s="30" t="n">
        <v>-1</v>
      </c>
      <c r="AD49" s="24" t="inlineStr">
        <is>
          <t>2026-08-14T18:41:45.487741Z</t>
        </is>
      </c>
      <c r="AE49" s="31" t="inlineStr">
        <is>
          <t>Tie-aware Elo baseline; executable ask 0.6000 (market_slug=aec-npb-obr-nhf-2026-08-14). Tie probability=0.0325.</t>
        </is>
      </c>
      <c r="AF49" s="31" t="inlineStr">
        <is>
          <t>Config-promoted international baseball baseline; gates enforced at log time.</t>
        </is>
      </c>
      <c r="AG49" s="24" t="inlineStr">
        <is>
          <t>review_required</t>
        </is>
      </c>
      <c r="AH49" s="24" t="n"/>
      <c r="AI49" s="31" t="n"/>
      <c r="AJ49" s="31" t="n"/>
      <c r="AK49" s="24" t="inlineStr">
        <is>
          <t>paper_call</t>
        </is>
      </c>
      <c r="AL49" s="26" t="n">
        <v>3</v>
      </c>
      <c r="AM49" s="24" t="inlineStr">
        <is>
          <t>RESEARCH_OBSERVATION</t>
        </is>
      </c>
      <c r="AN49" s="24" t="inlineStr">
        <is>
          <t>CALL</t>
        </is>
      </c>
      <c r="AO49" s="24" t="inlineStr">
        <is>
          <t>PAPER_CALL_LOW_EDGE</t>
        </is>
      </c>
      <c r="AP49" s="24" t="inlineStr">
        <is>
          <t>Nippon Ham Fighters</t>
        </is>
      </c>
      <c r="AQ49" s="24" t="inlineStr">
        <is>
          <t>Nippon Ham Fighters</t>
        </is>
      </c>
      <c r="AR49" s="24" t="inlineStr">
        <is>
          <t>Nippon Ham Fighters</t>
        </is>
      </c>
      <c r="AS49" s="24" t="inlineStr">
        <is>
          <t>Orix Buffaloes</t>
        </is>
      </c>
      <c r="AT49" s="24" t="inlineStr">
        <is>
          <t>Orix Buffaloes</t>
        </is>
      </c>
      <c r="AU49" s="24" t="inlineStr">
        <is>
          <t>Orix Buffaloes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0ec6a8155fa0d073b51a8fb402271a58a1cf6672cf76c1fa6677626e466d761c</t>
        </is>
      </c>
      <c r="BB49" s="24" t="inlineStr">
        <is>
          <t>tie_aware_elo</t>
        </is>
      </c>
      <c r="BC49" s="24" t="inlineStr">
        <is>
          <t>npb-tie-aware-elo-v2</t>
        </is>
      </c>
      <c r="BD49" s="24" t="inlineStr">
        <is>
          <t>0ec6a8155fa0d073b51a8fb402271a58a1cf6672cf76c1fa6677626e466d761c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npb-tie-aware-elo-v2</t>
        </is>
      </c>
      <c r="BH49" s="24" t="inlineStr">
        <is>
          <t>2026-08-14T07:40:54.820787Z</t>
        </is>
      </c>
      <c r="BI49" s="24" t="inlineStr">
        <is>
          <t>["same_event","same_team_same_day","same_league_same_day"]</t>
        </is>
      </c>
      <c r="BJ49" s="25" t="n"/>
      <c r="BK49" s="26" t="n">
        <v>-150</v>
      </c>
      <c r="BL49" s="27" t="n">
        <v>1.666667</v>
      </c>
      <c r="BM49" s="28" t="n">
        <v>0.6</v>
      </c>
      <c r="BN49" s="28" t="n"/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False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inlineStr">
        <is>
          <t>0.6</t>
        </is>
      </c>
      <c r="DK49" s="24" t="n"/>
      <c r="DL49" s="24" t="n"/>
      <c r="DM49" s="24" t="n"/>
      <c r="DN49" s="24" t="n"/>
      <c r="DO49" s="24" t="n"/>
      <c r="DP49" s="24" t="n"/>
      <c r="DQ49" s="24" t="n"/>
    </row>
    <row r="50" ht="36" customHeight="1">
      <c r="A50" s="24" t="inlineStr">
        <is>
          <t>1092dab3b0bb4f20</t>
        </is>
      </c>
      <c r="B50" s="24" t="inlineStr">
        <is>
          <t>2026-08-14T07:40:55.509700Z</t>
        </is>
      </c>
      <c r="C50" s="24" t="inlineStr">
        <is>
          <t>2026-08-14T09:00:00Z</t>
        </is>
      </c>
      <c r="D50" s="24" t="inlineStr">
        <is>
          <t>78218</t>
        </is>
      </c>
      <c r="E50" s="24" t="inlineStr">
        <is>
          <t>NPB</t>
        </is>
      </c>
      <c r="F50" s="24" t="inlineStr">
        <is>
          <t>Tohoku Rakuten Golden Eagles</t>
        </is>
      </c>
      <c r="G50" s="24" t="inlineStr">
        <is>
          <t>Fukuoka SoftBank Hawks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-300</v>
      </c>
      <c r="M50" s="27" t="n">
        <v>1.333333</v>
      </c>
      <c r="N50" s="28" t="n">
        <v>0.75</v>
      </c>
      <c r="O50" s="28" t="n">
        <v>0.7031500000000001</v>
      </c>
      <c r="P50" s="28" t="n"/>
      <c r="Q50" s="28" t="n">
        <v>-0.04685</v>
      </c>
      <c r="R50" s="26" t="n">
        <v>0</v>
      </c>
      <c r="S50" s="29" t="n">
        <v>2</v>
      </c>
      <c r="T50" s="24" t="inlineStr">
        <is>
          <t>npb-tie-aware-elo-v2</t>
        </is>
      </c>
      <c r="U50" s="24" t="inlineStr">
        <is>
          <t>settled</t>
        </is>
      </c>
      <c r="V50" s="24" t="inlineStr">
        <is>
          <t>loss</t>
        </is>
      </c>
      <c r="W50" s="26" t="n">
        <v>5</v>
      </c>
      <c r="X50" s="26" t="n">
        <v>2</v>
      </c>
      <c r="Y50" s="25" t="n"/>
      <c r="Z50" s="26" t="n"/>
      <c r="AA50" s="28" t="n"/>
      <c r="AB50" s="28" t="n"/>
      <c r="AC50" s="30" t="n">
        <v>-2</v>
      </c>
      <c r="AD50" s="24" t="inlineStr">
        <is>
          <t>2026-08-14T18:41:45.681152Z</t>
        </is>
      </c>
      <c r="AE50" s="31" t="inlineStr">
        <is>
          <t>Tie-aware Elo baseline; executable ask 0.7500 (market_slug=aec-npb-fsh-trge-2026-08-14). Tie probability=0.0177.</t>
        </is>
      </c>
      <c r="AF50" s="31" t="inlineStr">
        <is>
          <t>Config-promoted international baseball baseline; gates enforced at log time.</t>
        </is>
      </c>
      <c r="AG50" s="24" t="inlineStr">
        <is>
          <t>review_required</t>
        </is>
      </c>
      <c r="AH50" s="24" t="n"/>
      <c r="AI50" s="31" t="n"/>
      <c r="AJ50" s="31" t="n"/>
      <c r="AK50" s="24" t="inlineStr">
        <is>
          <t>paper_call</t>
        </is>
      </c>
      <c r="AL50" s="26" t="n">
        <v>3</v>
      </c>
      <c r="AM50" s="24" t="inlineStr">
        <is>
          <t>RESEARCH_OBSERVATION</t>
        </is>
      </c>
      <c r="AN50" s="24" t="inlineStr">
        <is>
          <t>CALL</t>
        </is>
      </c>
      <c r="AO50" s="24" t="inlineStr">
        <is>
          <t>PAPER_CALL_LOW_EDGE</t>
        </is>
      </c>
      <c r="AP50" s="24" t="inlineStr">
        <is>
          <t>Tohoku Rakuten Golden Eagles</t>
        </is>
      </c>
      <c r="AQ50" s="24" t="inlineStr">
        <is>
          <t>Tohoku Rakuten Golden Eagles</t>
        </is>
      </c>
      <c r="AR50" s="24" t="inlineStr">
        <is>
          <t>Tohoku Rakuten Golden Eagles</t>
        </is>
      </c>
      <c r="AS50" s="24" t="inlineStr">
        <is>
          <t>Fukuoka SoftBank Hawks</t>
        </is>
      </c>
      <c r="AT50" s="24" t="inlineStr">
        <is>
          <t>Fukuoka SoftBank Hawks</t>
        </is>
      </c>
      <c r="AU50" s="24" t="inlineStr">
        <is>
          <t>Fukuoka SoftBank Hawks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0ec6a8155fa0d073b51a8fb402271a58a1cf6672cf76c1fa6677626e466d761c</t>
        </is>
      </c>
      <c r="BB50" s="24" t="inlineStr">
        <is>
          <t>tie_aware_elo</t>
        </is>
      </c>
      <c r="BC50" s="24" t="inlineStr">
        <is>
          <t>npb-tie-aware-elo-v2</t>
        </is>
      </c>
      <c r="BD50" s="24" t="inlineStr">
        <is>
          <t>0ec6a8155fa0d073b51a8fb402271a58a1cf6672cf76c1fa6677626e466d761c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npb-tie-aware-elo-v2</t>
        </is>
      </c>
      <c r="BH50" s="24" t="inlineStr">
        <is>
          <t>2026-08-14T07:40:55.509653Z</t>
        </is>
      </c>
      <c r="BI50" s="24" t="inlineStr">
        <is>
          <t>["same_event","same_team_same_day","same_league_same_day"]</t>
        </is>
      </c>
      <c r="BJ50" s="25" t="n"/>
      <c r="BK50" s="26" t="n">
        <v>-300</v>
      </c>
      <c r="BL50" s="27" t="n">
        <v>1.333333</v>
      </c>
      <c r="BM50" s="28" t="n">
        <v>0.75</v>
      </c>
      <c r="BN50" s="28" t="n"/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False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inlineStr">
        <is>
          <t>0.75</t>
        </is>
      </c>
      <c r="DK50" s="24" t="n"/>
      <c r="DL50" s="24" t="n"/>
      <c r="DM50" s="24" t="n"/>
      <c r="DN50" s="24" t="n"/>
      <c r="DO50" s="24" t="n"/>
      <c r="DP50" s="24" t="n"/>
      <c r="DQ50" s="24" t="n"/>
    </row>
    <row r="51" ht="36" customHeight="1">
      <c r="A51" s="24" t="inlineStr">
        <is>
          <t>5513b0cd42fe4147</t>
        </is>
      </c>
      <c r="B51" s="24" t="inlineStr">
        <is>
          <t>2026-08-15T05:19:55.523289Z</t>
        </is>
      </c>
      <c r="C51" s="24" t="inlineStr">
        <is>
          <t>2026-08-15T08:00:00Z</t>
        </is>
      </c>
      <c r="D51" s="24" t="inlineStr">
        <is>
          <t>79600</t>
        </is>
      </c>
      <c r="E51" s="24" t="inlineStr">
        <is>
          <t>NPB</t>
        </is>
      </c>
      <c r="F51" s="24" t="inlineStr">
        <is>
          <t>Chiba Lotte Marines</t>
        </is>
      </c>
      <c r="G51" s="24" t="inlineStr">
        <is>
          <t>Saitama Seibu Lions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polymarket_us</t>
        </is>
      </c>
      <c r="L51" s="26" t="n">
        <v>-133</v>
      </c>
      <c r="M51" s="27" t="n">
        <v>1.75188</v>
      </c>
      <c r="N51" s="28" t="n">
        <v>0.570815</v>
      </c>
      <c r="O51" s="28" t="n">
        <v>0.562043</v>
      </c>
      <c r="P51" s="28" t="n"/>
      <c r="Q51" s="28" t="n">
        <v>-0.008772</v>
      </c>
      <c r="R51" s="26" t="n">
        <v>16</v>
      </c>
      <c r="S51" s="29" t="n">
        <v>1</v>
      </c>
      <c r="T51" s="24" t="inlineStr">
        <is>
          <t>npb-tie-aware-elo-v2</t>
        </is>
      </c>
      <c r="U51" s="24" t="inlineStr">
        <is>
          <t>settled</t>
        </is>
      </c>
      <c r="V51" s="24" t="inlineStr">
        <is>
          <t>loss</t>
        </is>
      </c>
      <c r="W51" s="26" t="n">
        <v>5</v>
      </c>
      <c r="X51" s="26" t="n">
        <v>1</v>
      </c>
      <c r="Y51" s="25" t="n"/>
      <c r="Z51" s="26" t="n"/>
      <c r="AA51" s="28" t="n"/>
      <c r="AB51" s="28" t="n"/>
      <c r="AC51" s="30" t="n">
        <v>-1</v>
      </c>
      <c r="AD51" s="24" t="inlineStr">
        <is>
          <t>2026-08-15T21:04:20.931033Z</t>
        </is>
      </c>
      <c r="AE51" s="31" t="inlineStr">
        <is>
          <t>Tie-aware Elo baseline; executable ask 0.5700 (market_slug=aec-npb-ssl-clm-2026-08-15). Tie probability=0.0306.</t>
        </is>
      </c>
      <c r="AF51" s="31" t="inlineStr">
        <is>
          <t>Config-promoted international baseball baseline; gates enforced at log time.</t>
        </is>
      </c>
      <c r="AG51" s="24" t="inlineStr">
        <is>
          <t>review_required</t>
        </is>
      </c>
      <c r="AH51" s="24" t="n"/>
      <c r="AI51" s="31" t="n"/>
      <c r="AJ51" s="31" t="n"/>
      <c r="AK51" s="24" t="inlineStr">
        <is>
          <t>paper_call</t>
        </is>
      </c>
      <c r="AL51" s="26" t="n">
        <v>3</v>
      </c>
      <c r="AM51" s="24" t="inlineStr">
        <is>
          <t>RESEARCH_OBSERVATION</t>
        </is>
      </c>
      <c r="AN51" s="24" t="inlineStr">
        <is>
          <t>CALL</t>
        </is>
      </c>
      <c r="AO51" s="24" t="inlineStr">
        <is>
          <t>PAPER_CALL_LOW_EDGE</t>
        </is>
      </c>
      <c r="AP51" s="24" t="inlineStr">
        <is>
          <t>Chiba Lotte Marines</t>
        </is>
      </c>
      <c r="AQ51" s="24" t="inlineStr">
        <is>
          <t>Chiba Lotte Marines</t>
        </is>
      </c>
      <c r="AR51" s="24" t="inlineStr">
        <is>
          <t>Chiba Lotte Marines</t>
        </is>
      </c>
      <c r="AS51" s="24" t="inlineStr">
        <is>
          <t>Saitama Seibu Lions</t>
        </is>
      </c>
      <c r="AT51" s="24" t="inlineStr">
        <is>
          <t>Saitama Seibu Lions</t>
        </is>
      </c>
      <c r="AU51" s="24" t="inlineStr">
        <is>
          <t>Saitama Seibu Lions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072ddcaa62619dc4ffd89df971d7f32a8ce1f60a7c12cd45c154bd126737be9d</t>
        </is>
      </c>
      <c r="BB51" s="24" t="inlineStr">
        <is>
          <t>tie_aware_elo</t>
        </is>
      </c>
      <c r="BC51" s="24" t="inlineStr">
        <is>
          <t>npb-tie-aware-elo-v2</t>
        </is>
      </c>
      <c r="BD51" s="24" t="inlineStr">
        <is>
          <t>072ddcaa62619dc4ffd89df971d7f32a8ce1f60a7c12cd45c154bd126737be9d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npb-tie-aware-elo-v2</t>
        </is>
      </c>
      <c r="BH51" s="24" t="inlineStr">
        <is>
          <t>2026-08-15T05:19:54.243480Z</t>
        </is>
      </c>
      <c r="BI51" s="24" t="inlineStr">
        <is>
          <t>["same_event","same_team_same_day","same_league_same_day"]</t>
        </is>
      </c>
      <c r="BJ51" s="25" t="n"/>
      <c r="BK51" s="26" t="n">
        <v>-133</v>
      </c>
      <c r="BL51" s="27" t="n">
        <v>1.75188</v>
      </c>
      <c r="BM51" s="28" t="n">
        <v>0.570815</v>
      </c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False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inlineStr">
        <is>
          <t>0.570815</t>
        </is>
      </c>
      <c r="DK51" s="24" t="n"/>
      <c r="DL51" s="24" t="n"/>
      <c r="DM51" s="24" t="n"/>
      <c r="DN51" s="24" t="n"/>
      <c r="DO51" s="24" t="n"/>
      <c r="DP51" s="24" t="n"/>
      <c r="DQ51" s="24" t="n"/>
    </row>
    <row r="52" ht="36" customHeight="1">
      <c r="A52" s="24" t="inlineStr">
        <is>
          <t>63d8523d20ca457d</t>
        </is>
      </c>
      <c r="B52" s="24" t="inlineStr">
        <is>
          <t>2026-08-15T08:26:58.883721Z</t>
        </is>
      </c>
      <c r="C52" s="24" t="inlineStr">
        <is>
          <t>2026-08-15T09:00:00Z</t>
        </is>
      </c>
      <c r="D52" s="24" t="inlineStr">
        <is>
          <t>79605</t>
        </is>
      </c>
      <c r="E52" s="24" t="inlineStr">
        <is>
          <t>NPB</t>
        </is>
      </c>
      <c r="F52" s="24" t="inlineStr">
        <is>
          <t>Hanshin Tigers</t>
        </is>
      </c>
      <c r="G52" s="24" t="inlineStr">
        <is>
          <t>Hiroshima Carp</t>
        </is>
      </c>
      <c r="H52" s="24" t="inlineStr">
        <is>
          <t>moneyline</t>
        </is>
      </c>
      <c r="I52" s="24" t="inlineStr">
        <is>
          <t>away</t>
        </is>
      </c>
      <c r="J52" s="25" t="n"/>
      <c r="K52" s="24" t="inlineStr">
        <is>
          <t>polymarket_us</t>
        </is>
      </c>
      <c r="L52" s="26" t="n">
        <v>-156</v>
      </c>
      <c r="M52" s="27" t="n">
        <v>1.641026</v>
      </c>
      <c r="N52" s="28" t="n">
        <v>0.609375</v>
      </c>
      <c r="O52" s="28" t="n">
        <v>0.585107</v>
      </c>
      <c r="P52" s="28" t="n"/>
      <c r="Q52" s="28" t="n">
        <v>-0.024268</v>
      </c>
      <c r="R52" s="26" t="n">
        <v>8</v>
      </c>
      <c r="S52" s="29" t="n">
        <v>1.25</v>
      </c>
      <c r="T52" s="24" t="inlineStr">
        <is>
          <t>npb-tie-aware-elo-v2</t>
        </is>
      </c>
      <c r="U52" s="24" t="inlineStr">
        <is>
          <t>settled</t>
        </is>
      </c>
      <c r="V52" s="24" t="inlineStr">
        <is>
          <t>loss</t>
        </is>
      </c>
      <c r="W52" s="26" t="n">
        <v>2</v>
      </c>
      <c r="X52" s="26" t="n">
        <v>5</v>
      </c>
      <c r="Y52" s="25" t="n"/>
      <c r="Z52" s="26" t="n"/>
      <c r="AA52" s="28" t="n"/>
      <c r="AB52" s="28" t="n"/>
      <c r="AC52" s="30" t="n">
        <v>-1.25</v>
      </c>
      <c r="AD52" s="24" t="inlineStr">
        <is>
          <t>2026-08-15T21:04:21.141618Z</t>
        </is>
      </c>
      <c r="AE52" s="31" t="inlineStr">
        <is>
          <t>Tie-aware Elo baseline; executable ask 0.6100 (market_slug=aec-npb-hci-hta-2026-08-15). Tie probability=0.0286.</t>
        </is>
      </c>
      <c r="AF52" s="31" t="inlineStr">
        <is>
          <t>Config-promoted international baseball baseline; gates enforced at log time.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paper_call</t>
        </is>
      </c>
      <c r="AL52" s="26" t="n">
        <v>3</v>
      </c>
      <c r="AM52" s="24" t="inlineStr">
        <is>
          <t>RESEARCH_OBSERVATION</t>
        </is>
      </c>
      <c r="AN52" s="24" t="inlineStr">
        <is>
          <t>CALL</t>
        </is>
      </c>
      <c r="AO52" s="24" t="inlineStr">
        <is>
          <t>PAPER_CALL_LOW_EDGE</t>
        </is>
      </c>
      <c r="AP52" s="24" t="inlineStr">
        <is>
          <t>Hanshin Tigers</t>
        </is>
      </c>
      <c r="AQ52" s="24" t="inlineStr">
        <is>
          <t>Hanshin Tigers</t>
        </is>
      </c>
      <c r="AR52" s="24" t="inlineStr">
        <is>
          <t>Hanshin Tigers</t>
        </is>
      </c>
      <c r="AS52" s="24" t="inlineStr">
        <is>
          <t>Hiroshima Carp</t>
        </is>
      </c>
      <c r="AT52" s="24" t="inlineStr">
        <is>
          <t>Hiroshima Carp</t>
        </is>
      </c>
      <c r="AU52" s="24" t="inlineStr">
        <is>
          <t>Hiroshima Carp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000f6eee95cb6af8493ec14243c5d0f7fead0629067a53e32998d5732e0b49bc</t>
        </is>
      </c>
      <c r="BB52" s="24" t="inlineStr">
        <is>
          <t>tie_aware_elo</t>
        </is>
      </c>
      <c r="BC52" s="24" t="inlineStr">
        <is>
          <t>npb-tie-aware-elo-v2</t>
        </is>
      </c>
      <c r="BD52" s="24" t="inlineStr">
        <is>
          <t>000f6eee95cb6af8493ec14243c5d0f7fead0629067a53e32998d5732e0b49bc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npb-tie-aware-elo-v2</t>
        </is>
      </c>
      <c r="BH52" s="24" t="inlineStr">
        <is>
          <t>2026-08-15T08:26:58.386894Z</t>
        </is>
      </c>
      <c r="BI52" s="24" t="inlineStr">
        <is>
          <t>["same_event","same_team_same_day","same_league_same_day"]</t>
        </is>
      </c>
      <c r="BJ52" s="25" t="n"/>
      <c r="BK52" s="26" t="n">
        <v>-156</v>
      </c>
      <c r="BL52" s="27" t="n">
        <v>1.641026</v>
      </c>
      <c r="BM52" s="28" t="n">
        <v>0.609375</v>
      </c>
      <c r="BN52" s="28" t="n"/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False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inlineStr">
        <is>
          <t>0.609375</t>
        </is>
      </c>
      <c r="DK52" s="24" t="n"/>
      <c r="DL52" s="24" t="n"/>
      <c r="DM52" s="24" t="n"/>
      <c r="DN52" s="24" t="n"/>
      <c r="DO52" s="24" t="n"/>
      <c r="DP52" s="24" t="n"/>
      <c r="DQ52" s="24" t="n"/>
    </row>
    <row r="53" ht="36" customHeight="1">
      <c r="A53" s="24" t="inlineStr">
        <is>
          <t>8862aa5a728640ef</t>
        </is>
      </c>
      <c r="B53" s="24" t="inlineStr">
        <is>
          <t>2026-08-15T08:26:58.883721Z</t>
        </is>
      </c>
      <c r="C53" s="24" t="inlineStr">
        <is>
          <t>2026-08-15T09:00:00Z</t>
        </is>
      </c>
      <c r="D53" s="24" t="inlineStr">
        <is>
          <t>79606</t>
        </is>
      </c>
      <c r="E53" s="24" t="inlineStr">
        <is>
          <t>NPB</t>
        </is>
      </c>
      <c r="F53" s="24" t="inlineStr">
        <is>
          <t>Yokohama BayStars</t>
        </is>
      </c>
      <c r="G53" s="24" t="inlineStr">
        <is>
          <t>Tokyo Yakult Swallows</t>
        </is>
      </c>
      <c r="H53" s="24" t="inlineStr">
        <is>
          <t>moneyline</t>
        </is>
      </c>
      <c r="I53" s="24" t="inlineStr">
        <is>
          <t>away</t>
        </is>
      </c>
      <c r="J53" s="25" t="n"/>
      <c r="K53" s="24" t="inlineStr">
        <is>
          <t>polymarket_us</t>
        </is>
      </c>
      <c r="L53" s="26" t="n">
        <v>-133</v>
      </c>
      <c r="M53" s="27" t="n">
        <v>1.75188</v>
      </c>
      <c r="N53" s="28" t="n">
        <v>0.570815</v>
      </c>
      <c r="O53" s="28" t="n">
        <v>0.576173</v>
      </c>
      <c r="P53" s="28" t="n"/>
      <c r="Q53" s="28" t="n">
        <v>0.005358</v>
      </c>
      <c r="R53" s="26" t="n">
        <v>23</v>
      </c>
      <c r="S53" s="29" t="n">
        <v>1.25</v>
      </c>
      <c r="T53" s="24" t="inlineStr">
        <is>
          <t>npb-tie-aware-elo-v2</t>
        </is>
      </c>
      <c r="U53" s="24" t="inlineStr">
        <is>
          <t>settled</t>
        </is>
      </c>
      <c r="V53" s="24" t="inlineStr">
        <is>
          <t>loss</t>
        </is>
      </c>
      <c r="W53" s="26" t="n">
        <v>3</v>
      </c>
      <c r="X53" s="26" t="n">
        <v>4</v>
      </c>
      <c r="Y53" s="25" t="n"/>
      <c r="Z53" s="26" t="n"/>
      <c r="AA53" s="28" t="n"/>
      <c r="AB53" s="28" t="n"/>
      <c r="AC53" s="30" t="n">
        <v>-1.25</v>
      </c>
      <c r="AD53" s="24" t="inlineStr">
        <is>
          <t>2026-08-15T21:04:21.323426Z</t>
        </is>
      </c>
      <c r="AE53" s="31" t="inlineStr">
        <is>
          <t>Tie-aware Elo baseline; executable ask 0.5700 (market_slug=aec-npb-tys-ybo-2026-08-15). Tie probability=0.0294.</t>
        </is>
      </c>
      <c r="AF53" s="31" t="inlineStr">
        <is>
          <t>Config-promoted international baseball baseline; gates enforced at log time.</t>
        </is>
      </c>
      <c r="AG53" s="24" t="inlineStr">
        <is>
          <t>review_required</t>
        </is>
      </c>
      <c r="AH53" s="24" t="n"/>
      <c r="AI53" s="31" t="n"/>
      <c r="AJ53" s="31" t="n"/>
      <c r="AK53" s="24" t="inlineStr">
        <is>
          <t>paper_call</t>
        </is>
      </c>
      <c r="AL53" s="26" t="n">
        <v>3</v>
      </c>
      <c r="AM53" s="24" t="inlineStr">
        <is>
          <t>RESEARCH_OBSERVATION</t>
        </is>
      </c>
      <c r="AN53" s="24" t="inlineStr">
        <is>
          <t>CALL</t>
        </is>
      </c>
      <c r="AO53" s="24" t="inlineStr">
        <is>
          <t>PAPER_CALL_LOW_EDGE</t>
        </is>
      </c>
      <c r="AP53" s="24" t="inlineStr">
        <is>
          <t>Yokohama BayStars</t>
        </is>
      </c>
      <c r="AQ53" s="24" t="inlineStr">
        <is>
          <t>Yokohama BayStars</t>
        </is>
      </c>
      <c r="AR53" s="24" t="inlineStr">
        <is>
          <t>Yokohama BayStars</t>
        </is>
      </c>
      <c r="AS53" s="24" t="inlineStr">
        <is>
          <t>Tokyo Yakult Swallows</t>
        </is>
      </c>
      <c r="AT53" s="24" t="inlineStr">
        <is>
          <t>Tokyo Yakult Swallows</t>
        </is>
      </c>
      <c r="AU53" s="24" t="inlineStr">
        <is>
          <t>Tokyo Yakult Swallows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000f6eee95cb6af8493ec14243c5d0f7fead0629067a53e32998d5732e0b49bc</t>
        </is>
      </c>
      <c r="BB53" s="24" t="inlineStr">
        <is>
          <t>tie_aware_elo</t>
        </is>
      </c>
      <c r="BC53" s="24" t="inlineStr">
        <is>
          <t>npb-tie-aware-elo-v2</t>
        </is>
      </c>
      <c r="BD53" s="24" t="inlineStr">
        <is>
          <t>000f6eee95cb6af8493ec14243c5d0f7fead0629067a53e32998d5732e0b49bc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npb-tie-aware-elo-v2</t>
        </is>
      </c>
      <c r="BH53" s="24" t="inlineStr">
        <is>
          <t>2026-08-15T08:26:58.883681Z</t>
        </is>
      </c>
      <c r="BI53" s="24" t="inlineStr">
        <is>
          <t>["same_event","same_team_same_day","same_league_same_day"]</t>
        </is>
      </c>
      <c r="BJ53" s="25" t="n"/>
      <c r="BK53" s="26" t="n">
        <v>-133</v>
      </c>
      <c r="BL53" s="27" t="n">
        <v>1.75188</v>
      </c>
      <c r="BM53" s="28" t="n">
        <v>0.570815</v>
      </c>
      <c r="BN53" s="28" t="n"/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True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inlineStr">
        <is>
          <t>0.570815</t>
        </is>
      </c>
      <c r="DK53" s="24" t="n"/>
      <c r="DL53" s="24" t="n"/>
      <c r="DM53" s="24" t="n"/>
      <c r="DN53" s="24" t="n"/>
      <c r="DO53" s="24" t="n"/>
      <c r="DP53" s="24" t="n"/>
      <c r="DQ53" s="24" t="n"/>
    </row>
    <row r="54" ht="36" customHeight="1">
      <c r="A54" s="24" t="inlineStr">
        <is>
          <t>846ff560550541ec</t>
        </is>
      </c>
      <c r="B54" s="24" t="inlineStr">
        <is>
          <t>2026-08-16T06:24:43.004992Z</t>
        </is>
      </c>
      <c r="C54" s="24" t="inlineStr">
        <is>
          <t>2026-08-16T08:00:00Z</t>
        </is>
      </c>
      <c r="D54" s="24" t="inlineStr">
        <is>
          <t>80456</t>
        </is>
      </c>
      <c r="E54" s="24" t="inlineStr">
        <is>
          <t>NPB</t>
        </is>
      </c>
      <c r="F54" s="24" t="inlineStr">
        <is>
          <t>Chiba Lotte Marines</t>
        </is>
      </c>
      <c r="G54" s="24" t="inlineStr">
        <is>
          <t>Saitama Seibu Lions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-150</v>
      </c>
      <c r="M54" s="27" t="n">
        <v>1.666667</v>
      </c>
      <c r="N54" s="28" t="n">
        <v>0.6</v>
      </c>
      <c r="O54" s="28" t="n">
        <v>0.540624</v>
      </c>
      <c r="P54" s="28" t="n"/>
      <c r="Q54" s="28" t="n">
        <v>-0.059376</v>
      </c>
      <c r="R54" s="26" t="n">
        <v>0</v>
      </c>
      <c r="S54" s="29" t="n">
        <v>1</v>
      </c>
      <c r="T54" s="24" t="inlineStr">
        <is>
          <t>npb-tie-aware-elo-v2</t>
        </is>
      </c>
      <c r="U54" s="24" t="inlineStr">
        <is>
          <t>settled</t>
        </is>
      </c>
      <c r="V54" s="24" t="inlineStr">
        <is>
          <t>win</t>
        </is>
      </c>
      <c r="W54" s="26" t="n">
        <v>1</v>
      </c>
      <c r="X54" s="26" t="n">
        <v>7</v>
      </c>
      <c r="Y54" s="25" t="n"/>
      <c r="Z54" s="26" t="n"/>
      <c r="AA54" s="28" t="n"/>
      <c r="AB54" s="28" t="n"/>
      <c r="AC54" s="30" t="n">
        <v>0.6667</v>
      </c>
      <c r="AD54" s="24" t="inlineStr">
        <is>
          <t>2026-08-17T05:30:23.656367Z</t>
        </is>
      </c>
      <c r="AE54" s="31" t="inlineStr">
        <is>
          <t>Tie-aware Elo baseline; executable ask 0.6000 (market_slug=aec-npb-ssl-clm-2026-08-16). Tie probability=0.0324.</t>
        </is>
      </c>
      <c r="AF54" s="31" t="inlineStr">
        <is>
          <t>Config-promoted international baseball baseline; gates enforced at log time.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paper_call</t>
        </is>
      </c>
      <c r="AL54" s="26" t="n">
        <v>3</v>
      </c>
      <c r="AM54" s="24" t="inlineStr">
        <is>
          <t>RESEARCH_OBSERVATION</t>
        </is>
      </c>
      <c r="AN54" s="24" t="inlineStr">
        <is>
          <t>CALL</t>
        </is>
      </c>
      <c r="AO54" s="24" t="inlineStr">
        <is>
          <t>PAPER_CALL_LOW_EDGE</t>
        </is>
      </c>
      <c r="AP54" s="24" t="inlineStr">
        <is>
          <t>Chiba Lotte Marines</t>
        </is>
      </c>
      <c r="AQ54" s="24" t="inlineStr">
        <is>
          <t>Chiba Lotte Marines</t>
        </is>
      </c>
      <c r="AR54" s="24" t="inlineStr">
        <is>
          <t>Chiba Lotte Marines</t>
        </is>
      </c>
      <c r="AS54" s="24" t="inlineStr">
        <is>
          <t>Saitama Seibu Lions</t>
        </is>
      </c>
      <c r="AT54" s="24" t="inlineStr">
        <is>
          <t>Saitama Seibu Lions</t>
        </is>
      </c>
      <c r="AU54" s="24" t="inlineStr">
        <is>
          <t>Saitama Seibu Lions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4d5bdf3b34502a81d00702f907d6d73e6bef5088ee8bef819fa22b75c07a9ff1</t>
        </is>
      </c>
      <c r="BB54" s="24" t="inlineStr">
        <is>
          <t>tie_aware_elo</t>
        </is>
      </c>
      <c r="BC54" s="24" t="inlineStr">
        <is>
          <t>npb-tie-aware-elo-v2</t>
        </is>
      </c>
      <c r="BD54" s="24" t="inlineStr">
        <is>
          <t>4d5bdf3b34502a81d00702f907d6d73e6bef5088ee8bef819fa22b75c07a9ff1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npb-tie-aware-elo-v2</t>
        </is>
      </c>
      <c r="BH54" s="24" t="inlineStr">
        <is>
          <t>2026-08-16T06:24:41.714580Z</t>
        </is>
      </c>
      <c r="BI54" s="24" t="inlineStr">
        <is>
          <t>["same_event","same_team_same_day","same_league_same_day"]</t>
        </is>
      </c>
      <c r="BJ54" s="25" t="n"/>
      <c r="BK54" s="26" t="n">
        <v>-150</v>
      </c>
      <c r="BL54" s="27" t="n">
        <v>1.666667</v>
      </c>
      <c r="BM54" s="28" t="n">
        <v>0.6</v>
      </c>
      <c r="BN54" s="28" t="n"/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False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inlineStr">
        <is>
          <t>0.6</t>
        </is>
      </c>
      <c r="DK54" s="24" t="n"/>
      <c r="DL54" s="24" t="n"/>
      <c r="DM54" s="24" t="n"/>
      <c r="DN54" s="24" t="n"/>
      <c r="DO54" s="24" t="n"/>
      <c r="DP54" s="24" t="n"/>
      <c r="DQ54" s="24" t="n"/>
    </row>
    <row r="55" ht="36" customHeight="1">
      <c r="A55" s="24" t="inlineStr">
        <is>
          <t>30dd575abc5e4c4f</t>
        </is>
      </c>
      <c r="B55" s="24" t="inlineStr">
        <is>
          <t>2026-08-16T06:24:43.004992Z</t>
        </is>
      </c>
      <c r="C55" s="24" t="inlineStr">
        <is>
          <t>2026-08-16T09:00:00Z</t>
        </is>
      </c>
      <c r="D55" s="24" t="inlineStr">
        <is>
          <t>80466</t>
        </is>
      </c>
      <c r="E55" s="24" t="inlineStr">
        <is>
          <t>NPB</t>
        </is>
      </c>
      <c r="F55" s="24" t="inlineStr">
        <is>
          <t>Yokohama BayStars</t>
        </is>
      </c>
      <c r="G55" s="24" t="inlineStr">
        <is>
          <t>Tokyo Yakult Swallows</t>
        </is>
      </c>
      <c r="H55" s="24" t="inlineStr">
        <is>
          <t>moneyline</t>
        </is>
      </c>
      <c r="I55" s="24" t="inlineStr">
        <is>
          <t>away</t>
        </is>
      </c>
      <c r="J55" s="25" t="n"/>
      <c r="K55" s="24" t="inlineStr">
        <is>
          <t>polymarket_us</t>
        </is>
      </c>
      <c r="L55" s="26" t="n">
        <v>-133</v>
      </c>
      <c r="M55" s="27" t="n">
        <v>1.75188</v>
      </c>
      <c r="N55" s="28" t="n">
        <v>0.570815</v>
      </c>
      <c r="O55" s="28" t="n">
        <v>0.563236</v>
      </c>
      <c r="P55" s="28" t="n"/>
      <c r="Q55" s="28" t="n">
        <v>-0.007579</v>
      </c>
      <c r="R55" s="26" t="n">
        <v>16</v>
      </c>
      <c r="S55" s="29" t="n">
        <v>1</v>
      </c>
      <c r="T55" s="24" t="inlineStr">
        <is>
          <t>npb-tie-aware-elo-v2</t>
        </is>
      </c>
      <c r="U55" s="24" t="inlineStr">
        <is>
          <t>settled</t>
        </is>
      </c>
      <c r="V55" s="24" t="inlineStr">
        <is>
          <t>loss</t>
        </is>
      </c>
      <c r="W55" s="26" t="n">
        <v>1</v>
      </c>
      <c r="X55" s="26" t="n">
        <v>2</v>
      </c>
      <c r="Y55" s="25" t="n"/>
      <c r="Z55" s="26" t="n"/>
      <c r="AA55" s="28" t="n"/>
      <c r="AB55" s="28" t="n"/>
      <c r="AC55" s="30" t="n">
        <v>-1</v>
      </c>
      <c r="AD55" s="24" t="inlineStr">
        <is>
          <t>2026-08-17T05:30:24.063247Z</t>
        </is>
      </c>
      <c r="AE55" s="31" t="inlineStr">
        <is>
          <t>Tie-aware Elo baseline; executable ask 0.5700 (market_slug=aec-npb-tys-ybo-2026-08-16). Tie probability=0.0305.</t>
        </is>
      </c>
      <c r="AF55" s="31" t="inlineStr">
        <is>
          <t>Config-promoted international baseball baseline; gates enforced at log time.</t>
        </is>
      </c>
      <c r="AG55" s="24" t="inlineStr">
        <is>
          <t>review_required</t>
        </is>
      </c>
      <c r="AH55" s="24" t="n"/>
      <c r="AI55" s="31" t="n"/>
      <c r="AJ55" s="31" t="n"/>
      <c r="AK55" s="24" t="inlineStr">
        <is>
          <t>paper_call</t>
        </is>
      </c>
      <c r="AL55" s="26" t="n">
        <v>3</v>
      </c>
      <c r="AM55" s="24" t="inlineStr">
        <is>
          <t>RESEARCH_OBSERVATION</t>
        </is>
      </c>
      <c r="AN55" s="24" t="inlineStr">
        <is>
          <t>CALL</t>
        </is>
      </c>
      <c r="AO55" s="24" t="inlineStr">
        <is>
          <t>PAPER_CALL_LOW_EDGE</t>
        </is>
      </c>
      <c r="AP55" s="24" t="inlineStr">
        <is>
          <t>Yokohama BayStars</t>
        </is>
      </c>
      <c r="AQ55" s="24" t="inlineStr">
        <is>
          <t>Yokohama BayStars</t>
        </is>
      </c>
      <c r="AR55" s="24" t="inlineStr">
        <is>
          <t>Yokohama BayStars</t>
        </is>
      </c>
      <c r="AS55" s="24" t="inlineStr">
        <is>
          <t>Tokyo Yakult Swallows</t>
        </is>
      </c>
      <c r="AT55" s="24" t="inlineStr">
        <is>
          <t>Tokyo Yakult Swallows</t>
        </is>
      </c>
      <c r="AU55" s="24" t="inlineStr">
        <is>
          <t>Tokyo Yakult Swallows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4d5bdf3b34502a81d00702f907d6d73e6bef5088ee8bef819fa22b75c07a9ff1</t>
        </is>
      </c>
      <c r="BB55" s="24" t="inlineStr">
        <is>
          <t>tie_aware_elo</t>
        </is>
      </c>
      <c r="BC55" s="24" t="inlineStr">
        <is>
          <t>npb-tie-aware-elo-v2</t>
        </is>
      </c>
      <c r="BD55" s="24" t="inlineStr">
        <is>
          <t>4d5bdf3b34502a81d00702f907d6d73e6bef5088ee8bef819fa22b75c07a9ff1</t>
        </is>
      </c>
      <c r="BE55" s="24" t="inlineStr">
        <is>
          <t>1</t>
        </is>
      </c>
      <c r="BF55" s="24" t="inlineStr">
        <is>
          <t>1</t>
        </is>
      </c>
      <c r="BG55" s="24" t="inlineStr">
        <is>
          <t>npb-tie-aware-elo-v2</t>
        </is>
      </c>
      <c r="BH55" s="24" t="inlineStr">
        <is>
          <t>2026-08-16T06:24:42.531259Z</t>
        </is>
      </c>
      <c r="BI55" s="24" t="inlineStr">
        <is>
          <t>["same_event","same_team_same_day","same_league_same_day"]</t>
        </is>
      </c>
      <c r="BJ55" s="25" t="n"/>
      <c r="BK55" s="26" t="n">
        <v>-133</v>
      </c>
      <c r="BL55" s="27" t="n">
        <v>1.75188</v>
      </c>
      <c r="BM55" s="28" t="n">
        <v>0.570815</v>
      </c>
      <c r="BN55" s="28" t="n"/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False</t>
        </is>
      </c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inlineStr">
        <is>
          <t>0.570815</t>
        </is>
      </c>
      <c r="DK55" s="24" t="n"/>
      <c r="DL55" s="24" t="n"/>
      <c r="DM55" s="24" t="n"/>
      <c r="DN55" s="24" t="n"/>
      <c r="DO55" s="24" t="n"/>
      <c r="DP55" s="24" t="n"/>
      <c r="DQ55" s="24" t="n"/>
    </row>
    <row r="56" ht="36" customHeight="1">
      <c r="A56" s="24" t="inlineStr">
        <is>
          <t>c09bd611db024c99</t>
        </is>
      </c>
      <c r="B56" s="24" t="inlineStr">
        <is>
          <t>2026-08-16T06:24:43.004992Z</t>
        </is>
      </c>
      <c r="C56" s="24" t="inlineStr">
        <is>
          <t>2026-08-16T09:00:00Z</t>
        </is>
      </c>
      <c r="D56" s="24" t="inlineStr">
        <is>
          <t>80467</t>
        </is>
      </c>
      <c r="E56" s="24" t="inlineStr">
        <is>
          <t>NPB</t>
        </is>
      </c>
      <c r="F56" s="24" t="inlineStr">
        <is>
          <t>Hanshin Tigers</t>
        </is>
      </c>
      <c r="G56" s="24" t="inlineStr">
        <is>
          <t>Hiroshima Carp</t>
        </is>
      </c>
      <c r="H56" s="24" t="inlineStr">
        <is>
          <t>moneyline</t>
        </is>
      </c>
      <c r="I56" s="24" t="inlineStr">
        <is>
          <t>away</t>
        </is>
      </c>
      <c r="J56" s="25" t="n"/>
      <c r="K56" s="24" t="inlineStr">
        <is>
          <t>polymarket_us</t>
        </is>
      </c>
      <c r="L56" s="26" t="n">
        <v>-127</v>
      </c>
      <c r="M56" s="27" t="n">
        <v>1.787402</v>
      </c>
      <c r="N56" s="28" t="n">
        <v>0.5594710000000001</v>
      </c>
      <c r="O56" s="28" t="n">
        <v>0.5644479999999999</v>
      </c>
      <c r="P56" s="28" t="n"/>
      <c r="Q56" s="28" t="n">
        <v>0.004977</v>
      </c>
      <c r="R56" s="26" t="n">
        <v>22</v>
      </c>
      <c r="S56" s="29" t="n">
        <v>1</v>
      </c>
      <c r="T56" s="24" t="inlineStr">
        <is>
          <t>npb-tie-aware-elo-v2</t>
        </is>
      </c>
      <c r="U56" s="24" t="inlineStr">
        <is>
          <t>settled</t>
        </is>
      </c>
      <c r="V56" s="24" t="inlineStr">
        <is>
          <t>win</t>
        </is>
      </c>
      <c r="W56" s="26" t="n">
        <v>8</v>
      </c>
      <c r="X56" s="26" t="n">
        <v>1</v>
      </c>
      <c r="Y56" s="25" t="n"/>
      <c r="Z56" s="26" t="n"/>
      <c r="AA56" s="28" t="n"/>
      <c r="AB56" s="28" t="n"/>
      <c r="AC56" s="30" t="n">
        <v>0.7874</v>
      </c>
      <c r="AD56" s="24" t="inlineStr">
        <is>
          <t>2026-08-17T05:30:24.462428Z</t>
        </is>
      </c>
      <c r="AE56" s="31" t="inlineStr">
        <is>
          <t>Tie-aware Elo baseline; executable ask 0.5600 (market_slug=aec-npb-hci-hta-2026-08-16). Tie probability=0.0304.</t>
        </is>
      </c>
      <c r="AF56" s="31" t="inlineStr">
        <is>
          <t>Config-promoted international baseball baseline; gates enforced at log time.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paper_call</t>
        </is>
      </c>
      <c r="AL56" s="26" t="n">
        <v>3</v>
      </c>
      <c r="AM56" s="24" t="inlineStr">
        <is>
          <t>RESEARCH_OBSERVATION</t>
        </is>
      </c>
      <c r="AN56" s="24" t="inlineStr">
        <is>
          <t>CALL</t>
        </is>
      </c>
      <c r="AO56" s="24" t="inlineStr">
        <is>
          <t>PAPER_CALL_LOW_EDGE</t>
        </is>
      </c>
      <c r="AP56" s="24" t="inlineStr">
        <is>
          <t>Hanshin Tigers</t>
        </is>
      </c>
      <c r="AQ56" s="24" t="inlineStr">
        <is>
          <t>Hanshin Tigers</t>
        </is>
      </c>
      <c r="AR56" s="24" t="inlineStr">
        <is>
          <t>Hanshin Tigers</t>
        </is>
      </c>
      <c r="AS56" s="24" t="inlineStr">
        <is>
          <t>Hiroshima Carp</t>
        </is>
      </c>
      <c r="AT56" s="24" t="inlineStr">
        <is>
          <t>Hiroshima Carp</t>
        </is>
      </c>
      <c r="AU56" s="24" t="inlineStr">
        <is>
          <t>Hiroshima Carp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4d5bdf3b34502a81d00702f907d6d73e6bef5088ee8bef819fa22b75c07a9ff1</t>
        </is>
      </c>
      <c r="BB56" s="24" t="inlineStr">
        <is>
          <t>tie_aware_elo</t>
        </is>
      </c>
      <c r="BC56" s="24" t="inlineStr">
        <is>
          <t>npb-tie-aware-elo-v2</t>
        </is>
      </c>
      <c r="BD56" s="24" t="inlineStr">
        <is>
          <t>4d5bdf3b34502a81d00702f907d6d73e6bef5088ee8bef819fa22b75c07a9ff1</t>
        </is>
      </c>
      <c r="BE56" s="24" t="inlineStr">
        <is>
          <t>1</t>
        </is>
      </c>
      <c r="BF56" s="24" t="inlineStr">
        <is>
          <t>1</t>
        </is>
      </c>
      <c r="BG56" s="24" t="inlineStr">
        <is>
          <t>npb-tie-aware-elo-v2</t>
        </is>
      </c>
      <c r="BH56" s="24" t="inlineStr">
        <is>
          <t>2026-08-16T06:24:43.004951Z</t>
        </is>
      </c>
      <c r="BI56" s="24" t="inlineStr">
        <is>
          <t>["same_event","same_team_same_day","same_league_same_day"]</t>
        </is>
      </c>
      <c r="BJ56" s="25" t="n"/>
      <c r="BK56" s="26" t="n">
        <v>-127</v>
      </c>
      <c r="BL56" s="27" t="n">
        <v>1.787402</v>
      </c>
      <c r="BM56" s="28" t="n">
        <v>0.5594710000000001</v>
      </c>
      <c r="BN56" s="28" t="n"/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True</t>
        </is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inlineStr">
        <is>
          <t>0.559471</t>
        </is>
      </c>
      <c r="DK56" s="24" t="n"/>
      <c r="DL56" s="24" t="n"/>
      <c r="DM56" s="24" t="n"/>
      <c r="DN56" s="24" t="n"/>
      <c r="DO56" s="24" t="n"/>
      <c r="DP56" s="24" t="n"/>
      <c r="DQ56" s="24" t="n"/>
    </row>
    <row r="57" ht="36" customHeight="1">
      <c r="A57" s="24" t="inlineStr">
        <is>
          <t>f92534c7853c413c</t>
        </is>
      </c>
      <c r="B57" s="24" t="inlineStr">
        <is>
          <t>2026-08-19T07:07:53.346550Z</t>
        </is>
      </c>
      <c r="C57" s="24" t="inlineStr">
        <is>
          <t>2026-08-19T08:45:00Z</t>
        </is>
      </c>
      <c r="D57" s="24" t="inlineStr">
        <is>
          <t>83078</t>
        </is>
      </c>
      <c r="E57" s="24" t="inlineStr">
        <is>
          <t>NPB</t>
        </is>
      </c>
      <c r="F57" s="24" t="inlineStr">
        <is>
          <t>Yomiuri Giants</t>
        </is>
      </c>
      <c r="G57" s="24" t="inlineStr">
        <is>
          <t>Yokohama BayStars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-127</v>
      </c>
      <c r="M57" s="27" t="n">
        <v>1.787402</v>
      </c>
      <c r="N57" s="28" t="n">
        <v>0.5594710000000001</v>
      </c>
      <c r="O57" s="28" t="n">
        <v>0.504134</v>
      </c>
      <c r="P57" s="28" t="n"/>
      <c r="Q57" s="28" t="n">
        <v>-0.055337</v>
      </c>
      <c r="R57" s="26" t="n">
        <v>0</v>
      </c>
      <c r="S57" s="29" t="n">
        <v>1</v>
      </c>
      <c r="T57" s="24" t="inlineStr">
        <is>
          <t>npb-tie-aware-elo-v2</t>
        </is>
      </c>
      <c r="U57" s="24" t="inlineStr">
        <is>
          <t>settled</t>
        </is>
      </c>
      <c r="V57" s="24" t="inlineStr">
        <is>
          <t>win</t>
        </is>
      </c>
      <c r="W57" s="26" t="n">
        <v>0</v>
      </c>
      <c r="X57" s="26" t="n">
        <v>1</v>
      </c>
      <c r="Y57" s="25" t="n"/>
      <c r="Z57" s="26" t="n"/>
      <c r="AA57" s="28" t="n"/>
      <c r="AB57" s="28" t="n"/>
      <c r="AC57" s="30" t="n">
        <v>0.7874</v>
      </c>
      <c r="AD57" s="24" t="inlineStr">
        <is>
          <t>2026-08-19T19:53:30.092809Z</t>
        </is>
      </c>
      <c r="AE57" s="31" t="inlineStr">
        <is>
          <t>Tie-aware Elo baseline; executable ask 0.5600 (market_slug=aec-npb-ybo-ygo-2026-08-19). Tie probability=0.0355.</t>
        </is>
      </c>
      <c r="AF57" s="31" t="inlineStr">
        <is>
          <t>Config-promoted international baseball baseline; gates enforced at log time.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paper_call</t>
        </is>
      </c>
      <c r="AL57" s="26" t="n">
        <v>3</v>
      </c>
      <c r="AM57" s="24" t="inlineStr">
        <is>
          <t>RESEARCH_OBSERVATION</t>
        </is>
      </c>
      <c r="AN57" s="24" t="inlineStr">
        <is>
          <t>CALL</t>
        </is>
      </c>
      <c r="AO57" s="24" t="inlineStr">
        <is>
          <t>PAPER_CALL_LOW_EDGE</t>
        </is>
      </c>
      <c r="AP57" s="24" t="inlineStr">
        <is>
          <t>Yomiuri Giants</t>
        </is>
      </c>
      <c r="AQ57" s="24" t="inlineStr">
        <is>
          <t>Yomiuri Giants</t>
        </is>
      </c>
      <c r="AR57" s="24" t="inlineStr">
        <is>
          <t>Yomiuri Giants</t>
        </is>
      </c>
      <c r="AS57" s="24" t="inlineStr">
        <is>
          <t>Yokohama BayStars</t>
        </is>
      </c>
      <c r="AT57" s="24" t="inlineStr">
        <is>
          <t>Yokohama BayStars</t>
        </is>
      </c>
      <c r="AU57" s="24" t="inlineStr">
        <is>
          <t>Yokohama BayStars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c2c32f4cc4785d7f5359f954865c695e40008c1b582a559d7f068a05f52a6c49</t>
        </is>
      </c>
      <c r="BB57" s="24" t="inlineStr">
        <is>
          <t>tie_aware_elo</t>
        </is>
      </c>
      <c r="BC57" s="24" t="inlineStr">
        <is>
          <t>npb-tie-aware-elo-v2</t>
        </is>
      </c>
      <c r="BD57" s="24" t="inlineStr">
        <is>
          <t>c2c32f4cc4785d7f5359f954865c695e40008c1b582a559d7f068a05f52a6c49</t>
        </is>
      </c>
      <c r="BE57" s="24" t="inlineStr">
        <is>
          <t>1</t>
        </is>
      </c>
      <c r="BF57" s="24" t="inlineStr">
        <is>
          <t>1</t>
        </is>
      </c>
      <c r="BG57" s="24" t="inlineStr">
        <is>
          <t>npb-tie-aware-elo-v2</t>
        </is>
      </c>
      <c r="BH57" s="24" t="inlineStr">
        <is>
          <t>2026-08-19T07:07:53.005351Z</t>
        </is>
      </c>
      <c r="BI57" s="24" t="inlineStr">
        <is>
          <t>["same_event","same_team_same_day","same_league_same_day"]</t>
        </is>
      </c>
      <c r="BJ57" s="25" t="n"/>
      <c r="BK57" s="26" t="n">
        <v>-127</v>
      </c>
      <c r="BL57" s="27" t="n">
        <v>1.787402</v>
      </c>
      <c r="BM57" s="28" t="n">
        <v>0.5594710000000001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False</t>
        </is>
      </c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inlineStr">
        <is>
          <t>0.559471</t>
        </is>
      </c>
      <c r="DK57" s="24" t="n"/>
      <c r="DL57" s="24" t="n"/>
      <c r="DM57" s="24" t="n"/>
      <c r="DN57" s="24" t="n"/>
      <c r="DO57" s="24" t="n"/>
      <c r="DP57" s="24" t="n"/>
      <c r="DQ57" s="24" t="n"/>
    </row>
    <row r="58" ht="36" customHeight="1">
      <c r="A58" s="24" t="inlineStr">
        <is>
          <t>7678039d706440ef</t>
        </is>
      </c>
      <c r="B58" s="24" t="inlineStr">
        <is>
          <t>2026-08-19T07:07:53.346550Z</t>
        </is>
      </c>
      <c r="C58" s="24" t="inlineStr">
        <is>
          <t>2026-08-19T09:00:00Z</t>
        </is>
      </c>
      <c r="D58" s="24" t="inlineStr">
        <is>
          <t>83079</t>
        </is>
      </c>
      <c r="E58" s="24" t="inlineStr">
        <is>
          <t>NPB</t>
        </is>
      </c>
      <c r="F58" s="24" t="inlineStr">
        <is>
          <t>Tokyo Yakult Swallows</t>
        </is>
      </c>
      <c r="G58" s="24" t="inlineStr">
        <is>
          <t>Hanshin Tigers</t>
        </is>
      </c>
      <c r="H58" s="24" t="inlineStr">
        <is>
          <t>moneyline</t>
        </is>
      </c>
      <c r="I58" s="24" t="inlineStr">
        <is>
          <t>home</t>
        </is>
      </c>
      <c r="J58" s="25" t="n"/>
      <c r="K58" s="24" t="inlineStr">
        <is>
          <t>polymarket_us</t>
        </is>
      </c>
      <c r="L58" s="26" t="n">
        <v>-150</v>
      </c>
      <c r="M58" s="27" t="n">
        <v>1.666667</v>
      </c>
      <c r="N58" s="28" t="n">
        <v>0.6</v>
      </c>
      <c r="O58" s="28" t="n">
        <v>0.645666</v>
      </c>
      <c r="P58" s="28" t="n"/>
      <c r="Q58" s="28" t="n">
        <v>0.045666</v>
      </c>
      <c r="R58" s="26" t="n">
        <v>43</v>
      </c>
      <c r="S58" s="29" t="n">
        <v>1.75</v>
      </c>
      <c r="T58" s="24" t="inlineStr">
        <is>
          <t>npb-tie-aware-elo-v2</t>
        </is>
      </c>
      <c r="U58" s="24" t="inlineStr">
        <is>
          <t>settled</t>
        </is>
      </c>
      <c r="V58" s="24" t="inlineStr">
        <is>
          <t>win</t>
        </is>
      </c>
      <c r="W58" s="26" t="n">
        <v>1</v>
      </c>
      <c r="X58" s="26" t="n">
        <v>2</v>
      </c>
      <c r="Y58" s="25" t="n"/>
      <c r="Z58" s="26" t="n"/>
      <c r="AA58" s="28" t="n"/>
      <c r="AB58" s="28" t="n"/>
      <c r="AC58" s="30" t="n">
        <v>1.1667</v>
      </c>
      <c r="AD58" s="24" t="inlineStr">
        <is>
          <t>2026-08-19T19:53:30.314994Z</t>
        </is>
      </c>
      <c r="AE58" s="31" t="inlineStr">
        <is>
          <t>Tie-aware Elo baseline; executable ask 0.6000 (market_slug=aec-npb-hta-tys-2026-08-19). Tie probability=0.0231.</t>
        </is>
      </c>
      <c r="AF58" s="31" t="inlineStr">
        <is>
          <t>Config-promoted international baseball baseline; gates enforced at log time.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model_qualified</t>
        </is>
      </c>
      <c r="AL58" s="26" t="n">
        <v>3</v>
      </c>
      <c r="AM58" s="24" t="inlineStr">
        <is>
          <t>QUALIFIED_SHADOW_CALL</t>
        </is>
      </c>
      <c r="AN58" s="24" t="inlineStr">
        <is>
          <t>CALL</t>
        </is>
      </c>
      <c r="AO58" s="24" t="inlineStr">
        <is>
          <t>QUALIFIED</t>
        </is>
      </c>
      <c r="AP58" s="24" t="inlineStr">
        <is>
          <t>Tokyo Yakult Swallows</t>
        </is>
      </c>
      <c r="AQ58" s="24" t="inlineStr">
        <is>
          <t>Tokyo Yakult Swallows</t>
        </is>
      </c>
      <c r="AR58" s="24" t="inlineStr">
        <is>
          <t>Tokyo Yakult Swallows</t>
        </is>
      </c>
      <c r="AS58" s="24" t="inlineStr">
        <is>
          <t>Hanshin Tigers</t>
        </is>
      </c>
      <c r="AT58" s="24" t="inlineStr">
        <is>
          <t>Hanshin Tigers</t>
        </is>
      </c>
      <c r="AU58" s="24" t="inlineStr">
        <is>
          <t>Hanshin Tigers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c2c32f4cc4785d7f5359f954865c695e40008c1b582a559d7f068a05f52a6c49</t>
        </is>
      </c>
      <c r="BB58" s="24" t="inlineStr">
        <is>
          <t>tie_aware_elo</t>
        </is>
      </c>
      <c r="BC58" s="24" t="inlineStr">
        <is>
          <t>npb-tie-aware-elo-v2</t>
        </is>
      </c>
      <c r="BD58" s="24" t="inlineStr">
        <is>
          <t>c2c32f4cc4785d7f5359f954865c695e40008c1b582a559d7f068a05f52a6c49</t>
        </is>
      </c>
      <c r="BE58" s="24" t="inlineStr">
        <is>
          <t>1</t>
        </is>
      </c>
      <c r="BF58" s="24" t="inlineStr">
        <is>
          <t>1</t>
        </is>
      </c>
      <c r="BG58" s="24" t="inlineStr">
        <is>
          <t>npb-tie-aware-elo-v2</t>
        </is>
      </c>
      <c r="BH58" s="24" t="inlineStr">
        <is>
          <t>2026-08-19T07:07:53.115221Z</t>
        </is>
      </c>
      <c r="BI58" s="24" t="inlineStr">
        <is>
          <t>["same_event","same_team_same_day","same_league_same_day"]</t>
        </is>
      </c>
      <c r="BJ58" s="25" t="n"/>
      <c r="BK58" s="26" t="n">
        <v>-150</v>
      </c>
      <c r="BL58" s="27" t="n">
        <v>1.666667</v>
      </c>
      <c r="BM58" s="28" t="n">
        <v>0.6</v>
      </c>
      <c r="BN58" s="28" t="n"/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True</t>
        </is>
      </c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inlineStr">
        <is>
          <t>0.6</t>
        </is>
      </c>
      <c r="DK58" s="24" t="n"/>
      <c r="DL58" s="24" t="n"/>
      <c r="DM58" s="24" t="n"/>
      <c r="DN58" s="24" t="n"/>
      <c r="DO58" s="24" t="n"/>
      <c r="DP58" s="24" t="n"/>
      <c r="DQ58" s="24" t="n"/>
    </row>
    <row r="59" ht="36" customHeight="1">
      <c r="A59" s="24" t="inlineStr">
        <is>
          <t>17c61faafd9c4ecd</t>
        </is>
      </c>
      <c r="B59" s="24" t="inlineStr">
        <is>
          <t>2026-08-19T07:07:53.346550Z</t>
        </is>
      </c>
      <c r="C59" s="24" t="inlineStr">
        <is>
          <t>2026-08-19T09:00:00Z</t>
        </is>
      </c>
      <c r="D59" s="24" t="inlineStr">
        <is>
          <t>83080</t>
        </is>
      </c>
      <c r="E59" s="24" t="inlineStr">
        <is>
          <t>NPB</t>
        </is>
      </c>
      <c r="F59" s="24" t="inlineStr">
        <is>
          <t>Chunichi Dragons</t>
        </is>
      </c>
      <c r="G59" s="24" t="inlineStr">
        <is>
          <t>Hiroshima Carp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polymarket_us</t>
        </is>
      </c>
      <c r="L59" s="26" t="n">
        <v>104</v>
      </c>
      <c r="M59" s="27" t="n">
        <v>2.04</v>
      </c>
      <c r="N59" s="28" t="n">
        <v>0.490196</v>
      </c>
      <c r="O59" s="28" t="n">
        <v>0.501955</v>
      </c>
      <c r="P59" s="28" t="n"/>
      <c r="Q59" s="28" t="n">
        <v>0.011759</v>
      </c>
      <c r="R59" s="26" t="n">
        <v>26</v>
      </c>
      <c r="S59" s="29" t="n">
        <v>1</v>
      </c>
      <c r="T59" s="24" t="inlineStr">
        <is>
          <t>npb-tie-aware-elo-v2</t>
        </is>
      </c>
      <c r="U59" s="24" t="inlineStr">
        <is>
          <t>settled</t>
        </is>
      </c>
      <c r="V59" s="24" t="inlineStr">
        <is>
          <t>win</t>
        </is>
      </c>
      <c r="W59" s="26" t="n">
        <v>1</v>
      </c>
      <c r="X59" s="26" t="n">
        <v>4</v>
      </c>
      <c r="Y59" s="25" t="n"/>
      <c r="Z59" s="26" t="n"/>
      <c r="AA59" s="28" t="n"/>
      <c r="AB59" s="28" t="n"/>
      <c r="AC59" s="30" t="n">
        <v>1.04</v>
      </c>
      <c r="AD59" s="24" t="inlineStr">
        <is>
          <t>2026-08-19T19:53:30.532274Z</t>
        </is>
      </c>
      <c r="AE59" s="31" t="inlineStr">
        <is>
          <t>Tie-aware Elo baseline; executable ask 0.4900 (market_slug=aec-npb-hci-cdh-2026-08-19). Tie probability=0.0357.</t>
        </is>
      </c>
      <c r="AF59" s="31" t="inlineStr">
        <is>
          <t>Config-promoted international baseball baseline; gates enforced at log time.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paper_call</t>
        </is>
      </c>
      <c r="AL59" s="26" t="n">
        <v>3</v>
      </c>
      <c r="AM59" s="24" t="inlineStr">
        <is>
          <t>RESEARCH_OBSERVATION</t>
        </is>
      </c>
      <c r="AN59" s="24" t="inlineStr">
        <is>
          <t>CALL</t>
        </is>
      </c>
      <c r="AO59" s="24" t="inlineStr">
        <is>
          <t>PAPER_CALL_LOW_EDGE</t>
        </is>
      </c>
      <c r="AP59" s="24" t="inlineStr">
        <is>
          <t>Chunichi Dragons</t>
        </is>
      </c>
      <c r="AQ59" s="24" t="inlineStr">
        <is>
          <t>Chunichi Dragons</t>
        </is>
      </c>
      <c r="AR59" s="24" t="inlineStr">
        <is>
          <t>Chunichi Dragons</t>
        </is>
      </c>
      <c r="AS59" s="24" t="inlineStr">
        <is>
          <t>Hiroshima Carp</t>
        </is>
      </c>
      <c r="AT59" s="24" t="inlineStr">
        <is>
          <t>Hiroshima Carp</t>
        </is>
      </c>
      <c r="AU59" s="24" t="inlineStr">
        <is>
          <t>Hiroshima Carp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c2c32f4cc4785d7f5359f954865c695e40008c1b582a559d7f068a05f52a6c49</t>
        </is>
      </c>
      <c r="BB59" s="24" t="inlineStr">
        <is>
          <t>tie_aware_elo</t>
        </is>
      </c>
      <c r="BC59" s="24" t="inlineStr">
        <is>
          <t>npb-tie-aware-elo-v2</t>
        </is>
      </c>
      <c r="BD59" s="24" t="inlineStr">
        <is>
          <t>c2c32f4cc4785d7f5359f954865c695e40008c1b582a559d7f068a05f52a6c49</t>
        </is>
      </c>
      <c r="BE59" s="24" t="inlineStr">
        <is>
          <t>1</t>
        </is>
      </c>
      <c r="BF59" s="24" t="inlineStr">
        <is>
          <t>1</t>
        </is>
      </c>
      <c r="BG59" s="24" t="inlineStr">
        <is>
          <t>npb-tie-aware-elo-v2</t>
        </is>
      </c>
      <c r="BH59" s="24" t="inlineStr">
        <is>
          <t>2026-08-19T07:07:53.197767Z</t>
        </is>
      </c>
      <c r="BI59" s="24" t="inlineStr">
        <is>
          <t>["same_event","same_team_same_day","same_league_same_day"]</t>
        </is>
      </c>
      <c r="BJ59" s="25" t="n"/>
      <c r="BK59" s="26" t="n">
        <v>104</v>
      </c>
      <c r="BL59" s="27" t="n">
        <v>2.04</v>
      </c>
      <c r="BM59" s="28" t="n">
        <v>0.490196</v>
      </c>
      <c r="BN59" s="28" t="n"/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True</t>
        </is>
      </c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inlineStr">
        <is>
          <t>0.490196</t>
        </is>
      </c>
      <c r="DK59" s="24" t="n"/>
      <c r="DL59" s="24" t="n"/>
      <c r="DM59" s="24" t="n"/>
      <c r="DN59" s="24" t="n"/>
      <c r="DO59" s="24" t="n"/>
      <c r="DP59" s="24" t="n"/>
      <c r="DQ59" s="24" t="n"/>
    </row>
    <row r="60" ht="36" customHeight="1">
      <c r="A60" s="24" t="inlineStr">
        <is>
          <t>fd39cfe1aaba40c3</t>
        </is>
      </c>
      <c r="B60" s="24" t="inlineStr">
        <is>
          <t>2026-08-19T07:07:53.346550Z</t>
        </is>
      </c>
      <c r="C60" s="24" t="inlineStr">
        <is>
          <t>2026-08-19T09:00:00Z</t>
        </is>
      </c>
      <c r="D60" s="24" t="inlineStr">
        <is>
          <t>83081</t>
        </is>
      </c>
      <c r="E60" s="24" t="inlineStr">
        <is>
          <t>NPB</t>
        </is>
      </c>
      <c r="F60" s="24" t="inlineStr">
        <is>
          <t>Chiba Lotte Marines</t>
        </is>
      </c>
      <c r="G60" s="24" t="inlineStr">
        <is>
          <t>Tohoku Rakuten Golden Eagles</t>
        </is>
      </c>
      <c r="H60" s="24" t="inlineStr">
        <is>
          <t>moneyline</t>
        </is>
      </c>
      <c r="I60" s="24" t="inlineStr">
        <is>
          <t>away</t>
        </is>
      </c>
      <c r="J60" s="25" t="n"/>
      <c r="K60" s="24" t="inlineStr">
        <is>
          <t>polymarket_us</t>
        </is>
      </c>
      <c r="L60" s="26" t="n">
        <v>122</v>
      </c>
      <c r="M60" s="27" t="n">
        <v>2.22</v>
      </c>
      <c r="N60" s="28" t="n">
        <v>0.45045</v>
      </c>
      <c r="O60" s="28" t="n">
        <v>0.503935</v>
      </c>
      <c r="P60" s="28" t="n"/>
      <c r="Q60" s="28" t="n">
        <v>0.053485</v>
      </c>
      <c r="R60" s="26" t="n">
        <v>47</v>
      </c>
      <c r="S60" s="29" t="n">
        <v>1</v>
      </c>
      <c r="T60" s="24" t="inlineStr">
        <is>
          <t>npb-tie-aware-elo-v2</t>
        </is>
      </c>
      <c r="U60" s="24" t="inlineStr">
        <is>
          <t>settled</t>
        </is>
      </c>
      <c r="V60" s="24" t="inlineStr">
        <is>
          <t>loss</t>
        </is>
      </c>
      <c r="W60" s="26" t="n">
        <v>2</v>
      </c>
      <c r="X60" s="26" t="n">
        <v>5</v>
      </c>
      <c r="Y60" s="25" t="n"/>
      <c r="Z60" s="26" t="n"/>
      <c r="AA60" s="28" t="n"/>
      <c r="AB60" s="28" t="n"/>
      <c r="AC60" s="30" t="n">
        <v>-1</v>
      </c>
      <c r="AD60" s="24" t="inlineStr">
        <is>
          <t>2026-08-19T19:53:30.746690Z</t>
        </is>
      </c>
      <c r="AE60" s="31" t="inlineStr">
        <is>
          <t>Tie-aware Elo baseline; executable ask 0.4500 (market_slug=aec-npb-trge-clm-2026-08-19). Tie probability=0.0355.</t>
        </is>
      </c>
      <c r="AF60" s="31" t="inlineStr">
        <is>
          <t>Config-promoted international baseball baseline; gates enforced at log time.</t>
        </is>
      </c>
      <c r="AG60" s="24" t="inlineStr">
        <is>
          <t>review_required</t>
        </is>
      </c>
      <c r="AH60" s="24" t="n"/>
      <c r="AI60" s="31" t="n"/>
      <c r="AJ60" s="31" t="n"/>
      <c r="AK60" s="24" t="inlineStr">
        <is>
          <t>paper_call</t>
        </is>
      </c>
      <c r="AL60" s="26" t="n">
        <v>3</v>
      </c>
      <c r="AM60" s="24" t="inlineStr">
        <is>
          <t>RESEARCH_OBSERVATION</t>
        </is>
      </c>
      <c r="AN60" s="24" t="inlineStr">
        <is>
          <t>CALL</t>
        </is>
      </c>
      <c r="AO60" s="24" t="inlineStr">
        <is>
          <t>PAPER_CALL_LOW_EDGE</t>
        </is>
      </c>
      <c r="AP60" s="24" t="inlineStr">
        <is>
          <t>Chiba Lotte Marines</t>
        </is>
      </c>
      <c r="AQ60" s="24" t="inlineStr">
        <is>
          <t>Chiba Lotte Marines</t>
        </is>
      </c>
      <c r="AR60" s="24" t="inlineStr">
        <is>
          <t>Chiba Lotte Marines</t>
        </is>
      </c>
      <c r="AS60" s="24" t="inlineStr">
        <is>
          <t>Tohoku Rakuten Golden Eagles</t>
        </is>
      </c>
      <c r="AT60" s="24" t="inlineStr">
        <is>
          <t>Tohoku Rakuten Golden Eagles</t>
        </is>
      </c>
      <c r="AU60" s="24" t="inlineStr">
        <is>
          <t>Tohoku Rakuten Golden Eagles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c2c32f4cc4785d7f5359f954865c695e40008c1b582a559d7f068a05f52a6c49</t>
        </is>
      </c>
      <c r="BB60" s="24" t="inlineStr">
        <is>
          <t>tie_aware_elo</t>
        </is>
      </c>
      <c r="BC60" s="24" t="inlineStr">
        <is>
          <t>npb-tie-aware-elo-v2</t>
        </is>
      </c>
      <c r="BD60" s="24" t="inlineStr">
        <is>
          <t>c2c32f4cc4785d7f5359f954865c695e40008c1b582a559d7f068a05f52a6c49</t>
        </is>
      </c>
      <c r="BE60" s="24" t="inlineStr">
        <is>
          <t>1</t>
        </is>
      </c>
      <c r="BF60" s="24" t="inlineStr">
        <is>
          <t>1</t>
        </is>
      </c>
      <c r="BG60" s="24" t="inlineStr">
        <is>
          <t>npb-tie-aware-elo-v2</t>
        </is>
      </c>
      <c r="BH60" s="24" t="inlineStr">
        <is>
          <t>2026-08-19T07:07:53.272707Z</t>
        </is>
      </c>
      <c r="BI60" s="24" t="inlineStr">
        <is>
          <t>["same_event","same_team_same_day","same_league_same_day"]</t>
        </is>
      </c>
      <c r="BJ60" s="25" t="n"/>
      <c r="BK60" s="26" t="n">
        <v>122</v>
      </c>
      <c r="BL60" s="27" t="n">
        <v>2.22</v>
      </c>
      <c r="BM60" s="28" t="n">
        <v>0.45045</v>
      </c>
      <c r="BN60" s="28" t="n"/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True</t>
        </is>
      </c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inlineStr">
        <is>
          <t>0.45045</t>
        </is>
      </c>
      <c r="DK60" s="24" t="n"/>
      <c r="DL60" s="24" t="n"/>
      <c r="DM60" s="24" t="n"/>
      <c r="DN60" s="24" t="n"/>
      <c r="DO60" s="24" t="n"/>
      <c r="DP60" s="24" t="n"/>
      <c r="DQ60" s="24" t="n"/>
    </row>
    <row r="61" ht="36" customHeight="1">
      <c r="A61" s="24" t="inlineStr">
        <is>
          <t>e9d9e8d375234a41</t>
        </is>
      </c>
      <c r="B61" s="24" t="inlineStr">
        <is>
          <t>2026-08-19T07:07:53.346550Z</t>
        </is>
      </c>
      <c r="C61" s="24" t="inlineStr">
        <is>
          <t>2026-08-19T09:00:00Z</t>
        </is>
      </c>
      <c r="D61" s="24" t="inlineStr">
        <is>
          <t>83082</t>
        </is>
      </c>
      <c r="E61" s="24" t="inlineStr">
        <is>
          <t>NPB</t>
        </is>
      </c>
      <c r="F61" s="24" t="inlineStr">
        <is>
          <t>Orix Buffaloes</t>
        </is>
      </c>
      <c r="G61" s="24" t="inlineStr">
        <is>
          <t>Saitama Seibu Lions</t>
        </is>
      </c>
      <c r="H61" s="24" t="inlineStr">
        <is>
          <t>moneyline</t>
        </is>
      </c>
      <c r="I61" s="24" t="inlineStr">
        <is>
          <t>home</t>
        </is>
      </c>
      <c r="J61" s="25" t="n"/>
      <c r="K61" s="24" t="inlineStr">
        <is>
          <t>polymarket_us</t>
        </is>
      </c>
      <c r="L61" s="26" t="n">
        <v>-104</v>
      </c>
      <c r="M61" s="27" t="n">
        <v>1.961538</v>
      </c>
      <c r="N61" s="28" t="n">
        <v>0.509804</v>
      </c>
      <c r="O61" s="28" t="n">
        <v>0.575979</v>
      </c>
      <c r="P61" s="28" t="n"/>
      <c r="Q61" s="28" t="n">
        <v>0.066175</v>
      </c>
      <c r="R61" s="26" t="n">
        <v>53</v>
      </c>
      <c r="S61" s="29" t="n">
        <v>1.25</v>
      </c>
      <c r="T61" s="24" t="inlineStr">
        <is>
          <t>npb-tie-aware-elo-v2</t>
        </is>
      </c>
      <c r="U61" s="24" t="inlineStr">
        <is>
          <t>settled</t>
        </is>
      </c>
      <c r="V61" s="24" t="inlineStr">
        <is>
          <t>win</t>
        </is>
      </c>
      <c r="W61" s="26" t="n">
        <v>2</v>
      </c>
      <c r="X61" s="26" t="n">
        <v>3</v>
      </c>
      <c r="Y61" s="25" t="n"/>
      <c r="Z61" s="26" t="n"/>
      <c r="AA61" s="28" t="n"/>
      <c r="AB61" s="28" t="n"/>
      <c r="AC61" s="30" t="n">
        <v>1.2019</v>
      </c>
      <c r="AD61" s="24" t="inlineStr">
        <is>
          <t>2026-08-19T19:53:31.001711Z</t>
        </is>
      </c>
      <c r="AE61" s="31" t="inlineStr">
        <is>
          <t>Tie-aware Elo baseline; executable ask 0.5100 (market_slug=aec-npb-ssl-obr-2026-08-19). Tie probability=0.0293.</t>
        </is>
      </c>
      <c r="AF61" s="31" t="inlineStr">
        <is>
          <t>Config-promoted international baseball baseline; gates enforced at log time.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paper_call</t>
        </is>
      </c>
      <c r="AL61" s="26" t="n">
        <v>3</v>
      </c>
      <c r="AM61" s="24" t="inlineStr">
        <is>
          <t>RESEARCH_OBSERVATION</t>
        </is>
      </c>
      <c r="AN61" s="24" t="inlineStr">
        <is>
          <t>CALL</t>
        </is>
      </c>
      <c r="AO61" s="24" t="inlineStr">
        <is>
          <t>PAPER_CALL_LOW_EDGE</t>
        </is>
      </c>
      <c r="AP61" s="24" t="inlineStr">
        <is>
          <t>Orix Buffaloes</t>
        </is>
      </c>
      <c r="AQ61" s="24" t="inlineStr">
        <is>
          <t>Orix Buffaloes</t>
        </is>
      </c>
      <c r="AR61" s="24" t="inlineStr">
        <is>
          <t>Orix Buffaloes</t>
        </is>
      </c>
      <c r="AS61" s="24" t="inlineStr">
        <is>
          <t>Saitama Seibu Lions</t>
        </is>
      </c>
      <c r="AT61" s="24" t="inlineStr">
        <is>
          <t>Saitama Seibu Lions</t>
        </is>
      </c>
      <c r="AU61" s="24" t="inlineStr">
        <is>
          <t>Saitama Seibu Lions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c2c32f4cc4785d7f5359f954865c695e40008c1b582a559d7f068a05f52a6c49</t>
        </is>
      </c>
      <c r="BB61" s="24" t="inlineStr">
        <is>
          <t>tie_aware_elo</t>
        </is>
      </c>
      <c r="BC61" s="24" t="inlineStr">
        <is>
          <t>npb-tie-aware-elo-v2</t>
        </is>
      </c>
      <c r="BD61" s="24" t="inlineStr">
        <is>
          <t>c2c32f4cc4785d7f5359f954865c695e40008c1b582a559d7f068a05f52a6c49</t>
        </is>
      </c>
      <c r="BE61" s="24" t="inlineStr">
        <is>
          <t>1</t>
        </is>
      </c>
      <c r="BF61" s="24" t="inlineStr">
        <is>
          <t>1</t>
        </is>
      </c>
      <c r="BG61" s="24" t="inlineStr">
        <is>
          <t>npb-tie-aware-elo-v2</t>
        </is>
      </c>
      <c r="BH61" s="24" t="inlineStr">
        <is>
          <t>2026-08-19T07:07:53.346517Z</t>
        </is>
      </c>
      <c r="BI61" s="24" t="inlineStr">
        <is>
          <t>["same_event","same_team_same_day","same_league_same_day"]</t>
        </is>
      </c>
      <c r="BJ61" s="25" t="n"/>
      <c r="BK61" s="26" t="n">
        <v>-104</v>
      </c>
      <c r="BL61" s="27" t="n">
        <v>1.961538</v>
      </c>
      <c r="BM61" s="28" t="n">
        <v>0.509804</v>
      </c>
      <c r="BN61" s="28" t="n"/>
      <c r="BO61" s="28" t="n"/>
      <c r="BP61" s="25" t="n"/>
      <c r="BQ61" s="27" t="n"/>
      <c r="BR61" s="28" t="n"/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True</t>
        </is>
      </c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inlineStr">
        <is>
          <t>0.509804</t>
        </is>
      </c>
      <c r="DK61" s="24" t="n"/>
      <c r="DL61" s="24" t="n"/>
      <c r="DM61" s="24" t="n"/>
      <c r="DN61" s="24" t="n"/>
      <c r="DO61" s="24" t="n"/>
      <c r="DP61" s="24" t="n"/>
      <c r="DQ61" s="24" t="n"/>
    </row>
    <row r="62" ht="36" customHeight="1">
      <c r="A62" s="24" t="inlineStr">
        <is>
          <t>41ba30a727134ef8</t>
        </is>
      </c>
      <c r="B62" s="24" t="inlineStr">
        <is>
          <t>2026-08-20T05:36:24.140741Z</t>
        </is>
      </c>
      <c r="C62" s="24" t="inlineStr">
        <is>
          <t>2026-08-20T08:45:00Z</t>
        </is>
      </c>
      <c r="D62" s="24" t="inlineStr">
        <is>
          <t>84078</t>
        </is>
      </c>
      <c r="E62" s="24" t="inlineStr">
        <is>
          <t>NPB</t>
        </is>
      </c>
      <c r="F62" s="24" t="inlineStr">
        <is>
          <t>Yomiuri Giants</t>
        </is>
      </c>
      <c r="G62" s="24" t="inlineStr">
        <is>
          <t>Yokohama BayStars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-144</v>
      </c>
      <c r="M62" s="27" t="n">
        <v>1.694444</v>
      </c>
      <c r="N62" s="28" t="n">
        <v>0.590164</v>
      </c>
      <c r="O62" s="28" t="n">
        <v>0.532284</v>
      </c>
      <c r="P62" s="28" t="n"/>
      <c r="Q62" s="28" t="n">
        <v>-0.05788</v>
      </c>
      <c r="R62" s="26" t="n">
        <v>0</v>
      </c>
      <c r="S62" s="29" t="n">
        <v>1</v>
      </c>
      <c r="T62" s="24" t="inlineStr">
        <is>
          <t>npb-tie-aware-elo-v2</t>
        </is>
      </c>
      <c r="U62" s="24" t="inlineStr">
        <is>
          <t>settled</t>
        </is>
      </c>
      <c r="V62" s="24" t="inlineStr">
        <is>
          <t>loss</t>
        </is>
      </c>
      <c r="W62" s="26" t="n">
        <v>6</v>
      </c>
      <c r="X62" s="26" t="n">
        <v>3</v>
      </c>
      <c r="Y62" s="25" t="n"/>
      <c r="Z62" s="26" t="n"/>
      <c r="AA62" s="28" t="n"/>
      <c r="AB62" s="28" t="n"/>
      <c r="AC62" s="30" t="n">
        <v>-1</v>
      </c>
      <c r="AD62" s="24" t="inlineStr">
        <is>
          <t>2026-08-20T18:55:44.321911Z</t>
        </is>
      </c>
      <c r="AE62" s="31" t="inlineStr">
        <is>
          <t>Tie-aware Elo baseline; executable ask 0.5900 (market_slug=aec-npb-ybo-ygo-2026-08-20). Tie probability=0.0330.</t>
        </is>
      </c>
      <c r="AF62" s="31" t="inlineStr">
        <is>
          <t>Config-promoted international baseball baseline; gates enforced at log time.</t>
        </is>
      </c>
      <c r="AG62" s="24" t="inlineStr">
        <is>
          <t>review_required</t>
        </is>
      </c>
      <c r="AH62" s="24" t="n"/>
      <c r="AI62" s="31" t="n"/>
      <c r="AJ62" s="31" t="n"/>
      <c r="AK62" s="24" t="inlineStr">
        <is>
          <t>paper_call</t>
        </is>
      </c>
      <c r="AL62" s="26" t="n">
        <v>3</v>
      </c>
      <c r="AM62" s="24" t="inlineStr">
        <is>
          <t>RESEARCH_OBSERVATION</t>
        </is>
      </c>
      <c r="AN62" s="24" t="inlineStr">
        <is>
          <t>CALL</t>
        </is>
      </c>
      <c r="AO62" s="24" t="inlineStr">
        <is>
          <t>PAPER_CALL_LOW_EDGE</t>
        </is>
      </c>
      <c r="AP62" s="24" t="inlineStr">
        <is>
          <t>Yomiuri Giants</t>
        </is>
      </c>
      <c r="AQ62" s="24" t="inlineStr">
        <is>
          <t>Yomiuri Giants</t>
        </is>
      </c>
      <c r="AR62" s="24" t="inlineStr">
        <is>
          <t>Yomiuri Giants</t>
        </is>
      </c>
      <c r="AS62" s="24" t="inlineStr">
        <is>
          <t>Yokohama BayStars</t>
        </is>
      </c>
      <c r="AT62" s="24" t="inlineStr">
        <is>
          <t>Yokohama BayStars</t>
        </is>
      </c>
      <c r="AU62" s="24" t="inlineStr">
        <is>
          <t>Yokohama BayStars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cac358c7386db67a7ffd7873c76981a830d90871b7d9407f7b29e72c631d07ed</t>
        </is>
      </c>
      <c r="BB62" s="24" t="inlineStr">
        <is>
          <t>tie_aware_elo</t>
        </is>
      </c>
      <c r="BC62" s="24" t="inlineStr">
        <is>
          <t>npb-tie-aware-elo-v2</t>
        </is>
      </c>
      <c r="BD62" s="24" t="inlineStr">
        <is>
          <t>cac358c7386db67a7ffd7873c76981a830d90871b7d9407f7b29e72c631d07ed</t>
        </is>
      </c>
      <c r="BE62" s="24" t="inlineStr">
        <is>
          <t>1</t>
        </is>
      </c>
      <c r="BF62" s="24" t="inlineStr">
        <is>
          <t>1</t>
        </is>
      </c>
      <c r="BG62" s="24" t="inlineStr">
        <is>
          <t>npb-tie-aware-elo-v2</t>
        </is>
      </c>
      <c r="BH62" s="24" t="inlineStr">
        <is>
          <t>2026-08-20T05:36:23.772765Z</t>
        </is>
      </c>
      <c r="BI62" s="24" t="inlineStr">
        <is>
          <t>["same_event","same_team_same_day","same_league_same_day"]</t>
        </is>
      </c>
      <c r="BJ62" s="25" t="n"/>
      <c r="BK62" s="26" t="n">
        <v>-144</v>
      </c>
      <c r="BL62" s="27" t="n">
        <v>1.694444</v>
      </c>
      <c r="BM62" s="28" t="n">
        <v>0.590164</v>
      </c>
      <c r="BN62" s="28" t="n"/>
      <c r="BO62" s="28" t="n"/>
      <c r="BP62" s="25" t="n"/>
      <c r="BQ62" s="27" t="n"/>
      <c r="BR62" s="28" t="n"/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False</t>
        </is>
      </c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inlineStr">
        <is>
          <t>0.590164</t>
        </is>
      </c>
      <c r="DK62" s="24" t="n"/>
      <c r="DL62" s="24" t="n"/>
      <c r="DM62" s="24" t="n"/>
      <c r="DN62" s="24" t="n"/>
      <c r="DO62" s="24" t="n"/>
      <c r="DP62" s="24" t="n"/>
      <c r="DQ62" s="24" t="n"/>
    </row>
    <row r="63" ht="36" customHeight="1">
      <c r="A63" s="24" t="inlineStr">
        <is>
          <t>1112d45ae8bb4889</t>
        </is>
      </c>
      <c r="B63" s="24" t="inlineStr">
        <is>
          <t>2026-08-20T05:36:24.140741Z</t>
        </is>
      </c>
      <c r="C63" s="24" t="inlineStr">
        <is>
          <t>2026-08-20T09:00:00Z</t>
        </is>
      </c>
      <c r="D63" s="24" t="inlineStr">
        <is>
          <t>84079</t>
        </is>
      </c>
      <c r="E63" s="24" t="inlineStr">
        <is>
          <t>NPB</t>
        </is>
      </c>
      <c r="F63" s="24" t="inlineStr">
        <is>
          <t>Tokyo Yakult Swallows</t>
        </is>
      </c>
      <c r="G63" s="24" t="inlineStr">
        <is>
          <t>Hanshin Tigers</t>
        </is>
      </c>
      <c r="H63" s="24" t="inlineStr">
        <is>
          <t>moneyline</t>
        </is>
      </c>
      <c r="I63" s="24" t="inlineStr">
        <is>
          <t>home</t>
        </is>
      </c>
      <c r="J63" s="25" t="n"/>
      <c r="K63" s="24" t="inlineStr">
        <is>
          <t>polymarket_us</t>
        </is>
      </c>
      <c r="L63" s="26" t="n">
        <v>-150</v>
      </c>
      <c r="M63" s="27" t="n">
        <v>1.666667</v>
      </c>
      <c r="N63" s="28" t="n">
        <v>0.6</v>
      </c>
      <c r="O63" s="28" t="n">
        <v>0.656135</v>
      </c>
      <c r="P63" s="28" t="n"/>
      <c r="Q63" s="28" t="n">
        <v>0.056135</v>
      </c>
      <c r="R63" s="26" t="n">
        <v>48</v>
      </c>
      <c r="S63" s="29" t="n">
        <v>1.75</v>
      </c>
      <c r="T63" s="24" t="inlineStr">
        <is>
          <t>npb-tie-aware-elo-v2</t>
        </is>
      </c>
      <c r="U63" s="24" t="inlineStr">
        <is>
          <t>settled</t>
        </is>
      </c>
      <c r="V63" s="24" t="inlineStr">
        <is>
          <t>loss</t>
        </is>
      </c>
      <c r="W63" s="26" t="n">
        <v>4</v>
      </c>
      <c r="X63" s="26" t="n">
        <v>1</v>
      </c>
      <c r="Y63" s="25" t="n"/>
      <c r="Z63" s="26" t="n"/>
      <c r="AA63" s="28" t="n"/>
      <c r="AB63" s="28" t="n"/>
      <c r="AC63" s="30" t="n">
        <v>-1.75</v>
      </c>
      <c r="AD63" s="24" t="inlineStr">
        <is>
          <t>2026-08-20T18:55:44.565159Z</t>
        </is>
      </c>
      <c r="AE63" s="31" t="inlineStr">
        <is>
          <t>Tie-aware Elo baseline; executable ask 0.6000 (market_slug=aec-npb-hta-tys-2026-08-20). Tie probability=0.0221.</t>
        </is>
      </c>
      <c r="AF63" s="31" t="inlineStr">
        <is>
          <t>Config-promoted international baseball baseline; gates enforced at log time.</t>
        </is>
      </c>
      <c r="AG63" s="24" t="inlineStr">
        <is>
          <t>review_required</t>
        </is>
      </c>
      <c r="AH63" s="24" t="n"/>
      <c r="AI63" s="31" t="n"/>
      <c r="AJ63" s="31" t="n"/>
      <c r="AK63" s="24" t="inlineStr">
        <is>
          <t>model_qualified</t>
        </is>
      </c>
      <c r="AL63" s="26" t="n">
        <v>3</v>
      </c>
      <c r="AM63" s="24" t="inlineStr">
        <is>
          <t>QUALIFIED_SHADOW_CALL</t>
        </is>
      </c>
      <c r="AN63" s="24" t="inlineStr">
        <is>
          <t>CALL</t>
        </is>
      </c>
      <c r="AO63" s="24" t="inlineStr">
        <is>
          <t>QUALIFIED</t>
        </is>
      </c>
      <c r="AP63" s="24" t="inlineStr">
        <is>
          <t>Tokyo Yakult Swallows</t>
        </is>
      </c>
      <c r="AQ63" s="24" t="inlineStr">
        <is>
          <t>Tokyo Yakult Swallows</t>
        </is>
      </c>
      <c r="AR63" s="24" t="inlineStr">
        <is>
          <t>Tokyo Yakult Swallows</t>
        </is>
      </c>
      <c r="AS63" s="24" t="inlineStr">
        <is>
          <t>Hanshin Tigers</t>
        </is>
      </c>
      <c r="AT63" s="24" t="inlineStr">
        <is>
          <t>Hanshin Tigers</t>
        </is>
      </c>
      <c r="AU63" s="24" t="inlineStr">
        <is>
          <t>Hanshin Tigers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cac358c7386db67a7ffd7873c76981a830d90871b7d9407f7b29e72c631d07ed</t>
        </is>
      </c>
      <c r="BB63" s="24" t="inlineStr">
        <is>
          <t>tie_aware_elo</t>
        </is>
      </c>
      <c r="BC63" s="24" t="inlineStr">
        <is>
          <t>npb-tie-aware-elo-v2</t>
        </is>
      </c>
      <c r="BD63" s="24" t="inlineStr">
        <is>
          <t>cac358c7386db67a7ffd7873c76981a830d90871b7d9407f7b29e72c631d07ed</t>
        </is>
      </c>
      <c r="BE63" s="24" t="inlineStr">
        <is>
          <t>1</t>
        </is>
      </c>
      <c r="BF63" s="24" t="inlineStr">
        <is>
          <t>1</t>
        </is>
      </c>
      <c r="BG63" s="24" t="inlineStr">
        <is>
          <t>npb-tie-aware-elo-v2</t>
        </is>
      </c>
      <c r="BH63" s="24" t="inlineStr">
        <is>
          <t>2026-08-20T05:36:23.881834Z</t>
        </is>
      </c>
      <c r="BI63" s="24" t="inlineStr">
        <is>
          <t>["same_event","same_team_same_day","same_league_same_day"]</t>
        </is>
      </c>
      <c r="BJ63" s="25" t="n"/>
      <c r="BK63" s="26" t="n">
        <v>-150</v>
      </c>
      <c r="BL63" s="27" t="n">
        <v>1.666667</v>
      </c>
      <c r="BM63" s="28" t="n">
        <v>0.6</v>
      </c>
      <c r="BN63" s="28" t="n"/>
      <c r="BO63" s="28" t="n"/>
      <c r="BP63" s="25" t="n"/>
      <c r="BQ63" s="27" t="n"/>
      <c r="BR63" s="28" t="n"/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True</t>
        </is>
      </c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inlineStr">
        <is>
          <t>0.6</t>
        </is>
      </c>
      <c r="DK63" s="24" t="n"/>
      <c r="DL63" s="24" t="n"/>
      <c r="DM63" s="24" t="n"/>
      <c r="DN63" s="24" t="n"/>
      <c r="DO63" s="24" t="n"/>
      <c r="DP63" s="24" t="n"/>
      <c r="DQ63" s="24" t="n"/>
    </row>
    <row r="64" ht="36" customHeight="1">
      <c r="A64" s="24" t="inlineStr">
        <is>
          <t>6cf6a7771acf4e2e</t>
        </is>
      </c>
      <c r="B64" s="24" t="inlineStr">
        <is>
          <t>2026-08-20T05:36:24.140741Z</t>
        </is>
      </c>
      <c r="C64" s="24" t="inlineStr">
        <is>
          <t>2026-08-20T09:00:00Z</t>
        </is>
      </c>
      <c r="D64" s="24" t="inlineStr">
        <is>
          <t>84080</t>
        </is>
      </c>
      <c r="E64" s="24" t="inlineStr">
        <is>
          <t>NPB</t>
        </is>
      </c>
      <c r="F64" s="24" t="inlineStr">
        <is>
          <t>Chunichi Dragons</t>
        </is>
      </c>
      <c r="G64" s="24" t="inlineStr">
        <is>
          <t>Hiroshima Carp</t>
        </is>
      </c>
      <c r="H64" s="24" t="inlineStr">
        <is>
          <t>moneyline</t>
        </is>
      </c>
      <c r="I64" s="24" t="inlineStr">
        <is>
          <t>home</t>
        </is>
      </c>
      <c r="J64" s="25" t="n"/>
      <c r="K64" s="24" t="inlineStr">
        <is>
          <t>polymarket_us</t>
        </is>
      </c>
      <c r="L64" s="26" t="n">
        <v>-144</v>
      </c>
      <c r="M64" s="27" t="n">
        <v>1.694444</v>
      </c>
      <c r="N64" s="28" t="n">
        <v>0.590164</v>
      </c>
      <c r="O64" s="28" t="n">
        <v>0.512356</v>
      </c>
      <c r="P64" s="28" t="n"/>
      <c r="Q64" s="28" t="n">
        <v>-0.077808</v>
      </c>
      <c r="R64" s="26" t="n">
        <v>0</v>
      </c>
      <c r="S64" s="29" t="n">
        <v>1</v>
      </c>
      <c r="T64" s="24" t="inlineStr">
        <is>
          <t>npb-tie-aware-elo-v2</t>
        </is>
      </c>
      <c r="U64" s="24" t="inlineStr">
        <is>
          <t>settled</t>
        </is>
      </c>
      <c r="V64" s="24" t="inlineStr">
        <is>
          <t>win</t>
        </is>
      </c>
      <c r="W64" s="26" t="n">
        <v>1</v>
      </c>
      <c r="X64" s="26" t="n">
        <v>2</v>
      </c>
      <c r="Y64" s="25" t="n"/>
      <c r="Z64" s="26" t="n"/>
      <c r="AA64" s="28" t="n"/>
      <c r="AB64" s="28" t="n"/>
      <c r="AC64" s="30" t="n">
        <v>0.6944</v>
      </c>
      <c r="AD64" s="24" t="inlineStr">
        <is>
          <t>2026-08-20T18:55:44.795909Z</t>
        </is>
      </c>
      <c r="AE64" s="31" t="inlineStr">
        <is>
          <t>Tie-aware Elo baseline; executable ask 0.5900 (market_slug=aec-npb-hci-cdh-2026-08-20). Tie probability=0.0347.</t>
        </is>
      </c>
      <c r="AF64" s="31" t="inlineStr">
        <is>
          <t>Config-promoted international baseball baseline; gates enforced at log time.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paper_call</t>
        </is>
      </c>
      <c r="AL64" s="26" t="n">
        <v>3</v>
      </c>
      <c r="AM64" s="24" t="inlineStr">
        <is>
          <t>RESEARCH_OBSERVATION</t>
        </is>
      </c>
      <c r="AN64" s="24" t="inlineStr">
        <is>
          <t>CALL</t>
        </is>
      </c>
      <c r="AO64" s="24" t="inlineStr">
        <is>
          <t>PAPER_CALL_LOW_EDGE</t>
        </is>
      </c>
      <c r="AP64" s="24" t="inlineStr">
        <is>
          <t>Chunichi Dragons</t>
        </is>
      </c>
      <c r="AQ64" s="24" t="inlineStr">
        <is>
          <t>Chunichi Dragons</t>
        </is>
      </c>
      <c r="AR64" s="24" t="inlineStr">
        <is>
          <t>Chunichi Dragons</t>
        </is>
      </c>
      <c r="AS64" s="24" t="inlineStr">
        <is>
          <t>Hiroshima Carp</t>
        </is>
      </c>
      <c r="AT64" s="24" t="inlineStr">
        <is>
          <t>Hiroshima Carp</t>
        </is>
      </c>
      <c r="AU64" s="24" t="inlineStr">
        <is>
          <t>Hiroshima Carp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cac358c7386db67a7ffd7873c76981a830d90871b7d9407f7b29e72c631d07ed</t>
        </is>
      </c>
      <c r="BB64" s="24" t="inlineStr">
        <is>
          <t>tie_aware_elo</t>
        </is>
      </c>
      <c r="BC64" s="24" t="inlineStr">
        <is>
          <t>npb-tie-aware-elo-v2</t>
        </is>
      </c>
      <c r="BD64" s="24" t="inlineStr">
        <is>
          <t>cac358c7386db67a7ffd7873c76981a830d90871b7d9407f7b29e72c631d07ed</t>
        </is>
      </c>
      <c r="BE64" s="24" t="inlineStr">
        <is>
          <t>1</t>
        </is>
      </c>
      <c r="BF64" s="24" t="inlineStr">
        <is>
          <t>1</t>
        </is>
      </c>
      <c r="BG64" s="24" t="inlineStr">
        <is>
          <t>npb-tie-aware-elo-v2</t>
        </is>
      </c>
      <c r="BH64" s="24" t="inlineStr">
        <is>
          <t>2026-08-20T05:36:23.972703Z</t>
        </is>
      </c>
      <c r="BI64" s="24" t="inlineStr">
        <is>
          <t>["same_event","same_team_same_day","same_league_same_day"]</t>
        </is>
      </c>
      <c r="BJ64" s="25" t="n"/>
      <c r="BK64" s="26" t="n">
        <v>-144</v>
      </c>
      <c r="BL64" s="27" t="n">
        <v>1.694444</v>
      </c>
      <c r="BM64" s="28" t="n">
        <v>0.590164</v>
      </c>
      <c r="BN64" s="28" t="n"/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False</t>
        </is>
      </c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inlineStr">
        <is>
          <t>0.590164</t>
        </is>
      </c>
      <c r="DK64" s="24" t="n"/>
      <c r="DL64" s="24" t="n"/>
      <c r="DM64" s="24" t="n"/>
      <c r="DN64" s="24" t="n"/>
      <c r="DO64" s="24" t="n"/>
      <c r="DP64" s="24" t="n"/>
      <c r="DQ64" s="24" t="n"/>
    </row>
    <row r="65" ht="36" customHeight="1">
      <c r="A65" s="24" t="inlineStr">
        <is>
          <t>c58c670161e24a9a</t>
        </is>
      </c>
      <c r="B65" s="24" t="inlineStr">
        <is>
          <t>2026-08-20T05:36:24.140741Z</t>
        </is>
      </c>
      <c r="C65" s="24" t="inlineStr">
        <is>
          <t>2026-08-20T09:00:00Z</t>
        </is>
      </c>
      <c r="D65" s="24" t="inlineStr">
        <is>
          <t>84081</t>
        </is>
      </c>
      <c r="E65" s="24" t="inlineStr">
        <is>
          <t>NPB</t>
        </is>
      </c>
      <c r="F65" s="24" t="inlineStr">
        <is>
          <t>Chiba Lotte Marines</t>
        </is>
      </c>
      <c r="G65" s="24" t="inlineStr">
        <is>
          <t>Tohoku Rakuten Golden Eagles</t>
        </is>
      </c>
      <c r="H65" s="24" t="inlineStr">
        <is>
          <t>moneyline</t>
        </is>
      </c>
      <c r="I65" s="24" t="inlineStr">
        <is>
          <t>home</t>
        </is>
      </c>
      <c r="J65" s="25" t="n"/>
      <c r="K65" s="24" t="inlineStr">
        <is>
          <t>polymarket_us</t>
        </is>
      </c>
      <c r="L65" s="26" t="n">
        <v>-108</v>
      </c>
      <c r="M65" s="27" t="n">
        <v>1.925926</v>
      </c>
      <c r="N65" s="28" t="n">
        <v>0.519231</v>
      </c>
      <c r="O65" s="28" t="n">
        <v>0.533054</v>
      </c>
      <c r="P65" s="28" t="n"/>
      <c r="Q65" s="28" t="n">
        <v>0.013823</v>
      </c>
      <c r="R65" s="26" t="n">
        <v>27</v>
      </c>
      <c r="S65" s="29" t="n">
        <v>1</v>
      </c>
      <c r="T65" s="24" t="inlineStr">
        <is>
          <t>npb-tie-aware-elo-v2</t>
        </is>
      </c>
      <c r="U65" s="24" t="inlineStr">
        <is>
          <t>settled</t>
        </is>
      </c>
      <c r="V65" s="24" t="inlineStr">
        <is>
          <t>loss</t>
        </is>
      </c>
      <c r="W65" s="26" t="n">
        <v>4</v>
      </c>
      <c r="X65" s="26" t="n">
        <v>3</v>
      </c>
      <c r="Y65" s="25" t="n"/>
      <c r="Z65" s="26" t="n"/>
      <c r="AA65" s="28" t="n"/>
      <c r="AB65" s="28" t="n"/>
      <c r="AC65" s="30" t="n">
        <v>-1</v>
      </c>
      <c r="AD65" s="24" t="inlineStr">
        <is>
          <t>2026-08-20T18:55:45.027803Z</t>
        </is>
      </c>
      <c r="AE65" s="31" t="inlineStr">
        <is>
          <t>Tie-aware Elo baseline; executable ask 0.5200 (market_slug=aec-npb-trge-clm-2026-08-20). Tie probability=0.0330.</t>
        </is>
      </c>
      <c r="AF65" s="31" t="inlineStr">
        <is>
          <t>Config-promoted international baseball baseline; gates enforced at log time.</t>
        </is>
      </c>
      <c r="AG65" s="24" t="inlineStr">
        <is>
          <t>review_required</t>
        </is>
      </c>
      <c r="AH65" s="24" t="n"/>
      <c r="AI65" s="31" t="n"/>
      <c r="AJ65" s="31" t="n"/>
      <c r="AK65" s="24" t="inlineStr">
        <is>
          <t>paper_call</t>
        </is>
      </c>
      <c r="AL65" s="26" t="n">
        <v>3</v>
      </c>
      <c r="AM65" s="24" t="inlineStr">
        <is>
          <t>RESEARCH_OBSERVATION</t>
        </is>
      </c>
      <c r="AN65" s="24" t="inlineStr">
        <is>
          <t>CALL</t>
        </is>
      </c>
      <c r="AO65" s="24" t="inlineStr">
        <is>
          <t>PAPER_CALL_LOW_EDGE</t>
        </is>
      </c>
      <c r="AP65" s="24" t="inlineStr">
        <is>
          <t>Chiba Lotte Marines</t>
        </is>
      </c>
      <c r="AQ65" s="24" t="inlineStr">
        <is>
          <t>Chiba Lotte Marines</t>
        </is>
      </c>
      <c r="AR65" s="24" t="inlineStr">
        <is>
          <t>Chiba Lotte Marines</t>
        </is>
      </c>
      <c r="AS65" s="24" t="inlineStr">
        <is>
          <t>Tohoku Rakuten Golden Eagles</t>
        </is>
      </c>
      <c r="AT65" s="24" t="inlineStr">
        <is>
          <t>Tohoku Rakuten Golden Eagles</t>
        </is>
      </c>
      <c r="AU65" s="24" t="inlineStr">
        <is>
          <t>Tohoku Rakuten Golden Eagles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cac358c7386db67a7ffd7873c76981a830d90871b7d9407f7b29e72c631d07ed</t>
        </is>
      </c>
      <c r="BB65" s="24" t="inlineStr">
        <is>
          <t>tie_aware_elo</t>
        </is>
      </c>
      <c r="BC65" s="24" t="inlineStr">
        <is>
          <t>npb-tie-aware-elo-v2</t>
        </is>
      </c>
      <c r="BD65" s="24" t="inlineStr">
        <is>
          <t>cac358c7386db67a7ffd7873c76981a830d90871b7d9407f7b29e72c631d07ed</t>
        </is>
      </c>
      <c r="BE65" s="24" t="inlineStr">
        <is>
          <t>1</t>
        </is>
      </c>
      <c r="BF65" s="24" t="inlineStr">
        <is>
          <t>1</t>
        </is>
      </c>
      <c r="BG65" s="24" t="inlineStr">
        <is>
          <t>npb-tie-aware-elo-v2</t>
        </is>
      </c>
      <c r="BH65" s="24" t="inlineStr">
        <is>
          <t>2026-08-20T05:36:24.056004Z</t>
        </is>
      </c>
      <c r="BI65" s="24" t="inlineStr">
        <is>
          <t>["same_event","same_team_same_day","same_league_same_day"]</t>
        </is>
      </c>
      <c r="BJ65" s="25" t="n"/>
      <c r="BK65" s="26" t="n">
        <v>-108</v>
      </c>
      <c r="BL65" s="27" t="n">
        <v>1.925926</v>
      </c>
      <c r="BM65" s="28" t="n">
        <v>0.519231</v>
      </c>
      <c r="BN65" s="28" t="n"/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True</t>
        </is>
      </c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inlineStr">
        <is>
          <t>0.519231</t>
        </is>
      </c>
      <c r="DK65" s="24" t="n"/>
      <c r="DL65" s="24" t="n"/>
      <c r="DM65" s="24" t="n"/>
      <c r="DN65" s="24" t="n"/>
      <c r="DO65" s="24" t="n"/>
      <c r="DP65" s="24" t="n"/>
      <c r="DQ65" s="24" t="n"/>
    </row>
    <row r="66" ht="36" customHeight="1">
      <c r="A66" s="24" t="inlineStr">
        <is>
          <t>05dd9945f7c84f98</t>
        </is>
      </c>
      <c r="B66" s="24" t="inlineStr">
        <is>
          <t>2026-08-20T05:36:24.140741Z</t>
        </is>
      </c>
      <c r="C66" s="24" t="inlineStr">
        <is>
          <t>2026-08-20T09:00:00Z</t>
        </is>
      </c>
      <c r="D66" s="24" t="inlineStr">
        <is>
          <t>84082</t>
        </is>
      </c>
      <c r="E66" s="24" t="inlineStr">
        <is>
          <t>NPB</t>
        </is>
      </c>
      <c r="F66" s="24" t="inlineStr">
        <is>
          <t>Orix Buffaloes</t>
        </is>
      </c>
      <c r="G66" s="24" t="inlineStr">
        <is>
          <t>Saitama Seibu Lions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127</v>
      </c>
      <c r="M66" s="27" t="n">
        <v>2.27</v>
      </c>
      <c r="N66" s="28" t="n">
        <v>0.440529</v>
      </c>
      <c r="O66" s="28" t="n">
        <v>0.597281</v>
      </c>
      <c r="P66" s="28" t="n"/>
      <c r="Q66" s="28" t="n">
        <v>0.156752</v>
      </c>
      <c r="R66" s="26" t="n">
        <v>98</v>
      </c>
      <c r="S66" s="29" t="n">
        <v>1.25</v>
      </c>
      <c r="T66" s="24" t="inlineStr">
        <is>
          <t>npb-tie-aware-elo-v2</t>
        </is>
      </c>
      <c r="U66" s="24" t="inlineStr">
        <is>
          <t>settled</t>
        </is>
      </c>
      <c r="V66" s="24" t="inlineStr">
        <is>
          <t>loss</t>
        </is>
      </c>
      <c r="W66" s="26" t="n">
        <v>3</v>
      </c>
      <c r="X66" s="26" t="n">
        <v>1</v>
      </c>
      <c r="Y66" s="25" t="n"/>
      <c r="Z66" s="26" t="n"/>
      <c r="AA66" s="28" t="n"/>
      <c r="AB66" s="28" t="n"/>
      <c r="AC66" s="30" t="n">
        <v>-1.25</v>
      </c>
      <c r="AD66" s="24" t="inlineStr">
        <is>
          <t>2026-08-20T18:55:45.259974Z</t>
        </is>
      </c>
      <c r="AE66" s="31" t="inlineStr">
        <is>
          <t>Tie-aware Elo baseline; executable ask 0.4400 (market_slug=aec-npb-ssl-obr-2026-08-20). Tie probability=0.0274.</t>
        </is>
      </c>
      <c r="AF66" s="31" t="inlineStr">
        <is>
          <t>Config-promoted international baseball baseline; gates enforced at log time.</t>
        </is>
      </c>
      <c r="AG66" s="24" t="inlineStr">
        <is>
          <t>review_required</t>
        </is>
      </c>
      <c r="AH66" s="24" t="n"/>
      <c r="AI66" s="31" t="n"/>
      <c r="AJ66" s="31" t="n"/>
      <c r="AK66" s="24" t="inlineStr">
        <is>
          <t>model_qualified</t>
        </is>
      </c>
      <c r="AL66" s="26" t="n">
        <v>3</v>
      </c>
      <c r="AM66" s="24" t="inlineStr">
        <is>
          <t>QUALIFIED_SHADOW_CALL</t>
        </is>
      </c>
      <c r="AN66" s="24" t="inlineStr">
        <is>
          <t>CALL</t>
        </is>
      </c>
      <c r="AO66" s="24" t="inlineStr">
        <is>
          <t>QUALIFIED</t>
        </is>
      </c>
      <c r="AP66" s="24" t="inlineStr">
        <is>
          <t>Orix Buffaloes</t>
        </is>
      </c>
      <c r="AQ66" s="24" t="inlineStr">
        <is>
          <t>Orix Buffaloes</t>
        </is>
      </c>
      <c r="AR66" s="24" t="inlineStr">
        <is>
          <t>Orix Buffaloes</t>
        </is>
      </c>
      <c r="AS66" s="24" t="inlineStr">
        <is>
          <t>Saitama Seibu Lions</t>
        </is>
      </c>
      <c r="AT66" s="24" t="inlineStr">
        <is>
          <t>Saitama Seibu Lions</t>
        </is>
      </c>
      <c r="AU66" s="24" t="inlineStr">
        <is>
          <t>Saitama Seibu Lions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cac358c7386db67a7ffd7873c76981a830d90871b7d9407f7b29e72c631d07ed</t>
        </is>
      </c>
      <c r="BB66" s="24" t="inlineStr">
        <is>
          <t>tie_aware_elo</t>
        </is>
      </c>
      <c r="BC66" s="24" t="inlineStr">
        <is>
          <t>npb-tie-aware-elo-v2</t>
        </is>
      </c>
      <c r="BD66" s="24" t="inlineStr">
        <is>
          <t>cac358c7386db67a7ffd7873c76981a830d90871b7d9407f7b29e72c631d07ed</t>
        </is>
      </c>
      <c r="BE66" s="24" t="inlineStr">
        <is>
          <t>1</t>
        </is>
      </c>
      <c r="BF66" s="24" t="inlineStr">
        <is>
          <t>1</t>
        </is>
      </c>
      <c r="BG66" s="24" t="inlineStr">
        <is>
          <t>npb-tie-aware-elo-v2</t>
        </is>
      </c>
      <c r="BH66" s="24" t="inlineStr">
        <is>
          <t>2026-08-20T05:36:24.140708Z</t>
        </is>
      </c>
      <c r="BI66" s="24" t="inlineStr">
        <is>
          <t>["same_event","same_team_same_day","same_league_same_day"]</t>
        </is>
      </c>
      <c r="BJ66" s="25" t="n"/>
      <c r="BK66" s="26" t="n">
        <v>127</v>
      </c>
      <c r="BL66" s="27" t="n">
        <v>2.27</v>
      </c>
      <c r="BM66" s="28" t="n">
        <v>0.440529</v>
      </c>
      <c r="BN66" s="28" t="n"/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True</t>
        </is>
      </c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inlineStr">
        <is>
          <t>0.440529</t>
        </is>
      </c>
      <c r="DK66" s="24" t="n"/>
      <c r="DL66" s="24" t="n"/>
      <c r="DM66" s="24" t="n"/>
      <c r="DN66" s="24" t="n"/>
      <c r="DO66" s="24" t="n"/>
      <c r="DP66" s="24" t="n"/>
      <c r="DQ66" s="24" t="n"/>
    </row>
    <row r="67" ht="36" customHeight="1">
      <c r="A67" s="24" t="inlineStr">
        <is>
          <t>2735c0982aa64848</t>
        </is>
      </c>
      <c r="B67" s="24" t="inlineStr">
        <is>
          <t>2026-08-21T04:32:02.694566Z</t>
        </is>
      </c>
      <c r="C67" s="24" t="inlineStr">
        <is>
          <t>2026-08-21T09:00:00Z</t>
        </is>
      </c>
      <c r="D67" s="24" t="inlineStr">
        <is>
          <t>85118</t>
        </is>
      </c>
      <c r="E67" s="24" t="inlineStr">
        <is>
          <t>NPB</t>
        </is>
      </c>
      <c r="F67" s="24" t="inlineStr">
        <is>
          <t>Saitama Seibu Lions</t>
        </is>
      </c>
      <c r="G67" s="24" t="inlineStr">
        <is>
          <t>Tohoku Rakuten Golden Eagles</t>
        </is>
      </c>
      <c r="H67" s="24" t="inlineStr">
        <is>
          <t>moneyline</t>
        </is>
      </c>
      <c r="I67" s="24" t="inlineStr">
        <is>
          <t>away</t>
        </is>
      </c>
      <c r="J67" s="25" t="n"/>
      <c r="K67" s="24" t="inlineStr">
        <is>
          <t>polymarket_us</t>
        </is>
      </c>
      <c r="L67" s="26" t="n">
        <v>100</v>
      </c>
      <c r="M67" s="27" t="n">
        <v>2</v>
      </c>
      <c r="N67" s="28" t="n">
        <v>0.5</v>
      </c>
      <c r="O67" s="28" t="n">
        <v>0.52372</v>
      </c>
      <c r="P67" s="28" t="n"/>
      <c r="Q67" s="28" t="n">
        <v>0.02372</v>
      </c>
      <c r="R67" s="26" t="n">
        <v>32</v>
      </c>
      <c r="S67" s="29" t="n">
        <v>1</v>
      </c>
      <c r="T67" s="24" t="inlineStr">
        <is>
          <t>npb-tie-aware-elo-v2</t>
        </is>
      </c>
      <c r="U67" s="24" t="inlineStr">
        <is>
          <t>settled</t>
        </is>
      </c>
      <c r="V67" s="24" t="inlineStr">
        <is>
          <t>win</t>
        </is>
      </c>
      <c r="W67" s="26" t="n">
        <v>6</v>
      </c>
      <c r="X67" s="26" t="n">
        <v>4</v>
      </c>
      <c r="Y67" s="25" t="n"/>
      <c r="Z67" s="26" t="n"/>
      <c r="AA67" s="28" t="n"/>
      <c r="AB67" s="28" t="n"/>
      <c r="AC67" s="30" t="n">
        <v>1</v>
      </c>
      <c r="AD67" s="24" t="inlineStr">
        <is>
          <t>2026-08-21T18:25:39.251589Z</t>
        </is>
      </c>
      <c r="AE67" s="31" t="inlineStr">
        <is>
          <t>Tie-aware Elo baseline; executable ask 0.5000 (market_slug=aec-npb-trge-ssl-2026-08-21). Tie probability=0.0341.</t>
        </is>
      </c>
      <c r="AF67" s="31" t="inlineStr">
        <is>
          <t>Config-promoted international baseball baseline; gates enforced at log time.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paper_call</t>
        </is>
      </c>
      <c r="AL67" s="26" t="n">
        <v>4</v>
      </c>
      <c r="AM67" s="24" t="inlineStr">
        <is>
          <t>RESEARCH_OBSERVATION</t>
        </is>
      </c>
      <c r="AN67" s="24" t="inlineStr">
        <is>
          <t>CALL</t>
        </is>
      </c>
      <c r="AO67" s="24" t="inlineStr">
        <is>
          <t>PAPER_CALL_LOW_EDGE</t>
        </is>
      </c>
      <c r="AP67" s="24" t="inlineStr">
        <is>
          <t>Saitama Seibu Lions</t>
        </is>
      </c>
      <c r="AQ67" s="24" t="inlineStr">
        <is>
          <t>Saitama Seibu Lions</t>
        </is>
      </c>
      <c r="AR67" s="24" t="inlineStr">
        <is>
          <t>Saitama Seibu Lions</t>
        </is>
      </c>
      <c r="AS67" s="24" t="inlineStr">
        <is>
          <t>Tohoku Rakuten Golden Eagles</t>
        </is>
      </c>
      <c r="AT67" s="24" t="inlineStr">
        <is>
          <t>Tohoku Rakuten Golden Eagles</t>
        </is>
      </c>
      <c r="AU67" s="24" t="inlineStr">
        <is>
          <t>Tohoku Rakuten Golden Eagles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6a1a8a30d53c6bfb6cbe24161c68bcb613c6a3de025ecf85e2877f9cb8567bc8</t>
        </is>
      </c>
      <c r="BB67" s="24" t="inlineStr">
        <is>
          <t>tie_aware_elo</t>
        </is>
      </c>
      <c r="BC67" s="24" t="inlineStr">
        <is>
          <t>npb-tie-aware-elo-v2</t>
        </is>
      </c>
      <c r="BD67" s="24" t="inlineStr">
        <is>
          <t>6a1a8a30d53c6bfb6cbe24161c68bcb613c6a3de025ecf85e2877f9cb8567bc8</t>
        </is>
      </c>
      <c r="BE67" s="24" t="inlineStr">
        <is>
          <t>1</t>
        </is>
      </c>
      <c r="BF67" s="24" t="inlineStr">
        <is>
          <t>1</t>
        </is>
      </c>
      <c r="BG67" s="24" t="inlineStr">
        <is>
          <t>npb-tie-aware-elo-v2</t>
        </is>
      </c>
      <c r="BH67" s="24" t="inlineStr">
        <is>
          <t>2026-08-21T04:32:01.655707Z</t>
        </is>
      </c>
      <c r="BI67" s="24" t="inlineStr">
        <is>
          <t>["same_event","same_team_same_day","same_league_same_day"]</t>
        </is>
      </c>
      <c r="BJ67" s="25" t="n"/>
      <c r="BK67" s="26" t="n">
        <v>100</v>
      </c>
      <c r="BL67" s="27" t="n">
        <v>2</v>
      </c>
      <c r="BM67" s="28" t="n">
        <v>0.5</v>
      </c>
      <c r="BN67" s="28" t="n"/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True</t>
        </is>
      </c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inlineStr">
        <is>
          <t>0.5</t>
        </is>
      </c>
      <c r="DK67" s="24" t="n"/>
      <c r="DL67" s="24" t="n"/>
      <c r="DM67" s="24" t="n"/>
      <c r="DN67" s="24" t="n"/>
      <c r="DO67" s="24" t="n"/>
      <c r="DP67" s="24" t="n"/>
      <c r="DQ67" s="24" t="n"/>
    </row>
    <row r="68" ht="36" customHeight="1">
      <c r="A68" s="24" t="inlineStr">
        <is>
          <t>0b77aa734ef343fa</t>
        </is>
      </c>
      <c r="B68" s="24" t="inlineStr">
        <is>
          <t>2026-08-21T04:32:02.694566Z</t>
        </is>
      </c>
      <c r="C68" s="24" t="inlineStr">
        <is>
          <t>2026-08-21T09:00:00Z</t>
        </is>
      </c>
      <c r="D68" s="24" t="inlineStr">
        <is>
          <t>85119</t>
        </is>
      </c>
      <c r="E68" s="24" t="inlineStr">
        <is>
          <t>NPB</t>
        </is>
      </c>
      <c r="F68" s="24" t="inlineStr">
        <is>
          <t>Hiroshima Carp</t>
        </is>
      </c>
      <c r="G68" s="24" t="inlineStr">
        <is>
          <t>Yomiuri Giants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-150</v>
      </c>
      <c r="M68" s="27" t="n">
        <v>1.666667</v>
      </c>
      <c r="N68" s="28" t="n">
        <v>0.6</v>
      </c>
      <c r="O68" s="28" t="n">
        <v>0.586943</v>
      </c>
      <c r="P68" s="28" t="n"/>
      <c r="Q68" s="28" t="n">
        <v>-0.013057</v>
      </c>
      <c r="R68" s="26" t="n">
        <v>13</v>
      </c>
      <c r="S68" s="29" t="n">
        <v>1.25</v>
      </c>
      <c r="T68" s="24" t="inlineStr">
        <is>
          <t>npb-tie-aware-elo-v2</t>
        </is>
      </c>
      <c r="U68" s="24" t="inlineStr">
        <is>
          <t>settled</t>
        </is>
      </c>
      <c r="V68" s="24" t="inlineStr">
        <is>
          <t>win</t>
        </is>
      </c>
      <c r="W68" s="26" t="n">
        <v>0</v>
      </c>
      <c r="X68" s="26" t="n">
        <v>2</v>
      </c>
      <c r="Y68" s="25" t="n"/>
      <c r="Z68" s="26" t="n"/>
      <c r="AA68" s="28" t="n"/>
      <c r="AB68" s="28" t="n"/>
      <c r="AC68" s="30" t="n">
        <v>0.8333</v>
      </c>
      <c r="AD68" s="24" t="inlineStr">
        <is>
          <t>2026-08-21T18:25:39.560078Z</t>
        </is>
      </c>
      <c r="AE68" s="31" t="inlineStr">
        <is>
          <t>Tie-aware Elo baseline; executable ask 0.6000 (market_slug=aec-npb-ygo-hci-2026-08-21). Tie probability=0.0285.</t>
        </is>
      </c>
      <c r="AF68" s="31" t="inlineStr">
        <is>
          <t>Config-promoted international baseball baseline; gates enforced at log time.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paper_call</t>
        </is>
      </c>
      <c r="AL68" s="26" t="n">
        <v>4</v>
      </c>
      <c r="AM68" s="24" t="inlineStr">
        <is>
          <t>RESEARCH_OBSERVATION</t>
        </is>
      </c>
      <c r="AN68" s="24" t="inlineStr">
        <is>
          <t>CALL</t>
        </is>
      </c>
      <c r="AO68" s="24" t="inlineStr">
        <is>
          <t>PAPER_CALL_LOW_EDGE</t>
        </is>
      </c>
      <c r="AP68" s="24" t="inlineStr">
        <is>
          <t>Hiroshima Carp</t>
        </is>
      </c>
      <c r="AQ68" s="24" t="inlineStr">
        <is>
          <t>Hiroshima Carp</t>
        </is>
      </c>
      <c r="AR68" s="24" t="inlineStr">
        <is>
          <t>Hiroshima Carp</t>
        </is>
      </c>
      <c r="AS68" s="24" t="inlineStr">
        <is>
          <t>Yomiuri Giants</t>
        </is>
      </c>
      <c r="AT68" s="24" t="inlineStr">
        <is>
          <t>Yomiuri Giants</t>
        </is>
      </c>
      <c r="AU68" s="24" t="inlineStr">
        <is>
          <t>Yomiuri Giants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6a1a8a30d53c6bfb6cbe24161c68bcb613c6a3de025ecf85e2877f9cb8567bc8</t>
        </is>
      </c>
      <c r="BB68" s="24" t="inlineStr">
        <is>
          <t>tie_aware_elo</t>
        </is>
      </c>
      <c r="BC68" s="24" t="inlineStr">
        <is>
          <t>npb-tie-aware-elo-v2</t>
        </is>
      </c>
      <c r="BD68" s="24" t="inlineStr">
        <is>
          <t>6a1a8a30d53c6bfb6cbe24161c68bcb613c6a3de025ecf85e2877f9cb8567bc8</t>
        </is>
      </c>
      <c r="BE68" s="24" t="inlineStr">
        <is>
          <t>1</t>
        </is>
      </c>
      <c r="BF68" s="24" t="inlineStr">
        <is>
          <t>1</t>
        </is>
      </c>
      <c r="BG68" s="24" t="inlineStr">
        <is>
          <t>npb-tie-aware-elo-v2</t>
        </is>
      </c>
      <c r="BH68" s="24" t="inlineStr">
        <is>
          <t>2026-08-21T04:32:02.031535Z</t>
        </is>
      </c>
      <c r="BI68" s="24" t="inlineStr">
        <is>
          <t>["same_event","same_team_same_day","same_league_same_day"]</t>
        </is>
      </c>
      <c r="BJ68" s="25" t="n"/>
      <c r="BK68" s="26" t="n">
        <v>-150</v>
      </c>
      <c r="BL68" s="27" t="n">
        <v>1.666667</v>
      </c>
      <c r="BM68" s="28" t="n">
        <v>0.6</v>
      </c>
      <c r="BN68" s="28" t="n"/>
      <c r="BO68" s="28" t="n"/>
      <c r="BP68" s="25" t="n"/>
      <c r="BQ68" s="27" t="n"/>
      <c r="BR68" s="28" t="n"/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False</t>
        </is>
      </c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inlineStr">
        <is>
          <t>0.6</t>
        </is>
      </c>
      <c r="DK68" s="24" t="n"/>
      <c r="DL68" s="24" t="n"/>
      <c r="DM68" s="24" t="n"/>
      <c r="DN68" s="24" t="n"/>
      <c r="DO68" s="24" t="n"/>
      <c r="DP68" s="24" t="n"/>
      <c r="DQ68" s="24" t="n"/>
    </row>
    <row r="69" ht="36" customHeight="1">
      <c r="A69" s="24" t="inlineStr">
        <is>
          <t>7d09ead74a1e4142</t>
        </is>
      </c>
      <c r="B69" s="24" t="inlineStr">
        <is>
          <t>2026-08-21T04:32:02.694566Z</t>
        </is>
      </c>
      <c r="C69" s="24" t="inlineStr">
        <is>
          <t>2026-08-21T09:00:00Z</t>
        </is>
      </c>
      <c r="D69" s="24" t="inlineStr">
        <is>
          <t>85120</t>
        </is>
      </c>
      <c r="E69" s="24" t="inlineStr">
        <is>
          <t>NPB</t>
        </is>
      </c>
      <c r="F69" s="24" t="inlineStr">
        <is>
          <t>Hanshin Tigers</t>
        </is>
      </c>
      <c r="G69" s="24" t="inlineStr">
        <is>
          <t>Yokohama BayStars</t>
        </is>
      </c>
      <c r="H69" s="24" t="inlineStr">
        <is>
          <t>moneyline</t>
        </is>
      </c>
      <c r="I69" s="24" t="inlineStr">
        <is>
          <t>away</t>
        </is>
      </c>
      <c r="J69" s="25" t="n"/>
      <c r="K69" s="24" t="inlineStr">
        <is>
          <t>polymarket_us</t>
        </is>
      </c>
      <c r="L69" s="26" t="n">
        <v>122</v>
      </c>
      <c r="M69" s="27" t="n">
        <v>2.22</v>
      </c>
      <c r="N69" s="28" t="n">
        <v>0.45045</v>
      </c>
      <c r="O69" s="28" t="n">
        <v>0.505853</v>
      </c>
      <c r="P69" s="28" t="n"/>
      <c r="Q69" s="28" t="n">
        <v>0.055403</v>
      </c>
      <c r="R69" s="26" t="n">
        <v>48</v>
      </c>
      <c r="S69" s="29" t="n">
        <v>1</v>
      </c>
      <c r="T69" s="24" t="inlineStr">
        <is>
          <t>npb-tie-aware-elo-v2</t>
        </is>
      </c>
      <c r="U69" s="24" t="inlineStr">
        <is>
          <t>settled</t>
        </is>
      </c>
      <c r="V69" s="24" t="inlineStr">
        <is>
          <t>win</t>
        </is>
      </c>
      <c r="W69" s="26" t="n">
        <v>4</v>
      </c>
      <c r="X69" s="26" t="n">
        <v>1</v>
      </c>
      <c r="Y69" s="25" t="n"/>
      <c r="Z69" s="26" t="n"/>
      <c r="AA69" s="28" t="n"/>
      <c r="AB69" s="28" t="n"/>
      <c r="AC69" s="30" t="n">
        <v>1.22</v>
      </c>
      <c r="AD69" s="24" t="inlineStr">
        <is>
          <t>2026-08-21T18:25:39.918309Z</t>
        </is>
      </c>
      <c r="AE69" s="31" t="inlineStr">
        <is>
          <t>Tie-aware Elo baseline; executable ask 0.4500 (market_slug=aec-npb-ybo-hta-2026-08-21). Tie probability=0.0356.</t>
        </is>
      </c>
      <c r="AF69" s="31" t="inlineStr">
        <is>
          <t>Config-promoted international baseball baseline; gates enforced at log time.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paper_call</t>
        </is>
      </c>
      <c r="AL69" s="26" t="n">
        <v>4</v>
      </c>
      <c r="AM69" s="24" t="inlineStr">
        <is>
          <t>RESEARCH_OBSERVATION</t>
        </is>
      </c>
      <c r="AN69" s="24" t="inlineStr">
        <is>
          <t>CALL</t>
        </is>
      </c>
      <c r="AO69" s="24" t="inlineStr">
        <is>
          <t>PAPER_CALL_LOW_EDGE</t>
        </is>
      </c>
      <c r="AP69" s="24" t="inlineStr">
        <is>
          <t>Hanshin Tigers</t>
        </is>
      </c>
      <c r="AQ69" s="24" t="inlineStr">
        <is>
          <t>Hanshin Tigers</t>
        </is>
      </c>
      <c r="AR69" s="24" t="inlineStr">
        <is>
          <t>Hanshin Tigers</t>
        </is>
      </c>
      <c r="AS69" s="24" t="inlineStr">
        <is>
          <t>Yokohama BayStars</t>
        </is>
      </c>
      <c r="AT69" s="24" t="inlineStr">
        <is>
          <t>Yokohama BayStars</t>
        </is>
      </c>
      <c r="AU69" s="24" t="inlineStr">
        <is>
          <t>Yokohama BayStars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6a1a8a30d53c6bfb6cbe24161c68bcb613c6a3de025ecf85e2877f9cb8567bc8</t>
        </is>
      </c>
      <c r="BB69" s="24" t="inlineStr">
        <is>
          <t>tie_aware_elo</t>
        </is>
      </c>
      <c r="BC69" s="24" t="inlineStr">
        <is>
          <t>npb-tie-aware-elo-v2</t>
        </is>
      </c>
      <c r="BD69" s="24" t="inlineStr">
        <is>
          <t>6a1a8a30d53c6bfb6cbe24161c68bcb613c6a3de025ecf85e2877f9cb8567bc8</t>
        </is>
      </c>
      <c r="BE69" s="24" t="inlineStr">
        <is>
          <t>1</t>
        </is>
      </c>
      <c r="BF69" s="24" t="inlineStr">
        <is>
          <t>1</t>
        </is>
      </c>
      <c r="BG69" s="24" t="inlineStr">
        <is>
          <t>npb-tie-aware-elo-v2</t>
        </is>
      </c>
      <c r="BH69" s="24" t="inlineStr">
        <is>
          <t>2026-08-21T04:32:02.286507Z</t>
        </is>
      </c>
      <c r="BI69" s="24" t="inlineStr">
        <is>
          <t>["same_event","same_team_same_day","same_league_same_day"]</t>
        </is>
      </c>
      <c r="BJ69" s="25" t="n"/>
      <c r="BK69" s="26" t="n">
        <v>122</v>
      </c>
      <c r="BL69" s="27" t="n">
        <v>2.22</v>
      </c>
      <c r="BM69" s="28" t="n">
        <v>0.45045</v>
      </c>
      <c r="BN69" s="28" t="n"/>
      <c r="BO69" s="28" t="n"/>
      <c r="BP69" s="25" t="n"/>
      <c r="BQ69" s="27" t="n"/>
      <c r="BR69" s="28" t="n"/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True</t>
        </is>
      </c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inlineStr">
        <is>
          <t>0.45045</t>
        </is>
      </c>
      <c r="DK69" s="24" t="n"/>
      <c r="DL69" s="24" t="n"/>
      <c r="DM69" s="24" t="n"/>
      <c r="DN69" s="24" t="n"/>
      <c r="DO69" s="24" t="n"/>
      <c r="DP69" s="24" t="n"/>
      <c r="DQ69" s="24" t="n"/>
    </row>
    <row r="70" ht="36" customHeight="1">
      <c r="A70" s="24" t="inlineStr">
        <is>
          <t>5628fb4e00424136</t>
        </is>
      </c>
      <c r="B70" s="24" t="inlineStr">
        <is>
          <t>2026-08-21T04:32:02.694566Z</t>
        </is>
      </c>
      <c r="C70" s="24" t="inlineStr">
        <is>
          <t>2026-08-21T09:00:00Z</t>
        </is>
      </c>
      <c r="D70" s="24" t="inlineStr">
        <is>
          <t>85121</t>
        </is>
      </c>
      <c r="E70" s="24" t="inlineStr">
        <is>
          <t>NPB</t>
        </is>
      </c>
      <c r="F70" s="24" t="inlineStr">
        <is>
          <t>Tokyo Yakult Swallows</t>
        </is>
      </c>
      <c r="G70" s="24" t="inlineStr">
        <is>
          <t>Chunichi Dragons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-150</v>
      </c>
      <c r="M70" s="27" t="n">
        <v>1.666667</v>
      </c>
      <c r="N70" s="28" t="n">
        <v>0.6</v>
      </c>
      <c r="O70" s="28" t="n">
        <v>0.561573</v>
      </c>
      <c r="P70" s="28" t="n"/>
      <c r="Q70" s="28" t="n">
        <v>-0.038427</v>
      </c>
      <c r="R70" s="26" t="n">
        <v>1</v>
      </c>
      <c r="S70" s="29" t="n">
        <v>1</v>
      </c>
      <c r="T70" s="24" t="inlineStr">
        <is>
          <t>npb-tie-aware-elo-v2</t>
        </is>
      </c>
      <c r="U70" s="24" t="inlineStr">
        <is>
          <t>settled</t>
        </is>
      </c>
      <c r="V70" s="24" t="inlineStr">
        <is>
          <t>win</t>
        </is>
      </c>
      <c r="W70" s="26" t="n">
        <v>0</v>
      </c>
      <c r="X70" s="26" t="n">
        <v>3</v>
      </c>
      <c r="Y70" s="25" t="n"/>
      <c r="Z70" s="26" t="n"/>
      <c r="AA70" s="28" t="n"/>
      <c r="AB70" s="28" t="n"/>
      <c r="AC70" s="30" t="n">
        <v>0.6667</v>
      </c>
      <c r="AD70" s="24" t="inlineStr">
        <is>
          <t>2026-08-21T18:25:40.217654Z</t>
        </is>
      </c>
      <c r="AE70" s="31" t="inlineStr">
        <is>
          <t>Tie-aware Elo baseline; executable ask 0.6000 (market_slug=aec-npb-cdh-tys-2026-08-21). Tie probability=0.0308.</t>
        </is>
      </c>
      <c r="AF70" s="31" t="inlineStr">
        <is>
          <t>Config-promoted international baseball baseline; gates enforced at log time.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paper_call</t>
        </is>
      </c>
      <c r="AL70" s="26" t="n">
        <v>4</v>
      </c>
      <c r="AM70" s="24" t="inlineStr">
        <is>
          <t>RESEARCH_OBSERVATION</t>
        </is>
      </c>
      <c r="AN70" s="24" t="inlineStr">
        <is>
          <t>CALL</t>
        </is>
      </c>
      <c r="AO70" s="24" t="inlineStr">
        <is>
          <t>PAPER_CALL_LOW_EDGE</t>
        </is>
      </c>
      <c r="AP70" s="24" t="inlineStr">
        <is>
          <t>Tokyo Yakult Swallows</t>
        </is>
      </c>
      <c r="AQ70" s="24" t="inlineStr">
        <is>
          <t>Tokyo Yakult Swallows</t>
        </is>
      </c>
      <c r="AR70" s="24" t="inlineStr">
        <is>
          <t>Tokyo Yakult Swallows</t>
        </is>
      </c>
      <c r="AS70" s="24" t="inlineStr">
        <is>
          <t>Chunichi Dragons</t>
        </is>
      </c>
      <c r="AT70" s="24" t="inlineStr">
        <is>
          <t>Chunichi Dragons</t>
        </is>
      </c>
      <c r="AU70" s="24" t="inlineStr">
        <is>
          <t>Chunichi Dragons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6a1a8a30d53c6bfb6cbe24161c68bcb613c6a3de025ecf85e2877f9cb8567bc8</t>
        </is>
      </c>
      <c r="BB70" s="24" t="inlineStr">
        <is>
          <t>tie_aware_elo</t>
        </is>
      </c>
      <c r="BC70" s="24" t="inlineStr">
        <is>
          <t>npb-tie-aware-elo-v2</t>
        </is>
      </c>
      <c r="BD70" s="24" t="inlineStr">
        <is>
          <t>6a1a8a30d53c6bfb6cbe24161c68bcb613c6a3de025ecf85e2877f9cb8567bc8</t>
        </is>
      </c>
      <c r="BE70" s="24" t="inlineStr">
        <is>
          <t>1</t>
        </is>
      </c>
      <c r="BF70" s="24" t="inlineStr">
        <is>
          <t>1</t>
        </is>
      </c>
      <c r="BG70" s="24" t="inlineStr">
        <is>
          <t>npb-tie-aware-elo-v2</t>
        </is>
      </c>
      <c r="BH70" s="24" t="inlineStr">
        <is>
          <t>2026-08-21T04:32:02.590128Z</t>
        </is>
      </c>
      <c r="BI70" s="24" t="inlineStr">
        <is>
          <t>["same_event","same_team_same_day","same_league_same_day"]</t>
        </is>
      </c>
      <c r="BJ70" s="25" t="n"/>
      <c r="BK70" s="26" t="n">
        <v>-150</v>
      </c>
      <c r="BL70" s="27" t="n">
        <v>1.666667</v>
      </c>
      <c r="BM70" s="28" t="n">
        <v>0.6</v>
      </c>
      <c r="BN70" s="28" t="n"/>
      <c r="BO70" s="28" t="n"/>
      <c r="BP70" s="25" t="n"/>
      <c r="BQ70" s="27" t="n"/>
      <c r="BR70" s="28" t="n"/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False</t>
        </is>
      </c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inlineStr">
        <is>
          <t>0.6</t>
        </is>
      </c>
      <c r="DK70" s="24" t="n"/>
      <c r="DL70" s="24" t="n"/>
      <c r="DM70" s="24" t="n"/>
      <c r="DN70" s="24" t="n"/>
      <c r="DO70" s="24" t="n"/>
      <c r="DP70" s="24" t="n"/>
      <c r="DQ70" s="24" t="n"/>
    </row>
    <row r="71" ht="36" customHeight="1">
      <c r="A71" s="24" t="inlineStr">
        <is>
          <t>6d4af4c328f64104</t>
        </is>
      </c>
      <c r="B71" s="24" t="inlineStr">
        <is>
          <t>2026-08-21T04:32:02.694566Z</t>
        </is>
      </c>
      <c r="C71" s="24" t="inlineStr">
        <is>
          <t>2026-08-21T09:00:00Z</t>
        </is>
      </c>
      <c r="D71" s="24" t="inlineStr">
        <is>
          <t>85122</t>
        </is>
      </c>
      <c r="E71" s="24" t="inlineStr">
        <is>
          <t>NPB</t>
        </is>
      </c>
      <c r="F71" s="24" t="inlineStr">
        <is>
          <t>Nippon Ham Fighters</t>
        </is>
      </c>
      <c r="G71" s="24" t="inlineStr">
        <is>
          <t>Chiba Lotte Marines</t>
        </is>
      </c>
      <c r="H71" s="24" t="inlineStr">
        <is>
          <t>moneyline</t>
        </is>
      </c>
      <c r="I71" s="24" t="inlineStr">
        <is>
          <t>away</t>
        </is>
      </c>
      <c r="J71" s="25" t="n"/>
      <c r="K71" s="24" t="inlineStr">
        <is>
          <t>polymarket_us</t>
        </is>
      </c>
      <c r="L71" s="26" t="n">
        <v>-163</v>
      </c>
      <c r="M71" s="27" t="n">
        <v>1.613497</v>
      </c>
      <c r="N71" s="28" t="n">
        <v>0.619772</v>
      </c>
      <c r="O71" s="28" t="n">
        <v>0.548982</v>
      </c>
      <c r="P71" s="28" t="n"/>
      <c r="Q71" s="28" t="n">
        <v>-0.07079000000000001</v>
      </c>
      <c r="R71" s="26" t="n">
        <v>0</v>
      </c>
      <c r="S71" s="29" t="n">
        <v>1</v>
      </c>
      <c r="T71" s="24" t="inlineStr">
        <is>
          <t>npb-tie-aware-elo-v2</t>
        </is>
      </c>
      <c r="U71" s="24" t="inlineStr">
        <is>
          <t>settled</t>
        </is>
      </c>
      <c r="V71" s="24" t="inlineStr">
        <is>
          <t>loss</t>
        </is>
      </c>
      <c r="W71" s="26" t="n">
        <v>3</v>
      </c>
      <c r="X71" s="26" t="n">
        <v>4</v>
      </c>
      <c r="Y71" s="25" t="n"/>
      <c r="Z71" s="26" t="n"/>
      <c r="AA71" s="28" t="n"/>
      <c r="AB71" s="28" t="n"/>
      <c r="AC71" s="30" t="n">
        <v>-1</v>
      </c>
      <c r="AD71" s="24" t="inlineStr">
        <is>
          <t>2026-08-21T18:25:40.505452Z</t>
        </is>
      </c>
      <c r="AE71" s="31" t="inlineStr">
        <is>
          <t>Tie-aware Elo baseline; executable ask 0.6200 (market_slug=aec-npb-clm-nhf-2026-08-21). Tie probability=0.0319.</t>
        </is>
      </c>
      <c r="AF71" s="31" t="inlineStr">
        <is>
          <t>Config-promoted international baseball baseline; gates enforced at log time.</t>
        </is>
      </c>
      <c r="AG71" s="24" t="inlineStr">
        <is>
          <t>review_required</t>
        </is>
      </c>
      <c r="AH71" s="24" t="n"/>
      <c r="AI71" s="31" t="n"/>
      <c r="AJ71" s="31" t="n"/>
      <c r="AK71" s="24" t="inlineStr">
        <is>
          <t>paper_call</t>
        </is>
      </c>
      <c r="AL71" s="26" t="n">
        <v>4</v>
      </c>
      <c r="AM71" s="24" t="inlineStr">
        <is>
          <t>RESEARCH_OBSERVATION</t>
        </is>
      </c>
      <c r="AN71" s="24" t="inlineStr">
        <is>
          <t>CALL</t>
        </is>
      </c>
      <c r="AO71" s="24" t="inlineStr">
        <is>
          <t>PAPER_CALL_LOW_EDGE</t>
        </is>
      </c>
      <c r="AP71" s="24" t="inlineStr">
        <is>
          <t>Nippon Ham Fighters</t>
        </is>
      </c>
      <c r="AQ71" s="24" t="inlineStr">
        <is>
          <t>Nippon Ham Fighters</t>
        </is>
      </c>
      <c r="AR71" s="24" t="inlineStr">
        <is>
          <t>Nippon Ham Fighters</t>
        </is>
      </c>
      <c r="AS71" s="24" t="inlineStr">
        <is>
          <t>Chiba Lotte Marines</t>
        </is>
      </c>
      <c r="AT71" s="24" t="inlineStr">
        <is>
          <t>Chiba Lotte Marines</t>
        </is>
      </c>
      <c r="AU71" s="24" t="inlineStr">
        <is>
          <t>Chiba Lotte Marines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6a1a8a30d53c6bfb6cbe24161c68bcb613c6a3de025ecf85e2877f9cb8567bc8</t>
        </is>
      </c>
      <c r="BB71" s="24" t="inlineStr">
        <is>
          <t>tie_aware_elo</t>
        </is>
      </c>
      <c r="BC71" s="24" t="inlineStr">
        <is>
          <t>npb-tie-aware-elo-v2</t>
        </is>
      </c>
      <c r="BD71" s="24" t="inlineStr">
        <is>
          <t>6a1a8a30d53c6bfb6cbe24161c68bcb613c6a3de025ecf85e2877f9cb8567bc8</t>
        </is>
      </c>
      <c r="BE71" s="24" t="inlineStr">
        <is>
          <t>1</t>
        </is>
      </c>
      <c r="BF71" s="24" t="inlineStr">
        <is>
          <t>1</t>
        </is>
      </c>
      <c r="BG71" s="24" t="inlineStr">
        <is>
          <t>npb-tie-aware-elo-v2</t>
        </is>
      </c>
      <c r="BH71" s="24" t="inlineStr">
        <is>
          <t>2026-08-21T04:32:02.694506Z</t>
        </is>
      </c>
      <c r="BI71" s="24" t="inlineStr">
        <is>
          <t>["same_event","same_team_same_day","same_league_same_day"]</t>
        </is>
      </c>
      <c r="BJ71" s="25" t="n"/>
      <c r="BK71" s="26" t="n">
        <v>-163</v>
      </c>
      <c r="BL71" s="27" t="n">
        <v>1.613497</v>
      </c>
      <c r="BM71" s="28" t="n">
        <v>0.619772</v>
      </c>
      <c r="BN71" s="28" t="n"/>
      <c r="BO71" s="28" t="n"/>
      <c r="BP71" s="25" t="n"/>
      <c r="BQ71" s="27" t="n"/>
      <c r="BR71" s="28" t="n"/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False</t>
        </is>
      </c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inlineStr">
        <is>
          <t>0.619772</t>
        </is>
      </c>
      <c r="DK71" s="24" t="n"/>
      <c r="DL71" s="24" t="n"/>
      <c r="DM71" s="24" t="n"/>
      <c r="DN71" s="24" t="n"/>
      <c r="DO71" s="24" t="n"/>
      <c r="DP71" s="24" t="n"/>
      <c r="DQ71" s="24" t="n"/>
    </row>
    <row r="72" ht="36" customHeight="1">
      <c r="A72" s="24" t="inlineStr">
        <is>
          <t>c64b56e7d7cc413e</t>
        </is>
      </c>
      <c r="B72" s="24" t="inlineStr">
        <is>
          <t>2026-08-22T04:12:03.497428Z</t>
        </is>
      </c>
      <c r="C72" s="24" t="inlineStr">
        <is>
          <t>2026-08-22T05:00:00Z</t>
        </is>
      </c>
      <c r="D72" s="24" t="inlineStr">
        <is>
          <t>86164</t>
        </is>
      </c>
      <c r="E72" s="24" t="inlineStr">
        <is>
          <t>NPB</t>
        </is>
      </c>
      <c r="F72" s="24" t="inlineStr">
        <is>
          <t>Hiroshima Carp</t>
        </is>
      </c>
      <c r="G72" s="24" t="inlineStr">
        <is>
          <t>Yomiuri Giants</t>
        </is>
      </c>
      <c r="H72" s="24" t="inlineStr">
        <is>
          <t>moneyline</t>
        </is>
      </c>
      <c r="I72" s="24" t="inlineStr">
        <is>
          <t>home</t>
        </is>
      </c>
      <c r="J72" s="25" t="n"/>
      <c r="K72" s="24" t="inlineStr">
        <is>
          <t>polymarket_us</t>
        </is>
      </c>
      <c r="L72" s="26" t="n">
        <v>-108</v>
      </c>
      <c r="M72" s="27" t="n">
        <v>1.925926</v>
      </c>
      <c r="N72" s="28" t="n">
        <v>0.519231</v>
      </c>
      <c r="O72" s="28" t="n">
        <v>0.59885</v>
      </c>
      <c r="P72" s="28" t="n"/>
      <c r="Q72" s="28" t="n">
        <v>0.079619</v>
      </c>
      <c r="R72" s="26" t="n">
        <v>60</v>
      </c>
      <c r="S72" s="29" t="n">
        <v>1.25</v>
      </c>
      <c r="T72" s="24" t="inlineStr">
        <is>
          <t>npb-tie-aware-elo-v2</t>
        </is>
      </c>
      <c r="U72" s="24" t="inlineStr">
        <is>
          <t>settled</t>
        </is>
      </c>
      <c r="V72" s="24" t="inlineStr">
        <is>
          <t>win</t>
        </is>
      </c>
      <c r="W72" s="26" t="n">
        <v>0</v>
      </c>
      <c r="X72" s="26" t="n">
        <v>5</v>
      </c>
      <c r="Y72" s="25" t="n"/>
      <c r="Z72" s="26" t="n"/>
      <c r="AA72" s="28" t="n"/>
      <c r="AB72" s="28" t="n"/>
      <c r="AC72" s="30" t="n">
        <v>1.1574</v>
      </c>
      <c r="AD72" s="24" t="inlineStr">
        <is>
          <t>2026-08-22T19:04:52.676889Z</t>
        </is>
      </c>
      <c r="AE72" s="31" t="inlineStr">
        <is>
          <t>Tie-aware Elo baseline; executable ask 0.5200 (market_slug=aec-npb-ygo-hci-2026-08-22). Tie probability=0.0275.</t>
        </is>
      </c>
      <c r="AF72" s="31" t="inlineStr">
        <is>
          <t>Config-promoted international baseball baseline; gates enforced at log time.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model_qualified</t>
        </is>
      </c>
      <c r="AL72" s="26" t="n">
        <v>4</v>
      </c>
      <c r="AM72" s="24" t="inlineStr">
        <is>
          <t>QUALIFIED_SHADOW_CALL</t>
        </is>
      </c>
      <c r="AN72" s="24" t="inlineStr">
        <is>
          <t>CALL</t>
        </is>
      </c>
      <c r="AO72" s="24" t="inlineStr">
        <is>
          <t>QUALIFIED</t>
        </is>
      </c>
      <c r="AP72" s="24" t="inlineStr">
        <is>
          <t>Hiroshima Carp</t>
        </is>
      </c>
      <c r="AQ72" s="24" t="inlineStr">
        <is>
          <t>Hiroshima Carp</t>
        </is>
      </c>
      <c r="AR72" s="24" t="inlineStr">
        <is>
          <t>Hiroshima Carp</t>
        </is>
      </c>
      <c r="AS72" s="24" t="inlineStr">
        <is>
          <t>Yomiuri Giants</t>
        </is>
      </c>
      <c r="AT72" s="24" t="inlineStr">
        <is>
          <t>Yomiuri Giants</t>
        </is>
      </c>
      <c r="AU72" s="24" t="inlineStr">
        <is>
          <t>Yomiuri Giants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401b33b37256376d8941877b989bd468ee4b45c41e4fe9deed8ff91bce7a62db</t>
        </is>
      </c>
      <c r="BB72" s="24" t="inlineStr">
        <is>
          <t>tie_aware_elo</t>
        </is>
      </c>
      <c r="BC72" s="24" t="inlineStr">
        <is>
          <t>npb-tie-aware-elo-v2</t>
        </is>
      </c>
      <c r="BD72" s="24" t="inlineStr">
        <is>
          <t>401b33b37256376d8941877b989bd468ee4b45c41e4fe9deed8ff91bce7a62db</t>
        </is>
      </c>
      <c r="BE72" s="24" t="inlineStr">
        <is>
          <t>1</t>
        </is>
      </c>
      <c r="BF72" s="24" t="inlineStr">
        <is>
          <t>1</t>
        </is>
      </c>
      <c r="BG72" s="24" t="inlineStr">
        <is>
          <t>npb-tie-aware-elo-v2</t>
        </is>
      </c>
      <c r="BH72" s="24" t="inlineStr">
        <is>
          <t>2026-08-22T04:12:02.744229Z</t>
        </is>
      </c>
      <c r="BI72" s="24" t="inlineStr">
        <is>
          <t>["same_event","same_team_same_day","same_league_same_day"]</t>
        </is>
      </c>
      <c r="BJ72" s="25" t="n"/>
      <c r="BK72" s="26" t="n">
        <v>-108</v>
      </c>
      <c r="BL72" s="27" t="n">
        <v>1.925926</v>
      </c>
      <c r="BM72" s="28" t="n">
        <v>0.519231</v>
      </c>
      <c r="BN72" s="28" t="n"/>
      <c r="BO72" s="28" t="n"/>
      <c r="BP72" s="25" t="n"/>
      <c r="BQ72" s="27" t="n"/>
      <c r="BR72" s="28" t="n"/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True</t>
        </is>
      </c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inlineStr">
        <is>
          <t>0.519231</t>
        </is>
      </c>
      <c r="DK72" s="24" t="n"/>
      <c r="DL72" s="24" t="n"/>
      <c r="DM72" s="24" t="n"/>
      <c r="DN72" s="24" t="n"/>
      <c r="DO72" s="24" t="n"/>
      <c r="DP72" s="24" t="n"/>
      <c r="DQ72" s="24" t="n"/>
    </row>
    <row r="73" ht="36" customHeight="1">
      <c r="A73" s="24" t="inlineStr">
        <is>
          <t>83d4791cd0334089</t>
        </is>
      </c>
      <c r="B73" s="24" t="inlineStr">
        <is>
          <t>2026-08-22T04:12:03.497428Z</t>
        </is>
      </c>
      <c r="C73" s="24" t="inlineStr">
        <is>
          <t>2026-08-22T05:00:00Z</t>
        </is>
      </c>
      <c r="D73" s="24" t="inlineStr">
        <is>
          <t>86165</t>
        </is>
      </c>
      <c r="E73" s="24" t="inlineStr">
        <is>
          <t>NPB</t>
        </is>
      </c>
      <c r="F73" s="24" t="inlineStr">
        <is>
          <t>Tokyo Yakult Swallows</t>
        </is>
      </c>
      <c r="G73" s="24" t="inlineStr">
        <is>
          <t>Chunichi Dragons</t>
        </is>
      </c>
      <c r="H73" s="24" t="inlineStr">
        <is>
          <t>moneyline</t>
        </is>
      </c>
      <c r="I73" s="24" t="inlineStr">
        <is>
          <t>home</t>
        </is>
      </c>
      <c r="J73" s="25" t="n"/>
      <c r="K73" s="24" t="inlineStr">
        <is>
          <t>polymarket_us</t>
        </is>
      </c>
      <c r="L73" s="26" t="n">
        <v>-170</v>
      </c>
      <c r="M73" s="27" t="n">
        <v>1.588235</v>
      </c>
      <c r="N73" s="28" t="n">
        <v>0.62963</v>
      </c>
      <c r="O73" s="28" t="n">
        <v>0.576263</v>
      </c>
      <c r="P73" s="28" t="n"/>
      <c r="Q73" s="28" t="n">
        <v>-0.053367</v>
      </c>
      <c r="R73" s="26" t="n">
        <v>0</v>
      </c>
      <c r="S73" s="29" t="n">
        <v>1.25</v>
      </c>
      <c r="T73" s="24" t="inlineStr">
        <is>
          <t>npb-tie-aware-elo-v2</t>
        </is>
      </c>
      <c r="U73" s="24" t="inlineStr">
        <is>
          <t>settled</t>
        </is>
      </c>
      <c r="V73" s="24" t="inlineStr">
        <is>
          <t>win</t>
        </is>
      </c>
      <c r="W73" s="26" t="n">
        <v>4</v>
      </c>
      <c r="X73" s="26" t="n">
        <v>5</v>
      </c>
      <c r="Y73" s="25" t="n"/>
      <c r="Z73" s="26" t="n"/>
      <c r="AA73" s="28" t="n"/>
      <c r="AB73" s="28" t="n"/>
      <c r="AC73" s="30" t="n">
        <v>0.7353</v>
      </c>
      <c r="AD73" s="24" t="inlineStr">
        <is>
          <t>2026-08-22T19:04:53.210609Z</t>
        </is>
      </c>
      <c r="AE73" s="31" t="inlineStr">
        <is>
          <t>Tie-aware Elo baseline; executable ask 0.6300 (market_slug=aec-npb-cdh-tys-2026-08-22). Tie probability=0.0294.</t>
        </is>
      </c>
      <c r="AF73" s="31" t="inlineStr">
        <is>
          <t>Config-promoted international baseball baseline; gates enforced at log time.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paper_call</t>
        </is>
      </c>
      <c r="AL73" s="26" t="n">
        <v>4</v>
      </c>
      <c r="AM73" s="24" t="inlineStr">
        <is>
          <t>RESEARCH_OBSERVATION</t>
        </is>
      </c>
      <c r="AN73" s="24" t="inlineStr">
        <is>
          <t>CALL</t>
        </is>
      </c>
      <c r="AO73" s="24" t="inlineStr">
        <is>
          <t>PAPER_CALL_LOW_EDGE</t>
        </is>
      </c>
      <c r="AP73" s="24" t="inlineStr">
        <is>
          <t>Tokyo Yakult Swallows</t>
        </is>
      </c>
      <c r="AQ73" s="24" t="inlineStr">
        <is>
          <t>Tokyo Yakult Swallows</t>
        </is>
      </c>
      <c r="AR73" s="24" t="inlineStr">
        <is>
          <t>Tokyo Yakult Swallows</t>
        </is>
      </c>
      <c r="AS73" s="24" t="inlineStr">
        <is>
          <t>Chunichi Dragons</t>
        </is>
      </c>
      <c r="AT73" s="24" t="inlineStr">
        <is>
          <t>Chunichi Dragons</t>
        </is>
      </c>
      <c r="AU73" s="24" t="inlineStr">
        <is>
          <t>Chunichi Dragons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401b33b37256376d8941877b989bd468ee4b45c41e4fe9deed8ff91bce7a62db</t>
        </is>
      </c>
      <c r="BB73" s="24" t="inlineStr">
        <is>
          <t>tie_aware_elo</t>
        </is>
      </c>
      <c r="BC73" s="24" t="inlineStr">
        <is>
          <t>npb-tie-aware-elo-v2</t>
        </is>
      </c>
      <c r="BD73" s="24" t="inlineStr">
        <is>
          <t>401b33b37256376d8941877b989bd468ee4b45c41e4fe9deed8ff91bce7a62db</t>
        </is>
      </c>
      <c r="BE73" s="24" t="inlineStr">
        <is>
          <t>1</t>
        </is>
      </c>
      <c r="BF73" s="24" t="inlineStr">
        <is>
          <t>1</t>
        </is>
      </c>
      <c r="BG73" s="24" t="inlineStr">
        <is>
          <t>npb-tie-aware-elo-v2</t>
        </is>
      </c>
      <c r="BH73" s="24" t="inlineStr">
        <is>
          <t>2026-08-22T04:12:02.944641Z</t>
        </is>
      </c>
      <c r="BI73" s="24" t="inlineStr">
        <is>
          <t>["same_event","same_team_same_day","same_league_same_day"]</t>
        </is>
      </c>
      <c r="BJ73" s="25" t="n"/>
      <c r="BK73" s="26" t="n">
        <v>-170</v>
      </c>
      <c r="BL73" s="27" t="n">
        <v>1.588235</v>
      </c>
      <c r="BM73" s="28" t="n">
        <v>0.62963</v>
      </c>
      <c r="BN73" s="28" t="n"/>
      <c r="BO73" s="28" t="n"/>
      <c r="BP73" s="25" t="n"/>
      <c r="BQ73" s="27" t="n"/>
      <c r="BR73" s="28" t="n"/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False</t>
        </is>
      </c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inlineStr">
        <is>
          <t>0.62963</t>
        </is>
      </c>
      <c r="DK73" s="24" t="n"/>
      <c r="DL73" s="24" t="n"/>
      <c r="DM73" s="24" t="n"/>
      <c r="DN73" s="24" t="n"/>
      <c r="DO73" s="24" t="n"/>
      <c r="DP73" s="24" t="n"/>
      <c r="DQ73" s="24" t="n"/>
    </row>
    <row r="74" ht="36" customHeight="1">
      <c r="A74" s="24" t="inlineStr">
        <is>
          <t>6a5c832466514b8f</t>
        </is>
      </c>
      <c r="B74" s="24" t="inlineStr">
        <is>
          <t>2026-08-22T04:12:03.497428Z</t>
        </is>
      </c>
      <c r="C74" s="24" t="inlineStr">
        <is>
          <t>2026-08-22T05:00:00Z</t>
        </is>
      </c>
      <c r="D74" s="24" t="inlineStr">
        <is>
          <t>86166</t>
        </is>
      </c>
      <c r="E74" s="24" t="inlineStr">
        <is>
          <t>NPB</t>
        </is>
      </c>
      <c r="F74" s="24" t="inlineStr">
        <is>
          <t>Orix Buffaloes</t>
        </is>
      </c>
      <c r="G74" s="24" t="inlineStr">
        <is>
          <t>Fukuoka SoftBank Hawks</t>
        </is>
      </c>
      <c r="H74" s="24" t="inlineStr">
        <is>
          <t>moneyline</t>
        </is>
      </c>
      <c r="I74" s="24" t="inlineStr">
        <is>
          <t>home</t>
        </is>
      </c>
      <c r="J74" s="25" t="n"/>
      <c r="K74" s="24" t="inlineStr">
        <is>
          <t>polymarket_us</t>
        </is>
      </c>
      <c r="L74" s="26" t="n">
        <v>-203</v>
      </c>
      <c r="M74" s="27" t="n">
        <v>1.492611</v>
      </c>
      <c r="N74" s="28" t="n">
        <v>0.669967</v>
      </c>
      <c r="O74" s="28" t="n">
        <v>0.657277</v>
      </c>
      <c r="P74" s="28" t="n"/>
      <c r="Q74" s="28" t="n">
        <v>-0.01269</v>
      </c>
      <c r="R74" s="26" t="n">
        <v>14</v>
      </c>
      <c r="S74" s="29" t="n">
        <v>1.75</v>
      </c>
      <c r="T74" s="24" t="inlineStr">
        <is>
          <t>npb-tie-aware-elo-v2</t>
        </is>
      </c>
      <c r="U74" s="24" t="inlineStr">
        <is>
          <t>settled</t>
        </is>
      </c>
      <c r="V74" s="24" t="inlineStr">
        <is>
          <t>win</t>
        </is>
      </c>
      <c r="W74" s="26" t="n">
        <v>1</v>
      </c>
      <c r="X74" s="26" t="n">
        <v>7</v>
      </c>
      <c r="Y74" s="25" t="n"/>
      <c r="Z74" s="26" t="n"/>
      <c r="AA74" s="28" t="n"/>
      <c r="AB74" s="28" t="n"/>
      <c r="AC74" s="30" t="n">
        <v>0.8621</v>
      </c>
      <c r="AD74" s="24" t="inlineStr">
        <is>
          <t>2026-08-22T19:04:53.515868Z</t>
        </is>
      </c>
      <c r="AE74" s="31" t="inlineStr">
        <is>
          <t>Tie-aware Elo baseline; executable ask 0.6700 (market_slug=aec-npb-fsh-obr-2026-08-22). Tie probability=0.0221.</t>
        </is>
      </c>
      <c r="AF74" s="31" t="inlineStr">
        <is>
          <t>Config-promoted international baseball baseline; gates enforced at log time.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paper_call</t>
        </is>
      </c>
      <c r="AL74" s="26" t="n">
        <v>4</v>
      </c>
      <c r="AM74" s="24" t="inlineStr">
        <is>
          <t>RESEARCH_OBSERVATION</t>
        </is>
      </c>
      <c r="AN74" s="24" t="inlineStr">
        <is>
          <t>CALL</t>
        </is>
      </c>
      <c r="AO74" s="24" t="inlineStr">
        <is>
          <t>PAPER_CALL_LOW_EDGE</t>
        </is>
      </c>
      <c r="AP74" s="24" t="inlineStr">
        <is>
          <t>Orix Buffaloes</t>
        </is>
      </c>
      <c r="AQ74" s="24" t="inlineStr">
        <is>
          <t>Orix Buffaloes</t>
        </is>
      </c>
      <c r="AR74" s="24" t="inlineStr">
        <is>
          <t>Orix Buffaloes</t>
        </is>
      </c>
      <c r="AS74" s="24" t="inlineStr">
        <is>
          <t>Fukuoka SoftBank Hawks</t>
        </is>
      </c>
      <c r="AT74" s="24" t="inlineStr">
        <is>
          <t>Fukuoka SoftBank Hawks</t>
        </is>
      </c>
      <c r="AU74" s="24" t="inlineStr">
        <is>
          <t>Fukuoka SoftBank Hawks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401b33b37256376d8941877b989bd468ee4b45c41e4fe9deed8ff91bce7a62db</t>
        </is>
      </c>
      <c r="BB74" s="24" t="inlineStr">
        <is>
          <t>tie_aware_elo</t>
        </is>
      </c>
      <c r="BC74" s="24" t="inlineStr">
        <is>
          <t>npb-tie-aware-elo-v2</t>
        </is>
      </c>
      <c r="BD74" s="24" t="inlineStr">
        <is>
          <t>401b33b37256376d8941877b989bd468ee4b45c41e4fe9deed8ff91bce7a62db</t>
        </is>
      </c>
      <c r="BE74" s="24" t="inlineStr">
        <is>
          <t>1</t>
        </is>
      </c>
      <c r="BF74" s="24" t="inlineStr">
        <is>
          <t>1</t>
        </is>
      </c>
      <c r="BG74" s="24" t="inlineStr">
        <is>
          <t>npb-tie-aware-elo-v2</t>
        </is>
      </c>
      <c r="BH74" s="24" t="inlineStr">
        <is>
          <t>2026-08-22T04:12:03.075041Z</t>
        </is>
      </c>
      <c r="BI74" s="24" t="inlineStr">
        <is>
          <t>["same_event","same_team_same_day","same_league_same_day"]</t>
        </is>
      </c>
      <c r="BJ74" s="25" t="n"/>
      <c r="BK74" s="26" t="n">
        <v>-203</v>
      </c>
      <c r="BL74" s="27" t="n">
        <v>1.492611</v>
      </c>
      <c r="BM74" s="28" t="n">
        <v>0.669967</v>
      </c>
      <c r="BN74" s="28" t="n"/>
      <c r="BO74" s="28" t="n"/>
      <c r="BP74" s="25" t="n"/>
      <c r="BQ74" s="27" t="n"/>
      <c r="BR74" s="28" t="n"/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False</t>
        </is>
      </c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inlineStr">
        <is>
          <t>0.669967</t>
        </is>
      </c>
      <c r="DK74" s="24" t="n"/>
      <c r="DL74" s="24" t="n"/>
      <c r="DM74" s="24" t="n"/>
      <c r="DN74" s="24" t="n"/>
      <c r="DO74" s="24" t="n"/>
      <c r="DP74" s="24" t="n"/>
      <c r="DQ74" s="24" t="n"/>
    </row>
    <row r="75" ht="36" customHeight="1">
      <c r="A75" s="24" t="inlineStr">
        <is>
          <t>3c8b8524d8514a37</t>
        </is>
      </c>
      <c r="B75" s="24" t="inlineStr">
        <is>
          <t>2026-08-22T07:30:02.059574Z</t>
        </is>
      </c>
      <c r="C75" s="24" t="inlineStr">
        <is>
          <t>2026-08-22T09:00:00Z</t>
        </is>
      </c>
      <c r="D75" s="24" t="inlineStr">
        <is>
          <t>86187</t>
        </is>
      </c>
      <c r="E75" s="24" t="inlineStr">
        <is>
          <t>NPB</t>
        </is>
      </c>
      <c r="F75" s="24" t="inlineStr">
        <is>
          <t>Hanshin Tigers</t>
        </is>
      </c>
      <c r="G75" s="24" t="inlineStr">
        <is>
          <t>Yokohama BayStars</t>
        </is>
      </c>
      <c r="H75" s="24" t="inlineStr">
        <is>
          <t>moneyline</t>
        </is>
      </c>
      <c r="I75" s="24" t="inlineStr">
        <is>
          <t>away</t>
        </is>
      </c>
      <c r="J75" s="25" t="n"/>
      <c r="K75" s="24" t="inlineStr">
        <is>
          <t>polymarket_us</t>
        </is>
      </c>
      <c r="L75" s="26" t="n">
        <v>117</v>
      </c>
      <c r="M75" s="27" t="n">
        <v>2.17</v>
      </c>
      <c r="N75" s="28" t="n">
        <v>0.460829</v>
      </c>
      <c r="O75" s="28" t="n">
        <v>0.5227309999999999</v>
      </c>
      <c r="P75" s="28" t="n"/>
      <c r="Q75" s="28" t="n">
        <v>0.061902</v>
      </c>
      <c r="R75" s="26" t="n">
        <v>51</v>
      </c>
      <c r="S75" s="29" t="n">
        <v>1</v>
      </c>
      <c r="T75" s="24" t="inlineStr">
        <is>
          <t>npb-tie-aware-elo-v2</t>
        </is>
      </c>
      <c r="U75" s="24" t="inlineStr">
        <is>
          <t>settled</t>
        </is>
      </c>
      <c r="V75" s="24" t="inlineStr">
        <is>
          <t>push</t>
        </is>
      </c>
      <c r="W75" s="26" t="n"/>
      <c r="X75" s="26" t="n"/>
      <c r="Y75" s="25" t="n"/>
      <c r="Z75" s="26" t="n"/>
      <c r="AA75" s="28" t="n"/>
      <c r="AB75" s="28" t="n"/>
      <c r="AC75" s="30" t="n">
        <v>0</v>
      </c>
      <c r="AD75" s="24" t="inlineStr">
        <is>
          <t>2026-08-31T06:26:55.759203Z</t>
        </is>
      </c>
      <c r="AE75" s="31" t="inlineStr">
        <is>
          <t>Tie-aware Elo baseline; executable ask 0.4600 (market_slug=aec-npb-ybo-hta-2026-08-22). Tie probability=0.0341.</t>
        </is>
      </c>
      <c r="AF75" s="31" t="inlineStr">
        <is>
          <t>Config-promoted international baseball baseline; gates enforced at log time.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paper_call</t>
        </is>
      </c>
      <c r="AL75" s="26" t="n">
        <v>4</v>
      </c>
      <c r="AM75" s="24" t="inlineStr">
        <is>
          <t>RESEARCH_OBSERVATION</t>
        </is>
      </c>
      <c r="AN75" s="24" t="inlineStr">
        <is>
          <t>CALL</t>
        </is>
      </c>
      <c r="AO75" s="24" t="inlineStr">
        <is>
          <t>PAPER_CALL_LOW_EDGE</t>
        </is>
      </c>
      <c r="AP75" s="24" t="inlineStr">
        <is>
          <t>Hanshin Tigers</t>
        </is>
      </c>
      <c r="AQ75" s="24" t="inlineStr">
        <is>
          <t>Hanshin Tigers</t>
        </is>
      </c>
      <c r="AR75" s="24" t="inlineStr">
        <is>
          <t>Hanshin Tigers</t>
        </is>
      </c>
      <c r="AS75" s="24" t="inlineStr">
        <is>
          <t>Yokohama BayStars</t>
        </is>
      </c>
      <c r="AT75" s="24" t="inlineStr">
        <is>
          <t>Yokohama BayStars</t>
        </is>
      </c>
      <c r="AU75" s="24" t="inlineStr">
        <is>
          <t>Yokohama BayStars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866c21b8a762be1acb42948e62dcf587c193fcdbc7c1ef872aa7ce2bda455f92</t>
        </is>
      </c>
      <c r="BB75" s="24" t="inlineStr">
        <is>
          <t>tie_aware_elo</t>
        </is>
      </c>
      <c r="BC75" s="24" t="inlineStr">
        <is>
          <t>npb-tie-aware-elo-v2</t>
        </is>
      </c>
      <c r="BD75" s="24" t="inlineStr">
        <is>
          <t>866c21b8a762be1acb42948e62dcf587c193fcdbc7c1ef872aa7ce2bda455f92</t>
        </is>
      </c>
      <c r="BE75" s="24" t="inlineStr">
        <is>
          <t>1</t>
        </is>
      </c>
      <c r="BF75" s="24" t="inlineStr">
        <is>
          <t>1</t>
        </is>
      </c>
      <c r="BG75" s="24" t="inlineStr">
        <is>
          <t>npb-tie-aware-elo-v2</t>
        </is>
      </c>
      <c r="BH75" s="24" t="inlineStr">
        <is>
          <t>2026-08-22T07:30:01.904220Z</t>
        </is>
      </c>
      <c r="BI75" s="24" t="inlineStr">
        <is>
          <t>["same_event","same_team_same_day","same_league_same_day"]</t>
        </is>
      </c>
      <c r="BJ75" s="25" t="n"/>
      <c r="BK75" s="26" t="n">
        <v>117</v>
      </c>
      <c r="BL75" s="27" t="n">
        <v>2.17</v>
      </c>
      <c r="BM75" s="28" t="n">
        <v>0.460829</v>
      </c>
      <c r="BN75" s="28" t="n"/>
      <c r="BO75" s="28" t="n"/>
      <c r="BP75" s="25" t="n"/>
      <c r="BQ75" s="27" t="n"/>
      <c r="BR75" s="28" t="n"/>
      <c r="BS75" s="28" t="n"/>
      <c r="BT75" s="28" t="n"/>
      <c r="BU75" s="25" t="n"/>
      <c r="BV75" s="29" t="n"/>
      <c r="BW75" s="24" t="inlineStr">
        <is>
          <t>voided 2026-08-31: game never played on its slate date -- the official NPB source still lists T @ DB on 2026-08-22 with no score (postponed; makeup games are replayed under a new game_id on a new date), so no result for this contract can ever exist and the row would stay open forever.</t>
        </is>
      </c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inlineStr">
        <is>
          <t>0.460829</t>
        </is>
      </c>
      <c r="DK75" s="24" t="n"/>
      <c r="DL75" s="24" t="n"/>
      <c r="DM75" s="24" t="n"/>
      <c r="DN75" s="24" t="n"/>
      <c r="DO75" s="24" t="n"/>
      <c r="DP75" s="24" t="n"/>
      <c r="DQ75" s="24" t="n"/>
    </row>
    <row r="76" ht="36" customHeight="1">
      <c r="A76" s="24" t="inlineStr">
        <is>
          <t>e8030a2dbd564f42</t>
        </is>
      </c>
      <c r="B76" s="24" t="inlineStr">
        <is>
          <t>2026-08-22T07:30:02.059574Z</t>
        </is>
      </c>
      <c r="C76" s="24" t="inlineStr">
        <is>
          <t>2026-08-22T09:00:00Z</t>
        </is>
      </c>
      <c r="D76" s="24" t="inlineStr">
        <is>
          <t>86188</t>
        </is>
      </c>
      <c r="E76" s="24" t="inlineStr">
        <is>
          <t>NPB</t>
        </is>
      </c>
      <c r="F76" s="24" t="inlineStr">
        <is>
          <t>Saitama Seibu Lions</t>
        </is>
      </c>
      <c r="G76" s="24" t="inlineStr">
        <is>
          <t>Tohoku Rakuten Golden Eagles</t>
        </is>
      </c>
      <c r="H76" s="24" t="inlineStr">
        <is>
          <t>moneyline</t>
        </is>
      </c>
      <c r="I76" s="24" t="inlineStr">
        <is>
          <t>away</t>
        </is>
      </c>
      <c r="J76" s="25" t="n"/>
      <c r="K76" s="24" t="inlineStr">
        <is>
          <t>polymarket_us</t>
        </is>
      </c>
      <c r="L76" s="26" t="n">
        <v>104</v>
      </c>
      <c r="M76" s="27" t="n">
        <v>2.04</v>
      </c>
      <c r="N76" s="28" t="n">
        <v>0.490196</v>
      </c>
      <c r="O76" s="28" t="n">
        <v>0.53754</v>
      </c>
      <c r="P76" s="28" t="n"/>
      <c r="Q76" s="28" t="n">
        <v>0.047344</v>
      </c>
      <c r="R76" s="26" t="n">
        <v>44</v>
      </c>
      <c r="S76" s="29" t="n">
        <v>1</v>
      </c>
      <c r="T76" s="24" t="inlineStr">
        <is>
          <t>npb-tie-aware-elo-v2</t>
        </is>
      </c>
      <c r="U76" s="24" t="inlineStr">
        <is>
          <t>settled</t>
        </is>
      </c>
      <c r="V76" s="24" t="inlineStr">
        <is>
          <t>win</t>
        </is>
      </c>
      <c r="W76" s="26" t="n">
        <v>2</v>
      </c>
      <c r="X76" s="26" t="n">
        <v>0</v>
      </c>
      <c r="Y76" s="25" t="n"/>
      <c r="Z76" s="26" t="n"/>
      <c r="AA76" s="28" t="n"/>
      <c r="AB76" s="28" t="n"/>
      <c r="AC76" s="30" t="n">
        <v>1.04</v>
      </c>
      <c r="AD76" s="24" t="inlineStr">
        <is>
          <t>2026-08-22T19:04:55.671053Z</t>
        </is>
      </c>
      <c r="AE76" s="31" t="inlineStr">
        <is>
          <t>Tie-aware Elo baseline; executable ask 0.4900 (market_slug=aec-npb-trge-ssl-2026-08-22). Tie probability=0.0328.</t>
        </is>
      </c>
      <c r="AF76" s="31" t="inlineStr">
        <is>
          <t>Config-promoted international baseball baseline; gates enforced at log time.</t>
        </is>
      </c>
      <c r="AG76" s="24" t="inlineStr">
        <is>
          <t>not_applicable</t>
        </is>
      </c>
      <c r="AH76" s="24" t="n"/>
      <c r="AI76" s="31" t="n"/>
      <c r="AJ76" s="31" t="n"/>
      <c r="AK76" s="24" t="inlineStr">
        <is>
          <t>paper_call</t>
        </is>
      </c>
      <c r="AL76" s="26" t="n">
        <v>4</v>
      </c>
      <c r="AM76" s="24" t="inlineStr">
        <is>
          <t>RESEARCH_OBSERVATION</t>
        </is>
      </c>
      <c r="AN76" s="24" t="inlineStr">
        <is>
          <t>CALL</t>
        </is>
      </c>
      <c r="AO76" s="24" t="inlineStr">
        <is>
          <t>PAPER_CALL_LOW_EDGE</t>
        </is>
      </c>
      <c r="AP76" s="24" t="inlineStr">
        <is>
          <t>Saitama Seibu Lions</t>
        </is>
      </c>
      <c r="AQ76" s="24" t="inlineStr">
        <is>
          <t>Saitama Seibu Lions</t>
        </is>
      </c>
      <c r="AR76" s="24" t="inlineStr">
        <is>
          <t>Saitama Seibu Lions</t>
        </is>
      </c>
      <c r="AS76" s="24" t="inlineStr">
        <is>
          <t>Tohoku Rakuten Golden Eagles</t>
        </is>
      </c>
      <c r="AT76" s="24" t="inlineStr">
        <is>
          <t>Tohoku Rakuten Golden Eagles</t>
        </is>
      </c>
      <c r="AU76" s="24" t="inlineStr">
        <is>
          <t>Tohoku Rakuten Golden Eagles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866c21b8a762be1acb42948e62dcf587c193fcdbc7c1ef872aa7ce2bda455f92</t>
        </is>
      </c>
      <c r="BB76" s="24" t="inlineStr">
        <is>
          <t>tie_aware_elo</t>
        </is>
      </c>
      <c r="BC76" s="24" t="inlineStr">
        <is>
          <t>npb-tie-aware-elo-v2</t>
        </is>
      </c>
      <c r="BD76" s="24" t="inlineStr">
        <is>
          <t>866c21b8a762be1acb42948e62dcf587c193fcdbc7c1ef872aa7ce2bda455f92</t>
        </is>
      </c>
      <c r="BE76" s="24" t="inlineStr">
        <is>
          <t>1</t>
        </is>
      </c>
      <c r="BF76" s="24" t="inlineStr">
        <is>
          <t>1</t>
        </is>
      </c>
      <c r="BG76" s="24" t="inlineStr">
        <is>
          <t>npb-tie-aware-elo-v2</t>
        </is>
      </c>
      <c r="BH76" s="24" t="inlineStr">
        <is>
          <t>2026-08-22T07:30:01.976330Z</t>
        </is>
      </c>
      <c r="BI76" s="24" t="inlineStr">
        <is>
          <t>["same_event","same_team_same_day","same_league_same_day"]</t>
        </is>
      </c>
      <c r="BJ76" s="25" t="n"/>
      <c r="BK76" s="26" t="n">
        <v>104</v>
      </c>
      <c r="BL76" s="27" t="n">
        <v>2.04</v>
      </c>
      <c r="BM76" s="28" t="n">
        <v>0.490196</v>
      </c>
      <c r="BN76" s="28" t="n"/>
      <c r="BO76" s="28" t="n"/>
      <c r="BP76" s="25" t="n"/>
      <c r="BQ76" s="27" t="n"/>
      <c r="BR76" s="28" t="n"/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True</t>
        </is>
      </c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inlineStr">
        <is>
          <t>0.490196</t>
        </is>
      </c>
      <c r="DK76" s="24" t="n"/>
      <c r="DL76" s="24" t="n"/>
      <c r="DM76" s="24" t="n"/>
      <c r="DN76" s="24" t="n"/>
      <c r="DO76" s="24" t="n"/>
      <c r="DP76" s="24" t="n"/>
      <c r="DQ76" s="24" t="n"/>
    </row>
    <row r="77" ht="36" customHeight="1">
      <c r="A77" s="24" t="inlineStr">
        <is>
          <t>971bfbac00fa4787</t>
        </is>
      </c>
      <c r="B77" s="24" t="inlineStr">
        <is>
          <t>2026-08-22T07:30:02.059574Z</t>
        </is>
      </c>
      <c r="C77" s="24" t="inlineStr">
        <is>
          <t>2026-08-22T09:00:00Z</t>
        </is>
      </c>
      <c r="D77" s="24" t="inlineStr">
        <is>
          <t>86189</t>
        </is>
      </c>
      <c r="E77" s="24" t="inlineStr">
        <is>
          <t>NPB</t>
        </is>
      </c>
      <c r="F77" s="24" t="inlineStr">
        <is>
          <t>Nippon Ham Fighters</t>
        </is>
      </c>
      <c r="G77" s="24" t="inlineStr">
        <is>
          <t>Chiba Lotte Marines</t>
        </is>
      </c>
      <c r="H77" s="24" t="inlineStr">
        <is>
          <t>moneyline</t>
        </is>
      </c>
      <c r="I77" s="24" t="inlineStr">
        <is>
          <t>away</t>
        </is>
      </c>
      <c r="J77" s="25" t="n"/>
      <c r="K77" s="24" t="inlineStr">
        <is>
          <t>polymarket_us</t>
        </is>
      </c>
      <c r="L77" s="26" t="n">
        <v>-133</v>
      </c>
      <c r="M77" s="27" t="n">
        <v>1.75188</v>
      </c>
      <c r="N77" s="28" t="n">
        <v>0.570815</v>
      </c>
      <c r="O77" s="28" t="n">
        <v>0.536002</v>
      </c>
      <c r="P77" s="28" t="n"/>
      <c r="Q77" s="28" t="n">
        <v>-0.034813</v>
      </c>
      <c r="R77" s="26" t="n">
        <v>3</v>
      </c>
      <c r="S77" s="29" t="n">
        <v>1</v>
      </c>
      <c r="T77" s="24" t="inlineStr">
        <is>
          <t>npb-tie-aware-elo-v2</t>
        </is>
      </c>
      <c r="U77" s="24" t="inlineStr">
        <is>
          <t>settled</t>
        </is>
      </c>
      <c r="V77" s="24" t="inlineStr">
        <is>
          <t>push</t>
        </is>
      </c>
      <c r="W77" s="26" t="n"/>
      <c r="X77" s="26" t="n"/>
      <c r="Y77" s="25" t="n"/>
      <c r="Z77" s="26" t="n"/>
      <c r="AA77" s="28" t="n"/>
      <c r="AB77" s="28" t="n"/>
      <c r="AC77" s="30" t="n">
        <v>0</v>
      </c>
      <c r="AD77" s="24" t="inlineStr">
        <is>
          <t>2026-08-31T06:26:56.070859Z</t>
        </is>
      </c>
      <c r="AE77" s="31" t="inlineStr">
        <is>
          <t>Tie-aware Elo baseline; executable ask 0.5700 (market_slug=aec-npb-clm-nhf-2026-08-22). Tie probability=0.0330.</t>
        </is>
      </c>
      <c r="AF77" s="31" t="inlineStr">
        <is>
          <t>Config-promoted international baseball baseline; gates enforced at log time.</t>
        </is>
      </c>
      <c r="AG77" s="24" t="inlineStr">
        <is>
          <t>not_applicable</t>
        </is>
      </c>
      <c r="AH77" s="24" t="n"/>
      <c r="AI77" s="31" t="n"/>
      <c r="AJ77" s="31" t="n"/>
      <c r="AK77" s="24" t="inlineStr">
        <is>
          <t>paper_call</t>
        </is>
      </c>
      <c r="AL77" s="26" t="n">
        <v>4</v>
      </c>
      <c r="AM77" s="24" t="inlineStr">
        <is>
          <t>RESEARCH_OBSERVATION</t>
        </is>
      </c>
      <c r="AN77" s="24" t="inlineStr">
        <is>
          <t>CALL</t>
        </is>
      </c>
      <c r="AO77" s="24" t="inlineStr">
        <is>
          <t>PAPER_CALL_LOW_EDGE</t>
        </is>
      </c>
      <c r="AP77" s="24" t="inlineStr">
        <is>
          <t>Nippon Ham Fighters</t>
        </is>
      </c>
      <c r="AQ77" s="24" t="inlineStr">
        <is>
          <t>Nippon Ham Fighters</t>
        </is>
      </c>
      <c r="AR77" s="24" t="inlineStr">
        <is>
          <t>Nippon Ham Fighters</t>
        </is>
      </c>
      <c r="AS77" s="24" t="inlineStr">
        <is>
          <t>Chiba Lotte Marines</t>
        </is>
      </c>
      <c r="AT77" s="24" t="inlineStr">
        <is>
          <t>Chiba Lotte Marines</t>
        </is>
      </c>
      <c r="AU77" s="24" t="inlineStr">
        <is>
          <t>Chiba Lotte Marines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866c21b8a762be1acb42948e62dcf587c193fcdbc7c1ef872aa7ce2bda455f92</t>
        </is>
      </c>
      <c r="BB77" s="24" t="inlineStr">
        <is>
          <t>tie_aware_elo</t>
        </is>
      </c>
      <c r="BC77" s="24" t="inlineStr">
        <is>
          <t>npb-tie-aware-elo-v2</t>
        </is>
      </c>
      <c r="BD77" s="24" t="inlineStr">
        <is>
          <t>866c21b8a762be1acb42948e62dcf587c193fcdbc7c1ef872aa7ce2bda455f92</t>
        </is>
      </c>
      <c r="BE77" s="24" t="inlineStr">
        <is>
          <t>1</t>
        </is>
      </c>
      <c r="BF77" s="24" t="inlineStr">
        <is>
          <t>1</t>
        </is>
      </c>
      <c r="BG77" s="24" t="inlineStr">
        <is>
          <t>npb-tie-aware-elo-v2</t>
        </is>
      </c>
      <c r="BH77" s="24" t="inlineStr">
        <is>
          <t>2026-08-22T07:30:02.059524Z</t>
        </is>
      </c>
      <c r="BI77" s="24" t="inlineStr">
        <is>
          <t>["same_event","same_team_same_day","same_league_same_day"]</t>
        </is>
      </c>
      <c r="BJ77" s="25" t="n"/>
      <c r="BK77" s="26" t="n">
        <v>-133</v>
      </c>
      <c r="BL77" s="27" t="n">
        <v>1.75188</v>
      </c>
      <c r="BM77" s="28" t="n">
        <v>0.570815</v>
      </c>
      <c r="BN77" s="28" t="n"/>
      <c r="BO77" s="28" t="n"/>
      <c r="BP77" s="25" t="n"/>
      <c r="BQ77" s="27" t="n"/>
      <c r="BR77" s="28" t="n"/>
      <c r="BS77" s="28" t="n"/>
      <c r="BT77" s="28" t="n"/>
      <c r="BU77" s="25" t="n"/>
      <c r="BV77" s="29" t="n"/>
      <c r="BW77" s="24" t="inlineStr">
        <is>
          <t>voided 2026-08-31: game never played on its slate date -- the official NPB source still lists F @ M on 2026-08-22 with no score (postponed; makeup games are replayed under a new game_id on a new date), so no result for this contract can ever exist and the row would stay open forever.</t>
        </is>
      </c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False</t>
        </is>
      </c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inlineStr">
        <is>
          <t>0.570815</t>
        </is>
      </c>
      <c r="DK77" s="24" t="n"/>
      <c r="DL77" s="24" t="n"/>
      <c r="DM77" s="24" t="n"/>
      <c r="DN77" s="24" t="n"/>
      <c r="DO77" s="24" t="n"/>
      <c r="DP77" s="24" t="n"/>
      <c r="DQ77" s="24" t="n"/>
    </row>
    <row r="78" ht="36" customHeight="1">
      <c r="A78" s="24" t="inlineStr">
        <is>
          <t>4647ba4f22f64688</t>
        </is>
      </c>
      <c r="B78" s="24" t="inlineStr">
        <is>
          <t>2026-08-23T05:23:45.211691Z</t>
        </is>
      </c>
      <c r="C78" s="24" t="inlineStr">
        <is>
          <t>2026-08-23T07:00:00Z</t>
        </is>
      </c>
      <c r="D78" s="24" t="inlineStr">
        <is>
          <t>87219</t>
        </is>
      </c>
      <c r="E78" s="24" t="inlineStr">
        <is>
          <t>NPB</t>
        </is>
      </c>
      <c r="F78" s="24" t="inlineStr">
        <is>
          <t>Saitama Seibu Lions</t>
        </is>
      </c>
      <c r="G78" s="24" t="inlineStr">
        <is>
          <t>Tohoku Rakuten Golden Eagles</t>
        </is>
      </c>
      <c r="H78" s="24" t="inlineStr">
        <is>
          <t>moneyline</t>
        </is>
      </c>
      <c r="I78" s="24" t="inlineStr">
        <is>
          <t>away</t>
        </is>
      </c>
      <c r="J78" s="25" t="n"/>
      <c r="K78" s="24" t="inlineStr">
        <is>
          <t>polymarket_us</t>
        </is>
      </c>
      <c r="L78" s="26" t="n">
        <v>100</v>
      </c>
      <c r="M78" s="27" t="n">
        <v>2</v>
      </c>
      <c r="N78" s="28" t="n">
        <v>0.5</v>
      </c>
      <c r="O78" s="28" t="n">
        <v>0.550928</v>
      </c>
      <c r="P78" s="28" t="n"/>
      <c r="Q78" s="28" t="n">
        <v>0.050928</v>
      </c>
      <c r="R78" s="26" t="n">
        <v>45</v>
      </c>
      <c r="S78" s="29" t="n">
        <v>1</v>
      </c>
      <c r="T78" s="24" t="inlineStr">
        <is>
          <t>npb-tie-aware-elo-v2</t>
        </is>
      </c>
      <c r="U78" s="24" t="inlineStr">
        <is>
          <t>settled</t>
        </is>
      </c>
      <c r="V78" s="24" t="inlineStr">
        <is>
          <t>win</t>
        </is>
      </c>
      <c r="W78" s="26" t="n">
        <v>3</v>
      </c>
      <c r="X78" s="26" t="n">
        <v>1</v>
      </c>
      <c r="Y78" s="25" t="n"/>
      <c r="Z78" s="26" t="n"/>
      <c r="AA78" s="28" t="n"/>
      <c r="AB78" s="28" t="n"/>
      <c r="AC78" s="30" t="n">
        <v>1</v>
      </c>
      <c r="AD78" s="24" t="inlineStr">
        <is>
          <t>2026-08-23T18:09:12.179533Z</t>
        </is>
      </c>
      <c r="AE78" s="31" t="inlineStr">
        <is>
          <t>Tie-aware Elo baseline; executable ask 0.5000 (market_slug=aec-npb-trge-ssl-2026-08-23). Tie probability=0.0316.</t>
        </is>
      </c>
      <c r="AF78" s="31" t="inlineStr">
        <is>
          <t>Config-promoted international baseball baseline; gates enforced at log time.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paper_call</t>
        </is>
      </c>
      <c r="AL78" s="26" t="n">
        <v>4</v>
      </c>
      <c r="AM78" s="24" t="inlineStr">
        <is>
          <t>RESEARCH_OBSERVATION</t>
        </is>
      </c>
      <c r="AN78" s="24" t="inlineStr">
        <is>
          <t>CALL</t>
        </is>
      </c>
      <c r="AO78" s="24" t="inlineStr">
        <is>
          <t>PAPER_CALL_LOW_EDGE</t>
        </is>
      </c>
      <c r="AP78" s="24" t="inlineStr">
        <is>
          <t>Saitama Seibu Lions</t>
        </is>
      </c>
      <c r="AQ78" s="24" t="inlineStr">
        <is>
          <t>Saitama Seibu Lions</t>
        </is>
      </c>
      <c r="AR78" s="24" t="inlineStr">
        <is>
          <t>Saitama Seibu Lions</t>
        </is>
      </c>
      <c r="AS78" s="24" t="inlineStr">
        <is>
          <t>Tohoku Rakuten Golden Eagles</t>
        </is>
      </c>
      <c r="AT78" s="24" t="inlineStr">
        <is>
          <t>Tohoku Rakuten Golden Eagles</t>
        </is>
      </c>
      <c r="AU78" s="24" t="inlineStr">
        <is>
          <t>Tohoku Rakuten Golden Eagles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05d53a0ee28ef2171a006862803ace818a5d88af5c98ade4004bca8199a0ec2d</t>
        </is>
      </c>
      <c r="BB78" s="24" t="inlineStr">
        <is>
          <t>tie_aware_elo</t>
        </is>
      </c>
      <c r="BC78" s="24" t="inlineStr">
        <is>
          <t>npb-tie-aware-elo-v2</t>
        </is>
      </c>
      <c r="BD78" s="24" t="inlineStr">
        <is>
          <t>05d53a0ee28ef2171a006862803ace818a5d88af5c98ade4004bca8199a0ec2d</t>
        </is>
      </c>
      <c r="BE78" s="24" t="inlineStr">
        <is>
          <t>1</t>
        </is>
      </c>
      <c r="BF78" s="24" t="inlineStr">
        <is>
          <t>1</t>
        </is>
      </c>
      <c r="BG78" s="24" t="inlineStr">
        <is>
          <t>npb-tie-aware-elo-v2</t>
        </is>
      </c>
      <c r="BH78" s="24" t="inlineStr">
        <is>
          <t>2026-08-23T05:23:44.888987Z</t>
        </is>
      </c>
      <c r="BI78" s="24" t="inlineStr">
        <is>
          <t>["same_event","same_team_same_day","same_league_same_day"]</t>
        </is>
      </c>
      <c r="BJ78" s="25" t="n"/>
      <c r="BK78" s="26" t="n">
        <v>100</v>
      </c>
      <c r="BL78" s="27" t="n">
        <v>2</v>
      </c>
      <c r="BM78" s="28" t="n">
        <v>0.5</v>
      </c>
      <c r="BN78" s="28" t="n"/>
      <c r="BO78" s="28" t="n"/>
      <c r="BP78" s="25" t="n"/>
      <c r="BQ78" s="27" t="n"/>
      <c r="BR78" s="28" t="n"/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True</t>
        </is>
      </c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inlineStr">
        <is>
          <t>0.5</t>
        </is>
      </c>
      <c r="DK78" s="24" t="n"/>
      <c r="DL78" s="24" t="n"/>
      <c r="DM78" s="24" t="n"/>
      <c r="DN78" s="24" t="n"/>
      <c r="DO78" s="24" t="n"/>
      <c r="DP78" s="24" t="n"/>
      <c r="DQ78" s="24" t="n"/>
    </row>
    <row r="79" ht="36" customHeight="1">
      <c r="A79" s="24" t="inlineStr">
        <is>
          <t>b7593733c2ca462f</t>
        </is>
      </c>
      <c r="B79" s="24" t="inlineStr">
        <is>
          <t>2026-08-23T05:23:45.211691Z</t>
        </is>
      </c>
      <c r="C79" s="24" t="inlineStr">
        <is>
          <t>2026-08-23T08:00:00Z</t>
        </is>
      </c>
      <c r="D79" s="24" t="inlineStr">
        <is>
          <t>87228</t>
        </is>
      </c>
      <c r="E79" s="24" t="inlineStr">
        <is>
          <t>NPB</t>
        </is>
      </c>
      <c r="F79" s="24" t="inlineStr">
        <is>
          <t>Nippon Ham Fighters</t>
        </is>
      </c>
      <c r="G79" s="24" t="inlineStr">
        <is>
          <t>Chiba Lotte Marines</t>
        </is>
      </c>
      <c r="H79" s="24" t="inlineStr">
        <is>
          <t>moneyline</t>
        </is>
      </c>
      <c r="I79" s="24" t="inlineStr">
        <is>
          <t>away</t>
        </is>
      </c>
      <c r="J79" s="25" t="n"/>
      <c r="K79" s="24" t="inlineStr">
        <is>
          <t>polymarket_us</t>
        </is>
      </c>
      <c r="L79" s="26" t="n">
        <v>-133</v>
      </c>
      <c r="M79" s="27" t="n">
        <v>1.75188</v>
      </c>
      <c r="N79" s="28" t="n">
        <v>0.570815</v>
      </c>
      <c r="O79" s="28" t="n">
        <v>0.5354950000000001</v>
      </c>
      <c r="P79" s="28" t="n"/>
      <c r="Q79" s="28" t="n">
        <v>-0.03532</v>
      </c>
      <c r="R79" s="26" t="n">
        <v>2</v>
      </c>
      <c r="S79" s="29" t="n">
        <v>1</v>
      </c>
      <c r="T79" s="24" t="inlineStr">
        <is>
          <t>npb-tie-aware-elo-v2</t>
        </is>
      </c>
      <c r="U79" s="24" t="inlineStr">
        <is>
          <t>settled</t>
        </is>
      </c>
      <c r="V79" s="24" t="inlineStr">
        <is>
          <t>loss</t>
        </is>
      </c>
      <c r="W79" s="26" t="n">
        <v>2</v>
      </c>
      <c r="X79" s="26" t="n">
        <v>3</v>
      </c>
      <c r="Y79" s="25" t="n"/>
      <c r="Z79" s="26" t="n"/>
      <c r="AA79" s="28" t="n"/>
      <c r="AB79" s="28" t="n"/>
      <c r="AC79" s="30" t="n">
        <v>-1</v>
      </c>
      <c r="AD79" s="24" t="inlineStr">
        <is>
          <t>2026-08-23T18:09:12.614951Z</t>
        </is>
      </c>
      <c r="AE79" s="31" t="inlineStr">
        <is>
          <t>Tie-aware Elo baseline; executable ask 0.5700 (market_slug=aec-npb-clm-nhf-2026-08-23). Tie probability=0.0330.</t>
        </is>
      </c>
      <c r="AF79" s="31" t="inlineStr">
        <is>
          <t>Config-promoted international baseball baseline; gates enforced at log time.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paper_call</t>
        </is>
      </c>
      <c r="AL79" s="26" t="n">
        <v>4</v>
      </c>
      <c r="AM79" s="24" t="inlineStr">
        <is>
          <t>RESEARCH_OBSERVATION</t>
        </is>
      </c>
      <c r="AN79" s="24" t="inlineStr">
        <is>
          <t>CALL</t>
        </is>
      </c>
      <c r="AO79" s="24" t="inlineStr">
        <is>
          <t>PAPER_CALL_LOW_EDGE</t>
        </is>
      </c>
      <c r="AP79" s="24" t="inlineStr">
        <is>
          <t>Nippon Ham Fighters</t>
        </is>
      </c>
      <c r="AQ79" s="24" t="inlineStr">
        <is>
          <t>Nippon Ham Fighters</t>
        </is>
      </c>
      <c r="AR79" s="24" t="inlineStr">
        <is>
          <t>Nippon Ham Fighters</t>
        </is>
      </c>
      <c r="AS79" s="24" t="inlineStr">
        <is>
          <t>Chiba Lotte Marines</t>
        </is>
      </c>
      <c r="AT79" s="24" t="inlineStr">
        <is>
          <t>Chiba Lotte Marines</t>
        </is>
      </c>
      <c r="AU79" s="24" t="inlineStr">
        <is>
          <t>Chiba Lotte Marines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05d53a0ee28ef2171a006862803ace818a5d88af5c98ade4004bca8199a0ec2d</t>
        </is>
      </c>
      <c r="BB79" s="24" t="inlineStr">
        <is>
          <t>tie_aware_elo</t>
        </is>
      </c>
      <c r="BC79" s="24" t="inlineStr">
        <is>
          <t>npb-tie-aware-elo-v2</t>
        </is>
      </c>
      <c r="BD79" s="24" t="inlineStr">
        <is>
          <t>05d53a0ee28ef2171a006862803ace818a5d88af5c98ade4004bca8199a0ec2d</t>
        </is>
      </c>
      <c r="BE79" s="24" t="inlineStr">
        <is>
          <t>1</t>
        </is>
      </c>
      <c r="BF79" s="24" t="inlineStr">
        <is>
          <t>1</t>
        </is>
      </c>
      <c r="BG79" s="24" t="inlineStr">
        <is>
          <t>npb-tie-aware-elo-v2</t>
        </is>
      </c>
      <c r="BH79" s="24" t="inlineStr">
        <is>
          <t>2026-08-23T05:23:45.046419Z</t>
        </is>
      </c>
      <c r="BI79" s="24" t="inlineStr">
        <is>
          <t>["same_event","same_team_same_day","same_league_same_day"]</t>
        </is>
      </c>
      <c r="BJ79" s="25" t="n"/>
      <c r="BK79" s="26" t="n">
        <v>-133</v>
      </c>
      <c r="BL79" s="27" t="n">
        <v>1.75188</v>
      </c>
      <c r="BM79" s="28" t="n">
        <v>0.570815</v>
      </c>
      <c r="BN79" s="28" t="n"/>
      <c r="BO79" s="28" t="n"/>
      <c r="BP79" s="25" t="n"/>
      <c r="BQ79" s="27" t="n"/>
      <c r="BR79" s="28" t="n"/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inlineStr">
        <is>
          <t>False</t>
        </is>
      </c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inlineStr">
        <is>
          <t>0.570815</t>
        </is>
      </c>
      <c r="DK79" s="24" t="n"/>
      <c r="DL79" s="24" t="n"/>
      <c r="DM79" s="24" t="n"/>
      <c r="DN79" s="24" t="n"/>
      <c r="DO79" s="24" t="n"/>
      <c r="DP79" s="24" t="n"/>
      <c r="DQ79" s="24" t="n"/>
    </row>
    <row r="80" ht="36" customHeight="1">
      <c r="A80" s="24" t="inlineStr">
        <is>
          <t>5656504b147c4e9a</t>
        </is>
      </c>
      <c r="B80" s="24" t="inlineStr">
        <is>
          <t>2026-08-23T08:37:24.603898Z</t>
        </is>
      </c>
      <c r="C80" s="24" t="inlineStr">
        <is>
          <t>2026-08-23T09:00:00Z</t>
        </is>
      </c>
      <c r="D80" s="24" t="inlineStr">
        <is>
          <t>87241</t>
        </is>
      </c>
      <c r="E80" s="24" t="inlineStr">
        <is>
          <t>NPB</t>
        </is>
      </c>
      <c r="F80" s="24" t="inlineStr">
        <is>
          <t>Hanshin Tigers</t>
        </is>
      </c>
      <c r="G80" s="24" t="inlineStr">
        <is>
          <t>Yokohama BayStars</t>
        </is>
      </c>
      <c r="H80" s="24" t="inlineStr">
        <is>
          <t>moneyline</t>
        </is>
      </c>
      <c r="I80" s="24" t="inlineStr">
        <is>
          <t>away</t>
        </is>
      </c>
      <c r="J80" s="25" t="n"/>
      <c r="K80" s="24" t="inlineStr">
        <is>
          <t>polymarket_us</t>
        </is>
      </c>
      <c r="L80" s="26" t="n">
        <v>-144</v>
      </c>
      <c r="M80" s="27" t="n">
        <v>1.694444</v>
      </c>
      <c r="N80" s="28" t="n">
        <v>0.590164</v>
      </c>
      <c r="O80" s="28" t="n">
        <v>0.522329</v>
      </c>
      <c r="P80" s="28" t="n"/>
      <c r="Q80" s="28" t="n">
        <v>-0.06783500000000001</v>
      </c>
      <c r="R80" s="26" t="n">
        <v>0</v>
      </c>
      <c r="S80" s="29" t="n">
        <v>1</v>
      </c>
      <c r="T80" s="24" t="inlineStr">
        <is>
          <t>npb-tie-aware-elo-v2</t>
        </is>
      </c>
      <c r="U80" s="24" t="inlineStr">
        <is>
          <t>settled</t>
        </is>
      </c>
      <c r="V80" s="24" t="inlineStr">
        <is>
          <t>win</t>
        </is>
      </c>
      <c r="W80" s="26" t="n">
        <v>5</v>
      </c>
      <c r="X80" s="26" t="n">
        <v>3</v>
      </c>
      <c r="Y80" s="25" t="n"/>
      <c r="Z80" s="26" t="n"/>
      <c r="AA80" s="28" t="n"/>
      <c r="AB80" s="28" t="n"/>
      <c r="AC80" s="30" t="n">
        <v>0.6944</v>
      </c>
      <c r="AD80" s="24" t="inlineStr">
        <is>
          <t>2026-08-23T18:09:12.942522Z</t>
        </is>
      </c>
      <c r="AE80" s="31" t="inlineStr">
        <is>
          <t>Tie-aware Elo baseline; executable ask 0.5900 (market_slug=aec-npb-ybo-hta-2026-08-23). Tie probability=0.0341.</t>
        </is>
      </c>
      <c r="AF80" s="31" t="inlineStr">
        <is>
          <t>Config-promoted international baseball baseline; gates enforced at log time.</t>
        </is>
      </c>
      <c r="AG80" s="24" t="inlineStr">
        <is>
          <t>not_applicable</t>
        </is>
      </c>
      <c r="AH80" s="24" t="n"/>
      <c r="AI80" s="31" t="n"/>
      <c r="AJ80" s="31" t="n"/>
      <c r="AK80" s="24" t="inlineStr">
        <is>
          <t>paper_call</t>
        </is>
      </c>
      <c r="AL80" s="26" t="n">
        <v>4</v>
      </c>
      <c r="AM80" s="24" t="inlineStr">
        <is>
          <t>RESEARCH_OBSERVATION</t>
        </is>
      </c>
      <c r="AN80" s="24" t="inlineStr">
        <is>
          <t>CALL</t>
        </is>
      </c>
      <c r="AO80" s="24" t="inlineStr">
        <is>
          <t>PAPER_CALL_LOW_EDGE</t>
        </is>
      </c>
      <c r="AP80" s="24" t="inlineStr">
        <is>
          <t>Hanshin Tigers</t>
        </is>
      </c>
      <c r="AQ80" s="24" t="inlineStr">
        <is>
          <t>Hanshin Tigers</t>
        </is>
      </c>
      <c r="AR80" s="24" t="inlineStr">
        <is>
          <t>Hanshin Tigers</t>
        </is>
      </c>
      <c r="AS80" s="24" t="inlineStr">
        <is>
          <t>Yokohama BayStars</t>
        </is>
      </c>
      <c r="AT80" s="24" t="inlineStr">
        <is>
          <t>Yokohama BayStars</t>
        </is>
      </c>
      <c r="AU80" s="24" t="inlineStr">
        <is>
          <t>Yokohama BayStars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03f0fbec79471d528150986e5da7c902625206f423c129ac7ab8201ad69eb5a5</t>
        </is>
      </c>
      <c r="BB80" s="24" t="inlineStr">
        <is>
          <t>tie_aware_elo</t>
        </is>
      </c>
      <c r="BC80" s="24" t="inlineStr">
        <is>
          <t>npb-tie-aware-elo-v2</t>
        </is>
      </c>
      <c r="BD80" s="24" t="inlineStr">
        <is>
          <t>03f0fbec79471d528150986e5da7c902625206f423c129ac7ab8201ad69eb5a5</t>
        </is>
      </c>
      <c r="BE80" s="24" t="inlineStr">
        <is>
          <t>1</t>
        </is>
      </c>
      <c r="BF80" s="24" t="inlineStr">
        <is>
          <t>1</t>
        </is>
      </c>
      <c r="BG80" s="24" t="inlineStr">
        <is>
          <t>npb-tie-aware-elo-v2</t>
        </is>
      </c>
      <c r="BH80" s="24" t="inlineStr">
        <is>
          <t>2026-08-23T08:37:24.603854Z</t>
        </is>
      </c>
      <c r="BI80" s="24" t="inlineStr">
        <is>
          <t>["same_event","same_team_same_day","same_league_same_day"]</t>
        </is>
      </c>
      <c r="BJ80" s="25" t="n"/>
      <c r="BK80" s="26" t="n">
        <v>-144</v>
      </c>
      <c r="BL80" s="27" t="n">
        <v>1.694444</v>
      </c>
      <c r="BM80" s="28" t="n">
        <v>0.590164</v>
      </c>
      <c r="BN80" s="28" t="n"/>
      <c r="BO80" s="28" t="n"/>
      <c r="BP80" s="25" t="n"/>
      <c r="BQ80" s="27" t="n"/>
      <c r="BR80" s="28" t="n"/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False</t>
        </is>
      </c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inlineStr">
        <is>
          <t>0.590164</t>
        </is>
      </c>
      <c r="DK80" s="24" t="n"/>
      <c r="DL80" s="24" t="n"/>
      <c r="DM80" s="24" t="n"/>
      <c r="DN80" s="24" t="n"/>
      <c r="DO80" s="24" t="n"/>
      <c r="DP80" s="24" t="n"/>
      <c r="DQ80" s="24" t="n"/>
    </row>
    <row r="81" ht="36" customHeight="1">
      <c r="A81" s="24" t="inlineStr">
        <is>
          <t>23b4b88b0ed54ade</t>
        </is>
      </c>
      <c r="B81" s="24" t="inlineStr">
        <is>
          <t>2026-08-25T05:00:52.107056Z</t>
        </is>
      </c>
      <c r="C81" s="24" t="inlineStr">
        <is>
          <t>2026-08-25T09:00:00Z</t>
        </is>
      </c>
      <c r="D81" s="24" t="inlineStr">
        <is>
          <t>88606</t>
        </is>
      </c>
      <c r="E81" s="24" t="inlineStr">
        <is>
          <t>NPB</t>
        </is>
      </c>
      <c r="F81" s="24" t="inlineStr">
        <is>
          <t>Yomiuri Giants</t>
        </is>
      </c>
      <c r="G81" s="24" t="inlineStr">
        <is>
          <t>Tokyo Yakult Swallows</t>
        </is>
      </c>
      <c r="H81" s="24" t="inlineStr">
        <is>
          <t>moneyline</t>
        </is>
      </c>
      <c r="I81" s="24" t="inlineStr">
        <is>
          <t>away</t>
        </is>
      </c>
      <c r="J81" s="25" t="n"/>
      <c r="K81" s="24" t="inlineStr">
        <is>
          <t>polymarket_us</t>
        </is>
      </c>
      <c r="L81" s="26" t="n">
        <v>-117</v>
      </c>
      <c r="M81" s="27" t="n">
        <v>1.854701</v>
      </c>
      <c r="N81" s="28" t="n">
        <v>0.539171</v>
      </c>
      <c r="O81" s="28" t="n">
        <v>0.561522</v>
      </c>
      <c r="P81" s="28" t="n"/>
      <c r="Q81" s="28" t="n">
        <v>0.022351</v>
      </c>
      <c r="R81" s="26" t="n">
        <v>31</v>
      </c>
      <c r="S81" s="29" t="n">
        <v>1</v>
      </c>
      <c r="T81" s="24" t="inlineStr">
        <is>
          <t>npb-tie-aware-elo-v2</t>
        </is>
      </c>
      <c r="U81" s="24" t="inlineStr">
        <is>
          <t>settled</t>
        </is>
      </c>
      <c r="V81" s="24" t="inlineStr">
        <is>
          <t>win</t>
        </is>
      </c>
      <c r="W81" s="26" t="n">
        <v>8</v>
      </c>
      <c r="X81" s="26" t="n">
        <v>6</v>
      </c>
      <c r="Y81" s="25" t="n"/>
      <c r="Z81" s="26" t="n"/>
      <c r="AA81" s="28" t="n"/>
      <c r="AB81" s="28" t="n"/>
      <c r="AC81" s="30" t="n">
        <v>0.8547</v>
      </c>
      <c r="AD81" s="24" t="inlineStr">
        <is>
          <t>2026-08-26T12:41:07.590413Z</t>
        </is>
      </c>
      <c r="AE81" s="31" t="inlineStr">
        <is>
          <t>Tie-aware Elo baseline; executable ask 0.5400 (market_slug=aec-npb-tys-ygo-2026-08-25). Tie probability=0.0307.</t>
        </is>
      </c>
      <c r="AF81" s="31" t="inlineStr">
        <is>
          <t>Config-promoted international baseball baseline; gates enforced at log time.</t>
        </is>
      </c>
      <c r="AG81" s="24" t="inlineStr">
        <is>
          <t>not_applicable</t>
        </is>
      </c>
      <c r="AH81" s="24" t="n"/>
      <c r="AI81" s="31" t="n"/>
      <c r="AJ81" s="31" t="n"/>
      <c r="AK81" s="24" t="inlineStr">
        <is>
          <t>paper_call</t>
        </is>
      </c>
      <c r="AL81" s="26" t="n">
        <v>4</v>
      </c>
      <c r="AM81" s="24" t="inlineStr">
        <is>
          <t>RESEARCH_OBSERVATION</t>
        </is>
      </c>
      <c r="AN81" s="24" t="inlineStr">
        <is>
          <t>CALL</t>
        </is>
      </c>
      <c r="AO81" s="24" t="inlineStr">
        <is>
          <t>PAPER_CALL_LOW_EDGE</t>
        </is>
      </c>
      <c r="AP81" s="24" t="inlineStr">
        <is>
          <t>Yomiuri Giants</t>
        </is>
      </c>
      <c r="AQ81" s="24" t="inlineStr">
        <is>
          <t>Yomiuri Giants</t>
        </is>
      </c>
      <c r="AR81" s="24" t="inlineStr">
        <is>
          <t>Yomiuri Giants</t>
        </is>
      </c>
      <c r="AS81" s="24" t="inlineStr">
        <is>
          <t>Tokyo Yakult Swallows</t>
        </is>
      </c>
      <c r="AT81" s="24" t="inlineStr">
        <is>
          <t>Tokyo Yakult Swallows</t>
        </is>
      </c>
      <c r="AU81" s="24" t="inlineStr">
        <is>
          <t>Tokyo Yakult Swallows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cef67d3875de3c49eaa31b9ad83e304ea08db327e61083d01e1f5429c228d876</t>
        </is>
      </c>
      <c r="BB81" s="24" t="inlineStr">
        <is>
          <t>tie_aware_elo</t>
        </is>
      </c>
      <c r="BC81" s="24" t="inlineStr">
        <is>
          <t>npb-tie-aware-elo-v2</t>
        </is>
      </c>
      <c r="BD81" s="24" t="inlineStr">
        <is>
          <t>cef67d3875de3c49eaa31b9ad83e304ea08db327e61083d01e1f5429c228d876</t>
        </is>
      </c>
      <c r="BE81" s="24" t="inlineStr">
        <is>
          <t>1</t>
        </is>
      </c>
      <c r="BF81" s="24" t="inlineStr">
        <is>
          <t>1</t>
        </is>
      </c>
      <c r="BG81" s="24" t="inlineStr">
        <is>
          <t>npb-tie-aware-elo-v2</t>
        </is>
      </c>
      <c r="BH81" s="24" t="inlineStr">
        <is>
          <t>2026-08-25T05:00:51.250305Z</t>
        </is>
      </c>
      <c r="BI81" s="24" t="inlineStr">
        <is>
          <t>["same_event","same_team_same_day","same_league_same_day"]</t>
        </is>
      </c>
      <c r="BJ81" s="25" t="n"/>
      <c r="BK81" s="26" t="n">
        <v>-117</v>
      </c>
      <c r="BL81" s="27" t="n">
        <v>1.854701</v>
      </c>
      <c r="BM81" s="28" t="n">
        <v>0.539171</v>
      </c>
      <c r="BN81" s="28" t="n"/>
      <c r="BO81" s="28" t="n"/>
      <c r="BP81" s="25" t="n"/>
      <c r="BQ81" s="27" t="n"/>
      <c r="BR81" s="28" t="n"/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True</t>
        </is>
      </c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inlineStr">
        <is>
          <t>0.539171</t>
        </is>
      </c>
      <c r="DK81" s="24" t="n"/>
      <c r="DL81" s="24" t="n"/>
      <c r="DM81" s="24" t="n"/>
      <c r="DN81" s="24" t="n"/>
      <c r="DO81" s="24" t="n"/>
      <c r="DP81" s="24" t="n"/>
      <c r="DQ81" s="24" t="n"/>
    </row>
    <row r="82" ht="36" customHeight="1">
      <c r="A82" s="24" t="inlineStr">
        <is>
          <t>8d085d2c0f814ee0</t>
        </is>
      </c>
      <c r="B82" s="24" t="inlineStr">
        <is>
          <t>2026-08-25T05:00:52.107056Z</t>
        </is>
      </c>
      <c r="C82" s="24" t="inlineStr">
        <is>
          <t>2026-08-25T09:00:00Z</t>
        </is>
      </c>
      <c r="D82" s="24" t="inlineStr">
        <is>
          <t>88607</t>
        </is>
      </c>
      <c r="E82" s="24" t="inlineStr">
        <is>
          <t>NPB</t>
        </is>
      </c>
      <c r="F82" s="24" t="inlineStr">
        <is>
          <t>Hanshin Tigers</t>
        </is>
      </c>
      <c r="G82" s="24" t="inlineStr">
        <is>
          <t>Chunichi Dragons</t>
        </is>
      </c>
      <c r="H82" s="24" t="inlineStr">
        <is>
          <t>moneyline</t>
        </is>
      </c>
      <c r="I82" s="24" t="inlineStr">
        <is>
          <t>away</t>
        </is>
      </c>
      <c r="J82" s="25" t="n"/>
      <c r="K82" s="24" t="inlineStr">
        <is>
          <t>polymarket_us</t>
        </is>
      </c>
      <c r="L82" s="26" t="n">
        <v>-108</v>
      </c>
      <c r="M82" s="27" t="n">
        <v>1.925926</v>
      </c>
      <c r="N82" s="28" t="n">
        <v>0.519231</v>
      </c>
      <c r="O82" s="28" t="n">
        <v>0.527998</v>
      </c>
      <c r="P82" s="28" t="n"/>
      <c r="Q82" s="28" t="n">
        <v>0.008767</v>
      </c>
      <c r="R82" s="26" t="n">
        <v>24</v>
      </c>
      <c r="S82" s="29" t="n">
        <v>1</v>
      </c>
      <c r="T82" s="24" t="inlineStr">
        <is>
          <t>npb-tie-aware-elo-v2</t>
        </is>
      </c>
      <c r="U82" s="24" t="inlineStr">
        <is>
          <t>settled</t>
        </is>
      </c>
      <c r="V82" s="24" t="inlineStr">
        <is>
          <t>loss</t>
        </is>
      </c>
      <c r="W82" s="26" t="n">
        <v>2</v>
      </c>
      <c r="X82" s="26" t="n">
        <v>4</v>
      </c>
      <c r="Y82" s="25" t="n"/>
      <c r="Z82" s="26" t="n"/>
      <c r="AA82" s="28" t="n"/>
      <c r="AB82" s="28" t="n"/>
      <c r="AC82" s="30" t="n">
        <v>-1</v>
      </c>
      <c r="AD82" s="24" t="inlineStr">
        <is>
          <t>2026-08-26T12:41:07.857849Z</t>
        </is>
      </c>
      <c r="AE82" s="31" t="inlineStr">
        <is>
          <t>Tie-aware Elo baseline; executable ask 0.5200 (market_slug=aec-npb-cdh-hta-2026-08-25). Tie probability=0.0336.</t>
        </is>
      </c>
      <c r="AF82" s="31" t="inlineStr">
        <is>
          <t>Config-promoted international baseball baseline; gates enforced at log time.</t>
        </is>
      </c>
      <c r="AG82" s="24" t="inlineStr">
        <is>
          <t>review_required</t>
        </is>
      </c>
      <c r="AH82" s="24" t="n"/>
      <c r="AI82" s="31" t="n"/>
      <c r="AJ82" s="31" t="n"/>
      <c r="AK82" s="24" t="inlineStr">
        <is>
          <t>paper_call</t>
        </is>
      </c>
      <c r="AL82" s="26" t="n">
        <v>4</v>
      </c>
      <c r="AM82" s="24" t="inlineStr">
        <is>
          <t>RESEARCH_OBSERVATION</t>
        </is>
      </c>
      <c r="AN82" s="24" t="inlineStr">
        <is>
          <t>CALL</t>
        </is>
      </c>
      <c r="AO82" s="24" t="inlineStr">
        <is>
          <t>PAPER_CALL_LOW_EDGE</t>
        </is>
      </c>
      <c r="AP82" s="24" t="inlineStr">
        <is>
          <t>Hanshin Tigers</t>
        </is>
      </c>
      <c r="AQ82" s="24" t="inlineStr">
        <is>
          <t>Hanshin Tigers</t>
        </is>
      </c>
      <c r="AR82" s="24" t="inlineStr">
        <is>
          <t>Hanshin Tigers</t>
        </is>
      </c>
      <c r="AS82" s="24" t="inlineStr">
        <is>
          <t>Chunichi Dragons</t>
        </is>
      </c>
      <c r="AT82" s="24" t="inlineStr">
        <is>
          <t>Chunichi Dragons</t>
        </is>
      </c>
      <c r="AU82" s="24" t="inlineStr">
        <is>
          <t>Chunichi Dragons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cef67d3875de3c49eaa31b9ad83e304ea08db327e61083d01e1f5429c228d876</t>
        </is>
      </c>
      <c r="BB82" s="24" t="inlineStr">
        <is>
          <t>tie_aware_elo</t>
        </is>
      </c>
      <c r="BC82" s="24" t="inlineStr">
        <is>
          <t>npb-tie-aware-elo-v2</t>
        </is>
      </c>
      <c r="BD82" s="24" t="inlineStr">
        <is>
          <t>cef67d3875de3c49eaa31b9ad83e304ea08db327e61083d01e1f5429c228d876</t>
        </is>
      </c>
      <c r="BE82" s="24" t="inlineStr">
        <is>
          <t>1</t>
        </is>
      </c>
      <c r="BF82" s="24" t="inlineStr">
        <is>
          <t>1</t>
        </is>
      </c>
      <c r="BG82" s="24" t="inlineStr">
        <is>
          <t>npb-tie-aware-elo-v2</t>
        </is>
      </c>
      <c r="BH82" s="24" t="inlineStr">
        <is>
          <t>2026-08-25T05:00:51.650507Z</t>
        </is>
      </c>
      <c r="BI82" s="24" t="inlineStr">
        <is>
          <t>["same_event","same_team_same_day","same_league_same_day"]</t>
        </is>
      </c>
      <c r="BJ82" s="25" t="n"/>
      <c r="BK82" s="26" t="n">
        <v>-108</v>
      </c>
      <c r="BL82" s="27" t="n">
        <v>1.925926</v>
      </c>
      <c r="BM82" s="28" t="n">
        <v>0.519231</v>
      </c>
      <c r="BN82" s="28" t="n"/>
      <c r="BO82" s="28" t="n"/>
      <c r="BP82" s="25" t="n"/>
      <c r="BQ82" s="27" t="n"/>
      <c r="BR82" s="28" t="n"/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inlineStr">
        <is>
          <t>True</t>
        </is>
      </c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inlineStr">
        <is>
          <t>0.519231</t>
        </is>
      </c>
      <c r="DK82" s="24" t="n"/>
      <c r="DL82" s="24" t="n"/>
      <c r="DM82" s="24" t="n"/>
      <c r="DN82" s="24" t="n"/>
      <c r="DO82" s="24" t="n"/>
      <c r="DP82" s="24" t="n"/>
      <c r="DQ82" s="24" t="n"/>
    </row>
    <row r="83" ht="36" customHeight="1">
      <c r="A83" s="24" t="inlineStr">
        <is>
          <t>12b98e9507254703</t>
        </is>
      </c>
      <c r="B83" s="24" t="inlineStr">
        <is>
          <t>2026-08-25T05:00:52.107056Z</t>
        </is>
      </c>
      <c r="C83" s="24" t="inlineStr">
        <is>
          <t>2026-08-25T09:00:00Z</t>
        </is>
      </c>
      <c r="D83" s="24" t="inlineStr">
        <is>
          <t>88608</t>
        </is>
      </c>
      <c r="E83" s="24" t="inlineStr">
        <is>
          <t>NPB</t>
        </is>
      </c>
      <c r="F83" s="24" t="inlineStr">
        <is>
          <t>Yokohama BayStars</t>
        </is>
      </c>
      <c r="G83" s="24" t="inlineStr">
        <is>
          <t>Hiroshima Carp</t>
        </is>
      </c>
      <c r="H83" s="24" t="inlineStr">
        <is>
          <t>moneyline</t>
        </is>
      </c>
      <c r="I83" s="24" t="inlineStr">
        <is>
          <t>home</t>
        </is>
      </c>
      <c r="J83" s="25" t="n"/>
      <c r="K83" s="24" t="inlineStr">
        <is>
          <t>polymarket_us</t>
        </is>
      </c>
      <c r="L83" s="26" t="n">
        <v>108</v>
      </c>
      <c r="M83" s="27" t="n">
        <v>2.08</v>
      </c>
      <c r="N83" s="28" t="n">
        <v>0.480769</v>
      </c>
      <c r="O83" s="28" t="n">
        <v>0.5109359999999999</v>
      </c>
      <c r="P83" s="28" t="n"/>
      <c r="Q83" s="28" t="n">
        <v>0.030167</v>
      </c>
      <c r="R83" s="26" t="n">
        <v>35</v>
      </c>
      <c r="S83" s="29" t="n">
        <v>1</v>
      </c>
      <c r="T83" s="24" t="inlineStr">
        <is>
          <t>npb-tie-aware-elo-v2</t>
        </is>
      </c>
      <c r="U83" s="24" t="inlineStr">
        <is>
          <t>settled</t>
        </is>
      </c>
      <c r="V83" s="24" t="inlineStr">
        <is>
          <t>win</t>
        </is>
      </c>
      <c r="W83" s="26" t="n">
        <v>7</v>
      </c>
      <c r="X83" s="26" t="n">
        <v>8</v>
      </c>
      <c r="Y83" s="25" t="n"/>
      <c r="Z83" s="26" t="n"/>
      <c r="AA83" s="28" t="n"/>
      <c r="AB83" s="28" t="n"/>
      <c r="AC83" s="30" t="n">
        <v>1.08</v>
      </c>
      <c r="AD83" s="24" t="inlineStr">
        <is>
          <t>2026-08-26T12:41:08.118655Z</t>
        </is>
      </c>
      <c r="AE83" s="31" t="inlineStr">
        <is>
          <t>Tie-aware Elo baseline; executable ask 0.4800 (market_slug=aec-npb-hci-ybo-2026-08-25). Tie probability=0.0350.</t>
        </is>
      </c>
      <c r="AF83" s="31" t="inlineStr">
        <is>
          <t>Config-promoted international baseball baseline; gates enforced at log time.</t>
        </is>
      </c>
      <c r="AG83" s="24" t="inlineStr">
        <is>
          <t>not_applicable</t>
        </is>
      </c>
      <c r="AH83" s="24" t="n"/>
      <c r="AI83" s="31" t="n"/>
      <c r="AJ83" s="31" t="n"/>
      <c r="AK83" s="24" t="inlineStr">
        <is>
          <t>paper_call</t>
        </is>
      </c>
      <c r="AL83" s="26" t="n">
        <v>4</v>
      </c>
      <c r="AM83" s="24" t="inlineStr">
        <is>
          <t>RESEARCH_OBSERVATION</t>
        </is>
      </c>
      <c r="AN83" s="24" t="inlineStr">
        <is>
          <t>CALL</t>
        </is>
      </c>
      <c r="AO83" s="24" t="inlineStr">
        <is>
          <t>PAPER_CALL_LOW_EDGE</t>
        </is>
      </c>
      <c r="AP83" s="24" t="inlineStr">
        <is>
          <t>Yokohama BayStars</t>
        </is>
      </c>
      <c r="AQ83" s="24" t="inlineStr">
        <is>
          <t>Yokohama BayStars</t>
        </is>
      </c>
      <c r="AR83" s="24" t="inlineStr">
        <is>
          <t>Yokohama BayStars</t>
        </is>
      </c>
      <c r="AS83" s="24" t="inlineStr">
        <is>
          <t>Hiroshima Carp</t>
        </is>
      </c>
      <c r="AT83" s="24" t="inlineStr">
        <is>
          <t>Hiroshima Carp</t>
        </is>
      </c>
      <c r="AU83" s="24" t="inlineStr">
        <is>
          <t>Hiroshima Carp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cef67d3875de3c49eaa31b9ad83e304ea08db327e61083d01e1f5429c228d876</t>
        </is>
      </c>
      <c r="BB83" s="24" t="inlineStr">
        <is>
          <t>tie_aware_elo</t>
        </is>
      </c>
      <c r="BC83" s="24" t="inlineStr">
        <is>
          <t>npb-tie-aware-elo-v2</t>
        </is>
      </c>
      <c r="BD83" s="24" t="inlineStr">
        <is>
          <t>cef67d3875de3c49eaa31b9ad83e304ea08db327e61083d01e1f5429c228d876</t>
        </is>
      </c>
      <c r="BE83" s="24" t="inlineStr">
        <is>
          <t>1</t>
        </is>
      </c>
      <c r="BF83" s="24" t="inlineStr">
        <is>
          <t>1</t>
        </is>
      </c>
      <c r="BG83" s="24" t="inlineStr">
        <is>
          <t>npb-tie-aware-elo-v2</t>
        </is>
      </c>
      <c r="BH83" s="24" t="inlineStr">
        <is>
          <t>2026-08-25T05:00:51.723324Z</t>
        </is>
      </c>
      <c r="BI83" s="24" t="inlineStr">
        <is>
          <t>["same_event","same_team_same_day","same_league_same_day"]</t>
        </is>
      </c>
      <c r="BJ83" s="25" t="n"/>
      <c r="BK83" s="26" t="n">
        <v>108</v>
      </c>
      <c r="BL83" s="27" t="n">
        <v>2.08</v>
      </c>
      <c r="BM83" s="28" t="n">
        <v>0.480769</v>
      </c>
      <c r="BN83" s="28" t="n"/>
      <c r="BO83" s="28" t="n"/>
      <c r="BP83" s="25" t="n"/>
      <c r="BQ83" s="27" t="n"/>
      <c r="BR83" s="28" t="n"/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inlineStr">
        <is>
          <t>True</t>
        </is>
      </c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inlineStr">
        <is>
          <t>0.480769</t>
        </is>
      </c>
      <c r="DK83" s="24" t="n"/>
      <c r="DL83" s="24" t="n"/>
      <c r="DM83" s="24" t="n"/>
      <c r="DN83" s="24" t="n"/>
      <c r="DO83" s="24" t="n"/>
      <c r="DP83" s="24" t="n"/>
      <c r="DQ83" s="24" t="n"/>
    </row>
    <row r="84" ht="36" customHeight="1">
      <c r="A84" s="24" t="inlineStr">
        <is>
          <t>7a6278bc74db4a1c</t>
        </is>
      </c>
      <c r="B84" s="24" t="inlineStr">
        <is>
          <t>2026-08-25T05:00:52.107056Z</t>
        </is>
      </c>
      <c r="C84" s="24" t="inlineStr">
        <is>
          <t>2026-08-25T09:00:00Z</t>
        </is>
      </c>
      <c r="D84" s="24" t="inlineStr">
        <is>
          <t>88609</t>
        </is>
      </c>
      <c r="E84" s="24" t="inlineStr">
        <is>
          <t>NPB</t>
        </is>
      </c>
      <c r="F84" s="24" t="inlineStr">
        <is>
          <t>Nippon Ham Fighters</t>
        </is>
      </c>
      <c r="G84" s="24" t="inlineStr">
        <is>
          <t>Saitama Seibu Lions</t>
        </is>
      </c>
      <c r="H84" s="24" t="inlineStr">
        <is>
          <t>moneyline</t>
        </is>
      </c>
      <c r="I84" s="24" t="inlineStr">
        <is>
          <t>home</t>
        </is>
      </c>
      <c r="J84" s="25" t="n"/>
      <c r="K84" s="24" t="inlineStr">
        <is>
          <t>polymarket_us</t>
        </is>
      </c>
      <c r="L84" s="26" t="n">
        <v>-104</v>
      </c>
      <c r="M84" s="27" t="n">
        <v>1.961538</v>
      </c>
      <c r="N84" s="28" t="n">
        <v>0.509804</v>
      </c>
      <c r="O84" s="28" t="n">
        <v>0.5499230000000001</v>
      </c>
      <c r="P84" s="28" t="n"/>
      <c r="Q84" s="28" t="n">
        <v>0.040119</v>
      </c>
      <c r="R84" s="26" t="n">
        <v>40</v>
      </c>
      <c r="S84" s="29" t="n">
        <v>1</v>
      </c>
      <c r="T84" s="24" t="inlineStr">
        <is>
          <t>npb-tie-aware-elo-v2</t>
        </is>
      </c>
      <c r="U84" s="24" t="inlineStr">
        <is>
          <t>settled</t>
        </is>
      </c>
      <c r="V84" s="24" t="inlineStr">
        <is>
          <t>win</t>
        </is>
      </c>
      <c r="W84" s="26" t="n">
        <v>1</v>
      </c>
      <c r="X84" s="26" t="n">
        <v>3</v>
      </c>
      <c r="Y84" s="25" t="n"/>
      <c r="Z84" s="26" t="n"/>
      <c r="AA84" s="28" t="n"/>
      <c r="AB84" s="28" t="n"/>
      <c r="AC84" s="30" t="n">
        <v>0.9615</v>
      </c>
      <c r="AD84" s="24" t="inlineStr">
        <is>
          <t>2026-08-26T12:41:08.422910Z</t>
        </is>
      </c>
      <c r="AE84" s="31" t="inlineStr">
        <is>
          <t>Tie-aware Elo baseline; executable ask 0.5100 (market_slug=aec-npb-ssl-nhf-2026-08-25). Tie probability=0.0317.</t>
        </is>
      </c>
      <c r="AF84" s="31" t="inlineStr">
        <is>
          <t>Config-promoted international baseball baseline; gates enforced at log time.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paper_call</t>
        </is>
      </c>
      <c r="AL84" s="26" t="n">
        <v>4</v>
      </c>
      <c r="AM84" s="24" t="inlineStr">
        <is>
          <t>RESEARCH_OBSERVATION</t>
        </is>
      </c>
      <c r="AN84" s="24" t="inlineStr">
        <is>
          <t>CALL</t>
        </is>
      </c>
      <c r="AO84" s="24" t="inlineStr">
        <is>
          <t>PAPER_CALL_LOW_EDGE</t>
        </is>
      </c>
      <c r="AP84" s="24" t="inlineStr">
        <is>
          <t>Nippon Ham Fighters</t>
        </is>
      </c>
      <c r="AQ84" s="24" t="inlineStr">
        <is>
          <t>Nippon Ham Fighters</t>
        </is>
      </c>
      <c r="AR84" s="24" t="inlineStr">
        <is>
          <t>Nippon Ham Fighters</t>
        </is>
      </c>
      <c r="AS84" s="24" t="inlineStr">
        <is>
          <t>Saitama Seibu Lions</t>
        </is>
      </c>
      <c r="AT84" s="24" t="inlineStr">
        <is>
          <t>Saitama Seibu Lions</t>
        </is>
      </c>
      <c r="AU84" s="24" t="inlineStr">
        <is>
          <t>Saitama Seibu Lions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cef67d3875de3c49eaa31b9ad83e304ea08db327e61083d01e1f5429c228d876</t>
        </is>
      </c>
      <c r="BB84" s="24" t="inlineStr">
        <is>
          <t>tie_aware_elo</t>
        </is>
      </c>
      <c r="BC84" s="24" t="inlineStr">
        <is>
          <t>npb-tie-aware-elo-v2</t>
        </is>
      </c>
      <c r="BD84" s="24" t="inlineStr">
        <is>
          <t>cef67d3875de3c49eaa31b9ad83e304ea08db327e61083d01e1f5429c228d876</t>
        </is>
      </c>
      <c r="BE84" s="24" t="inlineStr">
        <is>
          <t>1</t>
        </is>
      </c>
      <c r="BF84" s="24" t="inlineStr">
        <is>
          <t>1</t>
        </is>
      </c>
      <c r="BG84" s="24" t="inlineStr">
        <is>
          <t>npb-tie-aware-elo-v2</t>
        </is>
      </c>
      <c r="BH84" s="24" t="inlineStr">
        <is>
          <t>2026-08-25T05:00:51.967237Z</t>
        </is>
      </c>
      <c r="BI84" s="24" t="inlineStr">
        <is>
          <t>["same_event","same_team_same_day","same_league_same_day"]</t>
        </is>
      </c>
      <c r="BJ84" s="25" t="n"/>
      <c r="BK84" s="26" t="n">
        <v>-104</v>
      </c>
      <c r="BL84" s="27" t="n">
        <v>1.961538</v>
      </c>
      <c r="BM84" s="28" t="n">
        <v>0.509804</v>
      </c>
      <c r="BN84" s="28" t="n"/>
      <c r="BO84" s="28" t="n"/>
      <c r="BP84" s="25" t="n"/>
      <c r="BQ84" s="27" t="n"/>
      <c r="BR84" s="28" t="n"/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inlineStr">
        <is>
          <t>True</t>
        </is>
      </c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inlineStr">
        <is>
          <t>0.509804</t>
        </is>
      </c>
      <c r="DK84" s="24" t="n"/>
      <c r="DL84" s="24" t="n"/>
      <c r="DM84" s="24" t="n"/>
      <c r="DN84" s="24" t="n"/>
      <c r="DO84" s="24" t="n"/>
      <c r="DP84" s="24" t="n"/>
      <c r="DQ84" s="24" t="n"/>
    </row>
    <row r="85" ht="36" customHeight="1">
      <c r="A85" s="24" t="inlineStr">
        <is>
          <t>7316a3c3e6504d57</t>
        </is>
      </c>
      <c r="B85" s="24" t="inlineStr">
        <is>
          <t>2026-08-25T05:00:52.107056Z</t>
        </is>
      </c>
      <c r="C85" s="24" t="inlineStr">
        <is>
          <t>2026-08-25T09:00:00Z</t>
        </is>
      </c>
      <c r="D85" s="24" t="inlineStr">
        <is>
          <t>88610</t>
        </is>
      </c>
      <c r="E85" s="24" t="inlineStr">
        <is>
          <t>NPB</t>
        </is>
      </c>
      <c r="F85" s="24" t="inlineStr">
        <is>
          <t>Fukuoka SoftBank Hawks</t>
        </is>
      </c>
      <c r="G85" s="24" t="inlineStr">
        <is>
          <t>Chiba Lotte Marines</t>
        </is>
      </c>
      <c r="H85" s="24" t="inlineStr">
        <is>
          <t>moneyline</t>
        </is>
      </c>
      <c r="I85" s="24" t="inlineStr">
        <is>
          <t>away</t>
        </is>
      </c>
      <c r="J85" s="25" t="n"/>
      <c r="K85" s="24" t="inlineStr">
        <is>
          <t>polymarket_us</t>
        </is>
      </c>
      <c r="L85" s="26" t="n">
        <v>-285</v>
      </c>
      <c r="M85" s="27" t="n">
        <v>1.350877</v>
      </c>
      <c r="N85" s="28" t="n">
        <v>0.74026</v>
      </c>
      <c r="O85" s="28" t="n">
        <v>0.555684</v>
      </c>
      <c r="P85" s="28" t="n"/>
      <c r="Q85" s="28" t="n">
        <v>-0.184576</v>
      </c>
      <c r="R85" s="26" t="n">
        <v>0</v>
      </c>
      <c r="S85" s="29" t="n">
        <v>1</v>
      </c>
      <c r="T85" s="24" t="inlineStr">
        <is>
          <t>npb-tie-aware-elo-v2</t>
        </is>
      </c>
      <c r="U85" s="24" t="inlineStr">
        <is>
          <t>settled</t>
        </is>
      </c>
      <c r="V85" s="24" t="inlineStr">
        <is>
          <t>win</t>
        </is>
      </c>
      <c r="W85" s="26" t="n">
        <v>9</v>
      </c>
      <c r="X85" s="26" t="n">
        <v>0</v>
      </c>
      <c r="Y85" s="25" t="n"/>
      <c r="Z85" s="26" t="n"/>
      <c r="AA85" s="28" t="n"/>
      <c r="AB85" s="28" t="n"/>
      <c r="AC85" s="30" t="n">
        <v>0.3509</v>
      </c>
      <c r="AD85" s="24" t="inlineStr">
        <is>
          <t>2026-08-26T12:41:08.683375Z</t>
        </is>
      </c>
      <c r="AE85" s="31" t="inlineStr">
        <is>
          <t>Tie-aware Elo baseline; executable ask 0.7400 (market_slug=aec-npb-clm-fsh-2026-08-25). Tie probability=0.0312.</t>
        </is>
      </c>
      <c r="AF85" s="31" t="inlineStr">
        <is>
          <t>Config-promoted international baseball baseline; gates enforced at log time.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paper_call</t>
        </is>
      </c>
      <c r="AL85" s="26" t="n">
        <v>4</v>
      </c>
      <c r="AM85" s="24" t="inlineStr">
        <is>
          <t>RESEARCH_OBSERVATION</t>
        </is>
      </c>
      <c r="AN85" s="24" t="inlineStr">
        <is>
          <t>CALL</t>
        </is>
      </c>
      <c r="AO85" s="24" t="inlineStr">
        <is>
          <t>PAPER_CALL_LOW_EDGE</t>
        </is>
      </c>
      <c r="AP85" s="24" t="inlineStr">
        <is>
          <t>Fukuoka SoftBank Hawks</t>
        </is>
      </c>
      <c r="AQ85" s="24" t="inlineStr">
        <is>
          <t>Fukuoka SoftBank Hawks</t>
        </is>
      </c>
      <c r="AR85" s="24" t="inlineStr">
        <is>
          <t>Fukuoka SoftBank Hawks</t>
        </is>
      </c>
      <c r="AS85" s="24" t="inlineStr">
        <is>
          <t>Chiba Lotte Marines</t>
        </is>
      </c>
      <c r="AT85" s="24" t="inlineStr">
        <is>
          <t>Chiba Lotte Marines</t>
        </is>
      </c>
      <c r="AU85" s="24" t="inlineStr">
        <is>
          <t>Chiba Lotte Marines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cef67d3875de3c49eaa31b9ad83e304ea08db327e61083d01e1f5429c228d876</t>
        </is>
      </c>
      <c r="BB85" s="24" t="inlineStr">
        <is>
          <t>tie_aware_elo</t>
        </is>
      </c>
      <c r="BC85" s="24" t="inlineStr">
        <is>
          <t>npb-tie-aware-elo-v2</t>
        </is>
      </c>
      <c r="BD85" s="24" t="inlineStr">
        <is>
          <t>cef67d3875de3c49eaa31b9ad83e304ea08db327e61083d01e1f5429c228d876</t>
        </is>
      </c>
      <c r="BE85" s="24" t="inlineStr">
        <is>
          <t>1</t>
        </is>
      </c>
      <c r="BF85" s="24" t="inlineStr">
        <is>
          <t>1</t>
        </is>
      </c>
      <c r="BG85" s="24" t="inlineStr">
        <is>
          <t>npb-tie-aware-elo-v2</t>
        </is>
      </c>
      <c r="BH85" s="24" t="inlineStr">
        <is>
          <t>2026-08-25T05:00:52.037139Z</t>
        </is>
      </c>
      <c r="BI85" s="24" t="inlineStr">
        <is>
          <t>["same_event","same_team_same_day","same_league_same_day"]</t>
        </is>
      </c>
      <c r="BJ85" s="25" t="n"/>
      <c r="BK85" s="26" t="n">
        <v>-285</v>
      </c>
      <c r="BL85" s="27" t="n">
        <v>1.350877</v>
      </c>
      <c r="BM85" s="28" t="n">
        <v>0.74026</v>
      </c>
      <c r="BN85" s="28" t="n"/>
      <c r="BO85" s="28" t="n"/>
      <c r="BP85" s="25" t="n"/>
      <c r="BQ85" s="27" t="n"/>
      <c r="BR85" s="28" t="n"/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False</t>
        </is>
      </c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inlineStr">
        <is>
          <t>0.74026</t>
        </is>
      </c>
      <c r="DK85" s="24" t="n"/>
      <c r="DL85" s="24" t="n"/>
      <c r="DM85" s="24" t="n"/>
      <c r="DN85" s="24" t="n"/>
      <c r="DO85" s="24" t="n"/>
      <c r="DP85" s="24" t="n"/>
      <c r="DQ85" s="24" t="n"/>
    </row>
    <row r="86" ht="36" customHeight="1">
      <c r="A86" s="24" t="inlineStr">
        <is>
          <t>03bf9f493b4748fa</t>
        </is>
      </c>
      <c r="B86" s="24" t="inlineStr">
        <is>
          <t>2026-08-25T05:00:52.107056Z</t>
        </is>
      </c>
      <c r="C86" s="24" t="inlineStr">
        <is>
          <t>2026-08-25T09:00:00Z</t>
        </is>
      </c>
      <c r="D86" s="24" t="inlineStr">
        <is>
          <t>88611</t>
        </is>
      </c>
      <c r="E86" s="24" t="inlineStr">
        <is>
          <t>NPB</t>
        </is>
      </c>
      <c r="F86" s="24" t="inlineStr">
        <is>
          <t>Tohoku Rakuten Golden Eagles</t>
        </is>
      </c>
      <c r="G86" s="24" t="inlineStr">
        <is>
          <t>Orix Buffaloes</t>
        </is>
      </c>
      <c r="H86" s="24" t="inlineStr">
        <is>
          <t>moneyline</t>
        </is>
      </c>
      <c r="I86" s="24" t="inlineStr">
        <is>
          <t>home</t>
        </is>
      </c>
      <c r="J86" s="25" t="n"/>
      <c r="K86" s="24" t="inlineStr">
        <is>
          <t>polymarket_us</t>
        </is>
      </c>
      <c r="L86" s="26" t="n">
        <v>-117</v>
      </c>
      <c r="M86" s="27" t="n">
        <v>1.854701</v>
      </c>
      <c r="N86" s="28" t="n">
        <v>0.539171</v>
      </c>
      <c r="O86" s="28" t="n">
        <v>0.577808</v>
      </c>
      <c r="P86" s="28" t="n"/>
      <c r="Q86" s="28" t="n">
        <v>0.038637</v>
      </c>
      <c r="R86" s="26" t="n">
        <v>39</v>
      </c>
      <c r="S86" s="29" t="n">
        <v>1</v>
      </c>
      <c r="T86" s="24" t="inlineStr">
        <is>
          <t>npb-tie-aware-elo-v2</t>
        </is>
      </c>
      <c r="U86" s="24" t="inlineStr">
        <is>
          <t>settled</t>
        </is>
      </c>
      <c r="V86" s="24" t="inlineStr">
        <is>
          <t>loss</t>
        </is>
      </c>
      <c r="W86" s="26" t="n">
        <v>5</v>
      </c>
      <c r="X86" s="26" t="n">
        <v>1</v>
      </c>
      <c r="Y86" s="25" t="n"/>
      <c r="Z86" s="26" t="n"/>
      <c r="AA86" s="28" t="n"/>
      <c r="AB86" s="28" t="n"/>
      <c r="AC86" s="30" t="n">
        <v>-1</v>
      </c>
      <c r="AD86" s="24" t="inlineStr">
        <is>
          <t>2026-08-26T12:41:08.943945Z</t>
        </is>
      </c>
      <c r="AE86" s="31" t="inlineStr">
        <is>
          <t>Tie-aware Elo baseline; executable ask 0.5400 (market_slug=aec-npb-obr-trge-2026-08-25). Tie probability=0.0292.</t>
        </is>
      </c>
      <c r="AF86" s="31" t="inlineStr">
        <is>
          <t>Config-promoted international baseball baseline; gates enforced at log time.</t>
        </is>
      </c>
      <c r="AG86" s="24" t="inlineStr">
        <is>
          <t>review_required</t>
        </is>
      </c>
      <c r="AH86" s="24" t="n"/>
      <c r="AI86" s="31" t="n"/>
      <c r="AJ86" s="31" t="n"/>
      <c r="AK86" s="24" t="inlineStr">
        <is>
          <t>paper_call</t>
        </is>
      </c>
      <c r="AL86" s="26" t="n">
        <v>4</v>
      </c>
      <c r="AM86" s="24" t="inlineStr">
        <is>
          <t>RESEARCH_OBSERVATION</t>
        </is>
      </c>
      <c r="AN86" s="24" t="inlineStr">
        <is>
          <t>CALL</t>
        </is>
      </c>
      <c r="AO86" s="24" t="inlineStr">
        <is>
          <t>PAPER_CALL_LOW_EDGE</t>
        </is>
      </c>
      <c r="AP86" s="24" t="inlineStr">
        <is>
          <t>Tohoku Rakuten Golden Eagles</t>
        </is>
      </c>
      <c r="AQ86" s="24" t="inlineStr">
        <is>
          <t>Tohoku Rakuten Golden Eagles</t>
        </is>
      </c>
      <c r="AR86" s="24" t="inlineStr">
        <is>
          <t>Tohoku Rakuten Golden Eagles</t>
        </is>
      </c>
      <c r="AS86" s="24" t="inlineStr">
        <is>
          <t>Orix Buffaloes</t>
        </is>
      </c>
      <c r="AT86" s="24" t="inlineStr">
        <is>
          <t>Orix Buffaloes</t>
        </is>
      </c>
      <c r="AU86" s="24" t="inlineStr">
        <is>
          <t>Orix Buffaloes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cef67d3875de3c49eaa31b9ad83e304ea08db327e61083d01e1f5429c228d876</t>
        </is>
      </c>
      <c r="BB86" s="24" t="inlineStr">
        <is>
          <t>tie_aware_elo</t>
        </is>
      </c>
      <c r="BC86" s="24" t="inlineStr">
        <is>
          <t>npb-tie-aware-elo-v2</t>
        </is>
      </c>
      <c r="BD86" s="24" t="inlineStr">
        <is>
          <t>cef67d3875de3c49eaa31b9ad83e304ea08db327e61083d01e1f5429c228d876</t>
        </is>
      </c>
      <c r="BE86" s="24" t="inlineStr">
        <is>
          <t>1</t>
        </is>
      </c>
      <c r="BF86" s="24" t="inlineStr">
        <is>
          <t>1</t>
        </is>
      </c>
      <c r="BG86" s="24" t="inlineStr">
        <is>
          <t>npb-tie-aware-elo-v2</t>
        </is>
      </c>
      <c r="BH86" s="24" t="inlineStr">
        <is>
          <t>2026-08-25T05:00:52.107016Z</t>
        </is>
      </c>
      <c r="BI86" s="24" t="inlineStr">
        <is>
          <t>["same_event","same_team_same_day","same_league_same_day"]</t>
        </is>
      </c>
      <c r="BJ86" s="25" t="n"/>
      <c r="BK86" s="26" t="n">
        <v>-117</v>
      </c>
      <c r="BL86" s="27" t="n">
        <v>1.854701</v>
      </c>
      <c r="BM86" s="28" t="n">
        <v>0.539171</v>
      </c>
      <c r="BN86" s="28" t="n"/>
      <c r="BO86" s="28" t="n"/>
      <c r="BP86" s="25" t="n"/>
      <c r="BQ86" s="27" t="n"/>
      <c r="BR86" s="28" t="n"/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True</t>
        </is>
      </c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inlineStr">
        <is>
          <t>0.539171</t>
        </is>
      </c>
      <c r="DK86" s="24" t="n"/>
      <c r="DL86" s="24" t="n"/>
      <c r="DM86" s="24" t="n"/>
      <c r="DN86" s="24" t="n"/>
      <c r="DO86" s="24" t="n"/>
      <c r="DP86" s="24" t="n"/>
      <c r="DQ86" s="24" t="n"/>
    </row>
    <row r="87" ht="36" customHeight="1">
      <c r="A87" s="24" t="inlineStr">
        <is>
          <t>548ac7bd45da40c7</t>
        </is>
      </c>
      <c r="B87" s="24" t="inlineStr">
        <is>
          <t>2026-08-27T00:44:21.612028Z</t>
        </is>
      </c>
      <c r="C87" s="24" t="inlineStr">
        <is>
          <t>2026-08-27T09:00:00Z</t>
        </is>
      </c>
      <c r="D87" s="24" t="inlineStr">
        <is>
          <t>90778</t>
        </is>
      </c>
      <c r="E87" s="24" t="inlineStr">
        <is>
          <t>NPB</t>
        </is>
      </c>
      <c r="F87" s="24" t="inlineStr">
        <is>
          <t>Yomiuri Giants</t>
        </is>
      </c>
      <c r="G87" s="24" t="inlineStr">
        <is>
          <t>Tokyo Yakult Swallows</t>
        </is>
      </c>
      <c r="H87" s="24" t="inlineStr">
        <is>
          <t>moneyline</t>
        </is>
      </c>
      <c r="I87" s="24" t="inlineStr">
        <is>
          <t>away</t>
        </is>
      </c>
      <c r="J87" s="25" t="n"/>
      <c r="K87" s="24" t="inlineStr">
        <is>
          <t>polymarket_us</t>
        </is>
      </c>
      <c r="L87" s="26" t="n">
        <v>-127</v>
      </c>
      <c r="M87" s="27" t="n">
        <v>1.787402</v>
      </c>
      <c r="N87" s="28" t="n">
        <v>0.5594710000000001</v>
      </c>
      <c r="O87" s="28" t="n">
        <v>0.586298</v>
      </c>
      <c r="P87" s="28" t="n"/>
      <c r="Q87" s="28" t="n">
        <v>0.026827</v>
      </c>
      <c r="R87" s="26" t="n">
        <v>33</v>
      </c>
      <c r="S87" s="29" t="n">
        <v>1</v>
      </c>
      <c r="T87" s="24" t="inlineStr">
        <is>
          <t>npb-tie-aware-elo-v2</t>
        </is>
      </c>
      <c r="U87" s="24" t="inlineStr">
        <is>
          <t>settled</t>
        </is>
      </c>
      <c r="V87" s="24" t="inlineStr">
        <is>
          <t>win</t>
        </is>
      </c>
      <c r="W87" s="26" t="n">
        <v>9</v>
      </c>
      <c r="X87" s="26" t="n">
        <v>2</v>
      </c>
      <c r="Y87" s="25" t="n"/>
      <c r="Z87" s="26" t="n"/>
      <c r="AA87" s="28" t="n"/>
      <c r="AB87" s="28" t="n"/>
      <c r="AC87" s="30" t="n">
        <v>0.7874</v>
      </c>
      <c r="AD87" s="24" t="inlineStr">
        <is>
          <t>2026-08-27T21:52:13.299743Z</t>
        </is>
      </c>
      <c r="AE87" s="31" t="inlineStr">
        <is>
          <t>Tie-aware Elo baseline; executable ask 0.5600 (market_slug=aec-npb-tys-ygo-2026-08-27). Tie probability=0.0284.</t>
        </is>
      </c>
      <c r="AF87" s="31" t="inlineStr">
        <is>
          <t>Config-promoted international baseball baseline; gates enforced at log time.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paper_call</t>
        </is>
      </c>
      <c r="AL87" s="26" t="n">
        <v>4</v>
      </c>
      <c r="AM87" s="24" t="inlineStr">
        <is>
          <t>RESEARCH_OBSERVATION</t>
        </is>
      </c>
      <c r="AN87" s="24" t="inlineStr">
        <is>
          <t>CALL</t>
        </is>
      </c>
      <c r="AO87" s="24" t="inlineStr">
        <is>
          <t>PAPER_CALL_LOW_EDGE</t>
        </is>
      </c>
      <c r="AP87" s="24" t="inlineStr">
        <is>
          <t>Yomiuri Giants</t>
        </is>
      </c>
      <c r="AQ87" s="24" t="inlineStr">
        <is>
          <t>Yomiuri Giants</t>
        </is>
      </c>
      <c r="AR87" s="24" t="inlineStr">
        <is>
          <t>Yomiuri Giants</t>
        </is>
      </c>
      <c r="AS87" s="24" t="inlineStr">
        <is>
          <t>Tokyo Yakult Swallows</t>
        </is>
      </c>
      <c r="AT87" s="24" t="inlineStr">
        <is>
          <t>Tokyo Yakult Swallows</t>
        </is>
      </c>
      <c r="AU87" s="24" t="inlineStr">
        <is>
          <t>Tokyo Yakult Swallows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28155355f5f718099017630c2fb4ef1bcc5a7968f85aa6ec7531fc8cf8a976de</t>
        </is>
      </c>
      <c r="BB87" s="24" t="inlineStr">
        <is>
          <t>tie_aware_elo</t>
        </is>
      </c>
      <c r="BC87" s="24" t="inlineStr">
        <is>
          <t>npb-tie-aware-elo-v2</t>
        </is>
      </c>
      <c r="BD87" s="24" t="inlineStr">
        <is>
          <t>28155355f5f718099017630c2fb4ef1bcc5a7968f85aa6ec7531fc8cf8a976de</t>
        </is>
      </c>
      <c r="BE87" s="24" t="inlineStr">
        <is>
          <t>1</t>
        </is>
      </c>
      <c r="BF87" s="24" t="inlineStr">
        <is>
          <t>1</t>
        </is>
      </c>
      <c r="BG87" s="24" t="inlineStr">
        <is>
          <t>npb-tie-aware-elo-v2</t>
        </is>
      </c>
      <c r="BH87" s="24" t="inlineStr">
        <is>
          <t>2026-08-27T00:44:20.555896Z</t>
        </is>
      </c>
      <c r="BI87" s="24" t="inlineStr">
        <is>
          <t>["same_event","same_team_same_day","same_league_same_day"]</t>
        </is>
      </c>
      <c r="BJ87" s="25" t="n"/>
      <c r="BK87" s="26" t="n">
        <v>-127</v>
      </c>
      <c r="BL87" s="27" t="n">
        <v>1.787402</v>
      </c>
      <c r="BM87" s="28" t="n">
        <v>0.5594710000000001</v>
      </c>
      <c r="BN87" s="28" t="n"/>
      <c r="BO87" s="28" t="n"/>
      <c r="BP87" s="25" t="n"/>
      <c r="BQ87" s="27" t="n"/>
      <c r="BR87" s="28" t="n"/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inlineStr">
        <is>
          <t>True</t>
        </is>
      </c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inlineStr">
        <is>
          <t>0.559471</t>
        </is>
      </c>
      <c r="DK87" s="24" t="n"/>
      <c r="DL87" s="24" t="n"/>
      <c r="DM87" s="24" t="n"/>
      <c r="DN87" s="24" t="n"/>
      <c r="DO87" s="24" t="n"/>
      <c r="DP87" s="24" t="n"/>
      <c r="DQ87" s="24" t="n"/>
    </row>
    <row r="88" ht="36" customHeight="1">
      <c r="A88" s="24" t="inlineStr">
        <is>
          <t>ab7eea854f7b4cad</t>
        </is>
      </c>
      <c r="B88" s="24" t="inlineStr">
        <is>
          <t>2026-08-27T00:44:21.612028Z</t>
        </is>
      </c>
      <c r="C88" s="24" t="inlineStr">
        <is>
          <t>2026-08-27T09:00:00Z</t>
        </is>
      </c>
      <c r="D88" s="24" t="inlineStr">
        <is>
          <t>90779</t>
        </is>
      </c>
      <c r="E88" s="24" t="inlineStr">
        <is>
          <t>NPB</t>
        </is>
      </c>
      <c r="F88" s="24" t="inlineStr">
        <is>
          <t>Hanshin Tigers</t>
        </is>
      </c>
      <c r="G88" s="24" t="inlineStr">
        <is>
          <t>Chunichi Dragons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-113</v>
      </c>
      <c r="M88" s="27" t="n">
        <v>1.884956</v>
      </c>
      <c r="N88" s="28" t="n">
        <v>0.530516</v>
      </c>
      <c r="O88" s="28" t="n">
        <v>0.507949</v>
      </c>
      <c r="P88" s="28" t="n"/>
      <c r="Q88" s="28" t="n">
        <v>-0.022567</v>
      </c>
      <c r="R88" s="26" t="n">
        <v>9</v>
      </c>
      <c r="S88" s="29" t="n">
        <v>1</v>
      </c>
      <c r="T88" s="24" t="inlineStr">
        <is>
          <t>npb-tie-aware-elo-v2</t>
        </is>
      </c>
      <c r="U88" s="24" t="inlineStr">
        <is>
          <t>settled</t>
        </is>
      </c>
      <c r="V88" s="24" t="inlineStr">
        <is>
          <t>loss</t>
        </is>
      </c>
      <c r="W88" s="26" t="n">
        <v>4</v>
      </c>
      <c r="X88" s="26" t="n">
        <v>3</v>
      </c>
      <c r="Y88" s="25" t="n"/>
      <c r="Z88" s="26" t="n"/>
      <c r="AA88" s="28" t="n"/>
      <c r="AB88" s="28" t="n"/>
      <c r="AC88" s="30" t="n">
        <v>-1</v>
      </c>
      <c r="AD88" s="24" t="inlineStr">
        <is>
          <t>2026-08-27T21:52:13.999242Z</t>
        </is>
      </c>
      <c r="AE88" s="31" t="inlineStr">
        <is>
          <t>Tie-aware Elo baseline; executable ask 0.5300 (market_slug=aec-npb-cdh-hta-2026-08-27). Tie probability=0.0352.</t>
        </is>
      </c>
      <c r="AF88" s="31" t="inlineStr">
        <is>
          <t>Config-promoted international baseball baseline; gates enforced at log time.</t>
        </is>
      </c>
      <c r="AG88" s="24" t="inlineStr">
        <is>
          <t>review_required</t>
        </is>
      </c>
      <c r="AH88" s="24" t="n"/>
      <c r="AI88" s="31" t="n"/>
      <c r="AJ88" s="31" t="n"/>
      <c r="AK88" s="24" t="inlineStr">
        <is>
          <t>paper_call</t>
        </is>
      </c>
      <c r="AL88" s="26" t="n">
        <v>4</v>
      </c>
      <c r="AM88" s="24" t="inlineStr">
        <is>
          <t>RESEARCH_OBSERVATION</t>
        </is>
      </c>
      <c r="AN88" s="24" t="inlineStr">
        <is>
          <t>CALL</t>
        </is>
      </c>
      <c r="AO88" s="24" t="inlineStr">
        <is>
          <t>PAPER_CALL_LOW_EDGE</t>
        </is>
      </c>
      <c r="AP88" s="24" t="inlineStr">
        <is>
          <t>Hanshin Tigers</t>
        </is>
      </c>
      <c r="AQ88" s="24" t="inlineStr">
        <is>
          <t>Hanshin Tigers</t>
        </is>
      </c>
      <c r="AR88" s="24" t="inlineStr">
        <is>
          <t>Hanshin Tigers</t>
        </is>
      </c>
      <c r="AS88" s="24" t="inlineStr">
        <is>
          <t>Chunichi Dragons</t>
        </is>
      </c>
      <c r="AT88" s="24" t="inlineStr">
        <is>
          <t>Chunichi Dragons</t>
        </is>
      </c>
      <c r="AU88" s="24" t="inlineStr">
        <is>
          <t>Chunichi Dragons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28155355f5f718099017630c2fb4ef1bcc5a7968f85aa6ec7531fc8cf8a976de</t>
        </is>
      </c>
      <c r="BB88" s="24" t="inlineStr">
        <is>
          <t>tie_aware_elo</t>
        </is>
      </c>
      <c r="BC88" s="24" t="inlineStr">
        <is>
          <t>npb-tie-aware-elo-v2</t>
        </is>
      </c>
      <c r="BD88" s="24" t="inlineStr">
        <is>
          <t>28155355f5f718099017630c2fb4ef1bcc5a7968f85aa6ec7531fc8cf8a976de</t>
        </is>
      </c>
      <c r="BE88" s="24" t="inlineStr">
        <is>
          <t>1</t>
        </is>
      </c>
      <c r="BF88" s="24" t="inlineStr">
        <is>
          <t>1</t>
        </is>
      </c>
      <c r="BG88" s="24" t="inlineStr">
        <is>
          <t>npb-tie-aware-elo-v2</t>
        </is>
      </c>
      <c r="BH88" s="24" t="inlineStr">
        <is>
          <t>2026-08-27T00:44:20.856237Z</t>
        </is>
      </c>
      <c r="BI88" s="24" t="inlineStr">
        <is>
          <t>["same_event","same_team_same_day","same_league_same_day"]</t>
        </is>
      </c>
      <c r="BJ88" s="25" t="n"/>
      <c r="BK88" s="26" t="n">
        <v>-113</v>
      </c>
      <c r="BL88" s="27" t="n">
        <v>1.884956</v>
      </c>
      <c r="BM88" s="28" t="n">
        <v>0.530516</v>
      </c>
      <c r="BN88" s="28" t="n"/>
      <c r="BO88" s="28" t="n"/>
      <c r="BP88" s="25" t="n"/>
      <c r="BQ88" s="27" t="n"/>
      <c r="BR88" s="28" t="n"/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False</t>
        </is>
      </c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inlineStr">
        <is>
          <t>0.530516</t>
        </is>
      </c>
      <c r="DK88" s="24" t="n"/>
      <c r="DL88" s="24" t="n"/>
      <c r="DM88" s="24" t="n"/>
      <c r="DN88" s="24" t="n"/>
      <c r="DO88" s="24" t="n"/>
      <c r="DP88" s="24" t="n"/>
      <c r="DQ88" s="24" t="n"/>
    </row>
    <row r="89" ht="36" customHeight="1">
      <c r="A89" s="24" t="inlineStr">
        <is>
          <t>857eecf9acbb494b</t>
        </is>
      </c>
      <c r="B89" s="24" t="inlineStr">
        <is>
          <t>2026-08-27T00:44:21.612028Z</t>
        </is>
      </c>
      <c r="C89" s="24" t="inlineStr">
        <is>
          <t>2026-08-27T09:00:00Z</t>
        </is>
      </c>
      <c r="D89" s="24" t="inlineStr">
        <is>
          <t>90780</t>
        </is>
      </c>
      <c r="E89" s="24" t="inlineStr">
        <is>
          <t>NPB</t>
        </is>
      </c>
      <c r="F89" s="24" t="inlineStr">
        <is>
          <t>Yokohama BayStars</t>
        </is>
      </c>
      <c r="G89" s="24" t="inlineStr">
        <is>
          <t>Hiroshima Carp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-138</v>
      </c>
      <c r="M89" s="27" t="n">
        <v>1.724638</v>
      </c>
      <c r="N89" s="28" t="n">
        <v>0.579832</v>
      </c>
      <c r="O89" s="28" t="n">
        <v>0.533018</v>
      </c>
      <c r="P89" s="28" t="n"/>
      <c r="Q89" s="28" t="n">
        <v>-0.046814</v>
      </c>
      <c r="R89" s="26" t="n">
        <v>0</v>
      </c>
      <c r="S89" s="29" t="n">
        <v>1</v>
      </c>
      <c r="T89" s="24" t="inlineStr">
        <is>
          <t>npb-tie-aware-elo-v2</t>
        </is>
      </c>
      <c r="U89" s="24" t="inlineStr">
        <is>
          <t>settled</t>
        </is>
      </c>
      <c r="V89" s="24" t="inlineStr">
        <is>
          <t>loss</t>
        </is>
      </c>
      <c r="W89" s="26" t="n">
        <v>6</v>
      </c>
      <c r="X89" s="26" t="n">
        <v>1</v>
      </c>
      <c r="Y89" s="25" t="n"/>
      <c r="Z89" s="26" t="n"/>
      <c r="AA89" s="28" t="n"/>
      <c r="AB89" s="28" t="n"/>
      <c r="AC89" s="30" t="n">
        <v>-1</v>
      </c>
      <c r="AD89" s="24" t="inlineStr">
        <is>
          <t>2026-08-27T21:52:14.575519Z</t>
        </is>
      </c>
      <c r="AE89" s="31" t="inlineStr">
        <is>
          <t>Tie-aware Elo baseline; executable ask 0.5800 (market_slug=aec-npb-hci-ybo-2026-08-27). Tie probability=0.0330.</t>
        </is>
      </c>
      <c r="AF89" s="31" t="inlineStr">
        <is>
          <t>Config-promoted international baseball baseline; gates enforced at log time.</t>
        </is>
      </c>
      <c r="AG89" s="24" t="inlineStr">
        <is>
          <t>review_required</t>
        </is>
      </c>
      <c r="AH89" s="24" t="n"/>
      <c r="AI89" s="31" t="n"/>
      <c r="AJ89" s="31" t="n"/>
      <c r="AK89" s="24" t="inlineStr">
        <is>
          <t>paper_call</t>
        </is>
      </c>
      <c r="AL89" s="26" t="n">
        <v>4</v>
      </c>
      <c r="AM89" s="24" t="inlineStr">
        <is>
          <t>RESEARCH_OBSERVATION</t>
        </is>
      </c>
      <c r="AN89" s="24" t="inlineStr">
        <is>
          <t>CALL</t>
        </is>
      </c>
      <c r="AO89" s="24" t="inlineStr">
        <is>
          <t>PAPER_CALL_LOW_EDGE</t>
        </is>
      </c>
      <c r="AP89" s="24" t="inlineStr">
        <is>
          <t>Yokohama BayStars</t>
        </is>
      </c>
      <c r="AQ89" s="24" t="inlineStr">
        <is>
          <t>Yokohama BayStars</t>
        </is>
      </c>
      <c r="AR89" s="24" t="inlineStr">
        <is>
          <t>Yokohama BayStars</t>
        </is>
      </c>
      <c r="AS89" s="24" t="inlineStr">
        <is>
          <t>Hiroshima Carp</t>
        </is>
      </c>
      <c r="AT89" s="24" t="inlineStr">
        <is>
          <t>Hiroshima Carp</t>
        </is>
      </c>
      <c r="AU89" s="24" t="inlineStr">
        <is>
          <t>Hiroshima Carp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28155355f5f718099017630c2fb4ef1bcc5a7968f85aa6ec7531fc8cf8a976de</t>
        </is>
      </c>
      <c r="BB89" s="24" t="inlineStr">
        <is>
          <t>tie_aware_elo</t>
        </is>
      </c>
      <c r="BC89" s="24" t="inlineStr">
        <is>
          <t>npb-tie-aware-elo-v2</t>
        </is>
      </c>
      <c r="BD89" s="24" t="inlineStr">
        <is>
          <t>28155355f5f718099017630c2fb4ef1bcc5a7968f85aa6ec7531fc8cf8a976de</t>
        </is>
      </c>
      <c r="BE89" s="24" t="inlineStr">
        <is>
          <t>1</t>
        </is>
      </c>
      <c r="BF89" s="24" t="inlineStr">
        <is>
          <t>1</t>
        </is>
      </c>
      <c r="BG89" s="24" t="inlineStr">
        <is>
          <t>npb-tie-aware-elo-v2</t>
        </is>
      </c>
      <c r="BH89" s="24" t="inlineStr">
        <is>
          <t>2026-08-27T00:44:21.302558Z</t>
        </is>
      </c>
      <c r="BI89" s="24" t="inlineStr">
        <is>
          <t>["same_event","same_team_same_day","same_league_same_day"]</t>
        </is>
      </c>
      <c r="BJ89" s="25" t="n"/>
      <c r="BK89" s="26" t="n">
        <v>-138</v>
      </c>
      <c r="BL89" s="27" t="n">
        <v>1.724638</v>
      </c>
      <c r="BM89" s="28" t="n">
        <v>0.579832</v>
      </c>
      <c r="BN89" s="28" t="n"/>
      <c r="BO89" s="28" t="n"/>
      <c r="BP89" s="25" t="n"/>
      <c r="BQ89" s="27" t="n"/>
      <c r="BR89" s="28" t="n"/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inlineStr">
        <is>
          <t>False</t>
        </is>
      </c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n"/>
      <c r="DE89" s="24" t="n"/>
      <c r="DF89" s="24" t="n"/>
      <c r="DG89" s="24" t="n"/>
      <c r="DH89" s="24" t="n"/>
      <c r="DI89" s="24" t="n"/>
      <c r="DJ89" s="24" t="inlineStr">
        <is>
          <t>0.579832</t>
        </is>
      </c>
      <c r="DK89" s="24" t="n"/>
      <c r="DL89" s="24" t="n"/>
      <c r="DM89" s="24" t="n"/>
      <c r="DN89" s="24" t="n"/>
      <c r="DO89" s="24" t="n"/>
      <c r="DP89" s="24" t="n"/>
      <c r="DQ89" s="24" t="n"/>
    </row>
    <row r="90" ht="36" customHeight="1">
      <c r="A90" s="24" t="inlineStr">
        <is>
          <t>fb49424ce2f34bc9</t>
        </is>
      </c>
      <c r="B90" s="24" t="inlineStr">
        <is>
          <t>2026-08-27T00:44:21.612028Z</t>
        </is>
      </c>
      <c r="C90" s="24" t="inlineStr">
        <is>
          <t>2026-08-27T09:00:00Z</t>
        </is>
      </c>
      <c r="D90" s="24" t="inlineStr">
        <is>
          <t>90781</t>
        </is>
      </c>
      <c r="E90" s="24" t="inlineStr">
        <is>
          <t>NPB</t>
        </is>
      </c>
      <c r="F90" s="24" t="inlineStr">
        <is>
          <t>Fukuoka SoftBank Hawks</t>
        </is>
      </c>
      <c r="G90" s="24" t="inlineStr">
        <is>
          <t>Chiba Lotte Marines</t>
        </is>
      </c>
      <c r="H90" s="24" t="inlineStr">
        <is>
          <t>moneyline</t>
        </is>
      </c>
      <c r="I90" s="24" t="inlineStr">
        <is>
          <t>away</t>
        </is>
      </c>
      <c r="J90" s="25" t="n"/>
      <c r="K90" s="24" t="inlineStr">
        <is>
          <t>polymarket_us</t>
        </is>
      </c>
      <c r="L90" s="26" t="n">
        <v>-150</v>
      </c>
      <c r="M90" s="27" t="n">
        <v>1.666667</v>
      </c>
      <c r="N90" s="28" t="n">
        <v>0.6</v>
      </c>
      <c r="O90" s="28" t="n">
        <v>0.560204</v>
      </c>
      <c r="P90" s="28" t="n"/>
      <c r="Q90" s="28" t="n">
        <v>-0.039796</v>
      </c>
      <c r="R90" s="26" t="n">
        <v>0</v>
      </c>
      <c r="S90" s="29" t="n">
        <v>1</v>
      </c>
      <c r="T90" s="24" t="inlineStr">
        <is>
          <t>npb-tie-aware-elo-v2</t>
        </is>
      </c>
      <c r="U90" s="24" t="inlineStr">
        <is>
          <t>settled</t>
        </is>
      </c>
      <c r="V90" s="24" t="inlineStr">
        <is>
          <t>win</t>
        </is>
      </c>
      <c r="W90" s="26" t="n">
        <v>4</v>
      </c>
      <c r="X90" s="26" t="n">
        <v>2</v>
      </c>
      <c r="Y90" s="25" t="n"/>
      <c r="Z90" s="26" t="n"/>
      <c r="AA90" s="28" t="n"/>
      <c r="AB90" s="28" t="n"/>
      <c r="AC90" s="30" t="n">
        <v>0.6667</v>
      </c>
      <c r="AD90" s="24" t="inlineStr">
        <is>
          <t>2026-08-27T21:52:15.184940Z</t>
        </is>
      </c>
      <c r="AE90" s="31" t="inlineStr">
        <is>
          <t>Tie-aware Elo baseline; executable ask 0.6000 (market_slug=aec-npb-clm-fsh-2026-08-27). Tie probability=0.0307.</t>
        </is>
      </c>
      <c r="AF90" s="31" t="inlineStr">
        <is>
          <t>Config-promoted international baseball baseline; gates enforced at log time.</t>
        </is>
      </c>
      <c r="AG90" s="24" t="inlineStr">
        <is>
          <t>not_applicable</t>
        </is>
      </c>
      <c r="AH90" s="24" t="n"/>
      <c r="AI90" s="31" t="n"/>
      <c r="AJ90" s="31" t="n"/>
      <c r="AK90" s="24" t="inlineStr">
        <is>
          <t>paper_call</t>
        </is>
      </c>
      <c r="AL90" s="26" t="n">
        <v>4</v>
      </c>
      <c r="AM90" s="24" t="inlineStr">
        <is>
          <t>RESEARCH_OBSERVATION</t>
        </is>
      </c>
      <c r="AN90" s="24" t="inlineStr">
        <is>
          <t>CALL</t>
        </is>
      </c>
      <c r="AO90" s="24" t="inlineStr">
        <is>
          <t>PAPER_CALL_LOW_EDGE</t>
        </is>
      </c>
      <c r="AP90" s="24" t="inlineStr">
        <is>
          <t>Fukuoka SoftBank Hawks</t>
        </is>
      </c>
      <c r="AQ90" s="24" t="inlineStr">
        <is>
          <t>Fukuoka SoftBank Hawks</t>
        </is>
      </c>
      <c r="AR90" s="24" t="inlineStr">
        <is>
          <t>Fukuoka SoftBank Hawks</t>
        </is>
      </c>
      <c r="AS90" s="24" t="inlineStr">
        <is>
          <t>Chiba Lotte Marines</t>
        </is>
      </c>
      <c r="AT90" s="24" t="inlineStr">
        <is>
          <t>Chiba Lotte Marines</t>
        </is>
      </c>
      <c r="AU90" s="24" t="inlineStr">
        <is>
          <t>Chiba Lotte Marines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28155355f5f718099017630c2fb4ef1bcc5a7968f85aa6ec7531fc8cf8a976de</t>
        </is>
      </c>
      <c r="BB90" s="24" t="inlineStr">
        <is>
          <t>tie_aware_elo</t>
        </is>
      </c>
      <c r="BC90" s="24" t="inlineStr">
        <is>
          <t>npb-tie-aware-elo-v2</t>
        </is>
      </c>
      <c r="BD90" s="24" t="inlineStr">
        <is>
          <t>28155355f5f718099017630c2fb4ef1bcc5a7968f85aa6ec7531fc8cf8a976de</t>
        </is>
      </c>
      <c r="BE90" s="24" t="inlineStr">
        <is>
          <t>1</t>
        </is>
      </c>
      <c r="BF90" s="24" t="inlineStr">
        <is>
          <t>1</t>
        </is>
      </c>
      <c r="BG90" s="24" t="inlineStr">
        <is>
          <t>npb-tie-aware-elo-v2</t>
        </is>
      </c>
      <c r="BH90" s="24" t="inlineStr">
        <is>
          <t>2026-08-27T00:44:21.539556Z</t>
        </is>
      </c>
      <c r="BI90" s="24" t="inlineStr">
        <is>
          <t>["same_event","same_team_same_day","same_league_same_day"]</t>
        </is>
      </c>
      <c r="BJ90" s="25" t="n"/>
      <c r="BK90" s="26" t="n">
        <v>-150</v>
      </c>
      <c r="BL90" s="27" t="n">
        <v>1.666667</v>
      </c>
      <c r="BM90" s="28" t="n">
        <v>0.6</v>
      </c>
      <c r="BN90" s="28" t="n"/>
      <c r="BO90" s="28" t="n"/>
      <c r="BP90" s="25" t="n"/>
      <c r="BQ90" s="27" t="n"/>
      <c r="BR90" s="28" t="n"/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inlineStr">
        <is>
          <t>False</t>
        </is>
      </c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inlineStr">
        <is>
          <t>0.6</t>
        </is>
      </c>
      <c r="DK90" s="24" t="n"/>
      <c r="DL90" s="24" t="n"/>
      <c r="DM90" s="24" t="n"/>
      <c r="DN90" s="24" t="n"/>
      <c r="DO90" s="24" t="n"/>
      <c r="DP90" s="24" t="n"/>
      <c r="DQ90" s="24" t="n"/>
    </row>
    <row r="91" ht="36" customHeight="1">
      <c r="A91" s="24" t="inlineStr">
        <is>
          <t>db4816a9160d4e4a</t>
        </is>
      </c>
      <c r="B91" s="24" t="inlineStr">
        <is>
          <t>2026-08-27T00:44:21.612028Z</t>
        </is>
      </c>
      <c r="C91" s="24" t="inlineStr">
        <is>
          <t>2026-08-27T09:00:00Z</t>
        </is>
      </c>
      <c r="D91" s="24" t="inlineStr">
        <is>
          <t>90782</t>
        </is>
      </c>
      <c r="E91" s="24" t="inlineStr">
        <is>
          <t>NPB</t>
        </is>
      </c>
      <c r="F91" s="24" t="inlineStr">
        <is>
          <t>Tohoku Rakuten Golden Eagles</t>
        </is>
      </c>
      <c r="G91" s="24" t="inlineStr">
        <is>
          <t>Orix Buffaloes</t>
        </is>
      </c>
      <c r="H91" s="24" t="inlineStr">
        <is>
          <t>moneyline</t>
        </is>
      </c>
      <c r="I91" s="24" t="inlineStr">
        <is>
          <t>home</t>
        </is>
      </c>
      <c r="J91" s="25" t="n"/>
      <c r="K91" s="24" t="inlineStr">
        <is>
          <t>polymarket_us</t>
        </is>
      </c>
      <c r="L91" s="26" t="n">
        <v>-138</v>
      </c>
      <c r="M91" s="27" t="n">
        <v>1.724638</v>
      </c>
      <c r="N91" s="28" t="n">
        <v>0.579832</v>
      </c>
      <c r="O91" s="28" t="n">
        <v>0.568556</v>
      </c>
      <c r="P91" s="28" t="n"/>
      <c r="Q91" s="28" t="n">
        <v>-0.011276</v>
      </c>
      <c r="R91" s="26" t="n">
        <v>14</v>
      </c>
      <c r="S91" s="29" t="n">
        <v>1</v>
      </c>
      <c r="T91" s="24" t="inlineStr">
        <is>
          <t>npb-tie-aware-elo-v2</t>
        </is>
      </c>
      <c r="U91" s="24" t="inlineStr">
        <is>
          <t>settled</t>
        </is>
      </c>
      <c r="V91" s="24" t="inlineStr">
        <is>
          <t>loss</t>
        </is>
      </c>
      <c r="W91" s="26" t="n">
        <v>12</v>
      </c>
      <c r="X91" s="26" t="n">
        <v>4</v>
      </c>
      <c r="Y91" s="25" t="n"/>
      <c r="Z91" s="26" t="n"/>
      <c r="AA91" s="28" t="n"/>
      <c r="AB91" s="28" t="n"/>
      <c r="AC91" s="30" t="n">
        <v>-1</v>
      </c>
      <c r="AD91" s="24" t="inlineStr">
        <is>
          <t>2026-08-27T21:52:15.764175Z</t>
        </is>
      </c>
      <c r="AE91" s="31" t="inlineStr">
        <is>
          <t>Tie-aware Elo baseline; executable ask 0.5800 (market_slug=aec-npb-obr-trge-2026-08-27). Tie probability=0.0300.</t>
        </is>
      </c>
      <c r="AF91" s="31" t="inlineStr">
        <is>
          <t>Config-promoted international baseball baseline; gates enforced at log time.</t>
        </is>
      </c>
      <c r="AG91" s="24" t="inlineStr">
        <is>
          <t>review_required</t>
        </is>
      </c>
      <c r="AH91" s="24" t="n"/>
      <c r="AI91" s="31" t="n"/>
      <c r="AJ91" s="31" t="n"/>
      <c r="AK91" s="24" t="inlineStr">
        <is>
          <t>paper_call</t>
        </is>
      </c>
      <c r="AL91" s="26" t="n">
        <v>4</v>
      </c>
      <c r="AM91" s="24" t="inlineStr">
        <is>
          <t>RESEARCH_OBSERVATION</t>
        </is>
      </c>
      <c r="AN91" s="24" t="inlineStr">
        <is>
          <t>CALL</t>
        </is>
      </c>
      <c r="AO91" s="24" t="inlineStr">
        <is>
          <t>PAPER_CALL_LOW_EDGE</t>
        </is>
      </c>
      <c r="AP91" s="24" t="inlineStr">
        <is>
          <t>Tohoku Rakuten Golden Eagles</t>
        </is>
      </c>
      <c r="AQ91" s="24" t="inlineStr">
        <is>
          <t>Tohoku Rakuten Golden Eagles</t>
        </is>
      </c>
      <c r="AR91" s="24" t="inlineStr">
        <is>
          <t>Tohoku Rakuten Golden Eagles</t>
        </is>
      </c>
      <c r="AS91" s="24" t="inlineStr">
        <is>
          <t>Orix Buffaloes</t>
        </is>
      </c>
      <c r="AT91" s="24" t="inlineStr">
        <is>
          <t>Orix Buffaloes</t>
        </is>
      </c>
      <c r="AU91" s="24" t="inlineStr">
        <is>
          <t>Orix Buffaloes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28155355f5f718099017630c2fb4ef1bcc5a7968f85aa6ec7531fc8cf8a976de</t>
        </is>
      </c>
      <c r="BB91" s="24" t="inlineStr">
        <is>
          <t>tie_aware_elo</t>
        </is>
      </c>
      <c r="BC91" s="24" t="inlineStr">
        <is>
          <t>npb-tie-aware-elo-v2</t>
        </is>
      </c>
      <c r="BD91" s="24" t="inlineStr">
        <is>
          <t>28155355f5f718099017630c2fb4ef1bcc5a7968f85aa6ec7531fc8cf8a976de</t>
        </is>
      </c>
      <c r="BE91" s="24" t="inlineStr">
        <is>
          <t>1</t>
        </is>
      </c>
      <c r="BF91" s="24" t="inlineStr">
        <is>
          <t>1</t>
        </is>
      </c>
      <c r="BG91" s="24" t="inlineStr">
        <is>
          <t>npb-tie-aware-elo-v2</t>
        </is>
      </c>
      <c r="BH91" s="24" t="inlineStr">
        <is>
          <t>2026-08-27T00:44:21.611990Z</t>
        </is>
      </c>
      <c r="BI91" s="24" t="inlineStr">
        <is>
          <t>["same_event","same_team_same_day","same_league_same_day"]</t>
        </is>
      </c>
      <c r="BJ91" s="25" t="n"/>
      <c r="BK91" s="26" t="n">
        <v>-138</v>
      </c>
      <c r="BL91" s="27" t="n">
        <v>1.724638</v>
      </c>
      <c r="BM91" s="28" t="n">
        <v>0.579832</v>
      </c>
      <c r="BN91" s="28" t="n"/>
      <c r="BO91" s="28" t="n"/>
      <c r="BP91" s="25" t="n"/>
      <c r="BQ91" s="27" t="n"/>
      <c r="BR91" s="28" t="n"/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inlineStr">
        <is>
          <t>False</t>
        </is>
      </c>
      <c r="CT91" s="24" t="n"/>
      <c r="CU91" s="24" t="n"/>
      <c r="CV91" s="24" t="n"/>
      <c r="CW91" s="24" t="n"/>
      <c r="CX91" s="24" t="n"/>
      <c r="CY91" s="24" t="n"/>
      <c r="CZ91" s="24" t="n"/>
      <c r="DA91" s="24" t="n"/>
      <c r="DB91" s="24" t="n"/>
      <c r="DC91" s="24" t="n"/>
      <c r="DD91" s="24" t="n"/>
      <c r="DE91" s="24" t="n"/>
      <c r="DF91" s="24" t="n"/>
      <c r="DG91" s="24" t="n"/>
      <c r="DH91" s="24" t="n"/>
      <c r="DI91" s="24" t="n"/>
      <c r="DJ91" s="24" t="inlineStr">
        <is>
          <t>0.579832</t>
        </is>
      </c>
      <c r="DK91" s="24" t="n"/>
      <c r="DL91" s="24" t="n"/>
      <c r="DM91" s="24" t="n"/>
      <c r="DN91" s="24" t="n"/>
      <c r="DO91" s="24" t="n"/>
      <c r="DP91" s="24" t="n"/>
      <c r="DQ91" s="24" t="n"/>
    </row>
    <row r="92" ht="36" customHeight="1">
      <c r="A92" s="24" t="inlineStr">
        <is>
          <t>dcd96253f1c54901</t>
        </is>
      </c>
      <c r="B92" s="24" t="inlineStr">
        <is>
          <t>2026-08-28T02:44:12.023887Z</t>
        </is>
      </c>
      <c r="C92" s="24" t="inlineStr">
        <is>
          <t>2026-08-28T09:00:00Z</t>
        </is>
      </c>
      <c r="D92" s="24" t="inlineStr">
        <is>
          <t>91870</t>
        </is>
      </c>
      <c r="E92" s="24" t="inlineStr">
        <is>
          <t>NPB</t>
        </is>
      </c>
      <c r="F92" s="24" t="inlineStr">
        <is>
          <t>Yomiuri Giants</t>
        </is>
      </c>
      <c r="G92" s="24" t="inlineStr">
        <is>
          <t>Hanshin Tigers</t>
        </is>
      </c>
      <c r="H92" s="24" t="inlineStr">
        <is>
          <t>moneyline</t>
        </is>
      </c>
      <c r="I92" s="24" t="inlineStr">
        <is>
          <t>home</t>
        </is>
      </c>
      <c r="J92" s="25" t="n"/>
      <c r="K92" s="24" t="inlineStr">
        <is>
          <t>polymarket_us</t>
        </is>
      </c>
      <c r="L92" s="26" t="n">
        <v>-163</v>
      </c>
      <c r="M92" s="27" t="n">
        <v>1.613497</v>
      </c>
      <c r="N92" s="28" t="n">
        <v>0.619772</v>
      </c>
      <c r="O92" s="28" t="n">
        <v>0.545002</v>
      </c>
      <c r="P92" s="28" t="n"/>
      <c r="Q92" s="28" t="n">
        <v>-0.07477</v>
      </c>
      <c r="R92" s="26" t="n">
        <v>0</v>
      </c>
      <c r="S92" s="29" t="n">
        <v>1</v>
      </c>
      <c r="T92" s="24" t="inlineStr">
        <is>
          <t>npb-tie-aware-elo-v2</t>
        </is>
      </c>
      <c r="U92" s="24" t="inlineStr">
        <is>
          <t>settled</t>
        </is>
      </c>
      <c r="V92" s="24" t="inlineStr">
        <is>
          <t>win</t>
        </is>
      </c>
      <c r="W92" s="26" t="n">
        <v>1</v>
      </c>
      <c r="X92" s="26" t="n">
        <v>4</v>
      </c>
      <c r="Y92" s="25" t="n"/>
      <c r="Z92" s="26" t="n"/>
      <c r="AA92" s="28" t="n"/>
      <c r="AB92" s="28" t="n"/>
      <c r="AC92" s="30" t="n">
        <v>0.6135</v>
      </c>
      <c r="AD92" s="24" t="inlineStr">
        <is>
          <t>2026-08-29T12:39:23.121107Z</t>
        </is>
      </c>
      <c r="AE92" s="31" t="inlineStr">
        <is>
          <t>Tie-aware Elo baseline; executable ask 0.6200 (market_slug=aec-npb-hta-ygo-2026-08-28). Tie probability=0.0320.</t>
        </is>
      </c>
      <c r="AF92" s="31" t="inlineStr">
        <is>
          <t>Config-promoted international baseball baseline; gates enforced at log time.</t>
        </is>
      </c>
      <c r="AG92" s="24" t="inlineStr">
        <is>
          <t>not_applicable</t>
        </is>
      </c>
      <c r="AH92" s="24" t="n"/>
      <c r="AI92" s="31" t="n"/>
      <c r="AJ92" s="31" t="n"/>
      <c r="AK92" s="24" t="inlineStr">
        <is>
          <t>paper_call</t>
        </is>
      </c>
      <c r="AL92" s="26" t="n">
        <v>4</v>
      </c>
      <c r="AM92" s="24" t="inlineStr">
        <is>
          <t>RESEARCH_OBSERVATION</t>
        </is>
      </c>
      <c r="AN92" s="24" t="inlineStr">
        <is>
          <t>CALL</t>
        </is>
      </c>
      <c r="AO92" s="24" t="inlineStr">
        <is>
          <t>PAPER_CALL_LOW_EDGE</t>
        </is>
      </c>
      <c r="AP92" s="24" t="inlineStr">
        <is>
          <t>Yomiuri Giants</t>
        </is>
      </c>
      <c r="AQ92" s="24" t="inlineStr">
        <is>
          <t>Yomiuri Giants</t>
        </is>
      </c>
      <c r="AR92" s="24" t="inlineStr">
        <is>
          <t>Yomiuri Giants</t>
        </is>
      </c>
      <c r="AS92" s="24" t="inlineStr">
        <is>
          <t>Hanshin Tigers</t>
        </is>
      </c>
      <c r="AT92" s="24" t="inlineStr">
        <is>
          <t>Hanshin Tigers</t>
        </is>
      </c>
      <c r="AU92" s="24" t="inlineStr">
        <is>
          <t>Hanshin Tigers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9666ab0ddbde2520447049ceeed1f6bb8a5fe1eca67f051babba94b43f82c09e</t>
        </is>
      </c>
      <c r="BB92" s="24" t="inlineStr">
        <is>
          <t>tie_aware_elo</t>
        </is>
      </c>
      <c r="BC92" s="24" t="inlineStr">
        <is>
          <t>npb-tie-aware-elo-v2</t>
        </is>
      </c>
      <c r="BD92" s="24" t="inlineStr">
        <is>
          <t>9666ab0ddbde2520447049ceeed1f6bb8a5fe1eca67f051babba94b43f82c09e</t>
        </is>
      </c>
      <c r="BE92" s="24" t="inlineStr">
        <is>
          <t>1</t>
        </is>
      </c>
      <c r="BF92" s="24" t="inlineStr">
        <is>
          <t>1</t>
        </is>
      </c>
      <c r="BG92" s="24" t="inlineStr">
        <is>
          <t>npb-tie-aware-elo-v2</t>
        </is>
      </c>
      <c r="BH92" s="24" t="inlineStr">
        <is>
          <t>2026-08-28T02:44:11.237129Z</t>
        </is>
      </c>
      <c r="BI92" s="24" t="inlineStr">
        <is>
          <t>["same_event","same_team_same_day","same_league_same_day"]</t>
        </is>
      </c>
      <c r="BJ92" s="25" t="n"/>
      <c r="BK92" s="26" t="n">
        <v>-163</v>
      </c>
      <c r="BL92" s="27" t="n">
        <v>1.613497</v>
      </c>
      <c r="BM92" s="28" t="n">
        <v>0.619772</v>
      </c>
      <c r="BN92" s="28" t="n"/>
      <c r="BO92" s="28" t="n"/>
      <c r="BP92" s="25" t="n"/>
      <c r="BQ92" s="27" t="n"/>
      <c r="BR92" s="28" t="n"/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inlineStr">
        <is>
          <t>False</t>
        </is>
      </c>
      <c r="CT92" s="24" t="n"/>
      <c r="CU92" s="24" t="n"/>
      <c r="CV92" s="24" t="n"/>
      <c r="CW92" s="24" t="n"/>
      <c r="CX92" s="24" t="n"/>
      <c r="CY92" s="24" t="n"/>
      <c r="CZ92" s="24" t="n"/>
      <c r="DA92" s="24" t="n"/>
      <c r="DB92" s="24" t="n"/>
      <c r="DC92" s="24" t="n"/>
      <c r="DD92" s="24" t="n"/>
      <c r="DE92" s="24" t="n"/>
      <c r="DF92" s="24" t="n"/>
      <c r="DG92" s="24" t="n"/>
      <c r="DH92" s="24" t="n"/>
      <c r="DI92" s="24" t="n"/>
      <c r="DJ92" s="24" t="inlineStr">
        <is>
          <t>0.619772</t>
        </is>
      </c>
      <c r="DK92" s="24" t="n"/>
      <c r="DL92" s="24" t="n"/>
      <c r="DM92" s="24" t="n"/>
      <c r="DN92" s="24" t="n"/>
      <c r="DO92" s="24" t="n"/>
      <c r="DP92" s="24" t="n"/>
      <c r="DQ92" s="24" t="n"/>
    </row>
    <row r="93" ht="36" customHeight="1">
      <c r="A93" s="24" t="inlineStr">
        <is>
          <t>4d281d69f2a94e9f</t>
        </is>
      </c>
      <c r="B93" s="24" t="inlineStr">
        <is>
          <t>2026-08-28T02:44:12.023887Z</t>
        </is>
      </c>
      <c r="C93" s="24" t="inlineStr">
        <is>
          <t>2026-08-28T09:00:00Z</t>
        </is>
      </c>
      <c r="D93" s="24" t="inlineStr">
        <is>
          <t>91869</t>
        </is>
      </c>
      <c r="E93" s="24" t="inlineStr">
        <is>
          <t>NPB</t>
        </is>
      </c>
      <c r="F93" s="24" t="inlineStr">
        <is>
          <t>Chunichi Dragons</t>
        </is>
      </c>
      <c r="G93" s="24" t="inlineStr">
        <is>
          <t>Yokohama BayStars</t>
        </is>
      </c>
      <c r="H93" s="24" t="inlineStr">
        <is>
          <t>moneyline</t>
        </is>
      </c>
      <c r="I93" s="24" t="inlineStr">
        <is>
          <t>home</t>
        </is>
      </c>
      <c r="J93" s="25" t="n"/>
      <c r="K93" s="24" t="inlineStr">
        <is>
          <t>polymarket_us</t>
        </is>
      </c>
      <c r="L93" s="26" t="n">
        <v>-127</v>
      </c>
      <c r="M93" s="27" t="n">
        <v>1.787402</v>
      </c>
      <c r="N93" s="28" t="n">
        <v>0.5594710000000001</v>
      </c>
      <c r="O93" s="28" t="n">
        <v>0.547177</v>
      </c>
      <c r="P93" s="28" t="n"/>
      <c r="Q93" s="28" t="n">
        <v>-0.012294</v>
      </c>
      <c r="R93" s="26" t="n">
        <v>14</v>
      </c>
      <c r="S93" s="29" t="n">
        <v>1</v>
      </c>
      <c r="T93" s="24" t="inlineStr">
        <is>
          <t>npb-tie-aware-elo-v2</t>
        </is>
      </c>
      <c r="U93" s="24" t="inlineStr">
        <is>
          <t>settled</t>
        </is>
      </c>
      <c r="V93" s="24" t="inlineStr">
        <is>
          <t>win</t>
        </is>
      </c>
      <c r="W93" s="26" t="n">
        <v>2</v>
      </c>
      <c r="X93" s="26" t="n">
        <v>4</v>
      </c>
      <c r="Y93" s="25" t="n"/>
      <c r="Z93" s="26" t="n"/>
      <c r="AA93" s="28" t="n"/>
      <c r="AB93" s="28" t="n"/>
      <c r="AC93" s="30" t="n">
        <v>0.7874</v>
      </c>
      <c r="AD93" s="24" t="inlineStr">
        <is>
          <t>2026-08-29T12:39:23.433581Z</t>
        </is>
      </c>
      <c r="AE93" s="31" t="inlineStr">
        <is>
          <t>Tie-aware Elo baseline; executable ask 0.5600 (market_slug=aec-npb-ybo-cdh-2026-08-28). Tie probability=0.0318.</t>
        </is>
      </c>
      <c r="AF93" s="31" t="inlineStr">
        <is>
          <t>Config-promoted international baseball baseline; gates enforced at log time.</t>
        </is>
      </c>
      <c r="AG93" s="24" t="inlineStr">
        <is>
          <t>not_applicable</t>
        </is>
      </c>
      <c r="AH93" s="24" t="n"/>
      <c r="AI93" s="31" t="n"/>
      <c r="AJ93" s="31" t="n"/>
      <c r="AK93" s="24" t="inlineStr">
        <is>
          <t>paper_call</t>
        </is>
      </c>
      <c r="AL93" s="26" t="n">
        <v>4</v>
      </c>
      <c r="AM93" s="24" t="inlineStr">
        <is>
          <t>RESEARCH_OBSERVATION</t>
        </is>
      </c>
      <c r="AN93" s="24" t="inlineStr">
        <is>
          <t>CALL</t>
        </is>
      </c>
      <c r="AO93" s="24" t="inlineStr">
        <is>
          <t>PAPER_CALL_LOW_EDGE</t>
        </is>
      </c>
      <c r="AP93" s="24" t="inlineStr">
        <is>
          <t>Chunichi Dragons</t>
        </is>
      </c>
      <c r="AQ93" s="24" t="inlineStr">
        <is>
          <t>Chunichi Dragons</t>
        </is>
      </c>
      <c r="AR93" s="24" t="inlineStr">
        <is>
          <t>Chunichi Dragons</t>
        </is>
      </c>
      <c r="AS93" s="24" t="inlineStr">
        <is>
          <t>Yokohama BayStars</t>
        </is>
      </c>
      <c r="AT93" s="24" t="inlineStr">
        <is>
          <t>Yokohama BayStars</t>
        </is>
      </c>
      <c r="AU93" s="24" t="inlineStr">
        <is>
          <t>Yokohama BayStars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shadow_qualified</t>
        </is>
      </c>
      <c r="BA93" s="24" t="inlineStr">
        <is>
          <t>9666ab0ddbde2520447049ceeed1f6bb8a5fe1eca67f051babba94b43f82c09e</t>
        </is>
      </c>
      <c r="BB93" s="24" t="inlineStr">
        <is>
          <t>tie_aware_elo</t>
        </is>
      </c>
      <c r="BC93" s="24" t="inlineStr">
        <is>
          <t>npb-tie-aware-elo-v2</t>
        </is>
      </c>
      <c r="BD93" s="24" t="inlineStr">
        <is>
          <t>9666ab0ddbde2520447049ceeed1f6bb8a5fe1eca67f051babba94b43f82c09e</t>
        </is>
      </c>
      <c r="BE93" s="24" t="inlineStr">
        <is>
          <t>1</t>
        </is>
      </c>
      <c r="BF93" s="24" t="inlineStr">
        <is>
          <t>1</t>
        </is>
      </c>
      <c r="BG93" s="24" t="inlineStr">
        <is>
          <t>npb-tie-aware-elo-v2</t>
        </is>
      </c>
      <c r="BH93" s="24" t="inlineStr">
        <is>
          <t>2026-08-28T02:44:11.642190Z</t>
        </is>
      </c>
      <c r="BI93" s="24" t="inlineStr">
        <is>
          <t>["same_event","same_team_same_day","same_league_same_day"]</t>
        </is>
      </c>
      <c r="BJ93" s="25" t="n"/>
      <c r="BK93" s="26" t="n">
        <v>-127</v>
      </c>
      <c r="BL93" s="27" t="n">
        <v>1.787402</v>
      </c>
      <c r="BM93" s="28" t="n">
        <v>0.5594710000000001</v>
      </c>
      <c r="BN93" s="28" t="n"/>
      <c r="BO93" s="28" t="n"/>
      <c r="BP93" s="25" t="n"/>
      <c r="BQ93" s="27" t="n"/>
      <c r="BR93" s="28" t="n"/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inlineStr">
        <is>
          <t>False</t>
        </is>
      </c>
      <c r="CT93" s="24" t="n"/>
      <c r="CU93" s="24" t="n"/>
      <c r="CV93" s="24" t="n"/>
      <c r="CW93" s="24" t="n"/>
      <c r="CX93" s="24" t="n"/>
      <c r="CY93" s="24" t="n"/>
      <c r="CZ93" s="24" t="n"/>
      <c r="DA93" s="24" t="n"/>
      <c r="DB93" s="24" t="n"/>
      <c r="DC93" s="24" t="n"/>
      <c r="DD93" s="24" t="n"/>
      <c r="DE93" s="24" t="n"/>
      <c r="DF93" s="24" t="n"/>
      <c r="DG93" s="24" t="n"/>
      <c r="DH93" s="24" t="n"/>
      <c r="DI93" s="24" t="n"/>
      <c r="DJ93" s="24" t="inlineStr">
        <is>
          <t>0.559471</t>
        </is>
      </c>
      <c r="DK93" s="24" t="n"/>
      <c r="DL93" s="24" t="n"/>
      <c r="DM93" s="24" t="n"/>
      <c r="DN93" s="24" t="n"/>
      <c r="DO93" s="24" t="n"/>
      <c r="DP93" s="24" t="n"/>
      <c r="DQ93" s="24" t="n"/>
    </row>
    <row r="94" ht="36" customHeight="1">
      <c r="A94" s="24" t="inlineStr">
        <is>
          <t>d3f49d4fa4154d33</t>
        </is>
      </c>
      <c r="B94" s="24" t="inlineStr">
        <is>
          <t>2026-08-28T02:44:12.023887Z</t>
        </is>
      </c>
      <c r="C94" s="24" t="inlineStr">
        <is>
          <t>2026-08-28T09:00:00Z</t>
        </is>
      </c>
      <c r="D94" s="24" t="inlineStr">
        <is>
          <t>91871</t>
        </is>
      </c>
      <c r="E94" s="24" t="inlineStr">
        <is>
          <t>NPB</t>
        </is>
      </c>
      <c r="F94" s="24" t="inlineStr">
        <is>
          <t>Tokyo Yakult Swallows</t>
        </is>
      </c>
      <c r="G94" s="24" t="inlineStr">
        <is>
          <t>Hiroshima Carp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-117</v>
      </c>
      <c r="M94" s="27" t="n">
        <v>1.854701</v>
      </c>
      <c r="N94" s="28" t="n">
        <v>0.539171</v>
      </c>
      <c r="O94" s="28" t="n">
        <v>0.607001</v>
      </c>
      <c r="P94" s="28" t="n"/>
      <c r="Q94" s="28" t="n">
        <v>0.06783</v>
      </c>
      <c r="R94" s="26" t="n">
        <v>54</v>
      </c>
      <c r="S94" s="29" t="n">
        <v>1</v>
      </c>
      <c r="T94" s="24" t="inlineStr">
        <is>
          <t>npb-tie-aware-elo-v2</t>
        </is>
      </c>
      <c r="U94" s="24" t="inlineStr">
        <is>
          <t>settled</t>
        </is>
      </c>
      <c r="V94" s="24" t="inlineStr">
        <is>
          <t>loss</t>
        </is>
      </c>
      <c r="W94" s="26" t="n">
        <v>3</v>
      </c>
      <c r="X94" s="26" t="n">
        <v>1</v>
      </c>
      <c r="Y94" s="25" t="n"/>
      <c r="Z94" s="26" t="n"/>
      <c r="AA94" s="28" t="n"/>
      <c r="AB94" s="28" t="n"/>
      <c r="AC94" s="30" t="n">
        <v>-1</v>
      </c>
      <c r="AD94" s="24" t="inlineStr">
        <is>
          <t>2026-08-29T12:39:23.731309Z</t>
        </is>
      </c>
      <c r="AE94" s="31" t="inlineStr">
        <is>
          <t>Tie-aware Elo baseline; executable ask 0.5400 (market_slug=aec-npb-hci-tys-2026-08-28). Tie probability=0.0266.</t>
        </is>
      </c>
      <c r="AF94" s="31" t="inlineStr">
        <is>
          <t>Config-promoted international baseball baseline; gates enforced at log time.</t>
        </is>
      </c>
      <c r="AG94" s="24" t="inlineStr">
        <is>
          <t>review_required</t>
        </is>
      </c>
      <c r="AH94" s="24" t="n"/>
      <c r="AI94" s="31" t="n"/>
      <c r="AJ94" s="31" t="n"/>
      <c r="AK94" s="24" t="inlineStr">
        <is>
          <t>model_qualified</t>
        </is>
      </c>
      <c r="AL94" s="26" t="n">
        <v>4</v>
      </c>
      <c r="AM94" s="24" t="inlineStr">
        <is>
          <t>QUALIFIED_SHADOW_CALL</t>
        </is>
      </c>
      <c r="AN94" s="24" t="inlineStr">
        <is>
          <t>CALL</t>
        </is>
      </c>
      <c r="AO94" s="24" t="inlineStr">
        <is>
          <t>QUALIFIED</t>
        </is>
      </c>
      <c r="AP94" s="24" t="inlineStr">
        <is>
          <t>Tokyo Yakult Swallows</t>
        </is>
      </c>
      <c r="AQ94" s="24" t="inlineStr">
        <is>
          <t>Tokyo Yakult Swallows</t>
        </is>
      </c>
      <c r="AR94" s="24" t="inlineStr">
        <is>
          <t>Tokyo Yakult Swallows</t>
        </is>
      </c>
      <c r="AS94" s="24" t="inlineStr">
        <is>
          <t>Hiroshima Carp</t>
        </is>
      </c>
      <c r="AT94" s="24" t="inlineStr">
        <is>
          <t>Hiroshima Carp</t>
        </is>
      </c>
      <c r="AU94" s="24" t="inlineStr">
        <is>
          <t>Hiroshima Carp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shadow_qualified</t>
        </is>
      </c>
      <c r="BA94" s="24" t="inlineStr">
        <is>
          <t>9666ab0ddbde2520447049ceeed1f6bb8a5fe1eca67f051babba94b43f82c09e</t>
        </is>
      </c>
      <c r="BB94" s="24" t="inlineStr">
        <is>
          <t>tie_aware_elo</t>
        </is>
      </c>
      <c r="BC94" s="24" t="inlineStr">
        <is>
          <t>npb-tie-aware-elo-v2</t>
        </is>
      </c>
      <c r="BD94" s="24" t="inlineStr">
        <is>
          <t>9666ab0ddbde2520447049ceeed1f6bb8a5fe1eca67f051babba94b43f82c09e</t>
        </is>
      </c>
      <c r="BE94" s="24" t="inlineStr">
        <is>
          <t>1</t>
        </is>
      </c>
      <c r="BF94" s="24" t="inlineStr">
        <is>
          <t>1</t>
        </is>
      </c>
      <c r="BG94" s="24" t="inlineStr">
        <is>
          <t>npb-tie-aware-elo-v2</t>
        </is>
      </c>
      <c r="BH94" s="24" t="inlineStr">
        <is>
          <t>2026-08-28T02:44:11.780394Z</t>
        </is>
      </c>
      <c r="BI94" s="24" t="inlineStr">
        <is>
          <t>["same_event","same_team_same_day","same_league_same_day"]</t>
        </is>
      </c>
      <c r="BJ94" s="25" t="n"/>
      <c r="BK94" s="26" t="n">
        <v>-117</v>
      </c>
      <c r="BL94" s="27" t="n">
        <v>1.854701</v>
      </c>
      <c r="BM94" s="28" t="n">
        <v>0.539171</v>
      </c>
      <c r="BN94" s="28" t="n"/>
      <c r="BO94" s="28" t="n"/>
      <c r="BP94" s="25" t="n"/>
      <c r="BQ94" s="27" t="n"/>
      <c r="BR94" s="28" t="n"/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inlineStr">
        <is>
          <t>True</t>
        </is>
      </c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/>
      <c r="DH94" s="24" t="n"/>
      <c r="DI94" s="24" t="n"/>
      <c r="DJ94" s="24" t="inlineStr">
        <is>
          <t>0.539171</t>
        </is>
      </c>
      <c r="DK94" s="24" t="n"/>
      <c r="DL94" s="24" t="n"/>
      <c r="DM94" s="24" t="n"/>
      <c r="DN94" s="24" t="n"/>
      <c r="DO94" s="24" t="n"/>
      <c r="DP94" s="24" t="n"/>
      <c r="DQ94" s="24" t="n"/>
    </row>
    <row r="95" ht="36" customHeight="1">
      <c r="A95" s="24" t="inlineStr">
        <is>
          <t>2381655526774963</t>
        </is>
      </c>
      <c r="B95" s="24" t="inlineStr">
        <is>
          <t>2026-08-28T02:44:12.023887Z</t>
        </is>
      </c>
      <c r="C95" s="24" t="inlineStr">
        <is>
          <t>2026-08-28T09:00:00Z</t>
        </is>
      </c>
      <c r="D95" s="24" t="inlineStr">
        <is>
          <t>91872</t>
        </is>
      </c>
      <c r="E95" s="24" t="inlineStr">
        <is>
          <t>NPB</t>
        </is>
      </c>
      <c r="F95" s="24" t="inlineStr">
        <is>
          <t>Chiba Lotte Marines</t>
        </is>
      </c>
      <c r="G95" s="24" t="inlineStr">
        <is>
          <t>Nippon Ham Fighters</t>
        </is>
      </c>
      <c r="H95" s="24" t="inlineStr">
        <is>
          <t>moneyline</t>
        </is>
      </c>
      <c r="I95" s="24" t="inlineStr">
        <is>
          <t>home</t>
        </is>
      </c>
      <c r="J95" s="25" t="n"/>
      <c r="K95" s="24" t="inlineStr">
        <is>
          <t>polymarket_us</t>
        </is>
      </c>
      <c r="L95" s="26" t="n">
        <v>-223</v>
      </c>
      <c r="M95" s="27" t="n">
        <v>1.44843</v>
      </c>
      <c r="N95" s="28" t="n">
        <v>0.690402</v>
      </c>
      <c r="O95" s="28" t="n">
        <v>0.610562</v>
      </c>
      <c r="P95" s="28" t="n"/>
      <c r="Q95" s="28" t="n">
        <v>-0.07983999999999999</v>
      </c>
      <c r="R95" s="26" t="n">
        <v>0</v>
      </c>
      <c r="S95" s="29" t="n">
        <v>1</v>
      </c>
      <c r="T95" s="24" t="inlineStr">
        <is>
          <t>npb-tie-aware-elo-v2</t>
        </is>
      </c>
      <c r="U95" s="24" t="inlineStr">
        <is>
          <t>settled</t>
        </is>
      </c>
      <c r="V95" s="24" t="inlineStr">
        <is>
          <t>win</t>
        </is>
      </c>
      <c r="W95" s="26" t="n">
        <v>4</v>
      </c>
      <c r="X95" s="26" t="n">
        <v>6</v>
      </c>
      <c r="Y95" s="25" t="n"/>
      <c r="Z95" s="26" t="n"/>
      <c r="AA95" s="28" t="n"/>
      <c r="AB95" s="28" t="n"/>
      <c r="AC95" s="30" t="n">
        <v>0.4484</v>
      </c>
      <c r="AD95" s="24" t="inlineStr">
        <is>
          <t>2026-08-29T12:39:24.078064Z</t>
        </is>
      </c>
      <c r="AE95" s="31" t="inlineStr">
        <is>
          <t>Tie-aware Elo baseline; executable ask 0.6900 (market_slug=aec-npb-nhf-clm-2026-08-28). Tie probability=0.0262.</t>
        </is>
      </c>
      <c r="AF95" s="31" t="inlineStr">
        <is>
          <t>Config-promoted international baseball baseline; gates enforced at log time.</t>
        </is>
      </c>
      <c r="AG95" s="24" t="inlineStr">
        <is>
          <t>not_applicable</t>
        </is>
      </c>
      <c r="AH95" s="24" t="n"/>
      <c r="AI95" s="31" t="n"/>
      <c r="AJ95" s="31" t="n"/>
      <c r="AK95" s="24" t="inlineStr">
        <is>
          <t>paper_call</t>
        </is>
      </c>
      <c r="AL95" s="26" t="n">
        <v>4</v>
      </c>
      <c r="AM95" s="24" t="inlineStr">
        <is>
          <t>RESEARCH_OBSERVATION</t>
        </is>
      </c>
      <c r="AN95" s="24" t="inlineStr">
        <is>
          <t>CALL</t>
        </is>
      </c>
      <c r="AO95" s="24" t="inlineStr">
        <is>
          <t>PAPER_CALL_LOW_EDGE</t>
        </is>
      </c>
      <c r="AP95" s="24" t="inlineStr">
        <is>
          <t>Chiba Lotte Marines</t>
        </is>
      </c>
      <c r="AQ95" s="24" t="inlineStr">
        <is>
          <t>Chiba Lotte Marines</t>
        </is>
      </c>
      <c r="AR95" s="24" t="inlineStr">
        <is>
          <t>Chiba Lotte Marines</t>
        </is>
      </c>
      <c r="AS95" s="24" t="inlineStr">
        <is>
          <t>Nippon Ham Fighters</t>
        </is>
      </c>
      <c r="AT95" s="24" t="inlineStr">
        <is>
          <t>Nippon Ham Fighters</t>
        </is>
      </c>
      <c r="AU95" s="24" t="inlineStr">
        <is>
          <t>Nippon Ham Fighters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9666ab0ddbde2520447049ceeed1f6bb8a5fe1eca67f051babba94b43f82c09e</t>
        </is>
      </c>
      <c r="BB95" s="24" t="inlineStr">
        <is>
          <t>tie_aware_elo</t>
        </is>
      </c>
      <c r="BC95" s="24" t="inlineStr">
        <is>
          <t>npb-tie-aware-elo-v2</t>
        </is>
      </c>
      <c r="BD95" s="24" t="inlineStr">
        <is>
          <t>9666ab0ddbde2520447049ceeed1f6bb8a5fe1eca67f051babba94b43f82c09e</t>
        </is>
      </c>
      <c r="BE95" s="24" t="inlineStr">
        <is>
          <t>1</t>
        </is>
      </c>
      <c r="BF95" s="24" t="inlineStr">
        <is>
          <t>1</t>
        </is>
      </c>
      <c r="BG95" s="24" t="inlineStr">
        <is>
          <t>npb-tie-aware-elo-v2</t>
        </is>
      </c>
      <c r="BH95" s="24" t="inlineStr">
        <is>
          <t>2026-08-28T02:44:11.859858Z</t>
        </is>
      </c>
      <c r="BI95" s="24" t="inlineStr">
        <is>
          <t>["same_event","same_team_same_day","same_league_same_day"]</t>
        </is>
      </c>
      <c r="BJ95" s="25" t="n"/>
      <c r="BK95" s="26" t="n">
        <v>-223</v>
      </c>
      <c r="BL95" s="27" t="n">
        <v>1.44843</v>
      </c>
      <c r="BM95" s="28" t="n">
        <v>0.690402</v>
      </c>
      <c r="BN95" s="28" t="n"/>
      <c r="BO95" s="28" t="n"/>
      <c r="BP95" s="25" t="n"/>
      <c r="BQ95" s="27" t="n"/>
      <c r="BR95" s="28" t="n"/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inlineStr">
        <is>
          <t>False</t>
        </is>
      </c>
      <c r="CT95" s="24" t="n"/>
      <c r="CU95" s="24" t="n"/>
      <c r="CV95" s="24" t="n"/>
      <c r="CW95" s="24" t="n"/>
      <c r="CX95" s="24" t="n"/>
      <c r="CY95" s="24" t="n"/>
      <c r="CZ95" s="24" t="n"/>
      <c r="DA95" s="24" t="n"/>
      <c r="DB95" s="24" t="n"/>
      <c r="DC95" s="24" t="n"/>
      <c r="DD95" s="24" t="n"/>
      <c r="DE95" s="24" t="n"/>
      <c r="DF95" s="24" t="n"/>
      <c r="DG95" s="24" t="n"/>
      <c r="DH95" s="24" t="n"/>
      <c r="DI95" s="24" t="n"/>
      <c r="DJ95" s="24" t="inlineStr">
        <is>
          <t>0.690402</t>
        </is>
      </c>
      <c r="DK95" s="24" t="n"/>
      <c r="DL95" s="24" t="n"/>
      <c r="DM95" s="24" t="n"/>
      <c r="DN95" s="24" t="n"/>
      <c r="DO95" s="24" t="n"/>
      <c r="DP95" s="24" t="n"/>
      <c r="DQ95" s="24" t="n"/>
    </row>
    <row r="96" ht="36" customHeight="1">
      <c r="A96" s="24" t="inlineStr">
        <is>
          <t>383874c590844ca3</t>
        </is>
      </c>
      <c r="B96" s="24" t="inlineStr">
        <is>
          <t>2026-08-28T02:44:12.023887Z</t>
        </is>
      </c>
      <c r="C96" s="24" t="inlineStr">
        <is>
          <t>2026-08-28T09:00:00Z</t>
        </is>
      </c>
      <c r="D96" s="24" t="inlineStr">
        <is>
          <t>91873</t>
        </is>
      </c>
      <c r="E96" s="24" t="inlineStr">
        <is>
          <t>NPB</t>
        </is>
      </c>
      <c r="F96" s="24" t="inlineStr">
        <is>
          <t>Tohoku Rakuten Golden Eagles</t>
        </is>
      </c>
      <c r="G96" s="24" t="inlineStr">
        <is>
          <t>Saitama Seibu Lions</t>
        </is>
      </c>
      <c r="H96" s="24" t="inlineStr">
        <is>
          <t>moneyline</t>
        </is>
      </c>
      <c r="I96" s="24" t="inlineStr">
        <is>
          <t>home</t>
        </is>
      </c>
      <c r="J96" s="25" t="n"/>
      <c r="K96" s="24" t="inlineStr">
        <is>
          <t>polymarket_us</t>
        </is>
      </c>
      <c r="L96" s="26" t="n">
        <v>-127</v>
      </c>
      <c r="M96" s="27" t="n">
        <v>1.787402</v>
      </c>
      <c r="N96" s="28" t="n">
        <v>0.5594710000000001</v>
      </c>
      <c r="O96" s="28" t="n">
        <v>0.61251</v>
      </c>
      <c r="P96" s="28" t="n"/>
      <c r="Q96" s="28" t="n">
        <v>0.053039</v>
      </c>
      <c r="R96" s="26" t="n">
        <v>47</v>
      </c>
      <c r="S96" s="29" t="n">
        <v>1</v>
      </c>
      <c r="T96" s="24" t="inlineStr">
        <is>
          <t>npb-tie-aware-elo-v2</t>
        </is>
      </c>
      <c r="U96" s="24" t="inlineStr">
        <is>
          <t>settled</t>
        </is>
      </c>
      <c r="V96" s="24" t="inlineStr">
        <is>
          <t>win</t>
        </is>
      </c>
      <c r="W96" s="26" t="n">
        <v>4</v>
      </c>
      <c r="X96" s="26" t="n">
        <v>8</v>
      </c>
      <c r="Y96" s="25" t="n"/>
      <c r="Z96" s="26" t="n"/>
      <c r="AA96" s="28" t="n"/>
      <c r="AB96" s="28" t="n"/>
      <c r="AC96" s="30" t="n">
        <v>0.7874</v>
      </c>
      <c r="AD96" s="24" t="inlineStr">
        <is>
          <t>2026-08-29T12:39:24.382085Z</t>
        </is>
      </c>
      <c r="AE96" s="31" t="inlineStr">
        <is>
          <t>Tie-aware Elo baseline; executable ask 0.5600 (market_slug=aec-npb-ssl-trge-2026-08-28). Tie probability=0.0261.</t>
        </is>
      </c>
      <c r="AF96" s="31" t="inlineStr">
        <is>
          <t>Config-promoted international baseball baseline; gates enforced at log time.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model_qualified</t>
        </is>
      </c>
      <c r="AL96" s="26" t="n">
        <v>4</v>
      </c>
      <c r="AM96" s="24" t="inlineStr">
        <is>
          <t>QUALIFIED_SHADOW_CALL</t>
        </is>
      </c>
      <c r="AN96" s="24" t="inlineStr">
        <is>
          <t>CALL</t>
        </is>
      </c>
      <c r="AO96" s="24" t="inlineStr">
        <is>
          <t>QUALIFIED</t>
        </is>
      </c>
      <c r="AP96" s="24" t="inlineStr">
        <is>
          <t>Tohoku Rakuten Golden Eagles</t>
        </is>
      </c>
      <c r="AQ96" s="24" t="inlineStr">
        <is>
          <t>Tohoku Rakuten Golden Eagles</t>
        </is>
      </c>
      <c r="AR96" s="24" t="inlineStr">
        <is>
          <t>Tohoku Rakuten Golden Eagles</t>
        </is>
      </c>
      <c r="AS96" s="24" t="inlineStr">
        <is>
          <t>Saitama Seibu Lions</t>
        </is>
      </c>
      <c r="AT96" s="24" t="inlineStr">
        <is>
          <t>Saitama Seibu Lions</t>
        </is>
      </c>
      <c r="AU96" s="24" t="inlineStr">
        <is>
          <t>Saitama Seibu Lions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shadow_qualified</t>
        </is>
      </c>
      <c r="BA96" s="24" t="inlineStr">
        <is>
          <t>9666ab0ddbde2520447049ceeed1f6bb8a5fe1eca67f051babba94b43f82c09e</t>
        </is>
      </c>
      <c r="BB96" s="24" t="inlineStr">
        <is>
          <t>tie_aware_elo</t>
        </is>
      </c>
      <c r="BC96" s="24" t="inlineStr">
        <is>
          <t>npb-tie-aware-elo-v2</t>
        </is>
      </c>
      <c r="BD96" s="24" t="inlineStr">
        <is>
          <t>9666ab0ddbde2520447049ceeed1f6bb8a5fe1eca67f051babba94b43f82c09e</t>
        </is>
      </c>
      <c r="BE96" s="24" t="inlineStr">
        <is>
          <t>1</t>
        </is>
      </c>
      <c r="BF96" s="24" t="inlineStr">
        <is>
          <t>1</t>
        </is>
      </c>
      <c r="BG96" s="24" t="inlineStr">
        <is>
          <t>npb-tie-aware-elo-v2</t>
        </is>
      </c>
      <c r="BH96" s="24" t="inlineStr">
        <is>
          <t>2026-08-28T02:44:11.943966Z</t>
        </is>
      </c>
      <c r="BI96" s="24" t="inlineStr">
        <is>
          <t>["same_event","same_team_same_day","same_league_same_day"]</t>
        </is>
      </c>
      <c r="BJ96" s="25" t="n"/>
      <c r="BK96" s="26" t="n">
        <v>-127</v>
      </c>
      <c r="BL96" s="27" t="n">
        <v>1.787402</v>
      </c>
      <c r="BM96" s="28" t="n">
        <v>0.5594710000000001</v>
      </c>
      <c r="BN96" s="28" t="n"/>
      <c r="BO96" s="28" t="n"/>
      <c r="BP96" s="25" t="n"/>
      <c r="BQ96" s="27" t="n"/>
      <c r="BR96" s="28" t="n"/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inlineStr">
        <is>
          <t>True</t>
        </is>
      </c>
      <c r="CT96" s="24" t="n"/>
      <c r="CU96" s="24" t="n"/>
      <c r="CV96" s="24" t="n"/>
      <c r="CW96" s="24" t="n"/>
      <c r="CX96" s="24" t="n"/>
      <c r="CY96" s="24" t="n"/>
      <c r="CZ96" s="24" t="n"/>
      <c r="DA96" s="24" t="n"/>
      <c r="DB96" s="24" t="n"/>
      <c r="DC96" s="24" t="n"/>
      <c r="DD96" s="24" t="n"/>
      <c r="DE96" s="24" t="n"/>
      <c r="DF96" s="24" t="n"/>
      <c r="DG96" s="24" t="n"/>
      <c r="DH96" s="24" t="n"/>
      <c r="DI96" s="24" t="n"/>
      <c r="DJ96" s="24" t="inlineStr">
        <is>
          <t>0.559471</t>
        </is>
      </c>
      <c r="DK96" s="24" t="n"/>
      <c r="DL96" s="24" t="n"/>
      <c r="DM96" s="24" t="n"/>
      <c r="DN96" s="24" t="n"/>
      <c r="DO96" s="24" t="n"/>
      <c r="DP96" s="24" t="n"/>
      <c r="DQ96" s="24" t="n"/>
    </row>
    <row r="97" ht="36" customHeight="1">
      <c r="A97" s="24" t="inlineStr">
        <is>
          <t>6e312353240b4c39</t>
        </is>
      </c>
      <c r="B97" s="24" t="inlineStr">
        <is>
          <t>2026-08-28T02:44:12.023887Z</t>
        </is>
      </c>
      <c r="C97" s="24" t="inlineStr">
        <is>
          <t>2026-08-28T09:00:00Z</t>
        </is>
      </c>
      <c r="D97" s="24" t="inlineStr">
        <is>
          <t>91874</t>
        </is>
      </c>
      <c r="E97" s="24" t="inlineStr">
        <is>
          <t>NPB</t>
        </is>
      </c>
      <c r="F97" s="24" t="inlineStr">
        <is>
          <t>Fukuoka SoftBank Hawks</t>
        </is>
      </c>
      <c r="G97" s="24" t="inlineStr">
        <is>
          <t>Orix Buffaloes</t>
        </is>
      </c>
      <c r="H97" s="24" t="inlineStr">
        <is>
          <t>moneyline</t>
        </is>
      </c>
      <c r="I97" s="24" t="inlineStr">
        <is>
          <t>away</t>
        </is>
      </c>
      <c r="J97" s="25" t="n"/>
      <c r="K97" s="24" t="inlineStr">
        <is>
          <t>polymarket_us</t>
        </is>
      </c>
      <c r="L97" s="26" t="n">
        <v>-138</v>
      </c>
      <c r="M97" s="27" t="n">
        <v>1.724638</v>
      </c>
      <c r="N97" s="28" t="n">
        <v>0.579832</v>
      </c>
      <c r="O97" s="28" t="n">
        <v>0.590995</v>
      </c>
      <c r="P97" s="28" t="n"/>
      <c r="Q97" s="28" t="n">
        <v>0.011163</v>
      </c>
      <c r="R97" s="26" t="n">
        <v>26</v>
      </c>
      <c r="S97" s="29" t="n">
        <v>1</v>
      </c>
      <c r="T97" s="24" t="inlineStr">
        <is>
          <t>npb-tie-aware-elo-v2</t>
        </is>
      </c>
      <c r="U97" s="24" t="inlineStr">
        <is>
          <t>settled</t>
        </is>
      </c>
      <c r="V97" s="24" t="inlineStr">
        <is>
          <t>win</t>
        </is>
      </c>
      <c r="W97" s="26" t="n">
        <v>2</v>
      </c>
      <c r="X97" s="26" t="n">
        <v>0</v>
      </c>
      <c r="Y97" s="25" t="n"/>
      <c r="Z97" s="26" t="n"/>
      <c r="AA97" s="28" t="n"/>
      <c r="AB97" s="28" t="n"/>
      <c r="AC97" s="30" t="n">
        <v>0.7246</v>
      </c>
      <c r="AD97" s="24" t="inlineStr">
        <is>
          <t>2026-08-29T12:39:24.681654Z</t>
        </is>
      </c>
      <c r="AE97" s="31" t="inlineStr">
        <is>
          <t>Tie-aware Elo baseline; executable ask 0.5800 (market_slug=aec-npb-obr-fsh-2026-08-28). Tie probability=0.0280.</t>
        </is>
      </c>
      <c r="AF97" s="31" t="inlineStr">
        <is>
          <t>Config-promoted international baseball baseline; gates enforced at log time.</t>
        </is>
      </c>
      <c r="AG97" s="24" t="inlineStr">
        <is>
          <t>not_applicable</t>
        </is>
      </c>
      <c r="AH97" s="24" t="n"/>
      <c r="AI97" s="31" t="n"/>
      <c r="AJ97" s="31" t="n"/>
      <c r="AK97" s="24" t="inlineStr">
        <is>
          <t>paper_call</t>
        </is>
      </c>
      <c r="AL97" s="26" t="n">
        <v>4</v>
      </c>
      <c r="AM97" s="24" t="inlineStr">
        <is>
          <t>RESEARCH_OBSERVATION</t>
        </is>
      </c>
      <c r="AN97" s="24" t="inlineStr">
        <is>
          <t>CALL</t>
        </is>
      </c>
      <c r="AO97" s="24" t="inlineStr">
        <is>
          <t>PAPER_CALL_LOW_EDGE</t>
        </is>
      </c>
      <c r="AP97" s="24" t="inlineStr">
        <is>
          <t>Fukuoka SoftBank Hawks</t>
        </is>
      </c>
      <c r="AQ97" s="24" t="inlineStr">
        <is>
          <t>Fukuoka SoftBank Hawks</t>
        </is>
      </c>
      <c r="AR97" s="24" t="inlineStr">
        <is>
          <t>Fukuoka SoftBank Hawks</t>
        </is>
      </c>
      <c r="AS97" s="24" t="inlineStr">
        <is>
          <t>Orix Buffaloes</t>
        </is>
      </c>
      <c r="AT97" s="24" t="inlineStr">
        <is>
          <t>Orix Buffaloes</t>
        </is>
      </c>
      <c r="AU97" s="24" t="inlineStr">
        <is>
          <t>Orix Buffaloes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shadow_qualified</t>
        </is>
      </c>
      <c r="BA97" s="24" t="inlineStr">
        <is>
          <t>9666ab0ddbde2520447049ceeed1f6bb8a5fe1eca67f051babba94b43f82c09e</t>
        </is>
      </c>
      <c r="BB97" s="24" t="inlineStr">
        <is>
          <t>tie_aware_elo</t>
        </is>
      </c>
      <c r="BC97" s="24" t="inlineStr">
        <is>
          <t>npb-tie-aware-elo-v2</t>
        </is>
      </c>
      <c r="BD97" s="24" t="inlineStr">
        <is>
          <t>9666ab0ddbde2520447049ceeed1f6bb8a5fe1eca67f051babba94b43f82c09e</t>
        </is>
      </c>
      <c r="BE97" s="24" t="inlineStr">
        <is>
          <t>1</t>
        </is>
      </c>
      <c r="BF97" s="24" t="inlineStr">
        <is>
          <t>1</t>
        </is>
      </c>
      <c r="BG97" s="24" t="inlineStr">
        <is>
          <t>npb-tie-aware-elo-v2</t>
        </is>
      </c>
      <c r="BH97" s="24" t="inlineStr">
        <is>
          <t>2026-08-28T02:44:12.023797Z</t>
        </is>
      </c>
      <c r="BI97" s="24" t="inlineStr">
        <is>
          <t>["same_event","same_team_same_day","same_league_same_day"]</t>
        </is>
      </c>
      <c r="BJ97" s="25" t="n"/>
      <c r="BK97" s="26" t="n">
        <v>-138</v>
      </c>
      <c r="BL97" s="27" t="n">
        <v>1.724638</v>
      </c>
      <c r="BM97" s="28" t="n">
        <v>0.579832</v>
      </c>
      <c r="BN97" s="28" t="n"/>
      <c r="BO97" s="28" t="n"/>
      <c r="BP97" s="25" t="n"/>
      <c r="BQ97" s="27" t="n"/>
      <c r="BR97" s="28" t="n"/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inlineStr">
        <is>
          <t>True</t>
        </is>
      </c>
      <c r="CT97" s="24" t="n"/>
      <c r="CU97" s="24" t="n"/>
      <c r="CV97" s="24" t="n"/>
      <c r="CW97" s="24" t="n"/>
      <c r="CX97" s="24" t="n"/>
      <c r="CY97" s="24" t="n"/>
      <c r="CZ97" s="24" t="n"/>
      <c r="DA97" s="24" t="n"/>
      <c r="DB97" s="24" t="n"/>
      <c r="DC97" s="24" t="n"/>
      <c r="DD97" s="24" t="n"/>
      <c r="DE97" s="24" t="n"/>
      <c r="DF97" s="24" t="n"/>
      <c r="DG97" s="24" t="n"/>
      <c r="DH97" s="24" t="n"/>
      <c r="DI97" s="24" t="n"/>
      <c r="DJ97" s="24" t="inlineStr">
        <is>
          <t>0.579832</t>
        </is>
      </c>
      <c r="DK97" s="24" t="n"/>
      <c r="DL97" s="24" t="n"/>
      <c r="DM97" s="24" t="n"/>
      <c r="DN97" s="24" t="n"/>
      <c r="DO97" s="24" t="n"/>
      <c r="DP97" s="24" t="n"/>
      <c r="DQ97" s="24" t="n"/>
    </row>
    <row r="98" ht="36" customHeight="1">
      <c r="A98" s="24" t="inlineStr">
        <is>
          <t>aa1e6218685543be</t>
        </is>
      </c>
      <c r="B98" s="24" t="inlineStr">
        <is>
          <t>2026-08-30T03:34:41.503900Z</t>
        </is>
      </c>
      <c r="C98" s="24" t="inlineStr">
        <is>
          <t>2026-08-30T04:00:00Z</t>
        </is>
      </c>
      <c r="D98" s="24" t="inlineStr">
        <is>
          <t>94139</t>
        </is>
      </c>
      <c r="E98" s="24" t="inlineStr">
        <is>
          <t>NPB</t>
        </is>
      </c>
      <c r="F98" s="24" t="inlineStr">
        <is>
          <t>Chiba Lotte Marines</t>
        </is>
      </c>
      <c r="G98" s="24" t="inlineStr">
        <is>
          <t>Nippon Ham Fighters</t>
        </is>
      </c>
      <c r="H98" s="24" t="inlineStr">
        <is>
          <t>moneyline</t>
        </is>
      </c>
      <c r="I98" s="24" t="inlineStr">
        <is>
          <t>home</t>
        </is>
      </c>
      <c r="J98" s="25" t="n"/>
      <c r="K98" s="24" t="inlineStr">
        <is>
          <t>polymarket_us</t>
        </is>
      </c>
      <c r="L98" s="26" t="n">
        <v>-186</v>
      </c>
      <c r="M98" s="27" t="n">
        <v>1.537634</v>
      </c>
      <c r="N98" s="28" t="n">
        <v>0.65035</v>
      </c>
      <c r="O98" s="28" t="n">
        <v>0.639665</v>
      </c>
      <c r="P98" s="28" t="n"/>
      <c r="Q98" s="28" t="n">
        <v>-0.010685</v>
      </c>
      <c r="R98" s="26" t="n">
        <v>15</v>
      </c>
      <c r="S98" s="29" t="n">
        <v>1</v>
      </c>
      <c r="T98" s="24" t="inlineStr">
        <is>
          <t>npb-tie-aware-elo-v2</t>
        </is>
      </c>
      <c r="U98" s="24" t="inlineStr">
        <is>
          <t>settled</t>
        </is>
      </c>
      <c r="V98" s="24" t="inlineStr">
        <is>
          <t>win</t>
        </is>
      </c>
      <c r="W98" s="26" t="n">
        <v>4</v>
      </c>
      <c r="X98" s="26" t="n">
        <v>5</v>
      </c>
      <c r="Y98" s="25" t="n"/>
      <c r="Z98" s="26" t="n"/>
      <c r="AA98" s="28" t="n"/>
      <c r="AB98" s="28" t="n"/>
      <c r="AC98" s="30" t="n">
        <v>0.5376</v>
      </c>
      <c r="AD98" s="24" t="inlineStr">
        <is>
          <t>2026-08-31T04:40:08.162227Z</t>
        </is>
      </c>
      <c r="AE98" s="31" t="inlineStr">
        <is>
          <t>Tie-aware Elo baseline; executable ask 0.6500 (market_slug=aec-npb-nhf-clm-2026-08-30). Tie probability=0.0235.</t>
        </is>
      </c>
      <c r="AF98" s="31" t="inlineStr">
        <is>
          <t>Config-promoted international baseball baseline; gates enforced at log time.</t>
        </is>
      </c>
      <c r="AG98" s="24" t="inlineStr">
        <is>
          <t>not_applicable</t>
        </is>
      </c>
      <c r="AH98" s="24" t="n"/>
      <c r="AI98" s="31" t="n"/>
      <c r="AJ98" s="31" t="n"/>
      <c r="AK98" s="24" t="inlineStr">
        <is>
          <t>paper_call</t>
        </is>
      </c>
      <c r="AL98" s="26" t="n">
        <v>4</v>
      </c>
      <c r="AM98" s="24" t="inlineStr">
        <is>
          <t>RESEARCH_OBSERVATION</t>
        </is>
      </c>
      <c r="AN98" s="24" t="inlineStr">
        <is>
          <t>CALL</t>
        </is>
      </c>
      <c r="AO98" s="24" t="inlineStr">
        <is>
          <t>PAPER_CALL_LOW_EDGE</t>
        </is>
      </c>
      <c r="AP98" s="24" t="inlineStr">
        <is>
          <t>Chiba Lotte Marines</t>
        </is>
      </c>
      <c r="AQ98" s="24" t="inlineStr">
        <is>
          <t>Chiba Lotte Marines</t>
        </is>
      </c>
      <c r="AR98" s="24" t="inlineStr">
        <is>
          <t>Chiba Lotte Marines</t>
        </is>
      </c>
      <c r="AS98" s="24" t="inlineStr">
        <is>
          <t>Nippon Ham Fighters</t>
        </is>
      </c>
      <c r="AT98" s="24" t="inlineStr">
        <is>
          <t>Nippon Ham Fighters</t>
        </is>
      </c>
      <c r="AU98" s="24" t="inlineStr">
        <is>
          <t>Nippon Ham Fighters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shadow_qualified</t>
        </is>
      </c>
      <c r="BA98" s="24" t="inlineStr">
        <is>
          <t>00336e6a81030534d8c48f6a925c79ead16bd2614e9f20656d4023af87c44341</t>
        </is>
      </c>
      <c r="BB98" s="24" t="inlineStr">
        <is>
          <t>tie_aware_elo</t>
        </is>
      </c>
      <c r="BC98" s="24" t="inlineStr">
        <is>
          <t>npb-tie-aware-elo-v2</t>
        </is>
      </c>
      <c r="BD98" s="24" t="inlineStr">
        <is>
          <t>00336e6a81030534d8c48f6a925c79ead16bd2614e9f20656d4023af87c44341</t>
        </is>
      </c>
      <c r="BE98" s="24" t="inlineStr">
        <is>
          <t>1</t>
        </is>
      </c>
      <c r="BF98" s="24" t="inlineStr">
        <is>
          <t>1</t>
        </is>
      </c>
      <c r="BG98" s="24" t="inlineStr">
        <is>
          <t>npb-tie-aware-elo-v2</t>
        </is>
      </c>
      <c r="BH98" s="24" t="inlineStr">
        <is>
          <t>2026-08-30T03:34:41.011136Z</t>
        </is>
      </c>
      <c r="BI98" s="24" t="inlineStr">
        <is>
          <t>["same_event","same_team_same_day","same_league_same_day"]</t>
        </is>
      </c>
      <c r="BJ98" s="25" t="n"/>
      <c r="BK98" s="26" t="n">
        <v>-186</v>
      </c>
      <c r="BL98" s="27" t="n">
        <v>1.537634</v>
      </c>
      <c r="BM98" s="28" t="n">
        <v>0.65035</v>
      </c>
      <c r="BN98" s="28" t="n"/>
      <c r="BO98" s="28" t="n"/>
      <c r="BP98" s="25" t="n"/>
      <c r="BQ98" s="27" t="n"/>
      <c r="BR98" s="28" t="n"/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inlineStr">
        <is>
          <t>False</t>
        </is>
      </c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inlineStr">
        <is>
          <t>0.65035</t>
        </is>
      </c>
      <c r="DK98" s="24" t="n"/>
      <c r="DL98" s="24" t="n"/>
      <c r="DM98" s="24" t="n"/>
      <c r="DN98" s="24" t="n"/>
      <c r="DO98" s="24" t="n"/>
      <c r="DP98" s="24" t="n"/>
      <c r="DQ98" s="24" t="n"/>
    </row>
    <row r="99" ht="36" customHeight="1">
      <c r="A99" s="24" t="inlineStr">
        <is>
          <t>e6a1ae0461304e0c</t>
        </is>
      </c>
      <c r="B99" s="24" t="inlineStr">
        <is>
          <t>2026-08-30T03:34:41.503900Z</t>
        </is>
      </c>
      <c r="C99" s="24" t="inlineStr">
        <is>
          <t>2026-08-30T05:00:00Z</t>
        </is>
      </c>
      <c r="D99" s="24" t="inlineStr">
        <is>
          <t>94141</t>
        </is>
      </c>
      <c r="E99" s="24" t="inlineStr">
        <is>
          <t>NPB</t>
        </is>
      </c>
      <c r="F99" s="24" t="inlineStr">
        <is>
          <t>Fukuoka SoftBank Hawks</t>
        </is>
      </c>
      <c r="G99" s="24" t="inlineStr">
        <is>
          <t>Orix Buffaloes</t>
        </is>
      </c>
      <c r="H99" s="24" t="inlineStr">
        <is>
          <t>moneyline</t>
        </is>
      </c>
      <c r="I99" s="24" t="inlineStr">
        <is>
          <t>away</t>
        </is>
      </c>
      <c r="J99" s="25" t="n"/>
      <c r="K99" s="24" t="inlineStr">
        <is>
          <t>polymarket_us</t>
        </is>
      </c>
      <c r="L99" s="26" t="n">
        <v>-144</v>
      </c>
      <c r="M99" s="27" t="n">
        <v>1.694444</v>
      </c>
      <c r="N99" s="28" t="n">
        <v>0.590164</v>
      </c>
      <c r="O99" s="28" t="n">
        <v>0.591728</v>
      </c>
      <c r="P99" s="28" t="n"/>
      <c r="Q99" s="28" t="n">
        <v>0.001564</v>
      </c>
      <c r="R99" s="26" t="n">
        <v>21</v>
      </c>
      <c r="S99" s="29" t="n">
        <v>1</v>
      </c>
      <c r="T99" s="24" t="inlineStr">
        <is>
          <t>npb-tie-aware-elo-v2</t>
        </is>
      </c>
      <c r="U99" s="24" t="inlineStr">
        <is>
          <t>settled</t>
        </is>
      </c>
      <c r="V99" s="24" t="inlineStr">
        <is>
          <t>win</t>
        </is>
      </c>
      <c r="W99" s="26" t="n">
        <v>6</v>
      </c>
      <c r="X99" s="26" t="n">
        <v>3</v>
      </c>
      <c r="Y99" s="25" t="n"/>
      <c r="Z99" s="26" t="n"/>
      <c r="AA99" s="28" t="n"/>
      <c r="AB99" s="28" t="n"/>
      <c r="AC99" s="30" t="n">
        <v>0.6944</v>
      </c>
      <c r="AD99" s="24" t="inlineStr">
        <is>
          <t>2026-08-31T04:40:08.505778Z</t>
        </is>
      </c>
      <c r="AE99" s="31" t="inlineStr">
        <is>
          <t>Tie-aware Elo baseline; executable ask 0.5900 (market_slug=aec-npb-obr-fsh-2026-08-30). Tie probability=0.0278.</t>
        </is>
      </c>
      <c r="AF99" s="31" t="inlineStr">
        <is>
          <t>Config-promoted international baseball baseline; gates enforced at log time.</t>
        </is>
      </c>
      <c r="AG99" s="24" t="inlineStr">
        <is>
          <t>not_applicable</t>
        </is>
      </c>
      <c r="AH99" s="24" t="n"/>
      <c r="AI99" s="31" t="n"/>
      <c r="AJ99" s="31" t="n"/>
      <c r="AK99" s="24" t="inlineStr">
        <is>
          <t>paper_call</t>
        </is>
      </c>
      <c r="AL99" s="26" t="n">
        <v>4</v>
      </c>
      <c r="AM99" s="24" t="inlineStr">
        <is>
          <t>RESEARCH_OBSERVATION</t>
        </is>
      </c>
      <c r="AN99" s="24" t="inlineStr">
        <is>
          <t>CALL</t>
        </is>
      </c>
      <c r="AO99" s="24" t="inlineStr">
        <is>
          <t>PAPER_CALL_LOW_EDGE</t>
        </is>
      </c>
      <c r="AP99" s="24" t="inlineStr">
        <is>
          <t>Fukuoka SoftBank Hawks</t>
        </is>
      </c>
      <c r="AQ99" s="24" t="inlineStr">
        <is>
          <t>Fukuoka SoftBank Hawks</t>
        </is>
      </c>
      <c r="AR99" s="24" t="inlineStr">
        <is>
          <t>Fukuoka SoftBank Hawks</t>
        </is>
      </c>
      <c r="AS99" s="24" t="inlineStr">
        <is>
          <t>Orix Buffaloes</t>
        </is>
      </c>
      <c r="AT99" s="24" t="inlineStr">
        <is>
          <t>Orix Buffaloes</t>
        </is>
      </c>
      <c r="AU99" s="24" t="inlineStr">
        <is>
          <t>Orix Buffaloes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00336e6a81030534d8c48f6a925c79ead16bd2614e9f20656d4023af87c44341</t>
        </is>
      </c>
      <c r="BB99" s="24" t="inlineStr">
        <is>
          <t>tie_aware_elo</t>
        </is>
      </c>
      <c r="BC99" s="24" t="inlineStr">
        <is>
          <t>npb-tie-aware-elo-v2</t>
        </is>
      </c>
      <c r="BD99" s="24" t="inlineStr">
        <is>
          <t>00336e6a81030534d8c48f6a925c79ead16bd2614e9f20656d4023af87c44341</t>
        </is>
      </c>
      <c r="BE99" s="24" t="inlineStr">
        <is>
          <t>1</t>
        </is>
      </c>
      <c r="BF99" s="24" t="inlineStr">
        <is>
          <t>1</t>
        </is>
      </c>
      <c r="BG99" s="24" t="inlineStr">
        <is>
          <t>npb-tie-aware-elo-v2</t>
        </is>
      </c>
      <c r="BH99" s="24" t="inlineStr">
        <is>
          <t>2026-08-30T03:34:41.090155Z</t>
        </is>
      </c>
      <c r="BI99" s="24" t="inlineStr">
        <is>
          <t>["same_event","same_team_same_day","same_league_same_day"]</t>
        </is>
      </c>
      <c r="BJ99" s="25" t="n"/>
      <c r="BK99" s="26" t="n">
        <v>-144</v>
      </c>
      <c r="BL99" s="27" t="n">
        <v>1.694444</v>
      </c>
      <c r="BM99" s="28" t="n">
        <v>0.590164</v>
      </c>
      <c r="BN99" s="28" t="n"/>
      <c r="BO99" s="28" t="n"/>
      <c r="BP99" s="25" t="n"/>
      <c r="BQ99" s="27" t="n"/>
      <c r="BR99" s="28" t="n"/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inlineStr">
        <is>
          <t>True</t>
        </is>
      </c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inlineStr">
        <is>
          <t>0.590164</t>
        </is>
      </c>
      <c r="DK99" s="24" t="n"/>
      <c r="DL99" s="24" t="n"/>
      <c r="DM99" s="24" t="n"/>
      <c r="DN99" s="24" t="n"/>
      <c r="DO99" s="24" t="n"/>
      <c r="DP99" s="24" t="n"/>
      <c r="DQ99" s="24" t="n"/>
    </row>
    <row r="100" ht="36" customHeight="1">
      <c r="A100" s="24" t="inlineStr">
        <is>
          <t>52fa1e47d5e54702</t>
        </is>
      </c>
      <c r="B100" s="24" t="inlineStr">
        <is>
          <t>2026-08-30T03:34:41.503900Z</t>
        </is>
      </c>
      <c r="C100" s="24" t="inlineStr">
        <is>
          <t>2026-08-30T08:00:00Z</t>
        </is>
      </c>
      <c r="D100" s="24" t="inlineStr">
        <is>
          <t>94178</t>
        </is>
      </c>
      <c r="E100" s="24" t="inlineStr">
        <is>
          <t>NPB</t>
        </is>
      </c>
      <c r="F100" s="24" t="inlineStr">
        <is>
          <t>Tohoku Rakuten Golden Eagles</t>
        </is>
      </c>
      <c r="G100" s="24" t="inlineStr">
        <is>
          <t>Saitama Seibu Lions</t>
        </is>
      </c>
      <c r="H100" s="24" t="inlineStr">
        <is>
          <t>moneyline</t>
        </is>
      </c>
      <c r="I100" s="24" t="inlineStr">
        <is>
          <t>home</t>
        </is>
      </c>
      <c r="J100" s="25" t="n"/>
      <c r="K100" s="24" t="inlineStr">
        <is>
          <t>polymarket_us</t>
        </is>
      </c>
      <c r="L100" s="26" t="n">
        <v>-133</v>
      </c>
      <c r="M100" s="27" t="n">
        <v>1.75188</v>
      </c>
      <c r="N100" s="28" t="n">
        <v>0.570815</v>
      </c>
      <c r="O100" s="28" t="n">
        <v>0.668005</v>
      </c>
      <c r="P100" s="28" t="n"/>
      <c r="Q100" s="28" t="n">
        <v>0.09719</v>
      </c>
      <c r="R100" s="26" t="n">
        <v>69</v>
      </c>
      <c r="S100" s="29" t="n">
        <v>1.25</v>
      </c>
      <c r="T100" s="24" t="inlineStr">
        <is>
          <t>npb-tie-aware-elo-v2</t>
        </is>
      </c>
      <c r="U100" s="24" t="inlineStr">
        <is>
          <t>settled</t>
        </is>
      </c>
      <c r="V100" s="24" t="inlineStr">
        <is>
          <t>win</t>
        </is>
      </c>
      <c r="W100" s="26" t="n">
        <v>1</v>
      </c>
      <c r="X100" s="26" t="n">
        <v>4</v>
      </c>
      <c r="Y100" s="25" t="n"/>
      <c r="Z100" s="26" t="n">
        <v>-133</v>
      </c>
      <c r="AA100" s="28" t="n">
        <v>0.57</v>
      </c>
      <c r="AB100" s="28" t="n">
        <v>-0.000815</v>
      </c>
      <c r="AC100" s="30" t="n">
        <v>0.9399</v>
      </c>
      <c r="AD100" s="24" t="inlineStr">
        <is>
          <t>2026-08-31T04:40:08.832035Z</t>
        </is>
      </c>
      <c r="AE100" s="31" t="inlineStr">
        <is>
          <t>Tie-aware Elo baseline; executable ask 0.5700 (market_slug=aec-npb-ssl-trge-2026-08-30). Tie probability=0.0209.</t>
        </is>
      </c>
      <c r="AF100" s="31" t="inlineStr">
        <is>
          <t>Config-promoted international baseball baseline; gates enforced at log time.</t>
        </is>
      </c>
      <c r="AG100" s="24" t="inlineStr">
        <is>
          <t>not_applicable</t>
        </is>
      </c>
      <c r="AH100" s="24" t="n"/>
      <c r="AI100" s="31" t="n"/>
      <c r="AJ100" s="31" t="n"/>
      <c r="AK100" s="24" t="inlineStr">
        <is>
          <t>model_qualified</t>
        </is>
      </c>
      <c r="AL100" s="26" t="n">
        <v>4</v>
      </c>
      <c r="AM100" s="24" t="inlineStr">
        <is>
          <t>QUALIFIED_SHADOW_CALL</t>
        </is>
      </c>
      <c r="AN100" s="24" t="inlineStr">
        <is>
          <t>CALL</t>
        </is>
      </c>
      <c r="AO100" s="24" t="inlineStr">
        <is>
          <t>QUALIFIED</t>
        </is>
      </c>
      <c r="AP100" s="24" t="inlineStr">
        <is>
          <t>Tohoku Rakuten Golden Eagles</t>
        </is>
      </c>
      <c r="AQ100" s="24" t="inlineStr">
        <is>
          <t>Tohoku Rakuten Golden Eagles</t>
        </is>
      </c>
      <c r="AR100" s="24" t="inlineStr">
        <is>
          <t>Tohoku Rakuten Golden Eagles</t>
        </is>
      </c>
      <c r="AS100" s="24" t="inlineStr">
        <is>
          <t>Saitama Seibu Lions</t>
        </is>
      </c>
      <c r="AT100" s="24" t="inlineStr">
        <is>
          <t>Saitama Seibu Lions</t>
        </is>
      </c>
      <c r="AU100" s="24" t="inlineStr">
        <is>
          <t>Saitama Seibu Lions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shadow_qualified</t>
        </is>
      </c>
      <c r="BA100" s="24" t="inlineStr">
        <is>
          <t>00336e6a81030534d8c48f6a925c79ead16bd2614e9f20656d4023af87c44341</t>
        </is>
      </c>
      <c r="BB100" s="24" t="inlineStr">
        <is>
          <t>tie_aware_elo</t>
        </is>
      </c>
      <c r="BC100" s="24" t="inlineStr">
        <is>
          <t>npb-tie-aware-elo-v2</t>
        </is>
      </c>
      <c r="BD100" s="24" t="inlineStr">
        <is>
          <t>00336e6a81030534d8c48f6a925c79ead16bd2614e9f20656d4023af87c44341</t>
        </is>
      </c>
      <c r="BE100" s="24" t="inlineStr">
        <is>
          <t>1</t>
        </is>
      </c>
      <c r="BF100" s="24" t="inlineStr">
        <is>
          <t>1</t>
        </is>
      </c>
      <c r="BG100" s="24" t="inlineStr">
        <is>
          <t>npb-tie-aware-elo-v2</t>
        </is>
      </c>
      <c r="BH100" s="24" t="inlineStr">
        <is>
          <t>2026-08-30T03:34:41.260387Z</t>
        </is>
      </c>
      <c r="BI100" s="24" t="inlineStr">
        <is>
          <t>["same_event","same_team_same_day","same_league_same_day"]</t>
        </is>
      </c>
      <c r="BJ100" s="25" t="n"/>
      <c r="BK100" s="26" t="n">
        <v>-133</v>
      </c>
      <c r="BL100" s="27" t="n">
        <v>1.75188</v>
      </c>
      <c r="BM100" s="28" t="n">
        <v>0.570815</v>
      </c>
      <c r="BN100" s="28" t="n"/>
      <c r="BO100" s="28" t="n"/>
      <c r="BP100" s="25" t="n"/>
      <c r="BQ100" s="27" t="n">
        <v>1.75188</v>
      </c>
      <c r="BR100" s="28" t="n">
        <v>0.57</v>
      </c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True</t>
        </is>
      </c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inlineStr">
        <is>
          <t>0.570815</t>
        </is>
      </c>
      <c r="DK100" s="24" t="n"/>
      <c r="DL100" s="24" t="n"/>
      <c r="DM100" s="24" t="n"/>
      <c r="DN100" s="24" t="n"/>
      <c r="DO100" s="24" t="n"/>
      <c r="DP100" s="24" t="n"/>
      <c r="DQ100" s="24" t="n"/>
    </row>
    <row r="101" ht="36" customHeight="1">
      <c r="A101" s="24" t="inlineStr">
        <is>
          <t>2b6565152b384485</t>
        </is>
      </c>
      <c r="B101" s="24" t="inlineStr">
        <is>
          <t>2026-08-30T03:34:41.503900Z</t>
        </is>
      </c>
      <c r="C101" s="24" t="inlineStr">
        <is>
          <t>2026-08-30T09:00:00Z</t>
        </is>
      </c>
      <c r="D101" s="24" t="inlineStr">
        <is>
          <t>94169</t>
        </is>
      </c>
      <c r="E101" s="24" t="inlineStr">
        <is>
          <t>NPB</t>
        </is>
      </c>
      <c r="F101" s="24" t="inlineStr">
        <is>
          <t>Tokyo Yakult Swallows</t>
        </is>
      </c>
      <c r="G101" s="24" t="inlineStr">
        <is>
          <t>Hiroshima Carp</t>
        </is>
      </c>
      <c r="H101" s="24" t="inlineStr">
        <is>
          <t>moneyline</t>
        </is>
      </c>
      <c r="I101" s="24" t="inlineStr">
        <is>
          <t>home</t>
        </is>
      </c>
      <c r="J101" s="25" t="n"/>
      <c r="K101" s="24" t="inlineStr">
        <is>
          <t>polymarket_us</t>
        </is>
      </c>
      <c r="L101" s="26" t="n">
        <v>-138</v>
      </c>
      <c r="M101" s="27" t="n">
        <v>1.724638</v>
      </c>
      <c r="N101" s="28" t="n">
        <v>0.579832</v>
      </c>
      <c r="O101" s="28" t="n">
        <v>0.551637</v>
      </c>
      <c r="P101" s="28" t="n"/>
      <c r="Q101" s="28" t="n">
        <v>-0.028195</v>
      </c>
      <c r="R101" s="26" t="n">
        <v>6</v>
      </c>
      <c r="S101" s="29" t="n">
        <v>1</v>
      </c>
      <c r="T101" s="24" t="inlineStr">
        <is>
          <t>npb-tie-aware-elo-v2</t>
        </is>
      </c>
      <c r="U101" s="24" t="inlineStr">
        <is>
          <t>settled</t>
        </is>
      </c>
      <c r="V101" s="24" t="inlineStr">
        <is>
          <t>win</t>
        </is>
      </c>
      <c r="W101" s="26" t="n">
        <v>1</v>
      </c>
      <c r="X101" s="26" t="n">
        <v>5</v>
      </c>
      <c r="Y101" s="25" t="n"/>
      <c r="Z101" s="26" t="n">
        <v>-138</v>
      </c>
      <c r="AA101" s="28" t="n">
        <v>0.58</v>
      </c>
      <c r="AB101" s="28" t="n">
        <v>0.000168</v>
      </c>
      <c r="AC101" s="30" t="n">
        <v>0.7246</v>
      </c>
      <c r="AD101" s="24" t="inlineStr">
        <is>
          <t>2026-08-31T04:40:09.205015Z</t>
        </is>
      </c>
      <c r="AE101" s="31" t="inlineStr">
        <is>
          <t>Tie-aware Elo baseline; executable ask 0.5800 (market_slug=aec-npb-hci-tys-2026-08-30). Tie probability=0.0313.</t>
        </is>
      </c>
      <c r="AF101" s="31" t="inlineStr">
        <is>
          <t>Config-promoted international baseball baseline; gates enforced at log time.</t>
        </is>
      </c>
      <c r="AG101" s="24" t="inlineStr">
        <is>
          <t>not_applicable</t>
        </is>
      </c>
      <c r="AH101" s="24" t="n"/>
      <c r="AI101" s="31" t="n"/>
      <c r="AJ101" s="31" t="n"/>
      <c r="AK101" s="24" t="inlineStr">
        <is>
          <t>paper_call</t>
        </is>
      </c>
      <c r="AL101" s="26" t="n">
        <v>4</v>
      </c>
      <c r="AM101" s="24" t="inlineStr">
        <is>
          <t>RESEARCH_OBSERVATION</t>
        </is>
      </c>
      <c r="AN101" s="24" t="inlineStr">
        <is>
          <t>CALL</t>
        </is>
      </c>
      <c r="AO101" s="24" t="inlineStr">
        <is>
          <t>PAPER_CALL_LOW_EDGE</t>
        </is>
      </c>
      <c r="AP101" s="24" t="inlineStr">
        <is>
          <t>Tokyo Yakult Swallows</t>
        </is>
      </c>
      <c r="AQ101" s="24" t="inlineStr">
        <is>
          <t>Tokyo Yakult Swallows</t>
        </is>
      </c>
      <c r="AR101" s="24" t="inlineStr">
        <is>
          <t>Tokyo Yakult Swallows</t>
        </is>
      </c>
      <c r="AS101" s="24" t="inlineStr">
        <is>
          <t>Hiroshima Carp</t>
        </is>
      </c>
      <c r="AT101" s="24" t="inlineStr">
        <is>
          <t>Hiroshima Carp</t>
        </is>
      </c>
      <c r="AU101" s="24" t="inlineStr">
        <is>
          <t>Hiroshima Carp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00336e6a81030534d8c48f6a925c79ead16bd2614e9f20656d4023af87c44341</t>
        </is>
      </c>
      <c r="BB101" s="24" t="inlineStr">
        <is>
          <t>tie_aware_elo</t>
        </is>
      </c>
      <c r="BC101" s="24" t="inlineStr">
        <is>
          <t>npb-tie-aware-elo-v2</t>
        </is>
      </c>
      <c r="BD101" s="24" t="inlineStr">
        <is>
          <t>00336e6a81030534d8c48f6a925c79ead16bd2614e9f20656d4023af87c44341</t>
        </is>
      </c>
      <c r="BE101" s="24" t="inlineStr">
        <is>
          <t>1</t>
        </is>
      </c>
      <c r="BF101" s="24" t="inlineStr">
        <is>
          <t>1</t>
        </is>
      </c>
      <c r="BG101" s="24" t="inlineStr">
        <is>
          <t>npb-tie-aware-elo-v2</t>
        </is>
      </c>
      <c r="BH101" s="24" t="inlineStr">
        <is>
          <t>2026-08-30T03:34:41.344748Z</t>
        </is>
      </c>
      <c r="BI101" s="24" t="inlineStr">
        <is>
          <t>["same_event","same_team_same_day","same_league_same_day"]</t>
        </is>
      </c>
      <c r="BJ101" s="25" t="n"/>
      <c r="BK101" s="26" t="n">
        <v>-138</v>
      </c>
      <c r="BL101" s="27" t="n">
        <v>1.724638</v>
      </c>
      <c r="BM101" s="28" t="n">
        <v>0.579832</v>
      </c>
      <c r="BN101" s="28" t="n"/>
      <c r="BO101" s="28" t="n"/>
      <c r="BP101" s="25" t="n"/>
      <c r="BQ101" s="27" t="n">
        <v>1.724638</v>
      </c>
      <c r="BR101" s="28" t="n">
        <v>0.58</v>
      </c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False</t>
        </is>
      </c>
      <c r="CT101" s="24" t="n"/>
      <c r="CU101" s="24" t="n"/>
      <c r="CV101" s="24" t="n"/>
      <c r="CW101" s="24" t="n"/>
      <c r="CX101" s="24" t="n"/>
      <c r="CY101" s="24" t="n"/>
      <c r="CZ101" s="24" t="n"/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inlineStr">
        <is>
          <t>0.579832</t>
        </is>
      </c>
      <c r="DK101" s="24" t="n"/>
      <c r="DL101" s="24" t="n"/>
      <c r="DM101" s="24" t="n"/>
      <c r="DN101" s="24" t="n"/>
      <c r="DO101" s="24" t="n"/>
      <c r="DP101" s="24" t="n"/>
      <c r="DQ101" s="24" t="n"/>
    </row>
    <row r="102" ht="36" customHeight="1">
      <c r="A102" s="24" t="inlineStr">
        <is>
          <t>d43a72303bf54f61</t>
        </is>
      </c>
      <c r="B102" s="24" t="inlineStr">
        <is>
          <t>2026-08-30T03:34:41.503900Z</t>
        </is>
      </c>
      <c r="C102" s="24" t="inlineStr">
        <is>
          <t>2026-08-30T09:00:00Z</t>
        </is>
      </c>
      <c r="D102" s="24" t="inlineStr">
        <is>
          <t>94182</t>
        </is>
      </c>
      <c r="E102" s="24" t="inlineStr">
        <is>
          <t>NPB</t>
        </is>
      </c>
      <c r="F102" s="24" t="inlineStr">
        <is>
          <t>Yomiuri Giants</t>
        </is>
      </c>
      <c r="G102" s="24" t="inlineStr">
        <is>
          <t>Hanshin Tigers</t>
        </is>
      </c>
      <c r="H102" s="24" t="inlineStr">
        <is>
          <t>moneyline</t>
        </is>
      </c>
      <c r="I102" s="24" t="inlineStr">
        <is>
          <t>home</t>
        </is>
      </c>
      <c r="J102" s="25" t="n"/>
      <c r="K102" s="24" t="inlineStr">
        <is>
          <t>polymarket_us</t>
        </is>
      </c>
      <c r="L102" s="26" t="n">
        <v>-170</v>
      </c>
      <c r="M102" s="27" t="n">
        <v>1.588235</v>
      </c>
      <c r="N102" s="28" t="n">
        <v>0.62963</v>
      </c>
      <c r="O102" s="28" t="n">
        <v>0.593893</v>
      </c>
      <c r="P102" s="28" t="n"/>
      <c r="Q102" s="28" t="n">
        <v>-0.035737</v>
      </c>
      <c r="R102" s="26" t="n">
        <v>2</v>
      </c>
      <c r="S102" s="29" t="n">
        <v>1</v>
      </c>
      <c r="T102" s="24" t="inlineStr">
        <is>
          <t>npb-tie-aware-elo-v2</t>
        </is>
      </c>
      <c r="U102" s="24" t="inlineStr">
        <is>
          <t>settled</t>
        </is>
      </c>
      <c r="V102" s="24" t="inlineStr">
        <is>
          <t>win</t>
        </is>
      </c>
      <c r="W102" s="26" t="n">
        <v>1</v>
      </c>
      <c r="X102" s="26" t="n">
        <v>3</v>
      </c>
      <c r="Y102" s="25" t="n"/>
      <c r="Z102" s="26" t="n">
        <v>-170</v>
      </c>
      <c r="AA102" s="28" t="n">
        <v>0.63</v>
      </c>
      <c r="AB102" s="28" t="n">
        <v>0.00037</v>
      </c>
      <c r="AC102" s="30" t="n">
        <v>0.5881999999999999</v>
      </c>
      <c r="AD102" s="24" t="inlineStr">
        <is>
          <t>2026-08-31T04:40:09.569291Z</t>
        </is>
      </c>
      <c r="AE102" s="31" t="inlineStr">
        <is>
          <t>Tie-aware Elo baseline; executable ask 0.6300 (market_slug=aec-npb-hta-ygo-2026-08-30). Tie probability=0.0276.</t>
        </is>
      </c>
      <c r="AF102" s="31" t="inlineStr">
        <is>
          <t>Config-promoted international baseball baseline; gates enforced at log time.</t>
        </is>
      </c>
      <c r="AG102" s="24" t="inlineStr">
        <is>
          <t>not_applicable</t>
        </is>
      </c>
      <c r="AH102" s="24" t="n"/>
      <c r="AI102" s="31" t="n"/>
      <c r="AJ102" s="31" t="n"/>
      <c r="AK102" s="24" t="inlineStr">
        <is>
          <t>paper_call</t>
        </is>
      </c>
      <c r="AL102" s="26" t="n">
        <v>4</v>
      </c>
      <c r="AM102" s="24" t="inlineStr">
        <is>
          <t>RESEARCH_OBSERVATION</t>
        </is>
      </c>
      <c r="AN102" s="24" t="inlineStr">
        <is>
          <t>CALL</t>
        </is>
      </c>
      <c r="AO102" s="24" t="inlineStr">
        <is>
          <t>PAPER_CALL_LOW_EDGE</t>
        </is>
      </c>
      <c r="AP102" s="24" t="inlineStr">
        <is>
          <t>Yomiuri Giants</t>
        </is>
      </c>
      <c r="AQ102" s="24" t="inlineStr">
        <is>
          <t>Yomiuri Giants</t>
        </is>
      </c>
      <c r="AR102" s="24" t="inlineStr">
        <is>
          <t>Yomiuri Giants</t>
        </is>
      </c>
      <c r="AS102" s="24" t="inlineStr">
        <is>
          <t>Hanshin Tigers</t>
        </is>
      </c>
      <c r="AT102" s="24" t="inlineStr">
        <is>
          <t>Hanshin Tigers</t>
        </is>
      </c>
      <c r="AU102" s="24" t="inlineStr">
        <is>
          <t>Hanshin Tigers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00336e6a81030534d8c48f6a925c79ead16bd2614e9f20656d4023af87c44341</t>
        </is>
      </c>
      <c r="BB102" s="24" t="inlineStr">
        <is>
          <t>tie_aware_elo</t>
        </is>
      </c>
      <c r="BC102" s="24" t="inlineStr">
        <is>
          <t>npb-tie-aware-elo-v2</t>
        </is>
      </c>
      <c r="BD102" s="24" t="inlineStr">
        <is>
          <t>00336e6a81030534d8c48f6a925c79ead16bd2614e9f20656d4023af87c44341</t>
        </is>
      </c>
      <c r="BE102" s="24" t="inlineStr">
        <is>
          <t>1</t>
        </is>
      </c>
      <c r="BF102" s="24" t="inlineStr">
        <is>
          <t>1</t>
        </is>
      </c>
      <c r="BG102" s="24" t="inlineStr">
        <is>
          <t>npb-tie-aware-elo-v2</t>
        </is>
      </c>
      <c r="BH102" s="24" t="inlineStr">
        <is>
          <t>2026-08-30T03:34:41.421916Z</t>
        </is>
      </c>
      <c r="BI102" s="24" t="inlineStr">
        <is>
          <t>["same_event","same_team_same_day","same_league_same_day"]</t>
        </is>
      </c>
      <c r="BJ102" s="25" t="n"/>
      <c r="BK102" s="26" t="n">
        <v>-170</v>
      </c>
      <c r="BL102" s="27" t="n">
        <v>1.588235</v>
      </c>
      <c r="BM102" s="28" t="n">
        <v>0.62963</v>
      </c>
      <c r="BN102" s="28" t="n"/>
      <c r="BO102" s="28" t="n"/>
      <c r="BP102" s="25" t="n"/>
      <c r="BQ102" s="27" t="n">
        <v>1.588235</v>
      </c>
      <c r="BR102" s="28" t="n">
        <v>0.63</v>
      </c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False</t>
        </is>
      </c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inlineStr">
        <is>
          <t>0.62963</t>
        </is>
      </c>
      <c r="DK102" s="24" t="n"/>
      <c r="DL102" s="24" t="n"/>
      <c r="DM102" s="24" t="n"/>
      <c r="DN102" s="24" t="n"/>
      <c r="DO102" s="24" t="n"/>
      <c r="DP102" s="24" t="n"/>
      <c r="DQ102" s="24" t="n"/>
    </row>
    <row r="103" ht="36" customHeight="1">
      <c r="A103" s="24" t="inlineStr">
        <is>
          <t>7a1c6b64949f42fb</t>
        </is>
      </c>
      <c r="B103" s="24" t="inlineStr">
        <is>
          <t>2026-08-30T03:34:41.503900Z</t>
        </is>
      </c>
      <c r="C103" s="24" t="inlineStr">
        <is>
          <t>2026-08-30T09:00:00Z</t>
        </is>
      </c>
      <c r="D103" s="24" t="inlineStr">
        <is>
          <t>94185</t>
        </is>
      </c>
      <c r="E103" s="24" t="inlineStr">
        <is>
          <t>NPB</t>
        </is>
      </c>
      <c r="F103" s="24" t="inlineStr">
        <is>
          <t>Chunichi Dragons</t>
        </is>
      </c>
      <c r="G103" s="24" t="inlineStr">
        <is>
          <t>Yokohama BayStars</t>
        </is>
      </c>
      <c r="H103" s="24" t="inlineStr">
        <is>
          <t>moneyline</t>
        </is>
      </c>
      <c r="I103" s="24" t="inlineStr">
        <is>
          <t>home</t>
        </is>
      </c>
      <c r="J103" s="25" t="n"/>
      <c r="K103" s="24" t="inlineStr">
        <is>
          <t>polymarket_us</t>
        </is>
      </c>
      <c r="L103" s="26" t="n">
        <v>-156</v>
      </c>
      <c r="M103" s="27" t="n">
        <v>1.641026</v>
      </c>
      <c r="N103" s="28" t="n">
        <v>0.609375</v>
      </c>
      <c r="O103" s="28" t="n">
        <v>0.582645</v>
      </c>
      <c r="P103" s="28" t="n"/>
      <c r="Q103" s="28" t="n">
        <v>-0.02673</v>
      </c>
      <c r="R103" s="26" t="n">
        <v>7</v>
      </c>
      <c r="S103" s="29" t="n">
        <v>1</v>
      </c>
      <c r="T103" s="24" t="inlineStr">
        <is>
          <t>npb-tie-aware-elo-v2</t>
        </is>
      </c>
      <c r="U103" s="24" t="inlineStr">
        <is>
          <t>settled</t>
        </is>
      </c>
      <c r="V103" s="24" t="inlineStr">
        <is>
          <t>win</t>
        </is>
      </c>
      <c r="W103" s="26" t="n">
        <v>3</v>
      </c>
      <c r="X103" s="26" t="n">
        <v>4</v>
      </c>
      <c r="Y103" s="25" t="n"/>
      <c r="Z103" s="26" t="n">
        <v>-156</v>
      </c>
      <c r="AA103" s="28" t="n">
        <v>0.61</v>
      </c>
      <c r="AB103" s="28" t="n">
        <v>0.000625</v>
      </c>
      <c r="AC103" s="30" t="n">
        <v>0.641</v>
      </c>
      <c r="AD103" s="24" t="inlineStr">
        <is>
          <t>2026-08-31T04:40:09.984273Z</t>
        </is>
      </c>
      <c r="AE103" s="31" t="inlineStr">
        <is>
          <t>Tie-aware Elo baseline; executable ask 0.6100 (market_slug=aec-npb-ybo-cdh-2026-08-30). Tie probability=0.0286.</t>
        </is>
      </c>
      <c r="AF103" s="31" t="inlineStr">
        <is>
          <t>Config-promoted international baseball baseline; gates enforced at log time.</t>
        </is>
      </c>
      <c r="AG103" s="24" t="inlineStr">
        <is>
          <t>not_applicable</t>
        </is>
      </c>
      <c r="AH103" s="24" t="n"/>
      <c r="AI103" s="31" t="n"/>
      <c r="AJ103" s="31" t="n"/>
      <c r="AK103" s="24" t="inlineStr">
        <is>
          <t>paper_call</t>
        </is>
      </c>
      <c r="AL103" s="26" t="n">
        <v>4</v>
      </c>
      <c r="AM103" s="24" t="inlineStr">
        <is>
          <t>RESEARCH_OBSERVATION</t>
        </is>
      </c>
      <c r="AN103" s="24" t="inlineStr">
        <is>
          <t>CALL</t>
        </is>
      </c>
      <c r="AO103" s="24" t="inlineStr">
        <is>
          <t>PAPER_CALL_LOW_EDGE</t>
        </is>
      </c>
      <c r="AP103" s="24" t="inlineStr">
        <is>
          <t>Chunichi Dragons</t>
        </is>
      </c>
      <c r="AQ103" s="24" t="inlineStr">
        <is>
          <t>Chunichi Dragons</t>
        </is>
      </c>
      <c r="AR103" s="24" t="inlineStr">
        <is>
          <t>Chunichi Dragons</t>
        </is>
      </c>
      <c r="AS103" s="24" t="inlineStr">
        <is>
          <t>Yokohama BayStars</t>
        </is>
      </c>
      <c r="AT103" s="24" t="inlineStr">
        <is>
          <t>Yokohama BayStars</t>
        </is>
      </c>
      <c r="AU103" s="24" t="inlineStr">
        <is>
          <t>Yokohama BayStars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00336e6a81030534d8c48f6a925c79ead16bd2614e9f20656d4023af87c44341</t>
        </is>
      </c>
      <c r="BB103" s="24" t="inlineStr">
        <is>
          <t>tie_aware_elo</t>
        </is>
      </c>
      <c r="BC103" s="24" t="inlineStr">
        <is>
          <t>npb-tie-aware-elo-v2</t>
        </is>
      </c>
      <c r="BD103" s="24" t="inlineStr">
        <is>
          <t>00336e6a81030534d8c48f6a925c79ead16bd2614e9f20656d4023af87c44341</t>
        </is>
      </c>
      <c r="BE103" s="24" t="inlineStr">
        <is>
          <t>1</t>
        </is>
      </c>
      <c r="BF103" s="24" t="inlineStr">
        <is>
          <t>1</t>
        </is>
      </c>
      <c r="BG103" s="24" t="inlineStr">
        <is>
          <t>npb-tie-aware-elo-v2</t>
        </is>
      </c>
      <c r="BH103" s="24" t="inlineStr">
        <is>
          <t>2026-08-30T03:34:41.503851Z</t>
        </is>
      </c>
      <c r="BI103" s="24" t="inlineStr">
        <is>
          <t>["same_event","same_team_same_day","same_league_same_day"]</t>
        </is>
      </c>
      <c r="BJ103" s="25" t="n"/>
      <c r="BK103" s="26" t="n">
        <v>-156</v>
      </c>
      <c r="BL103" s="27" t="n">
        <v>1.641026</v>
      </c>
      <c r="BM103" s="28" t="n">
        <v>0.609375</v>
      </c>
      <c r="BN103" s="28" t="n"/>
      <c r="BO103" s="28" t="n"/>
      <c r="BP103" s="25" t="n"/>
      <c r="BQ103" s="27" t="n">
        <v>1.641026</v>
      </c>
      <c r="BR103" s="28" t="n">
        <v>0.61</v>
      </c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False</t>
        </is>
      </c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inlineStr">
        <is>
          <t>0.609375</t>
        </is>
      </c>
      <c r="DK103" s="24" t="n"/>
      <c r="DL103" s="24" t="n"/>
      <c r="DM103" s="24" t="n"/>
      <c r="DN103" s="24" t="n"/>
      <c r="DO103" s="24" t="n"/>
      <c r="DP103" s="24" t="n"/>
      <c r="DQ103" s="24" t="n"/>
    </row>
    <row r="104" ht="36" customHeight="1">
      <c r="A104" s="24" t="inlineStr">
        <is>
          <t>720970bcb7a44051</t>
        </is>
      </c>
      <c r="B104" s="24" t="inlineStr">
        <is>
          <t>2026-09-01T04:43:17.062482Z</t>
        </is>
      </c>
      <c r="C104" s="24" t="inlineStr">
        <is>
          <t>2026-09-01T09:00:00Z</t>
        </is>
      </c>
      <c r="D104" s="24" t="inlineStr">
        <is>
          <t>95788</t>
        </is>
      </c>
      <c r="E104" s="24" t="inlineStr">
        <is>
          <t>NPB</t>
        </is>
      </c>
      <c r="F104" s="24" t="inlineStr">
        <is>
          <t>Saitama Seibu Lions</t>
        </is>
      </c>
      <c r="G104" s="24" t="inlineStr">
        <is>
          <t>Chiba Lotte Marines</t>
        </is>
      </c>
      <c r="H104" s="24" t="inlineStr">
        <is>
          <t>moneyline</t>
        </is>
      </c>
      <c r="I104" s="24" t="inlineStr">
        <is>
          <t>away</t>
        </is>
      </c>
      <c r="J104" s="25" t="n"/>
      <c r="K104" s="24" t="inlineStr">
        <is>
          <t>polymarket_us</t>
        </is>
      </c>
      <c r="L104" s="26" t="n">
        <v>-133</v>
      </c>
      <c r="M104" s="27" t="n">
        <v>1.75188</v>
      </c>
      <c r="N104" s="28" t="n">
        <v>0.570815</v>
      </c>
      <c r="O104" s="28" t="n">
        <v>0.534569</v>
      </c>
      <c r="P104" s="28" t="n"/>
      <c r="Q104" s="28" t="n">
        <v>-0.036246</v>
      </c>
      <c r="R104" s="26" t="n">
        <v>2</v>
      </c>
      <c r="S104" s="29" t="n">
        <v>1</v>
      </c>
      <c r="T104" s="24" t="inlineStr">
        <is>
          <t>npb-tie-aware-elo-v2</t>
        </is>
      </c>
      <c r="U104" s="24" t="inlineStr">
        <is>
          <t>settled</t>
        </is>
      </c>
      <c r="V104" s="24" t="inlineStr">
        <is>
          <t>loss</t>
        </is>
      </c>
      <c r="W104" s="26" t="n">
        <v>0</v>
      </c>
      <c r="X104" s="26" t="n">
        <v>1</v>
      </c>
      <c r="Y104" s="25" t="n"/>
      <c r="Z104" s="26" t="n">
        <v>-133</v>
      </c>
      <c r="AA104" s="28" t="n">
        <v>0.57</v>
      </c>
      <c r="AB104" s="28" t="n">
        <v>-0.000815</v>
      </c>
      <c r="AC104" s="30" t="n">
        <v>-1</v>
      </c>
      <c r="AD104" s="24" t="inlineStr">
        <is>
          <t>2026-09-02T04:35:03.430415Z</t>
        </is>
      </c>
      <c r="AE104" s="31" t="inlineStr">
        <is>
          <t>Tie-aware Elo baseline; executable ask 0.5700 (market_slug=aec-npb-clm-ssl-2026-09-01). Tie probability=0.0327.</t>
        </is>
      </c>
      <c r="AF104" s="31" t="inlineStr">
        <is>
          <t>Config-promoted international baseball baseline; gates enforced at log time.</t>
        </is>
      </c>
      <c r="AG104" s="24" t="inlineStr">
        <is>
          <t>review_required</t>
        </is>
      </c>
      <c r="AH104" s="24" t="n"/>
      <c r="AI104" s="31" t="n"/>
      <c r="AJ104" s="31" t="n"/>
      <c r="AK104" s="24" t="inlineStr">
        <is>
          <t>paper_call</t>
        </is>
      </c>
      <c r="AL104" s="26" t="n">
        <v>4</v>
      </c>
      <c r="AM104" s="24" t="inlineStr">
        <is>
          <t>RESEARCH_OBSERVATION</t>
        </is>
      </c>
      <c r="AN104" s="24" t="inlineStr">
        <is>
          <t>CALL</t>
        </is>
      </c>
      <c r="AO104" s="24" t="inlineStr">
        <is>
          <t>PAPER_CALL_LOW_EDGE</t>
        </is>
      </c>
      <c r="AP104" s="24" t="inlineStr">
        <is>
          <t>Saitama Seibu Lions</t>
        </is>
      </c>
      <c r="AQ104" s="24" t="inlineStr">
        <is>
          <t>Saitama Seibu Lions</t>
        </is>
      </c>
      <c r="AR104" s="24" t="inlineStr">
        <is>
          <t>Saitama Seibu Lions</t>
        </is>
      </c>
      <c r="AS104" s="24" t="inlineStr">
        <is>
          <t>Chiba Lotte Marines</t>
        </is>
      </c>
      <c r="AT104" s="24" t="inlineStr">
        <is>
          <t>Chiba Lotte Marines</t>
        </is>
      </c>
      <c r="AU104" s="24" t="inlineStr">
        <is>
          <t>Chiba Lotte Marines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6dfac2fa88955a09a0292b447e0063f4677a17519e4dda117db7f6ea24698086</t>
        </is>
      </c>
      <c r="BB104" s="24" t="inlineStr">
        <is>
          <t>tie_aware_elo</t>
        </is>
      </c>
      <c r="BC104" s="24" t="inlineStr">
        <is>
          <t>npb-tie-aware-elo-v2</t>
        </is>
      </c>
      <c r="BD104" s="24" t="inlineStr">
        <is>
          <t>6dfac2fa88955a09a0292b447e0063f4677a17519e4dda117db7f6ea24698086</t>
        </is>
      </c>
      <c r="BE104" s="24" t="inlineStr">
        <is>
          <t>1</t>
        </is>
      </c>
      <c r="BF104" s="24" t="inlineStr">
        <is>
          <t>1</t>
        </is>
      </c>
      <c r="BG104" s="24" t="inlineStr">
        <is>
          <t>npb-tie-aware-elo-v2</t>
        </is>
      </c>
      <c r="BH104" s="24" t="inlineStr">
        <is>
          <t>2026-09-01T04:43:15.100316Z</t>
        </is>
      </c>
      <c r="BI104" s="24" t="inlineStr">
        <is>
          <t>["same_event","same_team_same_day","same_league_same_day"]</t>
        </is>
      </c>
      <c r="BJ104" s="25" t="n"/>
      <c r="BK104" s="26" t="n">
        <v>-133</v>
      </c>
      <c r="BL104" s="27" t="n">
        <v>1.75188</v>
      </c>
      <c r="BM104" s="28" t="n">
        <v>0.570815</v>
      </c>
      <c r="BN104" s="28" t="n"/>
      <c r="BO104" s="28" t="n"/>
      <c r="BP104" s="25" t="n"/>
      <c r="BQ104" s="27" t="n">
        <v>1.75188</v>
      </c>
      <c r="BR104" s="28" t="n">
        <v>0.57</v>
      </c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False</t>
        </is>
      </c>
      <c r="CT104" s="24" t="n"/>
      <c r="CU104" s="24" t="n"/>
      <c r="CV104" s="24" t="n"/>
      <c r="CW104" s="24" t="n"/>
      <c r="CX104" s="24" t="n"/>
      <c r="CY104" s="24" t="n"/>
      <c r="CZ104" s="24" t="n"/>
      <c r="DA104" s="24" t="n"/>
      <c r="DB104" s="24" t="n"/>
      <c r="DC104" s="24" t="n"/>
      <c r="DD104" s="24" t="n"/>
      <c r="DE104" s="24" t="n"/>
      <c r="DF104" s="24" t="n"/>
      <c r="DG104" s="24" t="n"/>
      <c r="DH104" s="24" t="n"/>
      <c r="DI104" s="24" t="n"/>
      <c r="DJ104" s="24" t="inlineStr">
        <is>
          <t>0.570815</t>
        </is>
      </c>
      <c r="DK104" s="24" t="n"/>
      <c r="DL104" s="24" t="n"/>
      <c r="DM104" s="24" t="n"/>
      <c r="DN104" s="24" t="n"/>
      <c r="DO104" s="24" t="n"/>
      <c r="DP104" s="24" t="n"/>
      <c r="DQ104" s="24" t="n"/>
    </row>
    <row r="105" ht="36" customHeight="1">
      <c r="A105" s="24" t="inlineStr">
        <is>
          <t>a427d92563644493</t>
        </is>
      </c>
      <c r="B105" s="24" t="inlineStr">
        <is>
          <t>2026-09-01T04:43:17.062482Z</t>
        </is>
      </c>
      <c r="C105" s="24" t="inlineStr">
        <is>
          <t>2026-09-01T09:00:00Z</t>
        </is>
      </c>
      <c r="D105" s="24" t="inlineStr">
        <is>
          <t>95789</t>
        </is>
      </c>
      <c r="E105" s="24" t="inlineStr">
        <is>
          <t>NPB</t>
        </is>
      </c>
      <c r="F105" s="24" t="inlineStr">
        <is>
          <t>Orix Buffaloes</t>
        </is>
      </c>
      <c r="G105" s="24" t="inlineStr">
        <is>
          <t>Tohoku Rakuten Golden Eagles</t>
        </is>
      </c>
      <c r="H105" s="24" t="inlineStr">
        <is>
          <t>moneyline</t>
        </is>
      </c>
      <c r="I105" s="24" t="inlineStr">
        <is>
          <t>away</t>
        </is>
      </c>
      <c r="J105" s="25" t="n"/>
      <c r="K105" s="24" t="inlineStr">
        <is>
          <t>polymarket_us</t>
        </is>
      </c>
      <c r="L105" s="26" t="n">
        <v>108</v>
      </c>
      <c r="M105" s="27" t="n">
        <v>2.08</v>
      </c>
      <c r="N105" s="28" t="n">
        <v>0.480769</v>
      </c>
      <c r="O105" s="28" t="n">
        <v>0.508495</v>
      </c>
      <c r="P105" s="28" t="n"/>
      <c r="Q105" s="28" t="n">
        <v>0.027726</v>
      </c>
      <c r="R105" s="26" t="n">
        <v>34</v>
      </c>
      <c r="S105" s="29" t="n">
        <v>1</v>
      </c>
      <c r="T105" s="24" t="inlineStr">
        <is>
          <t>npb-tie-aware-elo-v2</t>
        </is>
      </c>
      <c r="U105" s="24" t="inlineStr">
        <is>
          <t>settled</t>
        </is>
      </c>
      <c r="V105" s="24" t="inlineStr">
        <is>
          <t>loss</t>
        </is>
      </c>
      <c r="W105" s="26" t="n">
        <v>1</v>
      </c>
      <c r="X105" s="26" t="n">
        <v>5</v>
      </c>
      <c r="Y105" s="25" t="n"/>
      <c r="Z105" s="26" t="n">
        <v>108</v>
      </c>
      <c r="AA105" s="28" t="n">
        <v>0.48</v>
      </c>
      <c r="AB105" s="28" t="n">
        <v>-0.000769</v>
      </c>
      <c r="AC105" s="30" t="n">
        <v>-1</v>
      </c>
      <c r="AD105" s="24" t="inlineStr">
        <is>
          <t>2026-09-02T04:35:03.827196Z</t>
        </is>
      </c>
      <c r="AE105" s="31" t="inlineStr">
        <is>
          <t>Tie-aware Elo baseline; executable ask 0.4800 (market_slug=aec-npb-trge-obr-2026-09-01). Tie probability=0.0349.</t>
        </is>
      </c>
      <c r="AF105" s="31" t="inlineStr">
        <is>
          <t>Config-promoted international baseball baseline; gates enforced at log time.</t>
        </is>
      </c>
      <c r="AG105" s="24" t="inlineStr">
        <is>
          <t>review_required</t>
        </is>
      </c>
      <c r="AH105" s="24" t="n"/>
      <c r="AI105" s="31" t="n"/>
      <c r="AJ105" s="31" t="n"/>
      <c r="AK105" s="24" t="inlineStr">
        <is>
          <t>paper_call</t>
        </is>
      </c>
      <c r="AL105" s="26" t="n">
        <v>4</v>
      </c>
      <c r="AM105" s="24" t="inlineStr">
        <is>
          <t>RESEARCH_OBSERVATION</t>
        </is>
      </c>
      <c r="AN105" s="24" t="inlineStr">
        <is>
          <t>CALL</t>
        </is>
      </c>
      <c r="AO105" s="24" t="inlineStr">
        <is>
          <t>PAPER_CALL_LOW_EDGE</t>
        </is>
      </c>
      <c r="AP105" s="24" t="inlineStr">
        <is>
          <t>Orix Buffaloes</t>
        </is>
      </c>
      <c r="AQ105" s="24" t="inlineStr">
        <is>
          <t>Orix Buffaloes</t>
        </is>
      </c>
      <c r="AR105" s="24" t="inlineStr">
        <is>
          <t>Orix Buffaloes</t>
        </is>
      </c>
      <c r="AS105" s="24" t="inlineStr">
        <is>
          <t>Tohoku Rakuten Golden Eagles</t>
        </is>
      </c>
      <c r="AT105" s="24" t="inlineStr">
        <is>
          <t>Tohoku Rakuten Golden Eagles</t>
        </is>
      </c>
      <c r="AU105" s="24" t="inlineStr">
        <is>
          <t>Tohoku Rakuten Golden Eagles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6dfac2fa88955a09a0292b447e0063f4677a17519e4dda117db7f6ea24698086</t>
        </is>
      </c>
      <c r="BB105" s="24" t="inlineStr">
        <is>
          <t>tie_aware_elo</t>
        </is>
      </c>
      <c r="BC105" s="24" t="inlineStr">
        <is>
          <t>npb-tie-aware-elo-v2</t>
        </is>
      </c>
      <c r="BD105" s="24" t="inlineStr">
        <is>
          <t>6dfac2fa88955a09a0292b447e0063f4677a17519e4dda117db7f6ea24698086</t>
        </is>
      </c>
      <c r="BE105" s="24" t="inlineStr">
        <is>
          <t>1</t>
        </is>
      </c>
      <c r="BF105" s="24" t="inlineStr">
        <is>
          <t>1</t>
        </is>
      </c>
      <c r="BG105" s="24" t="inlineStr">
        <is>
          <t>npb-tie-aware-elo-v2</t>
        </is>
      </c>
      <c r="BH105" s="24" t="inlineStr">
        <is>
          <t>2026-09-01T04:43:15.355203Z</t>
        </is>
      </c>
      <c r="BI105" s="24" t="inlineStr">
        <is>
          <t>["same_event","same_team_same_day","same_league_same_day"]</t>
        </is>
      </c>
      <c r="BJ105" s="25" t="n"/>
      <c r="BK105" s="26" t="n">
        <v>108</v>
      </c>
      <c r="BL105" s="27" t="n">
        <v>2.08</v>
      </c>
      <c r="BM105" s="28" t="n">
        <v>0.480769</v>
      </c>
      <c r="BN105" s="28" t="n"/>
      <c r="BO105" s="28" t="n"/>
      <c r="BP105" s="25" t="n"/>
      <c r="BQ105" s="27" t="n">
        <v>2.08</v>
      </c>
      <c r="BR105" s="28" t="n">
        <v>0.48</v>
      </c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True</t>
        </is>
      </c>
      <c r="CT105" s="24" t="n"/>
      <c r="CU105" s="24" t="n"/>
      <c r="CV105" s="24" t="n"/>
      <c r="CW105" s="24" t="n"/>
      <c r="CX105" s="24" t="n"/>
      <c r="CY105" s="24" t="n"/>
      <c r="CZ105" s="24" t="n"/>
      <c r="DA105" s="24" t="n"/>
      <c r="DB105" s="24" t="n"/>
      <c r="DC105" s="24" t="n"/>
      <c r="DD105" s="24" t="n"/>
      <c r="DE105" s="24" t="n"/>
      <c r="DF105" s="24" t="n"/>
      <c r="DG105" s="24" t="n"/>
      <c r="DH105" s="24" t="n"/>
      <c r="DI105" s="24" t="n"/>
      <c r="DJ105" s="24" t="inlineStr">
        <is>
          <t>0.480769</t>
        </is>
      </c>
      <c r="DK105" s="24" t="n"/>
      <c r="DL105" s="24" t="n"/>
      <c r="DM105" s="24" t="n"/>
      <c r="DN105" s="24" t="n"/>
      <c r="DO105" s="24" t="n"/>
      <c r="DP105" s="24" t="n"/>
      <c r="DQ105" s="24" t="n"/>
    </row>
    <row r="106" ht="36" customHeight="1">
      <c r="A106" s="24" t="inlineStr">
        <is>
          <t>29d130d44e974c9a</t>
        </is>
      </c>
      <c r="B106" s="24" t="inlineStr">
        <is>
          <t>2026-09-01T04:43:17.062482Z</t>
        </is>
      </c>
      <c r="C106" s="24" t="inlineStr">
        <is>
          <t>2026-09-01T09:00:00Z</t>
        </is>
      </c>
      <c r="D106" s="24" t="inlineStr">
        <is>
          <t>95790</t>
        </is>
      </c>
      <c r="E106" s="24" t="inlineStr">
        <is>
          <t>NPB</t>
        </is>
      </c>
      <c r="F106" s="24" t="inlineStr">
        <is>
          <t>Fukuoka SoftBank Hawks</t>
        </is>
      </c>
      <c r="G106" s="24" t="inlineStr">
        <is>
          <t>Nippon Ham Fighters</t>
        </is>
      </c>
      <c r="H106" s="24" t="inlineStr">
        <is>
          <t>moneyline</t>
        </is>
      </c>
      <c r="I106" s="24" t="inlineStr">
        <is>
          <t>away</t>
        </is>
      </c>
      <c r="J106" s="25" t="n"/>
      <c r="K106" s="24" t="inlineStr">
        <is>
          <t>polymarket_us</t>
        </is>
      </c>
      <c r="L106" s="26" t="n">
        <v>-178</v>
      </c>
      <c r="M106" s="27" t="n">
        <v>1.561798</v>
      </c>
      <c r="N106" s="28" t="n">
        <v>0.640288</v>
      </c>
      <c r="O106" s="28" t="n">
        <v>0.5088240000000001</v>
      </c>
      <c r="P106" s="28" t="n"/>
      <c r="Q106" s="28" t="n">
        <v>-0.131464</v>
      </c>
      <c r="R106" s="26" t="n">
        <v>0</v>
      </c>
      <c r="S106" s="29" t="n">
        <v>1</v>
      </c>
      <c r="T106" s="24" t="inlineStr">
        <is>
          <t>npb-tie-aware-elo-v2</t>
        </is>
      </c>
      <c r="U106" s="24" t="inlineStr">
        <is>
          <t>settled</t>
        </is>
      </c>
      <c r="V106" s="24" t="inlineStr">
        <is>
          <t>loss</t>
        </is>
      </c>
      <c r="W106" s="26" t="n">
        <v>1</v>
      </c>
      <c r="X106" s="26" t="n">
        <v>2</v>
      </c>
      <c r="Y106" s="25" t="n"/>
      <c r="Z106" s="26" t="n">
        <v>-178</v>
      </c>
      <c r="AA106" s="28" t="n">
        <v>0.64</v>
      </c>
      <c r="AB106" s="28" t="n">
        <v>-0.000288</v>
      </c>
      <c r="AC106" s="30" t="n">
        <v>-1</v>
      </c>
      <c r="AD106" s="24" t="inlineStr">
        <is>
          <t>2026-09-02T04:35:04.070120Z</t>
        </is>
      </c>
      <c r="AE106" s="31" t="inlineStr">
        <is>
          <t>Tie-aware Elo baseline; executable ask 0.6400 (market_slug=aec-npb-nhf-fsh-2026-09-01). Tie probability=0.0349.</t>
        </is>
      </c>
      <c r="AF106" s="31" t="inlineStr">
        <is>
          <t>Config-promoted international baseball baseline; gates enforced at log time.</t>
        </is>
      </c>
      <c r="AG106" s="24" t="inlineStr">
        <is>
          <t>review_required</t>
        </is>
      </c>
      <c r="AH106" s="24" t="n"/>
      <c r="AI106" s="31" t="n"/>
      <c r="AJ106" s="31" t="n"/>
      <c r="AK106" s="24" t="inlineStr">
        <is>
          <t>paper_call</t>
        </is>
      </c>
      <c r="AL106" s="26" t="n">
        <v>4</v>
      </c>
      <c r="AM106" s="24" t="inlineStr">
        <is>
          <t>RESEARCH_OBSERVATION</t>
        </is>
      </c>
      <c r="AN106" s="24" t="inlineStr">
        <is>
          <t>CALL</t>
        </is>
      </c>
      <c r="AO106" s="24" t="inlineStr">
        <is>
          <t>PAPER_CALL_LOW_EDGE</t>
        </is>
      </c>
      <c r="AP106" s="24" t="inlineStr">
        <is>
          <t>Fukuoka SoftBank Hawks</t>
        </is>
      </c>
      <c r="AQ106" s="24" t="inlineStr">
        <is>
          <t>Fukuoka SoftBank Hawks</t>
        </is>
      </c>
      <c r="AR106" s="24" t="inlineStr">
        <is>
          <t>Fukuoka SoftBank Hawks</t>
        </is>
      </c>
      <c r="AS106" s="24" t="inlineStr">
        <is>
          <t>Nippon Ham Fighters</t>
        </is>
      </c>
      <c r="AT106" s="24" t="inlineStr">
        <is>
          <t>Nippon Ham Fighters</t>
        </is>
      </c>
      <c r="AU106" s="24" t="inlineStr">
        <is>
          <t>Nippon Ham Fighters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6dfac2fa88955a09a0292b447e0063f4677a17519e4dda117db7f6ea24698086</t>
        </is>
      </c>
      <c r="BB106" s="24" t="inlineStr">
        <is>
          <t>tie_aware_elo</t>
        </is>
      </c>
      <c r="BC106" s="24" t="inlineStr">
        <is>
          <t>npb-tie-aware-elo-v2</t>
        </is>
      </c>
      <c r="BD106" s="24" t="inlineStr">
        <is>
          <t>6dfac2fa88955a09a0292b447e0063f4677a17519e4dda117db7f6ea24698086</t>
        </is>
      </c>
      <c r="BE106" s="24" t="inlineStr">
        <is>
          <t>1</t>
        </is>
      </c>
      <c r="BF106" s="24" t="inlineStr">
        <is>
          <t>1</t>
        </is>
      </c>
      <c r="BG106" s="24" t="inlineStr">
        <is>
          <t>npb-tie-aware-elo-v2</t>
        </is>
      </c>
      <c r="BH106" s="24" t="inlineStr">
        <is>
          <t>2026-09-01T04:43:16.473571Z</t>
        </is>
      </c>
      <c r="BI106" s="24" t="inlineStr">
        <is>
          <t>["same_event","same_team_same_day","same_league_same_day"]</t>
        </is>
      </c>
      <c r="BJ106" s="25" t="n"/>
      <c r="BK106" s="26" t="n">
        <v>-178</v>
      </c>
      <c r="BL106" s="27" t="n">
        <v>1.561798</v>
      </c>
      <c r="BM106" s="28" t="n">
        <v>0.640288</v>
      </c>
      <c r="BN106" s="28" t="n"/>
      <c r="BO106" s="28" t="n"/>
      <c r="BP106" s="25" t="n"/>
      <c r="BQ106" s="27" t="n">
        <v>1.561798</v>
      </c>
      <c r="BR106" s="28" t="n">
        <v>0.64</v>
      </c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False</t>
        </is>
      </c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/>
      <c r="DH106" s="24" t="n"/>
      <c r="DI106" s="24" t="n"/>
      <c r="DJ106" s="24" t="inlineStr">
        <is>
          <t>0.640288</t>
        </is>
      </c>
      <c r="DK106" s="24" t="n"/>
      <c r="DL106" s="24" t="n"/>
      <c r="DM106" s="24" t="n"/>
      <c r="DN106" s="24" t="n"/>
      <c r="DO106" s="24" t="n"/>
      <c r="DP106" s="24" t="n"/>
      <c r="DQ106" s="24" t="n"/>
    </row>
    <row r="107" ht="36" customHeight="1">
      <c r="A107" s="24" t="inlineStr">
        <is>
          <t>be794934738f4dd2</t>
        </is>
      </c>
      <c r="B107" s="24" t="inlineStr">
        <is>
          <t>2026-09-01T04:43:17.062482Z</t>
        </is>
      </c>
      <c r="C107" s="24" t="inlineStr">
        <is>
          <t>2026-09-01T09:00:00Z</t>
        </is>
      </c>
      <c r="D107" s="24" t="inlineStr">
        <is>
          <t>95791</t>
        </is>
      </c>
      <c r="E107" s="24" t="inlineStr">
        <is>
          <t>NPB</t>
        </is>
      </c>
      <c r="F107" s="24" t="inlineStr">
        <is>
          <t>Hiroshima Carp</t>
        </is>
      </c>
      <c r="G107" s="24" t="inlineStr">
        <is>
          <t>Chunichi Dragons</t>
        </is>
      </c>
      <c r="H107" s="24" t="inlineStr">
        <is>
          <t>moneyline</t>
        </is>
      </c>
      <c r="I107" s="24" t="inlineStr">
        <is>
          <t>home</t>
        </is>
      </c>
      <c r="J107" s="25" t="n"/>
      <c r="K107" s="24" t="inlineStr">
        <is>
          <t>polymarket_us</t>
        </is>
      </c>
      <c r="L107" s="26" t="n">
        <v>-138</v>
      </c>
      <c r="M107" s="27" t="n">
        <v>1.724638</v>
      </c>
      <c r="N107" s="28" t="n">
        <v>0.579832</v>
      </c>
      <c r="O107" s="28" t="n">
        <v>0.56402</v>
      </c>
      <c r="P107" s="28" t="n"/>
      <c r="Q107" s="28" t="n">
        <v>-0.015812</v>
      </c>
      <c r="R107" s="26" t="n">
        <v>12</v>
      </c>
      <c r="S107" s="29" t="n">
        <v>1</v>
      </c>
      <c r="T107" s="24" t="inlineStr">
        <is>
          <t>npb-tie-aware-elo-v2</t>
        </is>
      </c>
      <c r="U107" s="24" t="inlineStr">
        <is>
          <t>settled</t>
        </is>
      </c>
      <c r="V107" s="24" t="inlineStr">
        <is>
          <t>loss</t>
        </is>
      </c>
      <c r="W107" s="26" t="n">
        <v>5</v>
      </c>
      <c r="X107" s="26" t="n">
        <v>1</v>
      </c>
      <c r="Y107" s="25" t="n"/>
      <c r="Z107" s="26" t="n">
        <v>-138</v>
      </c>
      <c r="AA107" s="28" t="n">
        <v>0.58</v>
      </c>
      <c r="AB107" s="28" t="n">
        <v>0.000168</v>
      </c>
      <c r="AC107" s="30" t="n">
        <v>-1</v>
      </c>
      <c r="AD107" s="24" t="inlineStr">
        <is>
          <t>2026-09-02T04:35:04.385346Z</t>
        </is>
      </c>
      <c r="AE107" s="31" t="inlineStr">
        <is>
          <t>Tie-aware Elo baseline; executable ask 0.5800 (market_slug=aec-npb-cdh-hci-2026-09-01). Tie probability=0.0302.</t>
        </is>
      </c>
      <c r="AF107" s="31" t="inlineStr">
        <is>
          <t>Config-promoted international baseball baseline; gates enforced at log time.</t>
        </is>
      </c>
      <c r="AG107" s="24" t="inlineStr">
        <is>
          <t>review_required</t>
        </is>
      </c>
      <c r="AH107" s="24" t="n"/>
      <c r="AI107" s="31" t="n"/>
      <c r="AJ107" s="31" t="n"/>
      <c r="AK107" s="24" t="inlineStr">
        <is>
          <t>paper_call</t>
        </is>
      </c>
      <c r="AL107" s="26" t="n">
        <v>4</v>
      </c>
      <c r="AM107" s="24" t="inlineStr">
        <is>
          <t>RESEARCH_OBSERVATION</t>
        </is>
      </c>
      <c r="AN107" s="24" t="inlineStr">
        <is>
          <t>CALL</t>
        </is>
      </c>
      <c r="AO107" s="24" t="inlineStr">
        <is>
          <t>PAPER_CALL_LOW_EDGE</t>
        </is>
      </c>
      <c r="AP107" s="24" t="inlineStr">
        <is>
          <t>Hiroshima Carp</t>
        </is>
      </c>
      <c r="AQ107" s="24" t="inlineStr">
        <is>
          <t>Hiroshima Carp</t>
        </is>
      </c>
      <c r="AR107" s="24" t="inlineStr">
        <is>
          <t>Hiroshima Carp</t>
        </is>
      </c>
      <c r="AS107" s="24" t="inlineStr">
        <is>
          <t>Chunichi Dragons</t>
        </is>
      </c>
      <c r="AT107" s="24" t="inlineStr">
        <is>
          <t>Chunichi Dragons</t>
        </is>
      </c>
      <c r="AU107" s="24" t="inlineStr">
        <is>
          <t>Chunichi Dragons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6dfac2fa88955a09a0292b447e0063f4677a17519e4dda117db7f6ea24698086</t>
        </is>
      </c>
      <c r="BB107" s="24" t="inlineStr">
        <is>
          <t>tie_aware_elo</t>
        </is>
      </c>
      <c r="BC107" s="24" t="inlineStr">
        <is>
          <t>npb-tie-aware-elo-v2</t>
        </is>
      </c>
      <c r="BD107" s="24" t="inlineStr">
        <is>
          <t>6dfac2fa88955a09a0292b447e0063f4677a17519e4dda117db7f6ea24698086</t>
        </is>
      </c>
      <c r="BE107" s="24" t="inlineStr">
        <is>
          <t>1</t>
        </is>
      </c>
      <c r="BF107" s="24" t="inlineStr">
        <is>
          <t>1</t>
        </is>
      </c>
      <c r="BG107" s="24" t="inlineStr">
        <is>
          <t>npb-tie-aware-elo-v2</t>
        </is>
      </c>
      <c r="BH107" s="24" t="inlineStr">
        <is>
          <t>2026-09-01T04:43:16.682225Z</t>
        </is>
      </c>
      <c r="BI107" s="24" t="inlineStr">
        <is>
          <t>["same_event","same_team_same_day","same_league_same_day"]</t>
        </is>
      </c>
      <c r="BJ107" s="25" t="n"/>
      <c r="BK107" s="26" t="n">
        <v>-138</v>
      </c>
      <c r="BL107" s="27" t="n">
        <v>1.724638</v>
      </c>
      <c r="BM107" s="28" t="n">
        <v>0.579832</v>
      </c>
      <c r="BN107" s="28" t="n"/>
      <c r="BO107" s="28" t="n"/>
      <c r="BP107" s="25" t="n"/>
      <c r="BQ107" s="27" t="n">
        <v>1.724638</v>
      </c>
      <c r="BR107" s="28" t="n">
        <v>0.58</v>
      </c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False</t>
        </is>
      </c>
      <c r="CT107" s="24" t="n"/>
      <c r="CU107" s="24" t="n"/>
      <c r="CV107" s="24" t="n"/>
      <c r="CW107" s="24" t="n"/>
      <c r="CX107" s="24" t="n"/>
      <c r="CY107" s="24" t="n"/>
      <c r="CZ107" s="24" t="n"/>
      <c r="DA107" s="24" t="n"/>
      <c r="DB107" s="24" t="n"/>
      <c r="DC107" s="24" t="n"/>
      <c r="DD107" s="24" t="n"/>
      <c r="DE107" s="24" t="n"/>
      <c r="DF107" s="24" t="n"/>
      <c r="DG107" s="24" t="n"/>
      <c r="DH107" s="24" t="n"/>
      <c r="DI107" s="24" t="n"/>
      <c r="DJ107" s="24" t="inlineStr">
        <is>
          <t>0.579832</t>
        </is>
      </c>
      <c r="DK107" s="24" t="n"/>
      <c r="DL107" s="24" t="n"/>
      <c r="DM107" s="24" t="n"/>
      <c r="DN107" s="24" t="n"/>
      <c r="DO107" s="24" t="n"/>
      <c r="DP107" s="24" t="n"/>
      <c r="DQ107" s="24" t="n"/>
    </row>
    <row r="108" ht="36" customHeight="1">
      <c r="A108" s="24" t="inlineStr">
        <is>
          <t>f8d443ba13764140</t>
        </is>
      </c>
      <c r="B108" s="24" t="inlineStr">
        <is>
          <t>2026-09-01T04:43:17.062482Z</t>
        </is>
      </c>
      <c r="C108" s="24" t="inlineStr">
        <is>
          <t>2026-09-01T09:00:00Z</t>
        </is>
      </c>
      <c r="D108" s="24" t="inlineStr">
        <is>
          <t>95792</t>
        </is>
      </c>
      <c r="E108" s="24" t="inlineStr">
        <is>
          <t>NPB</t>
        </is>
      </c>
      <c r="F108" s="24" t="inlineStr">
        <is>
          <t>Hanshin Tigers</t>
        </is>
      </c>
      <c r="G108" s="24" t="inlineStr">
        <is>
          <t>Tokyo Yakult Swallows</t>
        </is>
      </c>
      <c r="H108" s="24" t="inlineStr">
        <is>
          <t>moneyline</t>
        </is>
      </c>
      <c r="I108" s="24" t="inlineStr">
        <is>
          <t>away</t>
        </is>
      </c>
      <c r="J108" s="25" t="n"/>
      <c r="K108" s="24" t="inlineStr">
        <is>
          <t>polymarket_us</t>
        </is>
      </c>
      <c r="L108" s="26" t="n">
        <v>-257</v>
      </c>
      <c r="M108" s="27" t="n">
        <v>1.389105</v>
      </c>
      <c r="N108" s="28" t="n">
        <v>0.719888</v>
      </c>
      <c r="O108" s="28" t="n">
        <v>0.604581</v>
      </c>
      <c r="P108" s="28" t="n"/>
      <c r="Q108" s="28" t="n">
        <v>-0.115307</v>
      </c>
      <c r="R108" s="26" t="n">
        <v>0</v>
      </c>
      <c r="S108" s="29" t="n">
        <v>1</v>
      </c>
      <c r="T108" s="24" t="inlineStr">
        <is>
          <t>npb-tie-aware-elo-v2</t>
        </is>
      </c>
      <c r="U108" s="24" t="inlineStr">
        <is>
          <t>settled</t>
        </is>
      </c>
      <c r="V108" s="24" t="inlineStr">
        <is>
          <t>win</t>
        </is>
      </c>
      <c r="W108" s="26" t="n">
        <v>6</v>
      </c>
      <c r="X108" s="26" t="n">
        <v>2</v>
      </c>
      <c r="Y108" s="25" t="n"/>
      <c r="Z108" s="26" t="n">
        <v>-257</v>
      </c>
      <c r="AA108" s="28" t="n">
        <v>0.72</v>
      </c>
      <c r="AB108" s="28" t="n">
        <v>0.000112</v>
      </c>
      <c r="AC108" s="30" t="n">
        <v>0.3891</v>
      </c>
      <c r="AD108" s="24" t="inlineStr">
        <is>
          <t>2026-09-02T04:35:04.648179Z</t>
        </is>
      </c>
      <c r="AE108" s="31" t="inlineStr">
        <is>
          <t>Tie-aware Elo baseline; executable ask 0.7200 (market_slug=aec-npb-tys-hta-2026-09-01). Tie probability=0.0267.</t>
        </is>
      </c>
      <c r="AF108" s="31" t="inlineStr">
        <is>
          <t>Config-promoted international baseball baseline; gates enforced at log time.</t>
        </is>
      </c>
      <c r="AG108" s="24" t="inlineStr">
        <is>
          <t>not_applicable</t>
        </is>
      </c>
      <c r="AH108" s="24" t="n"/>
      <c r="AI108" s="31" t="n"/>
      <c r="AJ108" s="31" t="n"/>
      <c r="AK108" s="24" t="inlineStr">
        <is>
          <t>paper_call</t>
        </is>
      </c>
      <c r="AL108" s="26" t="n">
        <v>4</v>
      </c>
      <c r="AM108" s="24" t="inlineStr">
        <is>
          <t>RESEARCH_OBSERVATION</t>
        </is>
      </c>
      <c r="AN108" s="24" t="inlineStr">
        <is>
          <t>CALL</t>
        </is>
      </c>
      <c r="AO108" s="24" t="inlineStr">
        <is>
          <t>PAPER_CALL_LOW_EDGE</t>
        </is>
      </c>
      <c r="AP108" s="24" t="inlineStr">
        <is>
          <t>Hanshin Tigers</t>
        </is>
      </c>
      <c r="AQ108" s="24" t="inlineStr">
        <is>
          <t>Hanshin Tigers</t>
        </is>
      </c>
      <c r="AR108" s="24" t="inlineStr">
        <is>
          <t>Hanshin Tigers</t>
        </is>
      </c>
      <c r="AS108" s="24" t="inlineStr">
        <is>
          <t>Tokyo Yakult Swallows</t>
        </is>
      </c>
      <c r="AT108" s="24" t="inlineStr">
        <is>
          <t>Tokyo Yakult Swallows</t>
        </is>
      </c>
      <c r="AU108" s="24" t="inlineStr">
        <is>
          <t>Tokyo Yakult Swallows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6dfac2fa88955a09a0292b447e0063f4677a17519e4dda117db7f6ea24698086</t>
        </is>
      </c>
      <c r="BB108" s="24" t="inlineStr">
        <is>
          <t>tie_aware_elo</t>
        </is>
      </c>
      <c r="BC108" s="24" t="inlineStr">
        <is>
          <t>npb-tie-aware-elo-v2</t>
        </is>
      </c>
      <c r="BD108" s="24" t="inlineStr">
        <is>
          <t>6dfac2fa88955a09a0292b447e0063f4677a17519e4dda117db7f6ea24698086</t>
        </is>
      </c>
      <c r="BE108" s="24" t="inlineStr">
        <is>
          <t>1</t>
        </is>
      </c>
      <c r="BF108" s="24" t="inlineStr">
        <is>
          <t>1</t>
        </is>
      </c>
      <c r="BG108" s="24" t="inlineStr">
        <is>
          <t>npb-tie-aware-elo-v2</t>
        </is>
      </c>
      <c r="BH108" s="24" t="inlineStr">
        <is>
          <t>2026-09-01T04:43:16.955499Z</t>
        </is>
      </c>
      <c r="BI108" s="24" t="inlineStr">
        <is>
          <t>["same_event","same_team_same_day","same_league_same_day"]</t>
        </is>
      </c>
      <c r="BJ108" s="25" t="n"/>
      <c r="BK108" s="26" t="n">
        <v>-257</v>
      </c>
      <c r="BL108" s="27" t="n">
        <v>1.389105</v>
      </c>
      <c r="BM108" s="28" t="n">
        <v>0.719888</v>
      </c>
      <c r="BN108" s="28" t="n"/>
      <c r="BO108" s="28" t="n"/>
      <c r="BP108" s="25" t="n"/>
      <c r="BQ108" s="27" t="n">
        <v>1.389105</v>
      </c>
      <c r="BR108" s="28" t="n">
        <v>0.72</v>
      </c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False</t>
        </is>
      </c>
      <c r="CT108" s="24" t="n"/>
      <c r="CU108" s="24" t="n"/>
      <c r="CV108" s="24" t="n"/>
      <c r="CW108" s="24" t="n"/>
      <c r="CX108" s="24" t="n"/>
      <c r="CY108" s="24" t="n"/>
      <c r="CZ108" s="24" t="n"/>
      <c r="DA108" s="24" t="n"/>
      <c r="DB108" s="24" t="n"/>
      <c r="DC108" s="24" t="n"/>
      <c r="DD108" s="24" t="n"/>
      <c r="DE108" s="24" t="n"/>
      <c r="DF108" s="24" t="n"/>
      <c r="DG108" s="24" t="n"/>
      <c r="DH108" s="24" t="n"/>
      <c r="DI108" s="24" t="n"/>
      <c r="DJ108" s="24" t="inlineStr">
        <is>
          <t>0.719888</t>
        </is>
      </c>
      <c r="DK108" s="24" t="n"/>
      <c r="DL108" s="24" t="n"/>
      <c r="DM108" s="24" t="n"/>
      <c r="DN108" s="24" t="n"/>
      <c r="DO108" s="24" t="n"/>
      <c r="DP108" s="24" t="n"/>
      <c r="DQ108" s="24" t="n"/>
    </row>
    <row r="109" ht="36" customHeight="1">
      <c r="A109" s="24" t="inlineStr">
        <is>
          <t>1627e5664b8a4e33</t>
        </is>
      </c>
      <c r="B109" s="24" t="inlineStr">
        <is>
          <t>2026-09-01T04:43:17.062482Z</t>
        </is>
      </c>
      <c r="C109" s="24" t="inlineStr">
        <is>
          <t>2026-09-01T09:00:00Z</t>
        </is>
      </c>
      <c r="D109" s="24" t="inlineStr">
        <is>
          <t>95793</t>
        </is>
      </c>
      <c r="E109" s="24" t="inlineStr">
        <is>
          <t>NPB</t>
        </is>
      </c>
      <c r="F109" s="24" t="inlineStr">
        <is>
          <t>Yokohama BayStars</t>
        </is>
      </c>
      <c r="G109" s="24" t="inlineStr">
        <is>
          <t>Yomiuri Giants</t>
        </is>
      </c>
      <c r="H109" s="24" t="inlineStr">
        <is>
          <t>moneyline</t>
        </is>
      </c>
      <c r="I109" s="24" t="inlineStr">
        <is>
          <t>home</t>
        </is>
      </c>
      <c r="J109" s="25" t="n"/>
      <c r="K109" s="24" t="inlineStr">
        <is>
          <t>polymarket_us</t>
        </is>
      </c>
      <c r="L109" s="26" t="n">
        <v>-108</v>
      </c>
      <c r="M109" s="27" t="n">
        <v>1.925926</v>
      </c>
      <c r="N109" s="28" t="n">
        <v>0.519231</v>
      </c>
      <c r="O109" s="28" t="n">
        <v>0.575702</v>
      </c>
      <c r="P109" s="28" t="n"/>
      <c r="Q109" s="28" t="n">
        <v>0.056471</v>
      </c>
      <c r="R109" s="26" t="n">
        <v>48</v>
      </c>
      <c r="S109" s="29" t="n">
        <v>1</v>
      </c>
      <c r="T109" s="24" t="inlineStr">
        <is>
          <t>npb-tie-aware-elo-v2</t>
        </is>
      </c>
      <c r="U109" s="24" t="inlineStr">
        <is>
          <t>settled</t>
        </is>
      </c>
      <c r="V109" s="24" t="inlineStr">
        <is>
          <t>win</t>
        </is>
      </c>
      <c r="W109" s="26" t="n">
        <v>3</v>
      </c>
      <c r="X109" s="26" t="n">
        <v>4</v>
      </c>
      <c r="Y109" s="25" t="n"/>
      <c r="Z109" s="26" t="n">
        <v>-108</v>
      </c>
      <c r="AA109" s="28" t="n">
        <v>0.52</v>
      </c>
      <c r="AB109" s="28" t="n">
        <v>0.000769</v>
      </c>
      <c r="AC109" s="30" t="n">
        <v>0.9258999999999999</v>
      </c>
      <c r="AD109" s="24" t="inlineStr">
        <is>
          <t>2026-09-02T04:35:04.914487Z</t>
        </is>
      </c>
      <c r="AE109" s="31" t="inlineStr">
        <is>
          <t>Tie-aware Elo baseline; executable ask 0.5200 (market_slug=aec-npb-ygo-ybo-2026-09-01). Tie probability=0.0292.</t>
        </is>
      </c>
      <c r="AF109" s="31" t="inlineStr">
        <is>
          <t>Config-promoted international baseball baseline; gates enforced at log time.</t>
        </is>
      </c>
      <c r="AG109" s="24" t="inlineStr">
        <is>
          <t>not_applicable</t>
        </is>
      </c>
      <c r="AH109" s="24" t="n"/>
      <c r="AI109" s="31" t="n"/>
      <c r="AJ109" s="31" t="n"/>
      <c r="AK109" s="24" t="inlineStr">
        <is>
          <t>paper_call</t>
        </is>
      </c>
      <c r="AL109" s="26" t="n">
        <v>4</v>
      </c>
      <c r="AM109" s="24" t="inlineStr">
        <is>
          <t>RESEARCH_OBSERVATION</t>
        </is>
      </c>
      <c r="AN109" s="24" t="inlineStr">
        <is>
          <t>CALL</t>
        </is>
      </c>
      <c r="AO109" s="24" t="inlineStr">
        <is>
          <t>PAPER_CALL_LOW_EDGE</t>
        </is>
      </c>
      <c r="AP109" s="24" t="inlineStr">
        <is>
          <t>Yokohama BayStars</t>
        </is>
      </c>
      <c r="AQ109" s="24" t="inlineStr">
        <is>
          <t>Yokohama BayStars</t>
        </is>
      </c>
      <c r="AR109" s="24" t="inlineStr">
        <is>
          <t>Yokohama BayStars</t>
        </is>
      </c>
      <c r="AS109" s="24" t="inlineStr">
        <is>
          <t>Yomiuri Giants</t>
        </is>
      </c>
      <c r="AT109" s="24" t="inlineStr">
        <is>
          <t>Yomiuri Giants</t>
        </is>
      </c>
      <c r="AU109" s="24" t="inlineStr">
        <is>
          <t>Yomiuri Giants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6dfac2fa88955a09a0292b447e0063f4677a17519e4dda117db7f6ea24698086</t>
        </is>
      </c>
      <c r="BB109" s="24" t="inlineStr">
        <is>
          <t>tie_aware_elo</t>
        </is>
      </c>
      <c r="BC109" s="24" t="inlineStr">
        <is>
          <t>npb-tie-aware-elo-v2</t>
        </is>
      </c>
      <c r="BD109" s="24" t="inlineStr">
        <is>
          <t>6dfac2fa88955a09a0292b447e0063f4677a17519e4dda117db7f6ea24698086</t>
        </is>
      </c>
      <c r="BE109" s="24" t="inlineStr">
        <is>
          <t>1</t>
        </is>
      </c>
      <c r="BF109" s="24" t="inlineStr">
        <is>
          <t>1</t>
        </is>
      </c>
      <c r="BG109" s="24" t="inlineStr">
        <is>
          <t>npb-tie-aware-elo-v2</t>
        </is>
      </c>
      <c r="BH109" s="24" t="inlineStr">
        <is>
          <t>2026-09-01T04:43:17.062435Z</t>
        </is>
      </c>
      <c r="BI109" s="24" t="inlineStr">
        <is>
          <t>["same_event","same_team_same_day","same_league_same_day"]</t>
        </is>
      </c>
      <c r="BJ109" s="25" t="n"/>
      <c r="BK109" s="26" t="n">
        <v>-108</v>
      </c>
      <c r="BL109" s="27" t="n">
        <v>1.925926</v>
      </c>
      <c r="BM109" s="28" t="n">
        <v>0.519231</v>
      </c>
      <c r="BN109" s="28" t="n"/>
      <c r="BO109" s="28" t="n"/>
      <c r="BP109" s="25" t="n"/>
      <c r="BQ109" s="27" t="n">
        <v>1.925926</v>
      </c>
      <c r="BR109" s="28" t="n">
        <v>0.52</v>
      </c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True</t>
        </is>
      </c>
      <c r="CT109" s="24" t="n"/>
      <c r="CU109" s="24" t="n"/>
      <c r="CV109" s="24" t="n"/>
      <c r="CW109" s="24" t="n"/>
      <c r="CX109" s="24" t="n"/>
      <c r="CY109" s="24" t="n"/>
      <c r="CZ109" s="24" t="n"/>
      <c r="DA109" s="24" t="n"/>
      <c r="DB109" s="24" t="n"/>
      <c r="DC109" s="24" t="n"/>
      <c r="DD109" s="24" t="n"/>
      <c r="DE109" s="24" t="n"/>
      <c r="DF109" s="24" t="n"/>
      <c r="DG109" s="24" t="n"/>
      <c r="DH109" s="24" t="n"/>
      <c r="DI109" s="24" t="n"/>
      <c r="DJ109" s="24" t="inlineStr">
        <is>
          <t>0.519231</t>
        </is>
      </c>
      <c r="DK109" s="24" t="n"/>
      <c r="DL109" s="24" t="n"/>
      <c r="DM109" s="24" t="n"/>
      <c r="DN109" s="24" t="n"/>
      <c r="DO109" s="24" t="n"/>
      <c r="DP109" s="24" t="n"/>
      <c r="DQ109" s="24" t="n"/>
    </row>
    <row r="110" ht="36" customHeight="1">
      <c r="A110" s="24" t="inlineStr">
        <is>
          <t>8e53f7fdf1cc4dce</t>
        </is>
      </c>
      <c r="B110" s="24" t="inlineStr">
        <is>
          <t>2026-09-02T04:38:59.414601Z</t>
        </is>
      </c>
      <c r="C110" s="24" t="inlineStr">
        <is>
          <t>2026-09-02T09:00:00Z</t>
        </is>
      </c>
      <c r="D110" s="24" t="inlineStr">
        <is>
          <t>97102</t>
        </is>
      </c>
      <c r="E110" s="24" t="inlineStr">
        <is>
          <t>NPB</t>
        </is>
      </c>
      <c r="F110" s="24" t="inlineStr">
        <is>
          <t>Hanshin Tigers</t>
        </is>
      </c>
      <c r="G110" s="24" t="inlineStr">
        <is>
          <t>Tokyo Yakult Swallows</t>
        </is>
      </c>
      <c r="H110" s="24" t="inlineStr">
        <is>
          <t>moneyline</t>
        </is>
      </c>
      <c r="I110" s="24" t="inlineStr">
        <is>
          <t>away</t>
        </is>
      </c>
      <c r="J110" s="25" t="n"/>
      <c r="K110" s="24" t="inlineStr">
        <is>
          <t>polymarket_us</t>
        </is>
      </c>
      <c r="L110" s="26" t="n">
        <v>-127</v>
      </c>
      <c r="M110" s="27" t="n">
        <v>1.787402</v>
      </c>
      <c r="N110" s="28" t="n">
        <v>0.5594710000000001</v>
      </c>
      <c r="O110" s="28" t="n">
        <v>0.618082</v>
      </c>
      <c r="P110" s="28" t="n"/>
      <c r="Q110" s="28" t="n">
        <v>0.058611</v>
      </c>
      <c r="R110" s="26" t="n">
        <v>49</v>
      </c>
      <c r="S110" s="29" t="n">
        <v>1</v>
      </c>
      <c r="T110" s="24" t="inlineStr">
        <is>
          <t>npb-tie-aware-elo-v2</t>
        </is>
      </c>
      <c r="U110" s="24" t="inlineStr">
        <is>
          <t>settled</t>
        </is>
      </c>
      <c r="V110" s="24" t="inlineStr">
        <is>
          <t>loss</t>
        </is>
      </c>
      <c r="W110" s="26" t="n">
        <v>3</v>
      </c>
      <c r="X110" s="26" t="n">
        <v>5</v>
      </c>
      <c r="Y110" s="25" t="n"/>
      <c r="Z110" s="26" t="n">
        <v>-127</v>
      </c>
      <c r="AA110" s="28" t="n">
        <v>0.5600000000000001</v>
      </c>
      <c r="AB110" s="28" t="n">
        <v>0.000529</v>
      </c>
      <c r="AC110" s="30" t="n">
        <v>-1</v>
      </c>
      <c r="AD110" s="24" t="inlineStr">
        <is>
          <t>2026-09-03T04:33:17.198012Z</t>
        </is>
      </c>
      <c r="AE110" s="31" t="inlineStr">
        <is>
          <t>Tie-aware Elo baseline; executable ask 0.5600 (market_slug=aec-npb-tys-hta-2026-09-02). Tie probability=0.0254.</t>
        </is>
      </c>
      <c r="AF110" s="31" t="inlineStr">
        <is>
          <t>Config-promoted international baseball baseline; gates enforced at log time.</t>
        </is>
      </c>
      <c r="AG110" s="24" t="inlineStr">
        <is>
          <t>review_required</t>
        </is>
      </c>
      <c r="AH110" s="24" t="n"/>
      <c r="AI110" s="31" t="n"/>
      <c r="AJ110" s="31" t="n"/>
      <c r="AK110" s="24" t="inlineStr">
        <is>
          <t>model_qualified</t>
        </is>
      </c>
      <c r="AL110" s="26" t="n">
        <v>4</v>
      </c>
      <c r="AM110" s="24" t="inlineStr">
        <is>
          <t>QUALIFIED_SHADOW_CALL</t>
        </is>
      </c>
      <c r="AN110" s="24" t="inlineStr">
        <is>
          <t>CALL</t>
        </is>
      </c>
      <c r="AO110" s="24" t="inlineStr">
        <is>
          <t>QUALIFIED</t>
        </is>
      </c>
      <c r="AP110" s="24" t="inlineStr">
        <is>
          <t>Hanshin Tigers</t>
        </is>
      </c>
      <c r="AQ110" s="24" t="inlineStr">
        <is>
          <t>Hanshin Tigers</t>
        </is>
      </c>
      <c r="AR110" s="24" t="inlineStr">
        <is>
          <t>Hanshin Tigers</t>
        </is>
      </c>
      <c r="AS110" s="24" t="inlineStr">
        <is>
          <t>Tokyo Yakult Swallows</t>
        </is>
      </c>
      <c r="AT110" s="24" t="inlineStr">
        <is>
          <t>Tokyo Yakult Swallows</t>
        </is>
      </c>
      <c r="AU110" s="24" t="inlineStr">
        <is>
          <t>Tokyo Yakult Swallows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ba2142e8eafc5c497aa40c3cfece58f351aa193529bf7ecddeb12905ad43aa03</t>
        </is>
      </c>
      <c r="BB110" s="24" t="inlineStr">
        <is>
          <t>tie_aware_elo</t>
        </is>
      </c>
      <c r="BC110" s="24" t="inlineStr">
        <is>
          <t>npb-tie-aware-elo-v2</t>
        </is>
      </c>
      <c r="BD110" s="24" t="inlineStr">
        <is>
          <t>ba2142e8eafc5c497aa40c3cfece58f351aa193529bf7ecddeb12905ad43aa03</t>
        </is>
      </c>
      <c r="BE110" s="24" t="inlineStr">
        <is>
          <t>1</t>
        </is>
      </c>
      <c r="BF110" s="24" t="inlineStr">
        <is>
          <t>1</t>
        </is>
      </c>
      <c r="BG110" s="24" t="inlineStr">
        <is>
          <t>npb-tie-aware-elo-v2</t>
        </is>
      </c>
      <c r="BH110" s="24" t="inlineStr">
        <is>
          <t>2026-09-02T04:38:59.187476Z</t>
        </is>
      </c>
      <c r="BI110" s="24" t="inlineStr">
        <is>
          <t>["same_event","same_team_same_day","same_league_same_day"]</t>
        </is>
      </c>
      <c r="BJ110" s="25" t="n"/>
      <c r="BK110" s="26" t="n">
        <v>-127</v>
      </c>
      <c r="BL110" s="27" t="n">
        <v>1.787402</v>
      </c>
      <c r="BM110" s="28" t="n">
        <v>0.5594710000000001</v>
      </c>
      <c r="BN110" s="28" t="n"/>
      <c r="BO110" s="28" t="n"/>
      <c r="BP110" s="25" t="n"/>
      <c r="BQ110" s="27" t="n">
        <v>1.787402</v>
      </c>
      <c r="BR110" s="28" t="n">
        <v>0.5600000000000001</v>
      </c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True</t>
        </is>
      </c>
      <c r="CT110" s="24" t="n"/>
      <c r="CU110" s="24" t="n"/>
      <c r="CV110" s="24" t="n"/>
      <c r="CW110" s="24" t="n"/>
      <c r="CX110" s="24" t="n"/>
      <c r="CY110" s="24" t="n"/>
      <c r="CZ110" s="24" t="n"/>
      <c r="DA110" s="24" t="n"/>
      <c r="DB110" s="24" t="n"/>
      <c r="DC110" s="24" t="n"/>
      <c r="DD110" s="24" t="n"/>
      <c r="DE110" s="24" t="n"/>
      <c r="DF110" s="24" t="n"/>
      <c r="DG110" s="24" t="n"/>
      <c r="DH110" s="24" t="n"/>
      <c r="DI110" s="24" t="n"/>
      <c r="DJ110" s="24" t="inlineStr">
        <is>
          <t>0.559471</t>
        </is>
      </c>
      <c r="DK110" s="24" t="n"/>
      <c r="DL110" s="24" t="n"/>
      <c r="DM110" s="24" t="n"/>
      <c r="DN110" s="24" t="n"/>
      <c r="DO110" s="24" t="n"/>
      <c r="DP110" s="24" t="n"/>
      <c r="DQ110" s="24" t="n"/>
    </row>
    <row r="111" ht="36" customHeight="1">
      <c r="A111" s="24" t="inlineStr">
        <is>
          <t>3d5e8cca143f4c1b</t>
        </is>
      </c>
      <c r="B111" s="24" t="inlineStr">
        <is>
          <t>2026-09-02T04:38:59.414601Z</t>
        </is>
      </c>
      <c r="C111" s="24" t="inlineStr">
        <is>
          <t>2026-09-02T09:00:00Z</t>
        </is>
      </c>
      <c r="D111" s="24" t="inlineStr">
        <is>
          <t>97103</t>
        </is>
      </c>
      <c r="E111" s="24" t="inlineStr">
        <is>
          <t>NPB</t>
        </is>
      </c>
      <c r="F111" s="24" t="inlineStr">
        <is>
          <t>Orix Buffaloes</t>
        </is>
      </c>
      <c r="G111" s="24" t="inlineStr">
        <is>
          <t>Tohoku Rakuten Golden Eagles</t>
        </is>
      </c>
      <c r="H111" s="24" t="inlineStr">
        <is>
          <t>moneyline</t>
        </is>
      </c>
      <c r="I111" s="24" t="inlineStr">
        <is>
          <t>home</t>
        </is>
      </c>
      <c r="J111" s="25" t="n"/>
      <c r="K111" s="24" t="inlineStr">
        <is>
          <t>polymarket_us</t>
        </is>
      </c>
      <c r="L111" s="26" t="n">
        <v>-133</v>
      </c>
      <c r="M111" s="27" t="n">
        <v>1.75188</v>
      </c>
      <c r="N111" s="28" t="n">
        <v>0.570815</v>
      </c>
      <c r="O111" s="28" t="n">
        <v>0.560345</v>
      </c>
      <c r="P111" s="28" t="n"/>
      <c r="Q111" s="28" t="n">
        <v>-0.01047</v>
      </c>
      <c r="R111" s="26" t="n">
        <v>15</v>
      </c>
      <c r="S111" s="29" t="n">
        <v>1</v>
      </c>
      <c r="T111" s="24" t="inlineStr">
        <is>
          <t>npb-tie-aware-elo-v2</t>
        </is>
      </c>
      <c r="U111" s="24" t="inlineStr">
        <is>
          <t>settled</t>
        </is>
      </c>
      <c r="V111" s="24" t="inlineStr">
        <is>
          <t>win</t>
        </is>
      </c>
      <c r="W111" s="26" t="n">
        <v>0</v>
      </c>
      <c r="X111" s="26" t="n">
        <v>4</v>
      </c>
      <c r="Y111" s="25" t="n"/>
      <c r="Z111" s="26" t="n">
        <v>-133</v>
      </c>
      <c r="AA111" s="28" t="n">
        <v>0.57</v>
      </c>
      <c r="AB111" s="28" t="n">
        <v>-0.000815</v>
      </c>
      <c r="AC111" s="30" t="n">
        <v>0.7519</v>
      </c>
      <c r="AD111" s="24" t="inlineStr">
        <is>
          <t>2026-09-03T04:33:17.404026Z</t>
        </is>
      </c>
      <c r="AE111" s="31" t="inlineStr">
        <is>
          <t>Tie-aware Elo baseline; executable ask 0.5700 (market_slug=aec-npb-trge-obr-2026-09-02). Tie probability=0.0305.</t>
        </is>
      </c>
      <c r="AF111" s="31" t="inlineStr">
        <is>
          <t>Config-promoted international baseball baseline; gates enforced at log time.</t>
        </is>
      </c>
      <c r="AG111" s="24" t="inlineStr">
        <is>
          <t>not_applicable</t>
        </is>
      </c>
      <c r="AH111" s="24" t="n"/>
      <c r="AI111" s="31" t="n"/>
      <c r="AJ111" s="31" t="n"/>
      <c r="AK111" s="24" t="inlineStr">
        <is>
          <t>paper_call</t>
        </is>
      </c>
      <c r="AL111" s="26" t="n">
        <v>4</v>
      </c>
      <c r="AM111" s="24" t="inlineStr">
        <is>
          <t>RESEARCH_OBSERVATION</t>
        </is>
      </c>
      <c r="AN111" s="24" t="inlineStr">
        <is>
          <t>CALL</t>
        </is>
      </c>
      <c r="AO111" s="24" t="inlineStr">
        <is>
          <t>PAPER_CALL_LOW_EDGE</t>
        </is>
      </c>
      <c r="AP111" s="24" t="inlineStr">
        <is>
          <t>Orix Buffaloes</t>
        </is>
      </c>
      <c r="AQ111" s="24" t="inlineStr">
        <is>
          <t>Orix Buffaloes</t>
        </is>
      </c>
      <c r="AR111" s="24" t="inlineStr">
        <is>
          <t>Orix Buffaloes</t>
        </is>
      </c>
      <c r="AS111" s="24" t="inlineStr">
        <is>
          <t>Tohoku Rakuten Golden Eagles</t>
        </is>
      </c>
      <c r="AT111" s="24" t="inlineStr">
        <is>
          <t>Tohoku Rakuten Golden Eagles</t>
        </is>
      </c>
      <c r="AU111" s="24" t="inlineStr">
        <is>
          <t>Tohoku Rakuten Golden Eagles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ba2142e8eafc5c497aa40c3cfece58f351aa193529bf7ecddeb12905ad43aa03</t>
        </is>
      </c>
      <c r="BB111" s="24" t="inlineStr">
        <is>
          <t>tie_aware_elo</t>
        </is>
      </c>
      <c r="BC111" s="24" t="inlineStr">
        <is>
          <t>npb-tie-aware-elo-v2</t>
        </is>
      </c>
      <c r="BD111" s="24" t="inlineStr">
        <is>
          <t>ba2142e8eafc5c497aa40c3cfece58f351aa193529bf7ecddeb12905ad43aa03</t>
        </is>
      </c>
      <c r="BE111" s="24" t="inlineStr">
        <is>
          <t>1</t>
        </is>
      </c>
      <c r="BF111" s="24" t="inlineStr">
        <is>
          <t>1</t>
        </is>
      </c>
      <c r="BG111" s="24" t="inlineStr">
        <is>
          <t>npb-tie-aware-elo-v2</t>
        </is>
      </c>
      <c r="BH111" s="24" t="inlineStr">
        <is>
          <t>2026-09-02T04:38:59.244409Z</t>
        </is>
      </c>
      <c r="BI111" s="24" t="inlineStr">
        <is>
          <t>["same_event","same_team_same_day","same_league_same_day"]</t>
        </is>
      </c>
      <c r="BJ111" s="25" t="n"/>
      <c r="BK111" s="26" t="n">
        <v>-133</v>
      </c>
      <c r="BL111" s="27" t="n">
        <v>1.75188</v>
      </c>
      <c r="BM111" s="28" t="n">
        <v>0.570815</v>
      </c>
      <c r="BN111" s="28" t="n"/>
      <c r="BO111" s="28" t="n"/>
      <c r="BP111" s="25" t="n"/>
      <c r="BQ111" s="27" t="n">
        <v>1.75188</v>
      </c>
      <c r="BR111" s="28" t="n">
        <v>0.57</v>
      </c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inlineStr">
        <is>
          <t>False</t>
        </is>
      </c>
      <c r="CT111" s="24" t="n"/>
      <c r="CU111" s="24" t="n"/>
      <c r="CV111" s="24" t="n"/>
      <c r="CW111" s="24" t="n"/>
      <c r="CX111" s="24" t="n"/>
      <c r="CY111" s="24" t="n"/>
      <c r="CZ111" s="24" t="n"/>
      <c r="DA111" s="24" t="n"/>
      <c r="DB111" s="24" t="n"/>
      <c r="DC111" s="24" t="n"/>
      <c r="DD111" s="24" t="n"/>
      <c r="DE111" s="24" t="n"/>
      <c r="DF111" s="24" t="n"/>
      <c r="DG111" s="24" t="n"/>
      <c r="DH111" s="24" t="n"/>
      <c r="DI111" s="24" t="n"/>
      <c r="DJ111" s="24" t="inlineStr">
        <is>
          <t>0.570815</t>
        </is>
      </c>
      <c r="DK111" s="24" t="n"/>
      <c r="DL111" s="24" t="n"/>
      <c r="DM111" s="24" t="n"/>
      <c r="DN111" s="24" t="n"/>
      <c r="DO111" s="24" t="n"/>
      <c r="DP111" s="24" t="n"/>
      <c r="DQ111" s="24" t="n"/>
    </row>
    <row r="112" ht="36" customHeight="1">
      <c r="A112" s="24" t="inlineStr">
        <is>
          <t>4b1b1cbd96a74c07</t>
        </is>
      </c>
      <c r="B112" s="24" t="inlineStr">
        <is>
          <t>2026-09-02T04:38:59.414601Z</t>
        </is>
      </c>
      <c r="C112" s="24" t="inlineStr">
        <is>
          <t>2026-09-02T09:00:00Z</t>
        </is>
      </c>
      <c r="D112" s="24" t="inlineStr">
        <is>
          <t>97104</t>
        </is>
      </c>
      <c r="E112" s="24" t="inlineStr">
        <is>
          <t>NPB</t>
        </is>
      </c>
      <c r="F112" s="24" t="inlineStr">
        <is>
          <t>Fukuoka SoftBank Hawks</t>
        </is>
      </c>
      <c r="G112" s="24" t="inlineStr">
        <is>
          <t>Nippon Ham Fighters</t>
        </is>
      </c>
      <c r="H112" s="24" t="inlineStr">
        <is>
          <t>moneyline</t>
        </is>
      </c>
      <c r="I112" s="24" t="inlineStr">
        <is>
          <t>home</t>
        </is>
      </c>
      <c r="J112" s="25" t="n"/>
      <c r="K112" s="24" t="inlineStr">
        <is>
          <t>polymarket_us</t>
        </is>
      </c>
      <c r="L112" s="26" t="n">
        <v>113</v>
      </c>
      <c r="M112" s="27" t="n">
        <v>2.13</v>
      </c>
      <c r="N112" s="28" t="n">
        <v>0.469484</v>
      </c>
      <c r="O112" s="28" t="n">
        <v>0.513411</v>
      </c>
      <c r="P112" s="28" t="n"/>
      <c r="Q112" s="28" t="n">
        <v>0.043927</v>
      </c>
      <c r="R112" s="26" t="n">
        <v>42</v>
      </c>
      <c r="S112" s="29" t="n">
        <v>1</v>
      </c>
      <c r="T112" s="24" t="inlineStr">
        <is>
          <t>npb-tie-aware-elo-v2</t>
        </is>
      </c>
      <c r="U112" s="24" t="inlineStr">
        <is>
          <t>settled</t>
        </is>
      </c>
      <c r="V112" s="24" t="inlineStr">
        <is>
          <t>push</t>
        </is>
      </c>
      <c r="W112" s="26" t="n">
        <v>1</v>
      </c>
      <c r="X112" s="26" t="n">
        <v>1</v>
      </c>
      <c r="Y112" s="25" t="n"/>
      <c r="Z112" s="26" t="n">
        <v>113</v>
      </c>
      <c r="AA112" s="28" t="n">
        <v>0.47</v>
      </c>
      <c r="AB112" s="28" t="n">
        <v>0.000516</v>
      </c>
      <c r="AC112" s="30" t="n">
        <v>0.065</v>
      </c>
      <c r="AD112" s="24" t="inlineStr">
        <is>
          <t>2026-09-03T04:33:17.513102Z</t>
        </is>
      </c>
      <c r="AE112" s="31" t="inlineStr">
        <is>
          <t>Tie-aware Elo baseline; executable ask 0.4700 (market_slug=aec-npb-nhf-fsh-2026-09-02). Tie probability=0.0345.</t>
        </is>
      </c>
      <c r="AF112" s="31" t="inlineStr">
        <is>
          <t>Config-promoted international baseball baseline; gates enforced at log time.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paper_call</t>
        </is>
      </c>
      <c r="AL112" s="26" t="n">
        <v>4</v>
      </c>
      <c r="AM112" s="24" t="inlineStr">
        <is>
          <t>RESEARCH_OBSERVATION</t>
        </is>
      </c>
      <c r="AN112" s="24" t="inlineStr">
        <is>
          <t>CALL</t>
        </is>
      </c>
      <c r="AO112" s="24" t="inlineStr">
        <is>
          <t>PAPER_CALL_LOW_EDGE</t>
        </is>
      </c>
      <c r="AP112" s="24" t="inlineStr">
        <is>
          <t>Fukuoka SoftBank Hawks</t>
        </is>
      </c>
      <c r="AQ112" s="24" t="inlineStr">
        <is>
          <t>Fukuoka SoftBank Hawks</t>
        </is>
      </c>
      <c r="AR112" s="24" t="inlineStr">
        <is>
          <t>Fukuoka SoftBank Hawks</t>
        </is>
      </c>
      <c r="AS112" s="24" t="inlineStr">
        <is>
          <t>Nippon Ham Fighters</t>
        </is>
      </c>
      <c r="AT112" s="24" t="inlineStr">
        <is>
          <t>Nippon Ham Fighters</t>
        </is>
      </c>
      <c r="AU112" s="24" t="inlineStr">
        <is>
          <t>Nippon Ham Fighters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ba2142e8eafc5c497aa40c3cfece58f351aa193529bf7ecddeb12905ad43aa03</t>
        </is>
      </c>
      <c r="BB112" s="24" t="inlineStr">
        <is>
          <t>tie_aware_elo</t>
        </is>
      </c>
      <c r="BC112" s="24" t="inlineStr">
        <is>
          <t>npb-tie-aware-elo-v2</t>
        </is>
      </c>
      <c r="BD112" s="24" t="inlineStr">
        <is>
          <t>ba2142e8eafc5c497aa40c3cfece58f351aa193529bf7ecddeb12905ad43aa03</t>
        </is>
      </c>
      <c r="BE112" s="24" t="inlineStr">
        <is>
          <t>1</t>
        </is>
      </c>
      <c r="BF112" s="24" t="inlineStr">
        <is>
          <t>1</t>
        </is>
      </c>
      <c r="BG112" s="24" t="inlineStr">
        <is>
          <t>npb-tie-aware-elo-v2</t>
        </is>
      </c>
      <c r="BH112" s="24" t="inlineStr">
        <is>
          <t>2026-09-02T04:38:59.299256Z</t>
        </is>
      </c>
      <c r="BI112" s="24" t="inlineStr">
        <is>
          <t>["same_event","same_team_same_day","same_league_same_day"]</t>
        </is>
      </c>
      <c r="BJ112" s="25" t="n"/>
      <c r="BK112" s="26" t="n">
        <v>113</v>
      </c>
      <c r="BL112" s="27" t="n">
        <v>2.13</v>
      </c>
      <c r="BM112" s="28" t="n">
        <v>0.469484</v>
      </c>
      <c r="BN112" s="28" t="n"/>
      <c r="BO112" s="28" t="n"/>
      <c r="BP112" s="25" t="n"/>
      <c r="BQ112" s="27" t="n">
        <v>2.13</v>
      </c>
      <c r="BR112" s="28" t="n">
        <v>0.47</v>
      </c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inlineStr">
        <is>
          <t>True</t>
        </is>
      </c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inlineStr">
        <is>
          <t>0.469484</t>
        </is>
      </c>
      <c r="DK112" s="24" t="n"/>
      <c r="DL112" s="24" t="n"/>
      <c r="DM112" s="24" t="n"/>
      <c r="DN112" s="24" t="n"/>
      <c r="DO112" s="24" t="n"/>
      <c r="DP112" s="24" t="n"/>
      <c r="DQ112" s="24" t="n"/>
    </row>
    <row r="113" ht="36" customHeight="1">
      <c r="A113" s="24" t="inlineStr">
        <is>
          <t>c79c1db3d2d94c3d</t>
        </is>
      </c>
      <c r="B113" s="24" t="inlineStr">
        <is>
          <t>2026-09-02T04:38:59.414601Z</t>
        </is>
      </c>
      <c r="C113" s="24" t="inlineStr">
        <is>
          <t>2026-09-02T09:00:00Z</t>
        </is>
      </c>
      <c r="D113" s="24" t="inlineStr">
        <is>
          <t>97105</t>
        </is>
      </c>
      <c r="E113" s="24" t="inlineStr">
        <is>
          <t>NPB</t>
        </is>
      </c>
      <c r="F113" s="24" t="inlineStr">
        <is>
          <t>Hiroshima Carp</t>
        </is>
      </c>
      <c r="G113" s="24" t="inlineStr">
        <is>
          <t>Chunichi Dragons</t>
        </is>
      </c>
      <c r="H113" s="24" t="inlineStr">
        <is>
          <t>moneyline</t>
        </is>
      </c>
      <c r="I113" s="24" t="inlineStr">
        <is>
          <t>home</t>
        </is>
      </c>
      <c r="J113" s="25" t="n"/>
      <c r="K113" s="24" t="inlineStr">
        <is>
          <t>polymarket_us</t>
        </is>
      </c>
      <c r="L113" s="26" t="n">
        <v>-150</v>
      </c>
      <c r="M113" s="27" t="n">
        <v>1.666667</v>
      </c>
      <c r="N113" s="28" t="n">
        <v>0.6</v>
      </c>
      <c r="O113" s="28" t="n">
        <v>0.561465</v>
      </c>
      <c r="P113" s="28" t="n"/>
      <c r="Q113" s="28" t="n">
        <v>-0.038535</v>
      </c>
      <c r="R113" s="26" t="n">
        <v>1</v>
      </c>
      <c r="S113" s="29" t="n">
        <v>1</v>
      </c>
      <c r="T113" s="24" t="inlineStr">
        <is>
          <t>npb-tie-aware-elo-v2</t>
        </is>
      </c>
      <c r="U113" s="24" t="inlineStr">
        <is>
          <t>settled</t>
        </is>
      </c>
      <c r="V113" s="24" t="inlineStr">
        <is>
          <t>win</t>
        </is>
      </c>
      <c r="W113" s="26" t="n">
        <v>4</v>
      </c>
      <c r="X113" s="26" t="n">
        <v>5</v>
      </c>
      <c r="Y113" s="25" t="n"/>
      <c r="Z113" s="26" t="n">
        <v>-150</v>
      </c>
      <c r="AA113" s="28" t="n">
        <v>0.6</v>
      </c>
      <c r="AB113" s="28" t="n">
        <v>0</v>
      </c>
      <c r="AC113" s="30" t="n">
        <v>0.6667</v>
      </c>
      <c r="AD113" s="24" t="inlineStr">
        <is>
          <t>2026-09-03T04:33:17.620180Z</t>
        </is>
      </c>
      <c r="AE113" s="31" t="inlineStr">
        <is>
          <t>Tie-aware Elo baseline; executable ask 0.6000 (market_slug=aec-npb-cdh-hci-2026-09-02). Tie probability=0.0304.</t>
        </is>
      </c>
      <c r="AF113" s="31" t="inlineStr">
        <is>
          <t>Config-promoted international baseball baseline; gates enforced at log time.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paper_call</t>
        </is>
      </c>
      <c r="AL113" s="26" t="n">
        <v>4</v>
      </c>
      <c r="AM113" s="24" t="inlineStr">
        <is>
          <t>RESEARCH_OBSERVATION</t>
        </is>
      </c>
      <c r="AN113" s="24" t="inlineStr">
        <is>
          <t>CALL</t>
        </is>
      </c>
      <c r="AO113" s="24" t="inlineStr">
        <is>
          <t>PAPER_CALL_LOW_EDGE</t>
        </is>
      </c>
      <c r="AP113" s="24" t="inlineStr">
        <is>
          <t>Hiroshima Carp</t>
        </is>
      </c>
      <c r="AQ113" s="24" t="inlineStr">
        <is>
          <t>Hiroshima Carp</t>
        </is>
      </c>
      <c r="AR113" s="24" t="inlineStr">
        <is>
          <t>Hiroshima Carp</t>
        </is>
      </c>
      <c r="AS113" s="24" t="inlineStr">
        <is>
          <t>Chunichi Dragons</t>
        </is>
      </c>
      <c r="AT113" s="24" t="inlineStr">
        <is>
          <t>Chunichi Dragons</t>
        </is>
      </c>
      <c r="AU113" s="24" t="inlineStr">
        <is>
          <t>Chunichi Dragons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ba2142e8eafc5c497aa40c3cfece58f351aa193529bf7ecddeb12905ad43aa03</t>
        </is>
      </c>
      <c r="BB113" s="24" t="inlineStr">
        <is>
          <t>tie_aware_elo</t>
        </is>
      </c>
      <c r="BC113" s="24" t="inlineStr">
        <is>
          <t>npb-tie-aware-elo-v2</t>
        </is>
      </c>
      <c r="BD113" s="24" t="inlineStr">
        <is>
          <t>ba2142e8eafc5c497aa40c3cfece58f351aa193529bf7ecddeb12905ad43aa03</t>
        </is>
      </c>
      <c r="BE113" s="24" t="inlineStr">
        <is>
          <t>1</t>
        </is>
      </c>
      <c r="BF113" s="24" t="inlineStr">
        <is>
          <t>1</t>
        </is>
      </c>
      <c r="BG113" s="24" t="inlineStr">
        <is>
          <t>npb-tie-aware-elo-v2</t>
        </is>
      </c>
      <c r="BH113" s="24" t="inlineStr">
        <is>
          <t>2026-09-02T04:38:59.360600Z</t>
        </is>
      </c>
      <c r="BI113" s="24" t="inlineStr">
        <is>
          <t>["same_event","same_team_same_day","same_league_same_day"]</t>
        </is>
      </c>
      <c r="BJ113" s="25" t="n"/>
      <c r="BK113" s="26" t="n">
        <v>-150</v>
      </c>
      <c r="BL113" s="27" t="n">
        <v>1.666667</v>
      </c>
      <c r="BM113" s="28" t="n">
        <v>0.6</v>
      </c>
      <c r="BN113" s="28" t="n"/>
      <c r="BO113" s="28" t="n"/>
      <c r="BP113" s="25" t="n"/>
      <c r="BQ113" s="27" t="n">
        <v>1.666667</v>
      </c>
      <c r="BR113" s="28" t="n">
        <v>0.6</v>
      </c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inlineStr">
        <is>
          <t>False</t>
        </is>
      </c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inlineStr">
        <is>
          <t>0.6</t>
        </is>
      </c>
      <c r="DK113" s="24" t="n"/>
      <c r="DL113" s="24" t="n"/>
      <c r="DM113" s="24" t="n"/>
      <c r="DN113" s="24" t="n"/>
      <c r="DO113" s="24" t="n"/>
      <c r="DP113" s="24" t="n"/>
      <c r="DQ113" s="24" t="n"/>
    </row>
    <row r="114" ht="36" customHeight="1">
      <c r="A114" s="24" t="inlineStr">
        <is>
          <t>d7482ee484e14dea</t>
        </is>
      </c>
      <c r="B114" s="24" t="inlineStr">
        <is>
          <t>2026-09-02T04:38:59.414601Z</t>
        </is>
      </c>
      <c r="C114" s="24" t="inlineStr">
        <is>
          <t>2026-09-02T09:00:00Z</t>
        </is>
      </c>
      <c r="D114" s="24" t="inlineStr">
        <is>
          <t>97106</t>
        </is>
      </c>
      <c r="E114" s="24" t="inlineStr">
        <is>
          <t>NPB</t>
        </is>
      </c>
      <c r="F114" s="24" t="inlineStr">
        <is>
          <t>Yokohama BayStars</t>
        </is>
      </c>
      <c r="G114" s="24" t="inlineStr">
        <is>
          <t>Yomiuri Giants</t>
        </is>
      </c>
      <c r="H114" s="24" t="inlineStr">
        <is>
          <t>moneyline</t>
        </is>
      </c>
      <c r="I114" s="24" t="inlineStr">
        <is>
          <t>home</t>
        </is>
      </c>
      <c r="J114" s="25" t="n"/>
      <c r="K114" s="24" t="inlineStr">
        <is>
          <t>polymarket_us</t>
        </is>
      </c>
      <c r="L114" s="26" t="n">
        <v>127</v>
      </c>
      <c r="M114" s="27" t="n">
        <v>2.27</v>
      </c>
      <c r="N114" s="28" t="n">
        <v>0.440529</v>
      </c>
      <c r="O114" s="28" t="n">
        <v>0.576284</v>
      </c>
      <c r="P114" s="28" t="n"/>
      <c r="Q114" s="28" t="n">
        <v>0.135755</v>
      </c>
      <c r="R114" s="26" t="n">
        <v>88</v>
      </c>
      <c r="S114" s="29" t="n">
        <v>1.5</v>
      </c>
      <c r="T114" s="24" t="inlineStr">
        <is>
          <t>npb-tie-aware-elo-v2</t>
        </is>
      </c>
      <c r="U114" s="24" t="inlineStr">
        <is>
          <t>settled</t>
        </is>
      </c>
      <c r="V114" s="24" t="inlineStr">
        <is>
          <t>loss</t>
        </is>
      </c>
      <c r="W114" s="26" t="n">
        <v>2</v>
      </c>
      <c r="X114" s="26" t="n">
        <v>1</v>
      </c>
      <c r="Y114" s="25" t="n"/>
      <c r="Z114" s="26" t="n">
        <v>122</v>
      </c>
      <c r="AA114" s="28" t="n">
        <v>0.45</v>
      </c>
      <c r="AB114" s="28" t="n">
        <v>0.009471</v>
      </c>
      <c r="AC114" s="30" t="n">
        <v>-1.5</v>
      </c>
      <c r="AD114" s="24" t="inlineStr">
        <is>
          <t>2026-09-03T04:33:17.728029Z</t>
        </is>
      </c>
      <c r="AE114" s="31" t="inlineStr">
        <is>
          <t>Tie-aware Elo baseline; executable ask 0.4400 (market_slug=aec-npb-ygo-ybo-2026-09-02). Tie probability=0.0291.</t>
        </is>
      </c>
      <c r="AF114" s="31" t="inlineStr">
        <is>
          <t>Config-promoted international baseball baseline; gates enforced at log time.</t>
        </is>
      </c>
      <c r="AG114" s="24" t="inlineStr">
        <is>
          <t>review_required</t>
        </is>
      </c>
      <c r="AH114" s="24" t="n"/>
      <c r="AI114" s="31" t="n"/>
      <c r="AJ114" s="31" t="n"/>
      <c r="AK114" s="24" t="inlineStr">
        <is>
          <t>paper_call</t>
        </is>
      </c>
      <c r="AL114" s="26" t="n">
        <v>4</v>
      </c>
      <c r="AM114" s="24" t="inlineStr">
        <is>
          <t>RESEARCH_OBSERVATION</t>
        </is>
      </c>
      <c r="AN114" s="24" t="inlineStr">
        <is>
          <t>CALL</t>
        </is>
      </c>
      <c r="AO114" s="24" t="inlineStr">
        <is>
          <t>PAPER_CALL_LOW_EDGE</t>
        </is>
      </c>
      <c r="AP114" s="24" t="inlineStr">
        <is>
          <t>Yokohama BayStars</t>
        </is>
      </c>
      <c r="AQ114" s="24" t="inlineStr">
        <is>
          <t>Yokohama BayStars</t>
        </is>
      </c>
      <c r="AR114" s="24" t="inlineStr">
        <is>
          <t>Yokohama BayStars</t>
        </is>
      </c>
      <c r="AS114" s="24" t="inlineStr">
        <is>
          <t>Yomiuri Giants</t>
        </is>
      </c>
      <c r="AT114" s="24" t="inlineStr">
        <is>
          <t>Yomiuri Giants</t>
        </is>
      </c>
      <c r="AU114" s="24" t="inlineStr">
        <is>
          <t>Yomiuri Giants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ba2142e8eafc5c497aa40c3cfece58f351aa193529bf7ecddeb12905ad43aa03</t>
        </is>
      </c>
      <c r="BB114" s="24" t="inlineStr">
        <is>
          <t>tie_aware_elo</t>
        </is>
      </c>
      <c r="BC114" s="24" t="inlineStr">
        <is>
          <t>npb-tie-aware-elo-v2</t>
        </is>
      </c>
      <c r="BD114" s="24" t="inlineStr">
        <is>
          <t>ba2142e8eafc5c497aa40c3cfece58f351aa193529bf7ecddeb12905ad43aa03</t>
        </is>
      </c>
      <c r="BE114" s="24" t="inlineStr">
        <is>
          <t>1</t>
        </is>
      </c>
      <c r="BF114" s="24" t="inlineStr">
        <is>
          <t>1</t>
        </is>
      </c>
      <c r="BG114" s="24" t="inlineStr">
        <is>
          <t>npb-tie-aware-elo-v2</t>
        </is>
      </c>
      <c r="BH114" s="24" t="inlineStr">
        <is>
          <t>2026-09-02T04:38:59.414530Z</t>
        </is>
      </c>
      <c r="BI114" s="24" t="inlineStr">
        <is>
          <t>["same_event","same_team_same_day","same_league_same_day"]</t>
        </is>
      </c>
      <c r="BJ114" s="25" t="n"/>
      <c r="BK114" s="26" t="n">
        <v>127</v>
      </c>
      <c r="BL114" s="27" t="n">
        <v>2.27</v>
      </c>
      <c r="BM114" s="28" t="n">
        <v>0.440529</v>
      </c>
      <c r="BN114" s="28" t="n"/>
      <c r="BO114" s="28" t="n"/>
      <c r="BP114" s="25" t="n"/>
      <c r="BQ114" s="27" t="n">
        <v>2.22</v>
      </c>
      <c r="BR114" s="28" t="n">
        <v>0.45</v>
      </c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inlineStr">
        <is>
          <t>True</t>
        </is>
      </c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 t="n"/>
      <c r="DG114" s="24" t="n"/>
      <c r="DH114" s="24" t="n"/>
      <c r="DI114" s="24" t="n"/>
      <c r="DJ114" s="24" t="inlineStr">
        <is>
          <t>0.440529</t>
        </is>
      </c>
      <c r="DK114" s="24" t="n"/>
      <c r="DL114" s="24" t="n"/>
      <c r="DM114" s="24" t="n"/>
      <c r="DN114" s="24" t="n"/>
      <c r="DO114" s="24" t="n"/>
      <c r="DP114" s="24" t="n"/>
      <c r="DQ114" s="24" t="n"/>
    </row>
    <row r="115" ht="36" customHeight="1">
      <c r="A115" s="24" t="inlineStr">
        <is>
          <t>69df5c73a78e484b</t>
        </is>
      </c>
      <c r="B115" s="24" t="inlineStr">
        <is>
          <t>2026-09-03T04:35:48.677625Z</t>
        </is>
      </c>
      <c r="C115" s="24" t="inlineStr">
        <is>
          <t>2026-09-03T09:00:00Z</t>
        </is>
      </c>
      <c r="D115" s="24" t="inlineStr">
        <is>
          <t>98204</t>
        </is>
      </c>
      <c r="E115" s="24" t="inlineStr">
        <is>
          <t>NPB</t>
        </is>
      </c>
      <c r="F115" s="24" t="inlineStr">
        <is>
          <t>Hiroshima Carp</t>
        </is>
      </c>
      <c r="G115" s="24" t="inlineStr">
        <is>
          <t>Chunichi Dragons</t>
        </is>
      </c>
      <c r="H115" s="24" t="inlineStr">
        <is>
          <t>moneyline</t>
        </is>
      </c>
      <c r="I115" s="24" t="inlineStr">
        <is>
          <t>home</t>
        </is>
      </c>
      <c r="J115" s="25" t="n"/>
      <c r="K115" s="24" t="inlineStr">
        <is>
          <t>polymarket_us</t>
        </is>
      </c>
      <c r="L115" s="26" t="n">
        <v>100</v>
      </c>
      <c r="M115" s="27" t="n">
        <v>2</v>
      </c>
      <c r="N115" s="28" t="n">
        <v>0.5</v>
      </c>
      <c r="O115" s="28" t="n">
        <v>0.5709959999999999</v>
      </c>
      <c r="P115" s="28" t="n"/>
      <c r="Q115" s="28" t="n">
        <v>0.070996</v>
      </c>
      <c r="R115" s="26" t="n">
        <v>55</v>
      </c>
      <c r="S115" s="29" t="n">
        <v>1.25</v>
      </c>
      <c r="T115" s="24" t="inlineStr">
        <is>
          <t>npb-tie-aware-elo-v2</t>
        </is>
      </c>
      <c r="U115" s="24" t="inlineStr">
        <is>
          <t>settled</t>
        </is>
      </c>
      <c r="V115" s="24" t="inlineStr">
        <is>
          <t>loss</t>
        </is>
      </c>
      <c r="W115" s="26" t="n">
        <v>5</v>
      </c>
      <c r="X115" s="26" t="n">
        <v>2</v>
      </c>
      <c r="Y115" s="25" t="n"/>
      <c r="Z115" s="26" t="n">
        <v>100</v>
      </c>
      <c r="AA115" s="28" t="n">
        <v>0.5</v>
      </c>
      <c r="AB115" s="28" t="n">
        <v>0</v>
      </c>
      <c r="AC115" s="30" t="n">
        <v>-1.25</v>
      </c>
      <c r="AD115" s="24" t="inlineStr">
        <is>
          <t>2026-09-04T04:33:58.019317Z</t>
        </is>
      </c>
      <c r="AE115" s="31" t="inlineStr">
        <is>
          <t>Tie-aware Elo baseline; executable ask 0.5000 (market_slug=aec-npb-cdh-hci-2026-09-03). Tie probability=0.0298.</t>
        </is>
      </c>
      <c r="AF115" s="31" t="inlineStr">
        <is>
          <t>Config-promoted international baseball baseline; gates enforced at log time.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paper_call</t>
        </is>
      </c>
      <c r="AL115" s="26" t="n">
        <v>4</v>
      </c>
      <c r="AM115" s="24" t="inlineStr">
        <is>
          <t>RESEARCH_OBSERVATION</t>
        </is>
      </c>
      <c r="AN115" s="24" t="inlineStr">
        <is>
          <t>CALL</t>
        </is>
      </c>
      <c r="AO115" s="24" t="inlineStr">
        <is>
          <t>PAPER_CALL_LOW_EDGE</t>
        </is>
      </c>
      <c r="AP115" s="24" t="inlineStr">
        <is>
          <t>Hiroshima Carp</t>
        </is>
      </c>
      <c r="AQ115" s="24" t="inlineStr">
        <is>
          <t>Hiroshima Carp</t>
        </is>
      </c>
      <c r="AR115" s="24" t="inlineStr">
        <is>
          <t>Hiroshima Carp</t>
        </is>
      </c>
      <c r="AS115" s="24" t="inlineStr">
        <is>
          <t>Chunichi Dragons</t>
        </is>
      </c>
      <c r="AT115" s="24" t="inlineStr">
        <is>
          <t>Chunichi Dragons</t>
        </is>
      </c>
      <c r="AU115" s="24" t="inlineStr">
        <is>
          <t>Chunichi Dragons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shadow_qualified</t>
        </is>
      </c>
      <c r="BA115" s="24" t="inlineStr">
        <is>
          <t>6e4d64bf7943ea7f97e48c1907e79d2bfe5ea406068128654bfea98140b65b07</t>
        </is>
      </c>
      <c r="BB115" s="24" t="inlineStr">
        <is>
          <t>tie_aware_elo</t>
        </is>
      </c>
      <c r="BC115" s="24" t="inlineStr">
        <is>
          <t>npb-tie-aware-elo-v2</t>
        </is>
      </c>
      <c r="BD115" s="24" t="inlineStr">
        <is>
          <t>6e4d64bf7943ea7f97e48c1907e79d2bfe5ea406068128654bfea98140b65b07</t>
        </is>
      </c>
      <c r="BE115" s="24" t="inlineStr">
        <is>
          <t>1</t>
        </is>
      </c>
      <c r="BF115" s="24" t="inlineStr">
        <is>
          <t>1</t>
        </is>
      </c>
      <c r="BG115" s="24" t="inlineStr">
        <is>
          <t>npb-tie-aware-elo-v2</t>
        </is>
      </c>
      <c r="BH115" s="24" t="inlineStr">
        <is>
          <t>2026-09-03T04:35:48.625016Z</t>
        </is>
      </c>
      <c r="BI115" s="24" t="inlineStr">
        <is>
          <t>["same_event","same_team_same_day","same_league_same_day"]</t>
        </is>
      </c>
      <c r="BJ115" s="25" t="n"/>
      <c r="BK115" s="26" t="n">
        <v>100</v>
      </c>
      <c r="BL115" s="27" t="n">
        <v>2</v>
      </c>
      <c r="BM115" s="28" t="n">
        <v>0.5</v>
      </c>
      <c r="BN115" s="28" t="n"/>
      <c r="BO115" s="28" t="n"/>
      <c r="BP115" s="25" t="n"/>
      <c r="BQ115" s="27" t="n">
        <v>2</v>
      </c>
      <c r="BR115" s="28" t="n">
        <v>0.5</v>
      </c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True</t>
        </is>
      </c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inlineStr">
        <is>
          <t>0.5</t>
        </is>
      </c>
      <c r="DK115" s="24" t="n"/>
      <c r="DL115" s="24" t="n"/>
      <c r="DM115" s="24" t="n"/>
      <c r="DN115" s="24" t="n"/>
      <c r="DO115" s="24" t="n"/>
      <c r="DP115" s="24" t="n"/>
      <c r="DQ115" s="24" t="n"/>
    </row>
    <row r="116" ht="36" customHeight="1">
      <c r="A116" s="24" t="inlineStr">
        <is>
          <t>fc9a54b3909b4dfc</t>
        </is>
      </c>
      <c r="B116" s="24" t="inlineStr">
        <is>
          <t>2026-09-03T04:35:48.677625Z</t>
        </is>
      </c>
      <c r="C116" s="24" t="inlineStr">
        <is>
          <t>2026-09-03T09:00:00Z</t>
        </is>
      </c>
      <c r="D116" s="24" t="inlineStr">
        <is>
          <t>98205</t>
        </is>
      </c>
      <c r="E116" s="24" t="inlineStr">
        <is>
          <t>NPB</t>
        </is>
      </c>
      <c r="F116" s="24" t="inlineStr">
        <is>
          <t>Hanshin Tigers</t>
        </is>
      </c>
      <c r="G116" s="24" t="inlineStr">
        <is>
          <t>Tokyo Yakult Swallows</t>
        </is>
      </c>
      <c r="H116" s="24" t="inlineStr">
        <is>
          <t>moneyline</t>
        </is>
      </c>
      <c r="I116" s="24" t="inlineStr">
        <is>
          <t>away</t>
        </is>
      </c>
      <c r="J116" s="25" t="n"/>
      <c r="K116" s="24" t="inlineStr">
        <is>
          <t>polymarket_us</t>
        </is>
      </c>
      <c r="L116" s="26" t="n">
        <v>-194</v>
      </c>
      <c r="M116" s="27" t="n">
        <v>1.515464</v>
      </c>
      <c r="N116" s="28" t="n">
        <v>0.659864</v>
      </c>
      <c r="O116" s="28" t="n">
        <v>0.599414</v>
      </c>
      <c r="P116" s="28" t="n"/>
      <c r="Q116" s="28" t="n">
        <v>-0.06045</v>
      </c>
      <c r="R116" s="26" t="n">
        <v>0</v>
      </c>
      <c r="S116" s="29" t="n">
        <v>1</v>
      </c>
      <c r="T116" s="24" t="inlineStr">
        <is>
          <t>npb-tie-aware-elo-v2</t>
        </is>
      </c>
      <c r="U116" s="24" t="inlineStr">
        <is>
          <t>settled</t>
        </is>
      </c>
      <c r="V116" s="24" t="inlineStr">
        <is>
          <t>win</t>
        </is>
      </c>
      <c r="W116" s="26" t="n">
        <v>7</v>
      </c>
      <c r="X116" s="26" t="n">
        <v>4</v>
      </c>
      <c r="Y116" s="25" t="n"/>
      <c r="Z116" s="26" t="n">
        <v>-194</v>
      </c>
      <c r="AA116" s="28" t="n">
        <v>0.66</v>
      </c>
      <c r="AB116" s="28" t="n">
        <v>0.000136</v>
      </c>
      <c r="AC116" s="30" t="n">
        <v>0.5155</v>
      </c>
      <c r="AD116" s="24" t="inlineStr">
        <is>
          <t>2026-09-04T04:33:58.260551Z</t>
        </is>
      </c>
      <c r="AE116" s="31" t="inlineStr">
        <is>
          <t>Tie-aware Elo baseline; executable ask 0.6600 (market_slug=aec-npb-tys-hta-2026-09-03). Tie probability=0.0273.</t>
        </is>
      </c>
      <c r="AF116" s="31" t="inlineStr">
        <is>
          <t>Config-promoted international baseball baseline; gates enforced at log time.</t>
        </is>
      </c>
      <c r="AG116" s="24" t="inlineStr">
        <is>
          <t>not_applicable</t>
        </is>
      </c>
      <c r="AH116" s="24" t="n"/>
      <c r="AI116" s="31" t="n"/>
      <c r="AJ116" s="31" t="n"/>
      <c r="AK116" s="24" t="inlineStr">
        <is>
          <t>paper_call</t>
        </is>
      </c>
      <c r="AL116" s="26" t="n">
        <v>4</v>
      </c>
      <c r="AM116" s="24" t="inlineStr">
        <is>
          <t>RESEARCH_OBSERVATION</t>
        </is>
      </c>
      <c r="AN116" s="24" t="inlineStr">
        <is>
          <t>CALL</t>
        </is>
      </c>
      <c r="AO116" s="24" t="inlineStr">
        <is>
          <t>PAPER_CALL_LOW_EDGE</t>
        </is>
      </c>
      <c r="AP116" s="24" t="inlineStr">
        <is>
          <t>Hanshin Tigers</t>
        </is>
      </c>
      <c r="AQ116" s="24" t="inlineStr">
        <is>
          <t>Hanshin Tigers</t>
        </is>
      </c>
      <c r="AR116" s="24" t="inlineStr">
        <is>
          <t>Hanshin Tigers</t>
        </is>
      </c>
      <c r="AS116" s="24" t="inlineStr">
        <is>
          <t>Tokyo Yakult Swallows</t>
        </is>
      </c>
      <c r="AT116" s="24" t="inlineStr">
        <is>
          <t>Tokyo Yakult Swallows</t>
        </is>
      </c>
      <c r="AU116" s="24" t="inlineStr">
        <is>
          <t>Tokyo Yakult Swallows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shadow_qualified</t>
        </is>
      </c>
      <c r="BA116" s="24" t="inlineStr">
        <is>
          <t>6e4d64bf7943ea7f97e48c1907e79d2bfe5ea406068128654bfea98140b65b07</t>
        </is>
      </c>
      <c r="BB116" s="24" t="inlineStr">
        <is>
          <t>tie_aware_elo</t>
        </is>
      </c>
      <c r="BC116" s="24" t="inlineStr">
        <is>
          <t>npb-tie-aware-elo-v2</t>
        </is>
      </c>
      <c r="BD116" s="24" t="inlineStr">
        <is>
          <t>6e4d64bf7943ea7f97e48c1907e79d2bfe5ea406068128654bfea98140b65b07</t>
        </is>
      </c>
      <c r="BE116" s="24" t="inlineStr">
        <is>
          <t>1</t>
        </is>
      </c>
      <c r="BF116" s="24" t="inlineStr">
        <is>
          <t>1</t>
        </is>
      </c>
      <c r="BG116" s="24" t="inlineStr">
        <is>
          <t>npb-tie-aware-elo-v2</t>
        </is>
      </c>
      <c r="BH116" s="24" t="inlineStr">
        <is>
          <t>2026-09-03T04:35:48.677595Z</t>
        </is>
      </c>
      <c r="BI116" s="24" t="inlineStr">
        <is>
          <t>["same_event","same_team_same_day","same_league_same_day"]</t>
        </is>
      </c>
      <c r="BJ116" s="25" t="n"/>
      <c r="BK116" s="26" t="n">
        <v>-194</v>
      </c>
      <c r="BL116" s="27" t="n">
        <v>1.515464</v>
      </c>
      <c r="BM116" s="28" t="n">
        <v>0.659864</v>
      </c>
      <c r="BN116" s="28" t="n"/>
      <c r="BO116" s="28" t="n"/>
      <c r="BP116" s="25" t="n"/>
      <c r="BQ116" s="27" t="n">
        <v>1.515464</v>
      </c>
      <c r="BR116" s="28" t="n">
        <v>0.66</v>
      </c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inlineStr">
        <is>
          <t>False</t>
        </is>
      </c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inlineStr">
        <is>
          <t>0.659864</t>
        </is>
      </c>
      <c r="DK116" s="24" t="n"/>
      <c r="DL116" s="24" t="n"/>
      <c r="DM116" s="24" t="n"/>
      <c r="DN116" s="24" t="n"/>
      <c r="DO116" s="24" t="n"/>
      <c r="DP116" s="24" t="n"/>
      <c r="DQ116" s="24" t="n"/>
    </row>
    <row r="117" ht="36" customHeight="1">
      <c r="A117" s="24" t="inlineStr">
        <is>
          <t>b5a2ac47d2e34d48</t>
        </is>
      </c>
      <c r="B117" s="24" t="inlineStr">
        <is>
          <t>2026-09-04T04:36:43.885351Z</t>
        </is>
      </c>
      <c r="C117" s="24" t="inlineStr">
        <is>
          <t>2026-09-04T09:00:00Z</t>
        </is>
      </c>
      <c r="D117" s="24" t="inlineStr">
        <is>
          <t>99155</t>
        </is>
      </c>
      <c r="E117" s="24" t="inlineStr">
        <is>
          <t>NPB</t>
        </is>
      </c>
      <c r="F117" s="24" t="inlineStr">
        <is>
          <t>Yomiuri Giants</t>
        </is>
      </c>
      <c r="G117" s="24" t="inlineStr">
        <is>
          <t>Hiroshima Carp</t>
        </is>
      </c>
      <c r="H117" s="24" t="inlineStr">
        <is>
          <t>moneyline</t>
        </is>
      </c>
      <c r="I117" s="24" t="inlineStr">
        <is>
          <t>away</t>
        </is>
      </c>
      <c r="J117" s="25" t="n"/>
      <c r="K117" s="24" t="inlineStr">
        <is>
          <t>polymarket_us</t>
        </is>
      </c>
      <c r="L117" s="26" t="n">
        <v>-117</v>
      </c>
      <c r="M117" s="27" t="n">
        <v>1.854701</v>
      </c>
      <c r="N117" s="28" t="n">
        <v>0.539171</v>
      </c>
      <c r="O117" s="28" t="n">
        <v>0.517159</v>
      </c>
      <c r="P117" s="28" t="n"/>
      <c r="Q117" s="28" t="n">
        <v>-0.022012</v>
      </c>
      <c r="R117" s="26" t="n">
        <v>9</v>
      </c>
      <c r="S117" s="29" t="n">
        <v>1</v>
      </c>
      <c r="T117" s="24" t="inlineStr">
        <is>
          <t>npb-tie-aware-elo-v2</t>
        </is>
      </c>
      <c r="U117" s="24" t="inlineStr">
        <is>
          <t>settled</t>
        </is>
      </c>
      <c r="V117" s="24" t="inlineStr">
        <is>
          <t>win</t>
        </is>
      </c>
      <c r="W117" s="26" t="n">
        <v>3</v>
      </c>
      <c r="X117" s="26" t="n">
        <v>1</v>
      </c>
      <c r="Y117" s="25" t="n"/>
      <c r="Z117" s="26" t="n">
        <v>-117</v>
      </c>
      <c r="AA117" s="28" t="n">
        <v>0.54</v>
      </c>
      <c r="AB117" s="28" t="n">
        <v>0.000829</v>
      </c>
      <c r="AC117" s="30" t="n">
        <v>0.8547</v>
      </c>
      <c r="AD117" s="24" t="inlineStr">
        <is>
          <t>2026-09-04T22:01:25.527784Z</t>
        </is>
      </c>
      <c r="AE117" s="31" t="inlineStr">
        <is>
          <t>Tie-aware Elo baseline; executable ask 0.5400 (market_slug=aec-npb-hci-ygo-2026-09-04). Tie probability=0.0344.</t>
        </is>
      </c>
      <c r="AF117" s="31" t="inlineStr">
        <is>
          <t>Config-promoted international baseball baseline; gates enforced at log time.</t>
        </is>
      </c>
      <c r="AG117" s="24" t="inlineStr">
        <is>
          <t>not_applicable</t>
        </is>
      </c>
      <c r="AH117" s="24" t="n"/>
      <c r="AI117" s="31" t="n"/>
      <c r="AJ117" s="31" t="n"/>
      <c r="AK117" s="24" t="inlineStr">
        <is>
          <t>paper_call</t>
        </is>
      </c>
      <c r="AL117" s="26" t="n">
        <v>4</v>
      </c>
      <c r="AM117" s="24" t="inlineStr">
        <is>
          <t>RESEARCH_OBSERVATION</t>
        </is>
      </c>
      <c r="AN117" s="24" t="inlineStr">
        <is>
          <t>CALL</t>
        </is>
      </c>
      <c r="AO117" s="24" t="inlineStr">
        <is>
          <t>PAPER_CALL_LOW_EDGE</t>
        </is>
      </c>
      <c r="AP117" s="24" t="inlineStr">
        <is>
          <t>Yomiuri Giants</t>
        </is>
      </c>
      <c r="AQ117" s="24" t="inlineStr">
        <is>
          <t>Yomiuri Giants</t>
        </is>
      </c>
      <c r="AR117" s="24" t="inlineStr">
        <is>
          <t>Yomiuri Giants</t>
        </is>
      </c>
      <c r="AS117" s="24" t="inlineStr">
        <is>
          <t>Hiroshima Carp</t>
        </is>
      </c>
      <c r="AT117" s="24" t="inlineStr">
        <is>
          <t>Hiroshima Carp</t>
        </is>
      </c>
      <c r="AU117" s="24" t="inlineStr">
        <is>
          <t>Hiroshima Carp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shadow_qualified</t>
        </is>
      </c>
      <c r="BA117" s="24" t="inlineStr">
        <is>
          <t>e0ca013f87123b197e73aed9180176bafa5f03eb48dc2d95c5d296c540bfb33e</t>
        </is>
      </c>
      <c r="BB117" s="24" t="inlineStr">
        <is>
          <t>tie_aware_elo</t>
        </is>
      </c>
      <c r="BC117" s="24" t="inlineStr">
        <is>
          <t>npb-tie-aware-elo-v2</t>
        </is>
      </c>
      <c r="BD117" s="24" t="inlineStr">
        <is>
          <t>e0ca013f87123b197e73aed9180176bafa5f03eb48dc2d95c5d296c540bfb33e</t>
        </is>
      </c>
      <c r="BE117" s="24" t="inlineStr">
        <is>
          <t>1</t>
        </is>
      </c>
      <c r="BF117" s="24" t="inlineStr">
        <is>
          <t>1</t>
        </is>
      </c>
      <c r="BG117" s="24" t="inlineStr">
        <is>
          <t>npb-tie-aware-elo-v2</t>
        </is>
      </c>
      <c r="BH117" s="24" t="inlineStr">
        <is>
          <t>2026-09-04T04:36:43.533036Z</t>
        </is>
      </c>
      <c r="BI117" s="24" t="inlineStr">
        <is>
          <t>["same_event","same_team_same_day","same_league_same_day"]</t>
        </is>
      </c>
      <c r="BJ117" s="25" t="n"/>
      <c r="BK117" s="26" t="n">
        <v>-117</v>
      </c>
      <c r="BL117" s="27" t="n">
        <v>1.854701</v>
      </c>
      <c r="BM117" s="28" t="n">
        <v>0.539171</v>
      </c>
      <c r="BN117" s="28" t="n"/>
      <c r="BO117" s="28" t="n"/>
      <c r="BP117" s="25" t="n"/>
      <c r="BQ117" s="27" t="n">
        <v>1.854701</v>
      </c>
      <c r="BR117" s="28" t="n">
        <v>0.54</v>
      </c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inlineStr">
        <is>
          <t>False</t>
        </is>
      </c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inlineStr">
        <is>
          <t>0.539171</t>
        </is>
      </c>
      <c r="DK117" s="24" t="n"/>
      <c r="DL117" s="24" t="n"/>
      <c r="DM117" s="24" t="n"/>
      <c r="DN117" s="24" t="n"/>
      <c r="DO117" s="24" t="n"/>
      <c r="DP117" s="24" t="n"/>
      <c r="DQ117" s="24" t="n"/>
    </row>
    <row r="118" ht="36" customHeight="1">
      <c r="A118" s="24" t="inlineStr">
        <is>
          <t>f6c35876240f4498</t>
        </is>
      </c>
      <c r="B118" s="24" t="inlineStr">
        <is>
          <t>2026-09-04T04:36:43.885351Z</t>
        </is>
      </c>
      <c r="C118" s="24" t="inlineStr">
        <is>
          <t>2026-09-04T09:00:00Z</t>
        </is>
      </c>
      <c r="D118" s="24" t="inlineStr">
        <is>
          <t>99158</t>
        </is>
      </c>
      <c r="E118" s="24" t="inlineStr">
        <is>
          <t>NPB</t>
        </is>
      </c>
      <c r="F118" s="24" t="inlineStr">
        <is>
          <t>Nippon Ham Fighters</t>
        </is>
      </c>
      <c r="G118" s="24" t="inlineStr">
        <is>
          <t>Tohoku Rakuten Golden Eagles</t>
        </is>
      </c>
      <c r="H118" s="24" t="inlineStr">
        <is>
          <t>moneyline</t>
        </is>
      </c>
      <c r="I118" s="24" t="inlineStr">
        <is>
          <t>away</t>
        </is>
      </c>
      <c r="J118" s="25" t="n"/>
      <c r="K118" s="24" t="inlineStr">
        <is>
          <t>polymarket_us</t>
        </is>
      </c>
      <c r="L118" s="26" t="n">
        <v>-163</v>
      </c>
      <c r="M118" s="27" t="n">
        <v>1.613497</v>
      </c>
      <c r="N118" s="28" t="n">
        <v>0.619772</v>
      </c>
      <c r="O118" s="28" t="n">
        <v>0.543107</v>
      </c>
      <c r="P118" s="28" t="n"/>
      <c r="Q118" s="28" t="n">
        <v>-0.076665</v>
      </c>
      <c r="R118" s="26" t="n">
        <v>0</v>
      </c>
      <c r="S118" s="29" t="n">
        <v>1</v>
      </c>
      <c r="T118" s="24" t="inlineStr">
        <is>
          <t>npb-tie-aware-elo-v2</t>
        </is>
      </c>
      <c r="U118" s="24" t="inlineStr">
        <is>
          <t>settled</t>
        </is>
      </c>
      <c r="V118" s="24" t="inlineStr">
        <is>
          <t>win</t>
        </is>
      </c>
      <c r="W118" s="26" t="n">
        <v>5</v>
      </c>
      <c r="X118" s="26" t="n">
        <v>2</v>
      </c>
      <c r="Y118" s="25" t="n"/>
      <c r="Z118" s="26" t="n">
        <v>-163</v>
      </c>
      <c r="AA118" s="28" t="n">
        <v>0.62</v>
      </c>
      <c r="AB118" s="28" t="n">
        <v>0.000228</v>
      </c>
      <c r="AC118" s="30" t="n">
        <v>0.6135</v>
      </c>
      <c r="AD118" s="24" t="inlineStr">
        <is>
          <t>2026-09-04T22:01:25.723876Z</t>
        </is>
      </c>
      <c r="AE118" s="31" t="inlineStr">
        <is>
          <t>Tie-aware Elo baseline; executable ask 0.6200 (market_slug=aec-npb-trge-nhf-2026-09-04). Tie probability=0.0322.</t>
        </is>
      </c>
      <c r="AF118" s="31" t="inlineStr">
        <is>
          <t>Config-promoted international baseball baseline; gates enforced at log time.</t>
        </is>
      </c>
      <c r="AG118" s="24" t="inlineStr">
        <is>
          <t>not_applicable</t>
        </is>
      </c>
      <c r="AH118" s="24" t="n"/>
      <c r="AI118" s="31" t="n"/>
      <c r="AJ118" s="31" t="n"/>
      <c r="AK118" s="24" t="inlineStr">
        <is>
          <t>paper_call</t>
        </is>
      </c>
      <c r="AL118" s="26" t="n">
        <v>4</v>
      </c>
      <c r="AM118" s="24" t="inlineStr">
        <is>
          <t>RESEARCH_OBSERVATION</t>
        </is>
      </c>
      <c r="AN118" s="24" t="inlineStr">
        <is>
          <t>CALL</t>
        </is>
      </c>
      <c r="AO118" s="24" t="inlineStr">
        <is>
          <t>PAPER_CALL_LOW_EDGE</t>
        </is>
      </c>
      <c r="AP118" s="24" t="inlineStr">
        <is>
          <t>Nippon Ham Fighters</t>
        </is>
      </c>
      <c r="AQ118" s="24" t="inlineStr">
        <is>
          <t>Nippon Ham Fighters</t>
        </is>
      </c>
      <c r="AR118" s="24" t="inlineStr">
        <is>
          <t>Nippon Ham Fighters</t>
        </is>
      </c>
      <c r="AS118" s="24" t="inlineStr">
        <is>
          <t>Tohoku Rakuten Golden Eagles</t>
        </is>
      </c>
      <c r="AT118" s="24" t="inlineStr">
        <is>
          <t>Tohoku Rakuten Golden Eagles</t>
        </is>
      </c>
      <c r="AU118" s="24" t="inlineStr">
        <is>
          <t>Tohoku Rakuten Golden Eagles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shadow_qualified</t>
        </is>
      </c>
      <c r="BA118" s="24" t="inlineStr">
        <is>
          <t>e0ca013f87123b197e73aed9180176bafa5f03eb48dc2d95c5d296c540bfb33e</t>
        </is>
      </c>
      <c r="BB118" s="24" t="inlineStr">
        <is>
          <t>tie_aware_elo</t>
        </is>
      </c>
      <c r="BC118" s="24" t="inlineStr">
        <is>
          <t>npb-tie-aware-elo-v2</t>
        </is>
      </c>
      <c r="BD118" s="24" t="inlineStr">
        <is>
          <t>e0ca013f87123b197e73aed9180176bafa5f03eb48dc2d95c5d296c540bfb33e</t>
        </is>
      </c>
      <c r="BE118" s="24" t="inlineStr">
        <is>
          <t>1</t>
        </is>
      </c>
      <c r="BF118" s="24" t="inlineStr">
        <is>
          <t>1</t>
        </is>
      </c>
      <c r="BG118" s="24" t="inlineStr">
        <is>
          <t>npb-tie-aware-elo-v2</t>
        </is>
      </c>
      <c r="BH118" s="24" t="inlineStr">
        <is>
          <t>2026-09-04T04:36:43.591693Z</t>
        </is>
      </c>
      <c r="BI118" s="24" t="inlineStr">
        <is>
          <t>["same_event","same_team_same_day","same_league_same_day"]</t>
        </is>
      </c>
      <c r="BJ118" s="25" t="n"/>
      <c r="BK118" s="26" t="n">
        <v>-163</v>
      </c>
      <c r="BL118" s="27" t="n">
        <v>1.613497</v>
      </c>
      <c r="BM118" s="28" t="n">
        <v>0.619772</v>
      </c>
      <c r="BN118" s="28" t="n"/>
      <c r="BO118" s="28" t="n"/>
      <c r="BP118" s="25" t="n"/>
      <c r="BQ118" s="27" t="n">
        <v>1.613497</v>
      </c>
      <c r="BR118" s="28" t="n">
        <v>0.62</v>
      </c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inlineStr">
        <is>
          <t>False</t>
        </is>
      </c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/>
      <c r="DH118" s="24" t="n"/>
      <c r="DI118" s="24" t="n"/>
      <c r="DJ118" s="24" t="inlineStr">
        <is>
          <t>0.619772</t>
        </is>
      </c>
      <c r="DK118" s="24" t="n"/>
      <c r="DL118" s="24" t="n"/>
      <c r="DM118" s="24" t="n"/>
      <c r="DN118" s="24" t="n"/>
      <c r="DO118" s="24" t="n"/>
      <c r="DP118" s="24" t="n"/>
      <c r="DQ118" s="24" t="n"/>
    </row>
    <row r="119" ht="36" customHeight="1">
      <c r="A119" s="24" t="inlineStr">
        <is>
          <t>70e84ad09f1a41de</t>
        </is>
      </c>
      <c r="B119" s="24" t="inlineStr">
        <is>
          <t>2026-09-04T04:36:43.885351Z</t>
        </is>
      </c>
      <c r="C119" s="24" t="inlineStr">
        <is>
          <t>2026-09-04T09:00:00Z</t>
        </is>
      </c>
      <c r="D119" s="24" t="inlineStr">
        <is>
          <t>99156</t>
        </is>
      </c>
      <c r="E119" s="24" t="inlineStr">
        <is>
          <t>NPB</t>
        </is>
      </c>
      <c r="F119" s="24" t="inlineStr">
        <is>
          <t>Chiba Lotte Marines</t>
        </is>
      </c>
      <c r="G119" s="24" t="inlineStr">
        <is>
          <t>Orix Buffaloes</t>
        </is>
      </c>
      <c r="H119" s="24" t="inlineStr">
        <is>
          <t>moneyline</t>
        </is>
      </c>
      <c r="I119" s="24" t="inlineStr">
        <is>
          <t>home</t>
        </is>
      </c>
      <c r="J119" s="25" t="n"/>
      <c r="K119" s="24" t="inlineStr">
        <is>
          <t>polymarket_us</t>
        </is>
      </c>
      <c r="L119" s="26" t="n">
        <v>108</v>
      </c>
      <c r="M119" s="27" t="n">
        <v>2.08</v>
      </c>
      <c r="N119" s="28" t="n">
        <v>0.480769</v>
      </c>
      <c r="O119" s="28" t="n">
        <v>0.517082</v>
      </c>
      <c r="P119" s="28" t="n"/>
      <c r="Q119" s="28" t="n">
        <v>0.036313</v>
      </c>
      <c r="R119" s="26" t="n">
        <v>38</v>
      </c>
      <c r="S119" s="29" t="n">
        <v>1</v>
      </c>
      <c r="T119" s="24" t="inlineStr">
        <is>
          <t>npb-tie-aware-elo-v2</t>
        </is>
      </c>
      <c r="U119" s="24" t="inlineStr">
        <is>
          <t>settled</t>
        </is>
      </c>
      <c r="V119" s="24" t="inlineStr">
        <is>
          <t>win</t>
        </is>
      </c>
      <c r="W119" s="26" t="n">
        <v>1</v>
      </c>
      <c r="X119" s="26" t="n">
        <v>3</v>
      </c>
      <c r="Y119" s="25" t="n"/>
      <c r="Z119" s="26" t="n">
        <v>108</v>
      </c>
      <c r="AA119" s="28" t="n">
        <v>0.48</v>
      </c>
      <c r="AB119" s="28" t="n">
        <v>-0.000769</v>
      </c>
      <c r="AC119" s="30" t="n">
        <v>1.08</v>
      </c>
      <c r="AD119" s="24" t="inlineStr">
        <is>
          <t>2026-09-04T22:01:25.839917Z</t>
        </is>
      </c>
      <c r="AE119" s="31" t="inlineStr">
        <is>
          <t>Tie-aware Elo baseline; executable ask 0.4800 (market_slug=aec-npb-obr-clm-2026-09-04). Tie probability=0.0345.</t>
        </is>
      </c>
      <c r="AF119" s="31" t="inlineStr">
        <is>
          <t>Config-promoted international baseball baseline; gates enforced at log time.</t>
        </is>
      </c>
      <c r="AG119" s="24" t="inlineStr">
        <is>
          <t>not_applicable</t>
        </is>
      </c>
      <c r="AH119" s="24" t="n"/>
      <c r="AI119" s="31" t="n"/>
      <c r="AJ119" s="31" t="n"/>
      <c r="AK119" s="24" t="inlineStr">
        <is>
          <t>paper_call</t>
        </is>
      </c>
      <c r="AL119" s="26" t="n">
        <v>4</v>
      </c>
      <c r="AM119" s="24" t="inlineStr">
        <is>
          <t>RESEARCH_OBSERVATION</t>
        </is>
      </c>
      <c r="AN119" s="24" t="inlineStr">
        <is>
          <t>CALL</t>
        </is>
      </c>
      <c r="AO119" s="24" t="inlineStr">
        <is>
          <t>PAPER_CALL_LOW_EDGE</t>
        </is>
      </c>
      <c r="AP119" s="24" t="inlineStr">
        <is>
          <t>Chiba Lotte Marines</t>
        </is>
      </c>
      <c r="AQ119" s="24" t="inlineStr">
        <is>
          <t>Chiba Lotte Marines</t>
        </is>
      </c>
      <c r="AR119" s="24" t="inlineStr">
        <is>
          <t>Chiba Lotte Marines</t>
        </is>
      </c>
      <c r="AS119" s="24" t="inlineStr">
        <is>
          <t>Orix Buffaloes</t>
        </is>
      </c>
      <c r="AT119" s="24" t="inlineStr">
        <is>
          <t>Orix Buffaloes</t>
        </is>
      </c>
      <c r="AU119" s="24" t="inlineStr">
        <is>
          <t>Orix Buffaloes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e0ca013f87123b197e73aed9180176bafa5f03eb48dc2d95c5d296c540bfb33e</t>
        </is>
      </c>
      <c r="BB119" s="24" t="inlineStr">
        <is>
          <t>tie_aware_elo</t>
        </is>
      </c>
      <c r="BC119" s="24" t="inlineStr">
        <is>
          <t>npb-tie-aware-elo-v2</t>
        </is>
      </c>
      <c r="BD119" s="24" t="inlineStr">
        <is>
          <t>e0ca013f87123b197e73aed9180176bafa5f03eb48dc2d95c5d296c540bfb33e</t>
        </is>
      </c>
      <c r="BE119" s="24" t="inlineStr">
        <is>
          <t>1</t>
        </is>
      </c>
      <c r="BF119" s="24" t="inlineStr">
        <is>
          <t>1</t>
        </is>
      </c>
      <c r="BG119" s="24" t="inlineStr">
        <is>
          <t>npb-tie-aware-elo-v2</t>
        </is>
      </c>
      <c r="BH119" s="24" t="inlineStr">
        <is>
          <t>2026-09-04T04:36:43.747618Z</t>
        </is>
      </c>
      <c r="BI119" s="24" t="inlineStr">
        <is>
          <t>["same_event","same_team_same_day","same_league_same_day"]</t>
        </is>
      </c>
      <c r="BJ119" s="25" t="n"/>
      <c r="BK119" s="26" t="n">
        <v>108</v>
      </c>
      <c r="BL119" s="27" t="n">
        <v>2.08</v>
      </c>
      <c r="BM119" s="28" t="n">
        <v>0.480769</v>
      </c>
      <c r="BN119" s="28" t="n"/>
      <c r="BO119" s="28" t="n"/>
      <c r="BP119" s="25" t="n"/>
      <c r="BQ119" s="27" t="n">
        <v>2.08</v>
      </c>
      <c r="BR119" s="28" t="n">
        <v>0.48</v>
      </c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inlineStr">
        <is>
          <t>True</t>
        </is>
      </c>
      <c r="CT119" s="24" t="n"/>
      <c r="CU119" s="24" t="n"/>
      <c r="CV119" s="24" t="n"/>
      <c r="CW119" s="24" t="n"/>
      <c r="CX119" s="24" t="n"/>
      <c r="CY119" s="24" t="n"/>
      <c r="CZ119" s="24" t="n"/>
      <c r="DA119" s="24" t="n"/>
      <c r="DB119" s="24" t="n"/>
      <c r="DC119" s="24" t="n"/>
      <c r="DD119" s="24" t="n"/>
      <c r="DE119" s="24" t="n"/>
      <c r="DF119" s="24" t="n"/>
      <c r="DG119" s="24" t="n"/>
      <c r="DH119" s="24" t="n"/>
      <c r="DI119" s="24" t="n"/>
      <c r="DJ119" s="24" t="inlineStr">
        <is>
          <t>0.480769</t>
        </is>
      </c>
      <c r="DK119" s="24" t="n"/>
      <c r="DL119" s="24" t="n"/>
      <c r="DM119" s="24" t="n"/>
      <c r="DN119" s="24" t="n"/>
      <c r="DO119" s="24" t="n"/>
      <c r="DP119" s="24" t="n"/>
      <c r="DQ119" s="24" t="n"/>
    </row>
    <row r="120" ht="36" customHeight="1">
      <c r="A120" s="24" t="inlineStr">
        <is>
          <t>0a96bfde8bc9437b</t>
        </is>
      </c>
      <c r="B120" s="24" t="inlineStr">
        <is>
          <t>2026-09-04T04:36:43.885351Z</t>
        </is>
      </c>
      <c r="C120" s="24" t="inlineStr">
        <is>
          <t>2026-09-04T09:00:00Z</t>
        </is>
      </c>
      <c r="D120" s="24" t="inlineStr">
        <is>
          <t>99157</t>
        </is>
      </c>
      <c r="E120" s="24" t="inlineStr">
        <is>
          <t>NPB</t>
        </is>
      </c>
      <c r="F120" s="24" t="inlineStr">
        <is>
          <t>Chunichi Dragons</t>
        </is>
      </c>
      <c r="G120" s="24" t="inlineStr">
        <is>
          <t>Tokyo Yakult Swallows</t>
        </is>
      </c>
      <c r="H120" s="24" t="inlineStr">
        <is>
          <t>moneyline</t>
        </is>
      </c>
      <c r="I120" s="24" t="inlineStr">
        <is>
          <t>away</t>
        </is>
      </c>
      <c r="J120" s="25" t="n"/>
      <c r="K120" s="24" t="inlineStr">
        <is>
          <t>polymarket_us</t>
        </is>
      </c>
      <c r="L120" s="26" t="n">
        <v>-122</v>
      </c>
      <c r="M120" s="27" t="n">
        <v>1.819672</v>
      </c>
      <c r="N120" s="28" t="n">
        <v>0.54955</v>
      </c>
      <c r="O120" s="28" t="n">
        <v>0.50491</v>
      </c>
      <c r="P120" s="28" t="n"/>
      <c r="Q120" s="28" t="n">
        <v>-0.04464</v>
      </c>
      <c r="R120" s="26" t="n">
        <v>0</v>
      </c>
      <c r="S120" s="29" t="n">
        <v>1</v>
      </c>
      <c r="T120" s="24" t="inlineStr">
        <is>
          <t>npb-tie-aware-elo-v2</t>
        </is>
      </c>
      <c r="U120" s="24" t="inlineStr">
        <is>
          <t>settled</t>
        </is>
      </c>
      <c r="V120" s="24" t="inlineStr">
        <is>
          <t>push</t>
        </is>
      </c>
      <c r="W120" s="26" t="n">
        <v>1</v>
      </c>
      <c r="X120" s="26" t="n">
        <v>1</v>
      </c>
      <c r="Y120" s="25" t="n"/>
      <c r="Z120" s="26" t="n">
        <v>-122</v>
      </c>
      <c r="AA120" s="28" t="n">
        <v>0.55</v>
      </c>
      <c r="AB120" s="28" t="n">
        <v>0.00045</v>
      </c>
      <c r="AC120" s="30" t="n">
        <v>-0.0902</v>
      </c>
      <c r="AD120" s="24" t="inlineStr">
        <is>
          <t>2026-09-04T22:01:25.958366Z</t>
        </is>
      </c>
      <c r="AE120" s="31" t="inlineStr">
        <is>
          <t>Tie-aware Elo baseline; executable ask 0.5500 (market_slug=aec-npb-tys-cdh-2026-09-04). Tie probability=0.0355.</t>
        </is>
      </c>
      <c r="AF120" s="31" t="inlineStr">
        <is>
          <t>Config-promoted international baseball baseline; gates enforced at log time.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paper_call</t>
        </is>
      </c>
      <c r="AL120" s="26" t="n">
        <v>4</v>
      </c>
      <c r="AM120" s="24" t="inlineStr">
        <is>
          <t>RESEARCH_OBSERVATION</t>
        </is>
      </c>
      <c r="AN120" s="24" t="inlineStr">
        <is>
          <t>CALL</t>
        </is>
      </c>
      <c r="AO120" s="24" t="inlineStr">
        <is>
          <t>PAPER_CALL_LOW_EDGE</t>
        </is>
      </c>
      <c r="AP120" s="24" t="inlineStr">
        <is>
          <t>Chunichi Dragons</t>
        </is>
      </c>
      <c r="AQ120" s="24" t="inlineStr">
        <is>
          <t>Chunichi Dragons</t>
        </is>
      </c>
      <c r="AR120" s="24" t="inlineStr">
        <is>
          <t>Chunichi Dragons</t>
        </is>
      </c>
      <c r="AS120" s="24" t="inlineStr">
        <is>
          <t>Tokyo Yakult Swallows</t>
        </is>
      </c>
      <c r="AT120" s="24" t="inlineStr">
        <is>
          <t>Tokyo Yakult Swallows</t>
        </is>
      </c>
      <c r="AU120" s="24" t="inlineStr">
        <is>
          <t>Tokyo Yakult Swallows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e0ca013f87123b197e73aed9180176bafa5f03eb48dc2d95c5d296c540bfb33e</t>
        </is>
      </c>
      <c r="BB120" s="24" t="inlineStr">
        <is>
          <t>tie_aware_elo</t>
        </is>
      </c>
      <c r="BC120" s="24" t="inlineStr">
        <is>
          <t>npb-tie-aware-elo-v2</t>
        </is>
      </c>
      <c r="BD120" s="24" t="inlineStr">
        <is>
          <t>e0ca013f87123b197e73aed9180176bafa5f03eb48dc2d95c5d296c540bfb33e</t>
        </is>
      </c>
      <c r="BE120" s="24" t="inlineStr">
        <is>
          <t>1</t>
        </is>
      </c>
      <c r="BF120" s="24" t="inlineStr">
        <is>
          <t>1</t>
        </is>
      </c>
      <c r="BG120" s="24" t="inlineStr">
        <is>
          <t>npb-tie-aware-elo-v2</t>
        </is>
      </c>
      <c r="BH120" s="24" t="inlineStr">
        <is>
          <t>2026-09-04T04:36:43.809832Z</t>
        </is>
      </c>
      <c r="BI120" s="24" t="inlineStr">
        <is>
          <t>["same_event","same_team_same_day","same_league_same_day"]</t>
        </is>
      </c>
      <c r="BJ120" s="25" t="n"/>
      <c r="BK120" s="26" t="n">
        <v>-122</v>
      </c>
      <c r="BL120" s="27" t="n">
        <v>1.819672</v>
      </c>
      <c r="BM120" s="28" t="n">
        <v>0.54955</v>
      </c>
      <c r="BN120" s="28" t="n"/>
      <c r="BO120" s="28" t="n"/>
      <c r="BP120" s="25" t="n"/>
      <c r="BQ120" s="27" t="n">
        <v>1.819672</v>
      </c>
      <c r="BR120" s="28" t="n">
        <v>0.55</v>
      </c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inlineStr">
        <is>
          <t>False</t>
        </is>
      </c>
      <c r="CT120" s="24" t="n"/>
      <c r="CU120" s="24" t="n"/>
      <c r="CV120" s="24" t="n"/>
      <c r="CW120" s="24" t="n"/>
      <c r="CX120" s="24" t="n"/>
      <c r="CY120" s="24" t="n"/>
      <c r="CZ120" s="24" t="n"/>
      <c r="DA120" s="24" t="n"/>
      <c r="DB120" s="24" t="n"/>
      <c r="DC120" s="24" t="n"/>
      <c r="DD120" s="24" t="n"/>
      <c r="DE120" s="24" t="n"/>
      <c r="DF120" s="24" t="n"/>
      <c r="DG120" s="24" t="n"/>
      <c r="DH120" s="24" t="n"/>
      <c r="DI120" s="24" t="n"/>
      <c r="DJ120" s="24" t="inlineStr">
        <is>
          <t>0.54955</t>
        </is>
      </c>
      <c r="DK120" s="24" t="n"/>
      <c r="DL120" s="24" t="n"/>
      <c r="DM120" s="24" t="n"/>
      <c r="DN120" s="24" t="n"/>
      <c r="DO120" s="24" t="n"/>
      <c r="DP120" s="24" t="n"/>
      <c r="DQ120" s="24" t="n"/>
    </row>
    <row r="121" ht="36" customHeight="1">
      <c r="A121" s="24" t="inlineStr">
        <is>
          <t>88a552b48c194d28</t>
        </is>
      </c>
      <c r="B121" s="24" t="inlineStr">
        <is>
          <t>2026-09-04T04:36:43.885351Z</t>
        </is>
      </c>
      <c r="C121" s="24" t="inlineStr">
        <is>
          <t>2026-09-04T09:00:00Z</t>
        </is>
      </c>
      <c r="D121" s="24" t="inlineStr">
        <is>
          <t>99154</t>
        </is>
      </c>
      <c r="E121" s="24" t="inlineStr">
        <is>
          <t>NPB</t>
        </is>
      </c>
      <c r="F121" s="24" t="inlineStr">
        <is>
          <t>Saitama Seibu Lions</t>
        </is>
      </c>
      <c r="G121" s="24" t="inlineStr">
        <is>
          <t>Fukuoka SoftBank Hawks</t>
        </is>
      </c>
      <c r="H121" s="24" t="inlineStr">
        <is>
          <t>moneyline</t>
        </is>
      </c>
      <c r="I121" s="24" t="inlineStr">
        <is>
          <t>home</t>
        </is>
      </c>
      <c r="J121" s="25" t="n"/>
      <c r="K121" s="24" t="inlineStr">
        <is>
          <t>polymarket_us</t>
        </is>
      </c>
      <c r="L121" s="26" t="n">
        <v>-213</v>
      </c>
      <c r="M121" s="27" t="n">
        <v>1.469484</v>
      </c>
      <c r="N121" s="28" t="n">
        <v>0.680511</v>
      </c>
      <c r="O121" s="28" t="n">
        <v>0.603173</v>
      </c>
      <c r="P121" s="28" t="n"/>
      <c r="Q121" s="28" t="n">
        <v>-0.077338</v>
      </c>
      <c r="R121" s="26" t="n">
        <v>0</v>
      </c>
      <c r="S121" s="29" t="n">
        <v>1</v>
      </c>
      <c r="T121" s="24" t="inlineStr">
        <is>
          <t>npb-tie-aware-elo-v2</t>
        </is>
      </c>
      <c r="U121" s="24" t="inlineStr">
        <is>
          <t>settled</t>
        </is>
      </c>
      <c r="V121" s="24" t="inlineStr">
        <is>
          <t>win</t>
        </is>
      </c>
      <c r="W121" s="26" t="n">
        <v>2</v>
      </c>
      <c r="X121" s="26" t="n">
        <v>8</v>
      </c>
      <c r="Y121" s="25" t="n"/>
      <c r="Z121" s="26" t="n">
        <v>-213</v>
      </c>
      <c r="AA121" s="28" t="n">
        <v>0.68</v>
      </c>
      <c r="AB121" s="28" t="n">
        <v>-0.000511</v>
      </c>
      <c r="AC121" s="30" t="n">
        <v>0.4695</v>
      </c>
      <c r="AD121" s="24" t="inlineStr">
        <is>
          <t>2026-09-04T22:01:26.132975Z</t>
        </is>
      </c>
      <c r="AE121" s="31" t="inlineStr">
        <is>
          <t>Tie-aware Elo baseline; executable ask 0.6800 (market_slug=aec-npb-fsh-ssl-2026-09-04). Tie probability=0.0270.</t>
        </is>
      </c>
      <c r="AF121" s="31" t="inlineStr">
        <is>
          <t>Config-promoted international baseball baseline; gates enforced at log time.</t>
        </is>
      </c>
      <c r="AG121" s="24" t="inlineStr">
        <is>
          <t>not_applicable</t>
        </is>
      </c>
      <c r="AH121" s="24" t="n"/>
      <c r="AI121" s="31" t="n"/>
      <c r="AJ121" s="31" t="n"/>
      <c r="AK121" s="24" t="inlineStr">
        <is>
          <t>paper_call</t>
        </is>
      </c>
      <c r="AL121" s="26" t="n">
        <v>4</v>
      </c>
      <c r="AM121" s="24" t="inlineStr">
        <is>
          <t>RESEARCH_OBSERVATION</t>
        </is>
      </c>
      <c r="AN121" s="24" t="inlineStr">
        <is>
          <t>CALL</t>
        </is>
      </c>
      <c r="AO121" s="24" t="inlineStr">
        <is>
          <t>PAPER_CALL_LOW_EDGE</t>
        </is>
      </c>
      <c r="AP121" s="24" t="inlineStr">
        <is>
          <t>Saitama Seibu Lions</t>
        </is>
      </c>
      <c r="AQ121" s="24" t="inlineStr">
        <is>
          <t>Saitama Seibu Lions</t>
        </is>
      </c>
      <c r="AR121" s="24" t="inlineStr">
        <is>
          <t>Saitama Seibu Lions</t>
        </is>
      </c>
      <c r="AS121" s="24" t="inlineStr">
        <is>
          <t>Fukuoka SoftBank Hawks</t>
        </is>
      </c>
      <c r="AT121" s="24" t="inlineStr">
        <is>
          <t>Fukuoka SoftBank Hawks</t>
        </is>
      </c>
      <c r="AU121" s="24" t="inlineStr">
        <is>
          <t>Fukuoka SoftBank Hawks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e0ca013f87123b197e73aed9180176bafa5f03eb48dc2d95c5d296c540bfb33e</t>
        </is>
      </c>
      <c r="BB121" s="24" t="inlineStr">
        <is>
          <t>tie_aware_elo</t>
        </is>
      </c>
      <c r="BC121" s="24" t="inlineStr">
        <is>
          <t>npb-tie-aware-elo-v2</t>
        </is>
      </c>
      <c r="BD121" s="24" t="inlineStr">
        <is>
          <t>e0ca013f87123b197e73aed9180176bafa5f03eb48dc2d95c5d296c540bfb33e</t>
        </is>
      </c>
      <c r="BE121" s="24" t="inlineStr">
        <is>
          <t>1</t>
        </is>
      </c>
      <c r="BF121" s="24" t="inlineStr">
        <is>
          <t>1</t>
        </is>
      </c>
      <c r="BG121" s="24" t="inlineStr">
        <is>
          <t>npb-tie-aware-elo-v2</t>
        </is>
      </c>
      <c r="BH121" s="24" t="inlineStr">
        <is>
          <t>2026-09-04T04:36:43.885314Z</t>
        </is>
      </c>
      <c r="BI121" s="24" t="inlineStr">
        <is>
          <t>["same_event","same_team_same_day","same_league_same_day"]</t>
        </is>
      </c>
      <c r="BJ121" s="25" t="n"/>
      <c r="BK121" s="26" t="n">
        <v>-213</v>
      </c>
      <c r="BL121" s="27" t="n">
        <v>1.469484</v>
      </c>
      <c r="BM121" s="28" t="n">
        <v>0.680511</v>
      </c>
      <c r="BN121" s="28" t="n"/>
      <c r="BO121" s="28" t="n"/>
      <c r="BP121" s="25" t="n"/>
      <c r="BQ121" s="27" t="n">
        <v>1.469484</v>
      </c>
      <c r="BR121" s="28" t="n">
        <v>0.68</v>
      </c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inlineStr">
        <is>
          <t>False</t>
        </is>
      </c>
      <c r="CT121" s="24" t="n"/>
      <c r="CU121" s="24" t="n"/>
      <c r="CV121" s="24" t="n"/>
      <c r="CW121" s="24" t="n"/>
      <c r="CX121" s="24" t="n"/>
      <c r="CY121" s="24" t="n"/>
      <c r="CZ121" s="24" t="n"/>
      <c r="DA121" s="24" t="n"/>
      <c r="DB121" s="24" t="n"/>
      <c r="DC121" s="24" t="n"/>
      <c r="DD121" s="24" t="n"/>
      <c r="DE121" s="24" t="n"/>
      <c r="DF121" s="24" t="n"/>
      <c r="DG121" s="24" t="n"/>
      <c r="DH121" s="24" t="n"/>
      <c r="DI121" s="24" t="n"/>
      <c r="DJ121" s="24" t="inlineStr">
        <is>
          <t>0.680511</t>
        </is>
      </c>
      <c r="DK121" s="24" t="n"/>
      <c r="DL121" s="24" t="n"/>
      <c r="DM121" s="24" t="n"/>
      <c r="DN121" s="24" t="n"/>
      <c r="DO121" s="24" t="n"/>
      <c r="DP121" s="24" t="n"/>
      <c r="DQ121" s="24" t="n"/>
    </row>
    <row r="122" ht="36" customHeight="1">
      <c r="A122" s="24" t="inlineStr">
        <is>
          <t>88dda67d19a944fb</t>
        </is>
      </c>
      <c r="B122" s="24" t="inlineStr">
        <is>
          <t>2026-09-05T04:43:52.232153Z</t>
        </is>
      </c>
      <c r="C122" s="24" t="inlineStr">
        <is>
          <t>2026-09-05T05:00:00Z</t>
        </is>
      </c>
      <c r="D122" s="24" t="inlineStr">
        <is>
          <t>100069</t>
        </is>
      </c>
      <c r="E122" s="24" t="inlineStr">
        <is>
          <t>NPB</t>
        </is>
      </c>
      <c r="F122" s="24" t="inlineStr">
        <is>
          <t>Saitama Seibu Lions</t>
        </is>
      </c>
      <c r="G122" s="24" t="inlineStr">
        <is>
          <t>Fukuoka SoftBank Hawks</t>
        </is>
      </c>
      <c r="H122" s="24" t="inlineStr">
        <is>
          <t>moneyline</t>
        </is>
      </c>
      <c r="I122" s="24" t="inlineStr">
        <is>
          <t>home</t>
        </is>
      </c>
      <c r="J122" s="25" t="n"/>
      <c r="K122" s="24" t="inlineStr">
        <is>
          <t>polymarket_us</t>
        </is>
      </c>
      <c r="L122" s="26" t="n">
        <v>-138</v>
      </c>
      <c r="M122" s="27" t="n">
        <v>1.724638</v>
      </c>
      <c r="N122" s="28" t="n">
        <v>0.579832</v>
      </c>
      <c r="O122" s="28" t="n">
        <v>0.6184770000000001</v>
      </c>
      <c r="P122" s="28" t="n"/>
      <c r="Q122" s="28" t="n">
        <v>0.038645</v>
      </c>
      <c r="R122" s="26" t="n">
        <v>39</v>
      </c>
      <c r="S122" s="29" t="n">
        <v>1</v>
      </c>
      <c r="T122" s="24" t="inlineStr">
        <is>
          <t>npb-tie-aware-elo-v2</t>
        </is>
      </c>
      <c r="U122" s="24" t="inlineStr">
        <is>
          <t>settled</t>
        </is>
      </c>
      <c r="V122" s="24" t="inlineStr">
        <is>
          <t>win</t>
        </is>
      </c>
      <c r="W122" s="26" t="n">
        <v>0</v>
      </c>
      <c r="X122" s="26" t="n">
        <v>2</v>
      </c>
      <c r="Y122" s="25" t="n"/>
      <c r="Z122" s="26" t="n">
        <v>-138</v>
      </c>
      <c r="AA122" s="28" t="n">
        <v>0.58</v>
      </c>
      <c r="AB122" s="28" t="n">
        <v>0.000168</v>
      </c>
      <c r="AC122" s="30" t="n">
        <v>0.7246</v>
      </c>
      <c r="AD122" s="24" t="inlineStr">
        <is>
          <t>2026-09-05T22:01:29.406111Z</t>
        </is>
      </c>
      <c r="AE122" s="31" t="inlineStr">
        <is>
          <t>Tie-aware Elo baseline; executable ask 0.5800 (market_slug=aec-npb-fsh-ssl-2026-09-05). Tie probability=0.0258.</t>
        </is>
      </c>
      <c r="AF122" s="31" t="inlineStr">
        <is>
          <t>Config-promoted international baseball baseline; gates enforced at log time.</t>
        </is>
      </c>
      <c r="AG122" s="24" t="inlineStr">
        <is>
          <t>not_applicable</t>
        </is>
      </c>
      <c r="AH122" s="24" t="n"/>
      <c r="AI122" s="31" t="n"/>
      <c r="AJ122" s="31" t="n"/>
      <c r="AK122" s="24" t="inlineStr">
        <is>
          <t>model_qualified</t>
        </is>
      </c>
      <c r="AL122" s="26" t="n">
        <v>4</v>
      </c>
      <c r="AM122" s="24" t="inlineStr">
        <is>
          <t>QUALIFIED_SHADOW_CALL</t>
        </is>
      </c>
      <c r="AN122" s="24" t="inlineStr">
        <is>
          <t>CALL</t>
        </is>
      </c>
      <c r="AO122" s="24" t="inlineStr">
        <is>
          <t>QUALIFIED</t>
        </is>
      </c>
      <c r="AP122" s="24" t="inlineStr">
        <is>
          <t>Saitama Seibu Lions</t>
        </is>
      </c>
      <c r="AQ122" s="24" t="inlineStr">
        <is>
          <t>Saitama Seibu Lions</t>
        </is>
      </c>
      <c r="AR122" s="24" t="inlineStr">
        <is>
          <t>Saitama Seibu Lions</t>
        </is>
      </c>
      <c r="AS122" s="24" t="inlineStr">
        <is>
          <t>Fukuoka SoftBank Hawks</t>
        </is>
      </c>
      <c r="AT122" s="24" t="inlineStr">
        <is>
          <t>Fukuoka SoftBank Hawks</t>
        </is>
      </c>
      <c r="AU122" s="24" t="inlineStr">
        <is>
          <t>Fukuoka SoftBank Hawks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78517fda94553755c74b56e3cbaeec8333e9efb624b5a976e2ebae0e329ccea3</t>
        </is>
      </c>
      <c r="BB122" s="24" t="inlineStr">
        <is>
          <t>tie_aware_elo</t>
        </is>
      </c>
      <c r="BC122" s="24" t="inlineStr">
        <is>
          <t>npb-tie-aware-elo-v2</t>
        </is>
      </c>
      <c r="BD122" s="24" t="inlineStr">
        <is>
          <t>78517fda94553755c74b56e3cbaeec8333e9efb624b5a976e2ebae0e329ccea3</t>
        </is>
      </c>
      <c r="BE122" s="24" t="inlineStr">
        <is>
          <t>1</t>
        </is>
      </c>
      <c r="BF122" s="24" t="inlineStr">
        <is>
          <t>1</t>
        </is>
      </c>
      <c r="BG122" s="24" t="inlineStr">
        <is>
          <t>npb-tie-aware-elo-v2</t>
        </is>
      </c>
      <c r="BH122" s="24" t="inlineStr">
        <is>
          <t>2026-09-05T04:43:51.491714Z</t>
        </is>
      </c>
      <c r="BI122" s="24" t="inlineStr">
        <is>
          <t>["same_event","same_team_same_day","same_league_same_day"]</t>
        </is>
      </c>
      <c r="BJ122" s="25" t="n"/>
      <c r="BK122" s="26" t="n">
        <v>-138</v>
      </c>
      <c r="BL122" s="27" t="n">
        <v>1.724638</v>
      </c>
      <c r="BM122" s="28" t="n">
        <v>0.579832</v>
      </c>
      <c r="BN122" s="28" t="n"/>
      <c r="BO122" s="28" t="n"/>
      <c r="BP122" s="25" t="n"/>
      <c r="BQ122" s="27" t="n">
        <v>1.724638</v>
      </c>
      <c r="BR122" s="28" t="n">
        <v>0.58</v>
      </c>
      <c r="BS122" s="28" t="n"/>
      <c r="BT122" s="28" t="n"/>
      <c r="BU122" s="25" t="n"/>
      <c r="BV122" s="29" t="n"/>
      <c r="BW122" s="24" t="n"/>
      <c r="BX122" s="30" t="n"/>
      <c r="BY122" s="27" t="n"/>
      <c r="BZ122" s="24" t="n"/>
      <c r="CA122" s="31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inlineStr">
        <is>
          <t>True</t>
        </is>
      </c>
      <c r="CT122" s="24" t="n"/>
      <c r="CU122" s="24" t="n"/>
      <c r="CV122" s="24" t="n"/>
      <c r="CW122" s="24" t="n"/>
      <c r="CX122" s="24" t="n"/>
      <c r="CY122" s="24" t="n"/>
      <c r="CZ122" s="24" t="n"/>
      <c r="DA122" s="24" t="n"/>
      <c r="DB122" s="24" t="n"/>
      <c r="DC122" s="24" t="n"/>
      <c r="DD122" s="24" t="n"/>
      <c r="DE122" s="24" t="n"/>
      <c r="DF122" s="24" t="n"/>
      <c r="DG122" s="24" t="n"/>
      <c r="DH122" s="24" t="n"/>
      <c r="DI122" s="24" t="n"/>
      <c r="DJ122" s="24" t="inlineStr">
        <is>
          <t>0.579832</t>
        </is>
      </c>
      <c r="DK122" s="24" t="n"/>
      <c r="DL122" s="24" t="n"/>
      <c r="DM122" s="24" t="n"/>
      <c r="DN122" s="24" t="n"/>
      <c r="DO122" s="24" t="n"/>
      <c r="DP122" s="24" t="n"/>
      <c r="DQ122" s="24" t="n"/>
    </row>
    <row r="123" ht="36" customHeight="1">
      <c r="A123" s="24" t="inlineStr">
        <is>
          <t>4f798c5ff31b4dd5</t>
        </is>
      </c>
      <c r="B123" s="24" t="inlineStr">
        <is>
          <t>2026-09-05T04:43:52.232153Z</t>
        </is>
      </c>
      <c r="C123" s="24" t="inlineStr">
        <is>
          <t>2026-09-05T05:00:00Z</t>
        </is>
      </c>
      <c r="D123" s="24" t="inlineStr">
        <is>
          <t>100068</t>
        </is>
      </c>
      <c r="E123" s="24" t="inlineStr">
        <is>
          <t>NPB</t>
        </is>
      </c>
      <c r="F123" s="24" t="inlineStr">
        <is>
          <t>Chiba Lotte Marines</t>
        </is>
      </c>
      <c r="G123" s="24" t="inlineStr">
        <is>
          <t>Orix Buffaloes</t>
        </is>
      </c>
      <c r="H123" s="24" t="inlineStr">
        <is>
          <t>moneyline</t>
        </is>
      </c>
      <c r="I123" s="24" t="inlineStr">
        <is>
          <t>home</t>
        </is>
      </c>
      <c r="J123" s="25" t="n"/>
      <c r="K123" s="24" t="inlineStr">
        <is>
          <t>polymarket_us</t>
        </is>
      </c>
      <c r="L123" s="26" t="n">
        <v>-133</v>
      </c>
      <c r="M123" s="27" t="n">
        <v>1.75188</v>
      </c>
      <c r="N123" s="28" t="n">
        <v>0.570815</v>
      </c>
      <c r="O123" s="28" t="n">
        <v>0.531774</v>
      </c>
      <c r="P123" s="28" t="n"/>
      <c r="Q123" s="28" t="n">
        <v>-0.039041</v>
      </c>
      <c r="R123" s="26" t="n">
        <v>0</v>
      </c>
      <c r="S123" s="29" t="n">
        <v>1</v>
      </c>
      <c r="T123" s="24" t="inlineStr">
        <is>
          <t>npb-tie-aware-elo-v2</t>
        </is>
      </c>
      <c r="U123" s="24" t="inlineStr">
        <is>
          <t>settled</t>
        </is>
      </c>
      <c r="V123" s="24" t="inlineStr">
        <is>
          <t>win</t>
        </is>
      </c>
      <c r="W123" s="26" t="n">
        <v>6</v>
      </c>
      <c r="X123" s="26" t="n">
        <v>7</v>
      </c>
      <c r="Y123" s="25" t="n"/>
      <c r="Z123" s="26" t="n">
        <v>-133</v>
      </c>
      <c r="AA123" s="28" t="n">
        <v>0.57</v>
      </c>
      <c r="AB123" s="28" t="n">
        <v>-0.000815</v>
      </c>
      <c r="AC123" s="30" t="n">
        <v>0.7519</v>
      </c>
      <c r="AD123" s="24" t="inlineStr">
        <is>
          <t>2026-09-05T22:01:29.602172Z</t>
        </is>
      </c>
      <c r="AE123" s="31" t="inlineStr">
        <is>
          <t>Tie-aware Elo baseline; executable ask 0.5700 (market_slug=aec-npb-obr-clm-2026-09-05). Tie probability=0.0335.</t>
        </is>
      </c>
      <c r="AF123" s="31" t="inlineStr">
        <is>
          <t>Config-promoted international baseball baseline; gates enforced at log time.</t>
        </is>
      </c>
      <c r="AG123" s="24" t="inlineStr">
        <is>
          <t>not_applicable</t>
        </is>
      </c>
      <c r="AH123" s="24" t="n"/>
      <c r="AI123" s="31" t="n"/>
      <c r="AJ123" s="31" t="n"/>
      <c r="AK123" s="24" t="inlineStr">
        <is>
          <t>paper_call</t>
        </is>
      </c>
      <c r="AL123" s="26" t="n">
        <v>4</v>
      </c>
      <c r="AM123" s="24" t="inlineStr">
        <is>
          <t>RESEARCH_OBSERVATION</t>
        </is>
      </c>
      <c r="AN123" s="24" t="inlineStr">
        <is>
          <t>CALL</t>
        </is>
      </c>
      <c r="AO123" s="24" t="inlineStr">
        <is>
          <t>PAPER_CALL_LOW_EDGE</t>
        </is>
      </c>
      <c r="AP123" s="24" t="inlineStr">
        <is>
          <t>Chiba Lotte Marines</t>
        </is>
      </c>
      <c r="AQ123" s="24" t="inlineStr">
        <is>
          <t>Chiba Lotte Marines</t>
        </is>
      </c>
      <c r="AR123" s="24" t="inlineStr">
        <is>
          <t>Chiba Lotte Marines</t>
        </is>
      </c>
      <c r="AS123" s="24" t="inlineStr">
        <is>
          <t>Orix Buffaloes</t>
        </is>
      </c>
      <c r="AT123" s="24" t="inlineStr">
        <is>
          <t>Orix Buffaloes</t>
        </is>
      </c>
      <c r="AU123" s="24" t="inlineStr">
        <is>
          <t>Orix Buffaloes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78517fda94553755c74b56e3cbaeec8333e9efb624b5a976e2ebae0e329ccea3</t>
        </is>
      </c>
      <c r="BB123" s="24" t="inlineStr">
        <is>
          <t>tie_aware_elo</t>
        </is>
      </c>
      <c r="BC123" s="24" t="inlineStr">
        <is>
          <t>npb-tie-aware-elo-v2</t>
        </is>
      </c>
      <c r="BD123" s="24" t="inlineStr">
        <is>
          <t>78517fda94553755c74b56e3cbaeec8333e9efb624b5a976e2ebae0e329ccea3</t>
        </is>
      </c>
      <c r="BE123" s="24" t="inlineStr">
        <is>
          <t>1</t>
        </is>
      </c>
      <c r="BF123" s="24" t="inlineStr">
        <is>
          <t>1</t>
        </is>
      </c>
      <c r="BG123" s="24" t="inlineStr">
        <is>
          <t>npb-tie-aware-elo-v2</t>
        </is>
      </c>
      <c r="BH123" s="24" t="inlineStr">
        <is>
          <t>2026-09-05T04:43:51.549712Z</t>
        </is>
      </c>
      <c r="BI123" s="24" t="inlineStr">
        <is>
          <t>["same_event","same_team_same_day","same_league_same_day"]</t>
        </is>
      </c>
      <c r="BJ123" s="25" t="n"/>
      <c r="BK123" s="26" t="n">
        <v>-133</v>
      </c>
      <c r="BL123" s="27" t="n">
        <v>1.75188</v>
      </c>
      <c r="BM123" s="28" t="n">
        <v>0.570815</v>
      </c>
      <c r="BN123" s="28" t="n"/>
      <c r="BO123" s="28" t="n"/>
      <c r="BP123" s="25" t="n"/>
      <c r="BQ123" s="27" t="n">
        <v>1.75188</v>
      </c>
      <c r="BR123" s="28" t="n">
        <v>0.57</v>
      </c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  <c r="CR123" s="24" t="n"/>
      <c r="CS123" s="24" t="inlineStr">
        <is>
          <t>False</t>
        </is>
      </c>
      <c r="CT123" s="24" t="n"/>
      <c r="CU123" s="24" t="n"/>
      <c r="CV123" s="24" t="n"/>
      <c r="CW123" s="24" t="n"/>
      <c r="CX123" s="24" t="n"/>
      <c r="CY123" s="24" t="n"/>
      <c r="CZ123" s="24" t="n"/>
      <c r="DA123" s="24" t="n"/>
      <c r="DB123" s="24" t="n"/>
      <c r="DC123" s="24" t="n"/>
      <c r="DD123" s="24" t="n"/>
      <c r="DE123" s="24" t="n"/>
      <c r="DF123" s="24" t="n"/>
      <c r="DG123" s="24" t="n"/>
      <c r="DH123" s="24" t="n"/>
      <c r="DI123" s="24" t="n"/>
      <c r="DJ123" s="24" t="inlineStr">
        <is>
          <t>0.570815</t>
        </is>
      </c>
      <c r="DK123" s="24" t="n"/>
      <c r="DL123" s="24" t="n"/>
      <c r="DM123" s="24" t="n"/>
      <c r="DN123" s="24" t="n"/>
      <c r="DO123" s="24" t="n"/>
      <c r="DP123" s="24" t="n"/>
      <c r="DQ123" s="24" t="n"/>
    </row>
    <row r="124" ht="36" customHeight="1">
      <c r="A124" s="24" t="inlineStr">
        <is>
          <t>30f9df10800841c2</t>
        </is>
      </c>
      <c r="B124" s="24" t="inlineStr">
        <is>
          <t>2026-09-05T04:43:52.232153Z</t>
        </is>
      </c>
      <c r="C124" s="24" t="inlineStr">
        <is>
          <t>2026-09-05T09:00:00Z</t>
        </is>
      </c>
      <c r="D124" s="24" t="inlineStr">
        <is>
          <t>100193</t>
        </is>
      </c>
      <c r="E124" s="24" t="inlineStr">
        <is>
          <t>NPB</t>
        </is>
      </c>
      <c r="F124" s="24" t="inlineStr">
        <is>
          <t>Chunichi Dragons</t>
        </is>
      </c>
      <c r="G124" s="24" t="inlineStr">
        <is>
          <t>Tokyo Yakult Swallows</t>
        </is>
      </c>
      <c r="H124" s="24" t="inlineStr">
        <is>
          <t>moneyline</t>
        </is>
      </c>
      <c r="I124" s="24" t="inlineStr">
        <is>
          <t>away</t>
        </is>
      </c>
      <c r="J124" s="25" t="n"/>
      <c r="K124" s="24" t="inlineStr">
        <is>
          <t>polymarket_us</t>
        </is>
      </c>
      <c r="L124" s="26" t="n">
        <v>-133</v>
      </c>
      <c r="M124" s="27" t="n">
        <v>1.75188</v>
      </c>
      <c r="N124" s="28" t="n">
        <v>0.570815</v>
      </c>
      <c r="O124" s="28" t="n">
        <v>0.5046890000000001</v>
      </c>
      <c r="P124" s="28" t="n"/>
      <c r="Q124" s="28" t="n">
        <v>-0.066126</v>
      </c>
      <c r="R124" s="26" t="n">
        <v>0</v>
      </c>
      <c r="S124" s="29" t="n">
        <v>1</v>
      </c>
      <c r="T124" s="24" t="inlineStr">
        <is>
          <t>npb-tie-aware-elo-v2</t>
        </is>
      </c>
      <c r="U124" s="24" t="inlineStr">
        <is>
          <t>settled</t>
        </is>
      </c>
      <c r="V124" s="24" t="inlineStr">
        <is>
          <t>win</t>
        </is>
      </c>
      <c r="W124" s="26" t="n">
        <v>8</v>
      </c>
      <c r="X124" s="26" t="n">
        <v>4</v>
      </c>
      <c r="Y124" s="25" t="n"/>
      <c r="Z124" s="26" t="n">
        <v>-133</v>
      </c>
      <c r="AA124" s="28" t="n">
        <v>0.57</v>
      </c>
      <c r="AB124" s="28" t="n">
        <v>-0.000815</v>
      </c>
      <c r="AC124" s="30" t="n">
        <v>0.7519</v>
      </c>
      <c r="AD124" s="24" t="inlineStr">
        <is>
          <t>2026-09-05T22:01:29.721142Z</t>
        </is>
      </c>
      <c r="AE124" s="31" t="inlineStr">
        <is>
          <t>Tie-aware Elo baseline; executable ask 0.5700 (market_slug=aec-npb-tys-cdh-2026-09-05). Tie probability=0.0358.</t>
        </is>
      </c>
      <c r="AF124" s="31" t="inlineStr">
        <is>
          <t>Config-promoted international baseball baseline; gates enforced at log time.</t>
        </is>
      </c>
      <c r="AG124" s="24" t="inlineStr">
        <is>
          <t>not_applicable</t>
        </is>
      </c>
      <c r="AH124" s="24" t="n"/>
      <c r="AI124" s="31" t="n"/>
      <c r="AJ124" s="31" t="n"/>
      <c r="AK124" s="24" t="inlineStr">
        <is>
          <t>paper_call</t>
        </is>
      </c>
      <c r="AL124" s="26" t="n">
        <v>4</v>
      </c>
      <c r="AM124" s="24" t="inlineStr">
        <is>
          <t>RESEARCH_OBSERVATION</t>
        </is>
      </c>
      <c r="AN124" s="24" t="inlineStr">
        <is>
          <t>CALL</t>
        </is>
      </c>
      <c r="AO124" s="24" t="inlineStr">
        <is>
          <t>PAPER_CALL_LOW_EDGE</t>
        </is>
      </c>
      <c r="AP124" s="24" t="inlineStr">
        <is>
          <t>Chunichi Dragons</t>
        </is>
      </c>
      <c r="AQ124" s="24" t="inlineStr">
        <is>
          <t>Chunichi Dragons</t>
        </is>
      </c>
      <c r="AR124" s="24" t="inlineStr">
        <is>
          <t>Chunichi Dragons</t>
        </is>
      </c>
      <c r="AS124" s="24" t="inlineStr">
        <is>
          <t>Tokyo Yakult Swallows</t>
        </is>
      </c>
      <c r="AT124" s="24" t="inlineStr">
        <is>
          <t>Tokyo Yakult Swallows</t>
        </is>
      </c>
      <c r="AU124" s="24" t="inlineStr">
        <is>
          <t>Tokyo Yakult Swallows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shadow_qualified</t>
        </is>
      </c>
      <c r="BA124" s="24" t="inlineStr">
        <is>
          <t>78517fda94553755c74b56e3cbaeec8333e9efb624b5a976e2ebae0e329ccea3</t>
        </is>
      </c>
      <c r="BB124" s="24" t="inlineStr">
        <is>
          <t>tie_aware_elo</t>
        </is>
      </c>
      <c r="BC124" s="24" t="inlineStr">
        <is>
          <t>npb-tie-aware-elo-v2</t>
        </is>
      </c>
      <c r="BD124" s="24" t="inlineStr">
        <is>
          <t>78517fda94553755c74b56e3cbaeec8333e9efb624b5a976e2ebae0e329ccea3</t>
        </is>
      </c>
      <c r="BE124" s="24" t="inlineStr">
        <is>
          <t>1</t>
        </is>
      </c>
      <c r="BF124" s="24" t="inlineStr">
        <is>
          <t>1</t>
        </is>
      </c>
      <c r="BG124" s="24" t="inlineStr">
        <is>
          <t>npb-tie-aware-elo-v2</t>
        </is>
      </c>
      <c r="BH124" s="24" t="inlineStr">
        <is>
          <t>2026-09-05T04:43:51.674107Z</t>
        </is>
      </c>
      <c r="BI124" s="24" t="inlineStr">
        <is>
          <t>["same_event","same_team_same_day","same_league_same_day"]</t>
        </is>
      </c>
      <c r="BJ124" s="25" t="n"/>
      <c r="BK124" s="26" t="n">
        <v>-133</v>
      </c>
      <c r="BL124" s="27" t="n">
        <v>1.75188</v>
      </c>
      <c r="BM124" s="28" t="n">
        <v>0.570815</v>
      </c>
      <c r="BN124" s="28" t="n"/>
      <c r="BO124" s="28" t="n"/>
      <c r="BP124" s="25" t="n"/>
      <c r="BQ124" s="27" t="n">
        <v>1.75188</v>
      </c>
      <c r="BR124" s="28" t="n">
        <v>0.57</v>
      </c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inlineStr">
        <is>
          <t>False</t>
        </is>
      </c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/>
      <c r="DH124" s="24" t="n"/>
      <c r="DI124" s="24" t="n"/>
      <c r="DJ124" s="24" t="inlineStr">
        <is>
          <t>0.570815</t>
        </is>
      </c>
      <c r="DK124" s="24" t="n"/>
      <c r="DL124" s="24" t="n"/>
      <c r="DM124" s="24" t="n"/>
      <c r="DN124" s="24" t="n"/>
      <c r="DO124" s="24" t="n"/>
      <c r="DP124" s="24" t="n"/>
      <c r="DQ124" s="24" t="n"/>
    </row>
    <row r="125" ht="36" customHeight="1">
      <c r="A125" s="24" t="inlineStr">
        <is>
          <t>bb2c0208697043d5</t>
        </is>
      </c>
      <c r="B125" s="24" t="inlineStr">
        <is>
          <t>2026-09-05T04:43:52.232153Z</t>
        </is>
      </c>
      <c r="C125" s="24" t="inlineStr">
        <is>
          <t>2026-09-05T09:00:00Z</t>
        </is>
      </c>
      <c r="D125" s="24" t="inlineStr">
        <is>
          <t>100194</t>
        </is>
      </c>
      <c r="E125" s="24" t="inlineStr">
        <is>
          <t>NPB</t>
        </is>
      </c>
      <c r="F125" s="24" t="inlineStr">
        <is>
          <t>Nippon Ham Fighters</t>
        </is>
      </c>
      <c r="G125" s="24" t="inlineStr">
        <is>
          <t>Tohoku Rakuten Golden Eagles</t>
        </is>
      </c>
      <c r="H125" s="24" t="inlineStr">
        <is>
          <t>moneyline</t>
        </is>
      </c>
      <c r="I125" s="24" t="inlineStr">
        <is>
          <t>away</t>
        </is>
      </c>
      <c r="J125" s="25" t="n"/>
      <c r="K125" s="24" t="inlineStr">
        <is>
          <t>polymarket_us</t>
        </is>
      </c>
      <c r="L125" s="26" t="n">
        <v>-122</v>
      </c>
      <c r="M125" s="27" t="n">
        <v>1.819672</v>
      </c>
      <c r="N125" s="28" t="n">
        <v>0.54955</v>
      </c>
      <c r="O125" s="28" t="n">
        <v>0.557633</v>
      </c>
      <c r="P125" s="28" t="n"/>
      <c r="Q125" s="28" t="n">
        <v>0.008083</v>
      </c>
      <c r="R125" s="26" t="n">
        <v>24</v>
      </c>
      <c r="S125" s="29" t="n">
        <v>1</v>
      </c>
      <c r="T125" s="24" t="inlineStr">
        <is>
          <t>npb-tie-aware-elo-v2</t>
        </is>
      </c>
      <c r="U125" s="24" t="inlineStr">
        <is>
          <t>settled</t>
        </is>
      </c>
      <c r="V125" s="24" t="inlineStr">
        <is>
          <t>win</t>
        </is>
      </c>
      <c r="W125" s="26" t="n">
        <v>5</v>
      </c>
      <c r="X125" s="26" t="n">
        <v>2</v>
      </c>
      <c r="Y125" s="25" t="n"/>
      <c r="Z125" s="26" t="n">
        <v>-122</v>
      </c>
      <c r="AA125" s="28" t="n">
        <v>0.55</v>
      </c>
      <c r="AB125" s="28" t="n">
        <v>0.00045</v>
      </c>
      <c r="AC125" s="30" t="n">
        <v>0.8197</v>
      </c>
      <c r="AD125" s="24" t="inlineStr">
        <is>
          <t>2026-09-05T22:01:29.839943Z</t>
        </is>
      </c>
      <c r="AE125" s="31" t="inlineStr">
        <is>
          <t>Tie-aware Elo baseline; executable ask 0.5500 (market_slug=aec-npb-trge-nhf-2026-09-05). Tie probability=0.0312.</t>
        </is>
      </c>
      <c r="AF125" s="31" t="inlineStr">
        <is>
          <t>Config-promoted international baseball baseline; gates enforced at log time.</t>
        </is>
      </c>
      <c r="AG125" s="24" t="inlineStr">
        <is>
          <t>not_applicable</t>
        </is>
      </c>
      <c r="AH125" s="24" t="n"/>
      <c r="AI125" s="31" t="n"/>
      <c r="AJ125" s="31" t="n"/>
      <c r="AK125" s="24" t="inlineStr">
        <is>
          <t>paper_call</t>
        </is>
      </c>
      <c r="AL125" s="26" t="n">
        <v>4</v>
      </c>
      <c r="AM125" s="24" t="inlineStr">
        <is>
          <t>RESEARCH_OBSERVATION</t>
        </is>
      </c>
      <c r="AN125" s="24" t="inlineStr">
        <is>
          <t>CALL</t>
        </is>
      </c>
      <c r="AO125" s="24" t="inlineStr">
        <is>
          <t>PAPER_CALL_LOW_EDGE</t>
        </is>
      </c>
      <c r="AP125" s="24" t="inlineStr">
        <is>
          <t>Nippon Ham Fighters</t>
        </is>
      </c>
      <c r="AQ125" s="24" t="inlineStr">
        <is>
          <t>Nippon Ham Fighters</t>
        </is>
      </c>
      <c r="AR125" s="24" t="inlineStr">
        <is>
          <t>Nippon Ham Fighters</t>
        </is>
      </c>
      <c r="AS125" s="24" t="inlineStr">
        <is>
          <t>Tohoku Rakuten Golden Eagles</t>
        </is>
      </c>
      <c r="AT125" s="24" t="inlineStr">
        <is>
          <t>Tohoku Rakuten Golden Eagles</t>
        </is>
      </c>
      <c r="AU125" s="24" t="inlineStr">
        <is>
          <t>Tohoku Rakuten Golden Eagles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shadow_qualified</t>
        </is>
      </c>
      <c r="BA125" s="24" t="inlineStr">
        <is>
          <t>78517fda94553755c74b56e3cbaeec8333e9efb624b5a976e2ebae0e329ccea3</t>
        </is>
      </c>
      <c r="BB125" s="24" t="inlineStr">
        <is>
          <t>tie_aware_elo</t>
        </is>
      </c>
      <c r="BC125" s="24" t="inlineStr">
        <is>
          <t>npb-tie-aware-elo-v2</t>
        </is>
      </c>
      <c r="BD125" s="24" t="inlineStr">
        <is>
          <t>78517fda94553755c74b56e3cbaeec8333e9efb624b5a976e2ebae0e329ccea3</t>
        </is>
      </c>
      <c r="BE125" s="24" t="inlineStr">
        <is>
          <t>1</t>
        </is>
      </c>
      <c r="BF125" s="24" t="inlineStr">
        <is>
          <t>1</t>
        </is>
      </c>
      <c r="BG125" s="24" t="inlineStr">
        <is>
          <t>npb-tie-aware-elo-v2</t>
        </is>
      </c>
      <c r="BH125" s="24" t="inlineStr">
        <is>
          <t>2026-09-05T04:43:51.779503Z</t>
        </is>
      </c>
      <c r="BI125" s="24" t="inlineStr">
        <is>
          <t>["same_event","same_team_same_day","same_league_same_day"]</t>
        </is>
      </c>
      <c r="BJ125" s="25" t="n"/>
      <c r="BK125" s="26" t="n">
        <v>-122</v>
      </c>
      <c r="BL125" s="27" t="n">
        <v>1.819672</v>
      </c>
      <c r="BM125" s="28" t="n">
        <v>0.54955</v>
      </c>
      <c r="BN125" s="28" t="n"/>
      <c r="BO125" s="28" t="n"/>
      <c r="BP125" s="25" t="n"/>
      <c r="BQ125" s="27" t="n">
        <v>1.819672</v>
      </c>
      <c r="BR125" s="28" t="n">
        <v>0.55</v>
      </c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inlineStr">
        <is>
          <t>True</t>
        </is>
      </c>
      <c r="CT125" s="24" t="n"/>
      <c r="CU125" s="24" t="n"/>
      <c r="CV125" s="24" t="n"/>
      <c r="CW125" s="24" t="n"/>
      <c r="CX125" s="24" t="n"/>
      <c r="CY125" s="24" t="n"/>
      <c r="CZ125" s="24" t="n"/>
      <c r="DA125" s="24" t="n"/>
      <c r="DB125" s="24" t="n"/>
      <c r="DC125" s="24" t="n"/>
      <c r="DD125" s="24" t="n"/>
      <c r="DE125" s="24" t="n"/>
      <c r="DF125" s="24" t="n"/>
      <c r="DG125" s="24" t="n"/>
      <c r="DH125" s="24" t="n"/>
      <c r="DI125" s="24" t="n"/>
      <c r="DJ125" s="24" t="inlineStr">
        <is>
          <t>0.54955</t>
        </is>
      </c>
      <c r="DK125" s="24" t="n"/>
      <c r="DL125" s="24" t="n"/>
      <c r="DM125" s="24" t="n"/>
      <c r="DN125" s="24" t="n"/>
      <c r="DO125" s="24" t="n"/>
      <c r="DP125" s="24" t="n"/>
      <c r="DQ125" s="24" t="n"/>
    </row>
    <row r="126" ht="36" customHeight="1">
      <c r="A126" s="24" t="inlineStr">
        <is>
          <t>5361e83c2ce44029</t>
        </is>
      </c>
      <c r="B126" s="24" t="inlineStr">
        <is>
          <t>2026-09-05T04:43:52.232153Z</t>
        </is>
      </c>
      <c r="C126" s="24" t="inlineStr">
        <is>
          <t>2026-09-05T09:00:00Z</t>
        </is>
      </c>
      <c r="D126" s="24" t="inlineStr">
        <is>
          <t>100191</t>
        </is>
      </c>
      <c r="E126" s="24" t="inlineStr">
        <is>
          <t>NPB</t>
        </is>
      </c>
      <c r="F126" s="24" t="inlineStr">
        <is>
          <t>Yomiuri Giants</t>
        </is>
      </c>
      <c r="G126" s="24" t="inlineStr">
        <is>
          <t>Hiroshima Carp</t>
        </is>
      </c>
      <c r="H126" s="24" t="inlineStr">
        <is>
          <t>moneyline</t>
        </is>
      </c>
      <c r="I126" s="24" t="inlineStr">
        <is>
          <t>away</t>
        </is>
      </c>
      <c r="J126" s="25" t="n"/>
      <c r="K126" s="24" t="inlineStr">
        <is>
          <t>polymarket_us</t>
        </is>
      </c>
      <c r="L126" s="26" t="n">
        <v>108</v>
      </c>
      <c r="M126" s="27" t="n">
        <v>2.08</v>
      </c>
      <c r="N126" s="28" t="n">
        <v>0.480769</v>
      </c>
      <c r="O126" s="28" t="n">
        <v>0.531243</v>
      </c>
      <c r="P126" s="28" t="n"/>
      <c r="Q126" s="28" t="n">
        <v>0.050474</v>
      </c>
      <c r="R126" s="26" t="n">
        <v>45</v>
      </c>
      <c r="S126" s="29" t="n">
        <v>1</v>
      </c>
      <c r="T126" s="24" t="inlineStr">
        <is>
          <t>npb-tie-aware-elo-v2</t>
        </is>
      </c>
      <c r="U126" s="24" t="inlineStr">
        <is>
          <t>settled</t>
        </is>
      </c>
      <c r="V126" s="24" t="inlineStr">
        <is>
          <t>win</t>
        </is>
      </c>
      <c r="W126" s="26" t="n">
        <v>10</v>
      </c>
      <c r="X126" s="26" t="n">
        <v>5</v>
      </c>
      <c r="Y126" s="25" t="n"/>
      <c r="Z126" s="26" t="n">
        <v>108</v>
      </c>
      <c r="AA126" s="28" t="n">
        <v>0.48</v>
      </c>
      <c r="AB126" s="28" t="n">
        <v>-0.000769</v>
      </c>
      <c r="AC126" s="30" t="n">
        <v>1.08</v>
      </c>
      <c r="AD126" s="24" t="inlineStr">
        <is>
          <t>2026-09-05T22:01:29.966424Z</t>
        </is>
      </c>
      <c r="AE126" s="31" t="inlineStr">
        <is>
          <t>Tie-aware Elo baseline; executable ask 0.4800 (market_slug=aec-npb-hci-ygo-2026-09-05). Tie probability=0.0335.</t>
        </is>
      </c>
      <c r="AF126" s="31" t="inlineStr">
        <is>
          <t>Config-promoted international baseball baseline; gates enforced at log time.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paper_call</t>
        </is>
      </c>
      <c r="AL126" s="26" t="n">
        <v>4</v>
      </c>
      <c r="AM126" s="24" t="inlineStr">
        <is>
          <t>RESEARCH_OBSERVATION</t>
        </is>
      </c>
      <c r="AN126" s="24" t="inlineStr">
        <is>
          <t>CALL</t>
        </is>
      </c>
      <c r="AO126" s="24" t="inlineStr">
        <is>
          <t>PAPER_CALL_LOW_EDGE</t>
        </is>
      </c>
      <c r="AP126" s="24" t="inlineStr">
        <is>
          <t>Yomiuri Giants</t>
        </is>
      </c>
      <c r="AQ126" s="24" t="inlineStr">
        <is>
          <t>Yomiuri Giants</t>
        </is>
      </c>
      <c r="AR126" s="24" t="inlineStr">
        <is>
          <t>Yomiuri Giants</t>
        </is>
      </c>
      <c r="AS126" s="24" t="inlineStr">
        <is>
          <t>Hiroshima Carp</t>
        </is>
      </c>
      <c r="AT126" s="24" t="inlineStr">
        <is>
          <t>Hiroshima Carp</t>
        </is>
      </c>
      <c r="AU126" s="24" t="inlineStr">
        <is>
          <t>Hiroshima Carp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shadow_qualified</t>
        </is>
      </c>
      <c r="BA126" s="24" t="inlineStr">
        <is>
          <t>78517fda94553755c74b56e3cbaeec8333e9efb624b5a976e2ebae0e329ccea3</t>
        </is>
      </c>
      <c r="BB126" s="24" t="inlineStr">
        <is>
          <t>tie_aware_elo</t>
        </is>
      </c>
      <c r="BC126" s="24" t="inlineStr">
        <is>
          <t>npb-tie-aware-elo-v2</t>
        </is>
      </c>
      <c r="BD126" s="24" t="inlineStr">
        <is>
          <t>78517fda94553755c74b56e3cbaeec8333e9efb624b5a976e2ebae0e329ccea3</t>
        </is>
      </c>
      <c r="BE126" s="24" t="inlineStr">
        <is>
          <t>1</t>
        </is>
      </c>
      <c r="BF126" s="24" t="inlineStr">
        <is>
          <t>1</t>
        </is>
      </c>
      <c r="BG126" s="24" t="inlineStr">
        <is>
          <t>npb-tie-aware-elo-v2</t>
        </is>
      </c>
      <c r="BH126" s="24" t="inlineStr">
        <is>
          <t>2026-09-05T04:43:51.834387Z</t>
        </is>
      </c>
      <c r="BI126" s="24" t="inlineStr">
        <is>
          <t>["same_event","same_team_same_day","same_league_same_day"]</t>
        </is>
      </c>
      <c r="BJ126" s="25" t="n"/>
      <c r="BK126" s="26" t="n">
        <v>108</v>
      </c>
      <c r="BL126" s="27" t="n">
        <v>2.08</v>
      </c>
      <c r="BM126" s="28" t="n">
        <v>0.480769</v>
      </c>
      <c r="BN126" s="28" t="n"/>
      <c r="BO126" s="28" t="n"/>
      <c r="BP126" s="25" t="n"/>
      <c r="BQ126" s="27" t="n">
        <v>2.08</v>
      </c>
      <c r="BR126" s="28" t="n">
        <v>0.48</v>
      </c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inlineStr">
        <is>
          <t>True</t>
        </is>
      </c>
      <c r="CT126" s="24" t="n"/>
      <c r="CU126" s="24" t="n"/>
      <c r="CV126" s="24" t="n"/>
      <c r="CW126" s="24" t="n"/>
      <c r="CX126" s="24" t="n"/>
      <c r="CY126" s="24" t="n"/>
      <c r="CZ126" s="24" t="n"/>
      <c r="DA126" s="24" t="n"/>
      <c r="DB126" s="24" t="n"/>
      <c r="DC126" s="24" t="n"/>
      <c r="DD126" s="24" t="n"/>
      <c r="DE126" s="24" t="n"/>
      <c r="DF126" s="24" t="n"/>
      <c r="DG126" s="24" t="n"/>
      <c r="DH126" s="24" t="n"/>
      <c r="DI126" s="24" t="n"/>
      <c r="DJ126" s="24" t="inlineStr">
        <is>
          <t>0.480769</t>
        </is>
      </c>
      <c r="DK126" s="24" t="n"/>
      <c r="DL126" s="24" t="n"/>
      <c r="DM126" s="24" t="n"/>
      <c r="DN126" s="24" t="n"/>
      <c r="DO126" s="24" t="n"/>
      <c r="DP126" s="24" t="n"/>
      <c r="DQ126" s="24" t="n"/>
    </row>
    <row r="127" ht="36" customHeight="1">
      <c r="A127" s="24" t="inlineStr">
        <is>
          <t>bef8f41cb685484a</t>
        </is>
      </c>
      <c r="B127" s="24" t="inlineStr">
        <is>
          <t>2026-09-05T04:43:52.232153Z</t>
        </is>
      </c>
      <c r="C127" s="24" t="inlineStr">
        <is>
          <t>2026-09-05T09:00:00Z</t>
        </is>
      </c>
      <c r="D127" s="24" t="inlineStr">
        <is>
          <t>100192</t>
        </is>
      </c>
      <c r="E127" s="24" t="inlineStr">
        <is>
          <t>NPB</t>
        </is>
      </c>
      <c r="F127" s="24" t="inlineStr">
        <is>
          <t>Yokohama BayStars</t>
        </is>
      </c>
      <c r="G127" s="24" t="inlineStr">
        <is>
          <t>Hanshin Tigers</t>
        </is>
      </c>
      <c r="H127" s="24" t="inlineStr">
        <is>
          <t>moneyline</t>
        </is>
      </c>
      <c r="I127" s="24" t="inlineStr">
        <is>
          <t>home</t>
        </is>
      </c>
      <c r="J127" s="25" t="n"/>
      <c r="K127" s="24" t="inlineStr">
        <is>
          <t>polymarket_us</t>
        </is>
      </c>
      <c r="L127" s="26" t="n">
        <v>-170</v>
      </c>
      <c r="M127" s="27" t="n">
        <v>1.588235</v>
      </c>
      <c r="N127" s="28" t="n">
        <v>0.62963</v>
      </c>
      <c r="O127" s="28" t="n">
        <v>0.607515</v>
      </c>
      <c r="P127" s="28" t="n"/>
      <c r="Q127" s="28" t="n">
        <v>-0.022115</v>
      </c>
      <c r="R127" s="26" t="n">
        <v>9</v>
      </c>
      <c r="S127" s="29" t="n">
        <v>1</v>
      </c>
      <c r="T127" s="24" t="inlineStr">
        <is>
          <t>npb-tie-aware-elo-v2</t>
        </is>
      </c>
      <c r="U127" s="24" t="inlineStr">
        <is>
          <t>settled</t>
        </is>
      </c>
      <c r="V127" s="24" t="inlineStr">
        <is>
          <t>loss</t>
        </is>
      </c>
      <c r="W127" s="26" t="n">
        <v>3</v>
      </c>
      <c r="X127" s="26" t="n">
        <v>2</v>
      </c>
      <c r="Y127" s="25" t="n"/>
      <c r="Z127" s="26" t="n">
        <v>-170</v>
      </c>
      <c r="AA127" s="28" t="n">
        <v>0.63</v>
      </c>
      <c r="AB127" s="28" t="n">
        <v>0.00037</v>
      </c>
      <c r="AC127" s="30" t="n">
        <v>-1</v>
      </c>
      <c r="AD127" s="24" t="inlineStr">
        <is>
          <t>2026-09-05T22:01:30.086017Z</t>
        </is>
      </c>
      <c r="AE127" s="31" t="inlineStr">
        <is>
          <t>Tie-aware Elo baseline; executable ask 0.6300 (market_slug=aec-npb-hta-ybo-2026-09-05). Tie probability=0.0268.</t>
        </is>
      </c>
      <c r="AF127" s="31" t="inlineStr">
        <is>
          <t>Config-promoted international baseball baseline; gates enforced at log time.</t>
        </is>
      </c>
      <c r="AG127" s="24" t="inlineStr">
        <is>
          <t>review_required</t>
        </is>
      </c>
      <c r="AH127" s="24" t="n"/>
      <c r="AI127" s="31" t="n"/>
      <c r="AJ127" s="31" t="n"/>
      <c r="AK127" s="24" t="inlineStr">
        <is>
          <t>paper_call</t>
        </is>
      </c>
      <c r="AL127" s="26" t="n">
        <v>4</v>
      </c>
      <c r="AM127" s="24" t="inlineStr">
        <is>
          <t>RESEARCH_OBSERVATION</t>
        </is>
      </c>
      <c r="AN127" s="24" t="inlineStr">
        <is>
          <t>CALL</t>
        </is>
      </c>
      <c r="AO127" s="24" t="inlineStr">
        <is>
          <t>PAPER_CALL_LOW_EDGE</t>
        </is>
      </c>
      <c r="AP127" s="24" t="inlineStr">
        <is>
          <t>Yokohama BayStars</t>
        </is>
      </c>
      <c r="AQ127" s="24" t="inlineStr">
        <is>
          <t>Yokohama BayStars</t>
        </is>
      </c>
      <c r="AR127" s="24" t="inlineStr">
        <is>
          <t>Yokohama BayStars</t>
        </is>
      </c>
      <c r="AS127" s="24" t="inlineStr">
        <is>
          <t>Hanshin Tigers</t>
        </is>
      </c>
      <c r="AT127" s="24" t="inlineStr">
        <is>
          <t>Hanshin Tigers</t>
        </is>
      </c>
      <c r="AU127" s="24" t="inlineStr">
        <is>
          <t>Hanshin Tigers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shadow_qualified</t>
        </is>
      </c>
      <c r="BA127" s="24" t="inlineStr">
        <is>
          <t>78517fda94553755c74b56e3cbaeec8333e9efb624b5a976e2ebae0e329ccea3</t>
        </is>
      </c>
      <c r="BB127" s="24" t="inlineStr">
        <is>
          <t>tie_aware_elo</t>
        </is>
      </c>
      <c r="BC127" s="24" t="inlineStr">
        <is>
          <t>npb-tie-aware-elo-v2</t>
        </is>
      </c>
      <c r="BD127" s="24" t="inlineStr">
        <is>
          <t>78517fda94553755c74b56e3cbaeec8333e9efb624b5a976e2ebae0e329ccea3</t>
        </is>
      </c>
      <c r="BE127" s="24" t="inlineStr">
        <is>
          <t>1</t>
        </is>
      </c>
      <c r="BF127" s="24" t="inlineStr">
        <is>
          <t>1</t>
        </is>
      </c>
      <c r="BG127" s="24" t="inlineStr">
        <is>
          <t>npb-tie-aware-elo-v2</t>
        </is>
      </c>
      <c r="BH127" s="24" t="inlineStr">
        <is>
          <t>2026-09-05T04:43:52.232103Z</t>
        </is>
      </c>
      <c r="BI127" s="24" t="inlineStr">
        <is>
          <t>["same_event","same_team_same_day","same_league_same_day"]</t>
        </is>
      </c>
      <c r="BJ127" s="25" t="n"/>
      <c r="BK127" s="26" t="n">
        <v>-170</v>
      </c>
      <c r="BL127" s="27" t="n">
        <v>1.588235</v>
      </c>
      <c r="BM127" s="28" t="n">
        <v>0.62963</v>
      </c>
      <c r="BN127" s="28" t="n"/>
      <c r="BO127" s="28" t="n"/>
      <c r="BP127" s="25" t="n"/>
      <c r="BQ127" s="27" t="n">
        <v>1.588235</v>
      </c>
      <c r="BR127" s="28" t="n">
        <v>0.63</v>
      </c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inlineStr">
        <is>
          <t>False</t>
        </is>
      </c>
      <c r="CT127" s="24" t="n"/>
      <c r="CU127" s="24" t="n"/>
      <c r="CV127" s="24" t="n"/>
      <c r="CW127" s="24" t="n"/>
      <c r="CX127" s="24" t="n"/>
      <c r="CY127" s="24" t="n"/>
      <c r="CZ127" s="24" t="n"/>
      <c r="DA127" s="24" t="n"/>
      <c r="DB127" s="24" t="n"/>
      <c r="DC127" s="24" t="n"/>
      <c r="DD127" s="24" t="n"/>
      <c r="DE127" s="24" t="n"/>
      <c r="DF127" s="24" t="n"/>
      <c r="DG127" s="24" t="n"/>
      <c r="DH127" s="24" t="n"/>
      <c r="DI127" s="24" t="n"/>
      <c r="DJ127" s="24" t="inlineStr">
        <is>
          <t>0.62963</t>
        </is>
      </c>
      <c r="DK127" s="24" t="n"/>
      <c r="DL127" s="24" t="n"/>
      <c r="DM127" s="24" t="n"/>
      <c r="DN127" s="24" t="n"/>
      <c r="DO127" s="24" t="n"/>
      <c r="DP127" s="24" t="n"/>
      <c r="DQ127" s="24" t="n"/>
    </row>
    <row r="128" ht="36" customHeight="1">
      <c r="A128" s="24" t="inlineStr">
        <is>
          <t>6310833ea4804507</t>
        </is>
      </c>
      <c r="B128" s="24" t="inlineStr">
        <is>
          <t>2026-09-05T22:05:40.056484Z</t>
        </is>
      </c>
      <c r="C128" s="24" t="inlineStr">
        <is>
          <t>2026-09-06T04:00:00Z</t>
        </is>
      </c>
      <c r="D128" s="24" t="inlineStr">
        <is>
          <t>101482</t>
        </is>
      </c>
      <c r="E128" s="24" t="inlineStr">
        <is>
          <t>NPB</t>
        </is>
      </c>
      <c r="F128" s="24" t="inlineStr">
        <is>
          <t>Chiba Lotte Marines</t>
        </is>
      </c>
      <c r="G128" s="24" t="inlineStr">
        <is>
          <t>Orix Buffaloes</t>
        </is>
      </c>
      <c r="H128" s="24" t="inlineStr">
        <is>
          <t>moneyline</t>
        </is>
      </c>
      <c r="I128" s="24" t="inlineStr">
        <is>
          <t>home</t>
        </is>
      </c>
      <c r="J128" s="25" t="n"/>
      <c r="K128" s="24" t="inlineStr">
        <is>
          <t>polymarket_us</t>
        </is>
      </c>
      <c r="L128" s="26" t="n">
        <v>-144</v>
      </c>
      <c r="M128" s="27" t="n">
        <v>1.694444</v>
      </c>
      <c r="N128" s="28" t="n">
        <v>0.590164</v>
      </c>
      <c r="O128" s="28" t="n">
        <v>0.547396</v>
      </c>
      <c r="P128" s="28" t="n"/>
      <c r="Q128" s="28" t="n">
        <v>-0.042768</v>
      </c>
      <c r="R128" s="26" t="n">
        <v>0</v>
      </c>
      <c r="S128" s="29" t="n">
        <v>1</v>
      </c>
      <c r="T128" s="24" t="inlineStr">
        <is>
          <t>npb-tie-aware-elo-v2</t>
        </is>
      </c>
      <c r="U128" s="24" t="inlineStr">
        <is>
          <t>settled</t>
        </is>
      </c>
      <c r="V128" s="24" t="inlineStr">
        <is>
          <t>loss</t>
        </is>
      </c>
      <c r="W128" s="26" t="n">
        <v>3</v>
      </c>
      <c r="X128" s="26" t="n">
        <v>0</v>
      </c>
      <c r="Y128" s="25" t="n"/>
      <c r="Z128" s="26" t="n"/>
      <c r="AA128" s="28" t="n"/>
      <c r="AB128" s="28" t="n"/>
      <c r="AC128" s="30" t="n">
        <v>-1</v>
      </c>
      <c r="AD128" s="24" t="inlineStr">
        <is>
          <t>2026-09-06T22:02:19.046402Z</t>
        </is>
      </c>
      <c r="AE128" s="31" t="inlineStr">
        <is>
          <t>Tie-aware Elo baseline; executable ask 0.5900 (market_slug=aec-npb-obr-clm-2026-09-06). Tie probability=0.0321.</t>
        </is>
      </c>
      <c r="AF128" s="31" t="inlineStr">
        <is>
          <t>Config-promoted international baseball baseline; gates enforced at log time.</t>
        </is>
      </c>
      <c r="AG128" s="24" t="inlineStr">
        <is>
          <t>review_required</t>
        </is>
      </c>
      <c r="AH128" s="24" t="n"/>
      <c r="AI128" s="31" t="n"/>
      <c r="AJ128" s="31" t="n"/>
      <c r="AK128" s="24" t="inlineStr">
        <is>
          <t>paper_call</t>
        </is>
      </c>
      <c r="AL128" s="26" t="n">
        <v>4</v>
      </c>
      <c r="AM128" s="24" t="inlineStr">
        <is>
          <t>RESEARCH_OBSERVATION</t>
        </is>
      </c>
      <c r="AN128" s="24" t="inlineStr">
        <is>
          <t>CALL</t>
        </is>
      </c>
      <c r="AO128" s="24" t="inlineStr">
        <is>
          <t>PAPER_CALL_LOW_EDGE</t>
        </is>
      </c>
      <c r="AP128" s="24" t="inlineStr">
        <is>
          <t>Chiba Lotte Marines</t>
        </is>
      </c>
      <c r="AQ128" s="24" t="inlineStr">
        <is>
          <t>Chiba Lotte Marines</t>
        </is>
      </c>
      <c r="AR128" s="24" t="inlineStr">
        <is>
          <t>Chiba Lotte Marines</t>
        </is>
      </c>
      <c r="AS128" s="24" t="inlineStr">
        <is>
          <t>Orix Buffaloes</t>
        </is>
      </c>
      <c r="AT128" s="24" t="inlineStr">
        <is>
          <t>Orix Buffaloes</t>
        </is>
      </c>
      <c r="AU128" s="24" t="inlineStr">
        <is>
          <t>Orix Buffaloes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shadow_qualified</t>
        </is>
      </c>
      <c r="BA128" s="24" t="inlineStr">
        <is>
          <t>37b8d2a25532d6041671af36cbf57dc34d277426081abd6c8f33473fd6523665</t>
        </is>
      </c>
      <c r="BB128" s="24" t="inlineStr">
        <is>
          <t>tie_aware_elo</t>
        </is>
      </c>
      <c r="BC128" s="24" t="inlineStr">
        <is>
          <t>npb-tie-aware-elo-v2</t>
        </is>
      </c>
      <c r="BD128" s="24" t="inlineStr">
        <is>
          <t>37b8d2a25532d6041671af36cbf57dc34d277426081abd6c8f33473fd6523665</t>
        </is>
      </c>
      <c r="BE128" s="24" t="inlineStr">
        <is>
          <t>1</t>
        </is>
      </c>
      <c r="BF128" s="24" t="inlineStr">
        <is>
          <t>1</t>
        </is>
      </c>
      <c r="BG128" s="24" t="inlineStr">
        <is>
          <t>npb-tie-aware-elo-v2</t>
        </is>
      </c>
      <c r="BH128" s="24" t="inlineStr">
        <is>
          <t>2026-09-05T22:05:39.691840Z</t>
        </is>
      </c>
      <c r="BI128" s="24" t="inlineStr">
        <is>
          <t>["same_event","same_team_same_day","same_league_same_day"]</t>
        </is>
      </c>
      <c r="BJ128" s="25" t="n"/>
      <c r="BK128" s="26" t="n">
        <v>-144</v>
      </c>
      <c r="BL128" s="27" t="n">
        <v>1.694444</v>
      </c>
      <c r="BM128" s="28" t="n">
        <v>0.590164</v>
      </c>
      <c r="BN128" s="28" t="n"/>
      <c r="BO128" s="28" t="n"/>
      <c r="BP128" s="25" t="n"/>
      <c r="BQ128" s="27" t="n"/>
      <c r="BR128" s="28" t="n"/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inlineStr">
        <is>
          <t>False</t>
        </is>
      </c>
      <c r="CT128" s="24" t="n"/>
      <c r="CU128" s="24" t="n"/>
      <c r="CV128" s="24" t="n"/>
      <c r="CW128" s="24" t="n"/>
      <c r="CX128" s="24" t="n"/>
      <c r="CY128" s="24" t="n"/>
      <c r="CZ128" s="24" t="n"/>
      <c r="DA128" s="24" t="n"/>
      <c r="DB128" s="24" t="n"/>
      <c r="DC128" s="24" t="n"/>
      <c r="DD128" s="24" t="n"/>
      <c r="DE128" s="24" t="n"/>
      <c r="DF128" s="24" t="n"/>
      <c r="DG128" s="24" t="n"/>
      <c r="DH128" s="24" t="n"/>
      <c r="DI128" s="24" t="n"/>
      <c r="DJ128" s="24" t="inlineStr">
        <is>
          <t>0.590164</t>
        </is>
      </c>
      <c r="DK128" s="24" t="n"/>
      <c r="DL128" s="24" t="n"/>
      <c r="DM128" s="24" t="n"/>
      <c r="DN128" s="24" t="n"/>
      <c r="DO128" s="24" t="n"/>
      <c r="DP128" s="24" t="n"/>
      <c r="DQ128" s="24" t="n"/>
    </row>
    <row r="129" ht="36" customHeight="1">
      <c r="A129" s="24" t="inlineStr">
        <is>
          <t>83b9e654a97f4201</t>
        </is>
      </c>
      <c r="B129" s="24" t="inlineStr">
        <is>
          <t>2026-09-05T22:05:40.056484Z</t>
        </is>
      </c>
      <c r="C129" s="24" t="inlineStr">
        <is>
          <t>2026-09-06T04:00:00Z</t>
        </is>
      </c>
      <c r="D129" s="24" t="inlineStr">
        <is>
          <t>101483</t>
        </is>
      </c>
      <c r="E129" s="24" t="inlineStr">
        <is>
          <t>NPB</t>
        </is>
      </c>
      <c r="F129" s="24" t="inlineStr">
        <is>
          <t>Saitama Seibu Lions</t>
        </is>
      </c>
      <c r="G129" s="24" t="inlineStr">
        <is>
          <t>Fukuoka SoftBank Hawks</t>
        </is>
      </c>
      <c r="H129" s="24" t="inlineStr">
        <is>
          <t>moneyline</t>
        </is>
      </c>
      <c r="I129" s="24" t="inlineStr">
        <is>
          <t>home</t>
        </is>
      </c>
      <c r="J129" s="25" t="n"/>
      <c r="K129" s="24" t="inlineStr">
        <is>
          <t>polymarket_us</t>
        </is>
      </c>
      <c r="L129" s="26" t="n">
        <v>-138</v>
      </c>
      <c r="M129" s="27" t="n">
        <v>1.724638</v>
      </c>
      <c r="N129" s="28" t="n">
        <v>0.579832</v>
      </c>
      <c r="O129" s="28" t="n">
        <v>0.596426</v>
      </c>
      <c r="P129" s="28" t="n"/>
      <c r="Q129" s="28" t="n">
        <v>0.016594</v>
      </c>
      <c r="R129" s="26" t="n">
        <v>28</v>
      </c>
      <c r="S129" s="29" t="n">
        <v>1</v>
      </c>
      <c r="T129" s="24" t="inlineStr">
        <is>
          <t>npb-tie-aware-elo-v2</t>
        </is>
      </c>
      <c r="U129" s="24" t="inlineStr">
        <is>
          <t>settled</t>
        </is>
      </c>
      <c r="V129" s="24" t="inlineStr">
        <is>
          <t>loss</t>
        </is>
      </c>
      <c r="W129" s="26" t="n">
        <v>5</v>
      </c>
      <c r="X129" s="26" t="n">
        <v>2</v>
      </c>
      <c r="Y129" s="25" t="n"/>
      <c r="Z129" s="26" t="n"/>
      <c r="AA129" s="28" t="n"/>
      <c r="AB129" s="28" t="n"/>
      <c r="AC129" s="30" t="n">
        <v>-1</v>
      </c>
      <c r="AD129" s="24" t="inlineStr">
        <is>
          <t>2026-09-06T22:02:19.181779Z</t>
        </is>
      </c>
      <c r="AE129" s="31" t="inlineStr">
        <is>
          <t>Tie-aware Elo baseline; executable ask 0.5800 (market_slug=aec-npb-fsh-ssl-2026-09-06). Tie probability=0.0278.</t>
        </is>
      </c>
      <c r="AF129" s="31" t="inlineStr">
        <is>
          <t>Config-promoted international baseball baseline; gates enforced at log time.</t>
        </is>
      </c>
      <c r="AG129" s="24" t="inlineStr">
        <is>
          <t>review_required</t>
        </is>
      </c>
      <c r="AH129" s="24" t="n"/>
      <c r="AI129" s="31" t="n"/>
      <c r="AJ129" s="31" t="n"/>
      <c r="AK129" s="24" t="inlineStr">
        <is>
          <t>paper_call</t>
        </is>
      </c>
      <c r="AL129" s="26" t="n">
        <v>4</v>
      </c>
      <c r="AM129" s="24" t="inlineStr">
        <is>
          <t>RESEARCH_OBSERVATION</t>
        </is>
      </c>
      <c r="AN129" s="24" t="inlineStr">
        <is>
          <t>CALL</t>
        </is>
      </c>
      <c r="AO129" s="24" t="inlineStr">
        <is>
          <t>PAPER_CALL_LOW_EDGE</t>
        </is>
      </c>
      <c r="AP129" s="24" t="inlineStr">
        <is>
          <t>Saitama Seibu Lions</t>
        </is>
      </c>
      <c r="AQ129" s="24" t="inlineStr">
        <is>
          <t>Saitama Seibu Lions</t>
        </is>
      </c>
      <c r="AR129" s="24" t="inlineStr">
        <is>
          <t>Saitama Seibu Lions</t>
        </is>
      </c>
      <c r="AS129" s="24" t="inlineStr">
        <is>
          <t>Fukuoka SoftBank Hawks</t>
        </is>
      </c>
      <c r="AT129" s="24" t="inlineStr">
        <is>
          <t>Fukuoka SoftBank Hawks</t>
        </is>
      </c>
      <c r="AU129" s="24" t="inlineStr">
        <is>
          <t>Fukuoka SoftBank Hawks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37b8d2a25532d6041671af36cbf57dc34d277426081abd6c8f33473fd6523665</t>
        </is>
      </c>
      <c r="BB129" s="24" t="inlineStr">
        <is>
          <t>tie_aware_elo</t>
        </is>
      </c>
      <c r="BC129" s="24" t="inlineStr">
        <is>
          <t>npb-tie-aware-elo-v2</t>
        </is>
      </c>
      <c r="BD129" s="24" t="inlineStr">
        <is>
          <t>37b8d2a25532d6041671af36cbf57dc34d277426081abd6c8f33473fd6523665</t>
        </is>
      </c>
      <c r="BE129" s="24" t="inlineStr">
        <is>
          <t>1</t>
        </is>
      </c>
      <c r="BF129" s="24" t="inlineStr">
        <is>
          <t>1</t>
        </is>
      </c>
      <c r="BG129" s="24" t="inlineStr">
        <is>
          <t>npb-tie-aware-elo-v2</t>
        </is>
      </c>
      <c r="BH129" s="24" t="inlineStr">
        <is>
          <t>2026-09-05T22:05:39.752522Z</t>
        </is>
      </c>
      <c r="BI129" s="24" t="inlineStr">
        <is>
          <t>["same_event","same_team_same_day","same_league_same_day"]</t>
        </is>
      </c>
      <c r="BJ129" s="25" t="n"/>
      <c r="BK129" s="26" t="n">
        <v>-138</v>
      </c>
      <c r="BL129" s="27" t="n">
        <v>1.724638</v>
      </c>
      <c r="BM129" s="28" t="n">
        <v>0.579832</v>
      </c>
      <c r="BN129" s="28" t="n"/>
      <c r="BO129" s="28" t="n"/>
      <c r="BP129" s="25" t="n"/>
      <c r="BQ129" s="27" t="n"/>
      <c r="BR129" s="28" t="n"/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  <c r="CR129" s="24" t="n"/>
      <c r="CS129" s="24" t="inlineStr">
        <is>
          <t>True</t>
        </is>
      </c>
      <c r="CT129" s="24" t="n"/>
      <c r="CU129" s="24" t="n"/>
      <c r="CV129" s="24" t="n"/>
      <c r="CW129" s="24" t="n"/>
      <c r="CX129" s="24" t="n"/>
      <c r="CY129" s="24" t="n"/>
      <c r="CZ129" s="24" t="n"/>
      <c r="DA129" s="24" t="n"/>
      <c r="DB129" s="24" t="n"/>
      <c r="DC129" s="24" t="n"/>
      <c r="DD129" s="24" t="n"/>
      <c r="DE129" s="24" t="n"/>
      <c r="DF129" s="24" t="n"/>
      <c r="DG129" s="24" t="n"/>
      <c r="DH129" s="24" t="n"/>
      <c r="DI129" s="24" t="n"/>
      <c r="DJ129" s="24" t="inlineStr">
        <is>
          <t>0.579832</t>
        </is>
      </c>
      <c r="DK129" s="24" t="n"/>
      <c r="DL129" s="24" t="n"/>
      <c r="DM129" s="24" t="n"/>
      <c r="DN129" s="24" t="n"/>
      <c r="DO129" s="24" t="n"/>
      <c r="DP129" s="24" t="n"/>
      <c r="DQ129" s="24" t="n"/>
    </row>
    <row r="130" ht="36" customHeight="1">
      <c r="A130" s="24" t="inlineStr">
        <is>
          <t>363980f059054c32</t>
        </is>
      </c>
      <c r="B130" s="24" t="inlineStr">
        <is>
          <t>2026-09-06T04:35:54.324711Z</t>
        </is>
      </c>
      <c r="C130" s="24" t="inlineStr">
        <is>
          <t>2026-09-06T07:00:00Z</t>
        </is>
      </c>
      <c r="D130" s="24" t="inlineStr">
        <is>
          <t>101494</t>
        </is>
      </c>
      <c r="E130" s="24" t="inlineStr">
        <is>
          <t>NPB</t>
        </is>
      </c>
      <c r="F130" s="24" t="inlineStr">
        <is>
          <t>Nippon Ham Fighters</t>
        </is>
      </c>
      <c r="G130" s="24" t="inlineStr">
        <is>
          <t>Tohoku Rakuten Golden Eagles</t>
        </is>
      </c>
      <c r="H130" s="24" t="inlineStr">
        <is>
          <t>moneyline</t>
        </is>
      </c>
      <c r="I130" s="24" t="inlineStr">
        <is>
          <t>away</t>
        </is>
      </c>
      <c r="J130" s="25" t="n"/>
      <c r="K130" s="24" t="inlineStr">
        <is>
          <t>polymarket_us</t>
        </is>
      </c>
      <c r="L130" s="26" t="n">
        <v>-138</v>
      </c>
      <c r="M130" s="27" t="n">
        <v>1.724638</v>
      </c>
      <c r="N130" s="28" t="n">
        <v>0.579832</v>
      </c>
      <c r="O130" s="28" t="n">
        <v>0.566916</v>
      </c>
      <c r="P130" s="28" t="n"/>
      <c r="Q130" s="28" t="n">
        <v>-0.012916</v>
      </c>
      <c r="R130" s="26" t="n">
        <v>14</v>
      </c>
      <c r="S130" s="29" t="n">
        <v>1</v>
      </c>
      <c r="T130" s="24" t="inlineStr">
        <is>
          <t>npb-tie-aware-elo-v2</t>
        </is>
      </c>
      <c r="U130" s="24" t="inlineStr">
        <is>
          <t>settled</t>
        </is>
      </c>
      <c r="V130" s="24" t="inlineStr">
        <is>
          <t>win</t>
        </is>
      </c>
      <c r="W130" s="26" t="n">
        <v>6</v>
      </c>
      <c r="X130" s="26" t="n">
        <v>3</v>
      </c>
      <c r="Y130" s="25" t="n"/>
      <c r="Z130" s="26" t="n">
        <v>-138</v>
      </c>
      <c r="AA130" s="28" t="n">
        <v>0.58</v>
      </c>
      <c r="AB130" s="28" t="n">
        <v>0.000168</v>
      </c>
      <c r="AC130" s="30" t="n">
        <v>0.7246</v>
      </c>
      <c r="AD130" s="24" t="inlineStr">
        <is>
          <t>2026-09-06T22:02:19.303141Z</t>
        </is>
      </c>
      <c r="AE130" s="31" t="inlineStr">
        <is>
          <t>Tie-aware Elo baseline; executable ask 0.5800 (market_slug=aec-npb-trge-nhf-2026-09-06). Tie probability=0.0304.</t>
        </is>
      </c>
      <c r="AF130" s="31" t="inlineStr">
        <is>
          <t>Config-promoted international baseball baseline; gates enforced at log time.</t>
        </is>
      </c>
      <c r="AG130" s="24" t="inlineStr">
        <is>
          <t>not_applicable</t>
        </is>
      </c>
      <c r="AH130" s="24" t="n"/>
      <c r="AI130" s="31" t="n"/>
      <c r="AJ130" s="31" t="n"/>
      <c r="AK130" s="24" t="inlineStr">
        <is>
          <t>paper_call</t>
        </is>
      </c>
      <c r="AL130" s="26" t="n">
        <v>4</v>
      </c>
      <c r="AM130" s="24" t="inlineStr">
        <is>
          <t>RESEARCH_OBSERVATION</t>
        </is>
      </c>
      <c r="AN130" s="24" t="inlineStr">
        <is>
          <t>CALL</t>
        </is>
      </c>
      <c r="AO130" s="24" t="inlineStr">
        <is>
          <t>PAPER_CALL_LOW_EDGE</t>
        </is>
      </c>
      <c r="AP130" s="24" t="inlineStr">
        <is>
          <t>Nippon Ham Fighters</t>
        </is>
      </c>
      <c r="AQ130" s="24" t="inlineStr">
        <is>
          <t>Nippon Ham Fighters</t>
        </is>
      </c>
      <c r="AR130" s="24" t="inlineStr">
        <is>
          <t>Nippon Ham Fighters</t>
        </is>
      </c>
      <c r="AS130" s="24" t="inlineStr">
        <is>
          <t>Tohoku Rakuten Golden Eagles</t>
        </is>
      </c>
      <c r="AT130" s="24" t="inlineStr">
        <is>
          <t>Tohoku Rakuten Golden Eagles</t>
        </is>
      </c>
      <c r="AU130" s="24" t="inlineStr">
        <is>
          <t>Tohoku Rakuten Golden Eagles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shadow_qualified</t>
        </is>
      </c>
      <c r="BA130" s="24" t="inlineStr">
        <is>
          <t>96b4d47b7be74863a523c6108fb64a9951e94e8fef1b85d1defeda38849e1534</t>
        </is>
      </c>
      <c r="BB130" s="24" t="inlineStr">
        <is>
          <t>tie_aware_elo</t>
        </is>
      </c>
      <c r="BC130" s="24" t="inlineStr">
        <is>
          <t>npb-tie-aware-elo-v2</t>
        </is>
      </c>
      <c r="BD130" s="24" t="inlineStr">
        <is>
          <t>96b4d47b7be74863a523c6108fb64a9951e94e8fef1b85d1defeda38849e1534</t>
        </is>
      </c>
      <c r="BE130" s="24" t="inlineStr">
        <is>
          <t>1</t>
        </is>
      </c>
      <c r="BF130" s="24" t="inlineStr">
        <is>
          <t>1</t>
        </is>
      </c>
      <c r="BG130" s="24" t="inlineStr">
        <is>
          <t>npb-tie-aware-elo-v2</t>
        </is>
      </c>
      <c r="BH130" s="24" t="inlineStr">
        <is>
          <t>2026-09-06T04:35:54.118028Z</t>
        </is>
      </c>
      <c r="BI130" s="24" t="inlineStr">
        <is>
          <t>["same_event","same_team_same_day","same_league_same_day"]</t>
        </is>
      </c>
      <c r="BJ130" s="25" t="n"/>
      <c r="BK130" s="26" t="n">
        <v>-138</v>
      </c>
      <c r="BL130" s="27" t="n">
        <v>1.724638</v>
      </c>
      <c r="BM130" s="28" t="n">
        <v>0.579832</v>
      </c>
      <c r="BN130" s="28" t="n"/>
      <c r="BO130" s="28" t="n"/>
      <c r="BP130" s="25" t="n"/>
      <c r="BQ130" s="27" t="n">
        <v>1.724638</v>
      </c>
      <c r="BR130" s="28" t="n">
        <v>0.58</v>
      </c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inlineStr">
        <is>
          <t>False</t>
        </is>
      </c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/>
      <c r="DH130" s="24" t="n"/>
      <c r="DI130" s="24" t="n"/>
      <c r="DJ130" s="24" t="inlineStr">
        <is>
          <t>0.579832</t>
        </is>
      </c>
      <c r="DK130" s="24" t="n"/>
      <c r="DL130" s="24" t="n"/>
      <c r="DM130" s="24" t="n"/>
      <c r="DN130" s="24" t="n"/>
      <c r="DO130" s="24" t="n"/>
      <c r="DP130" s="24" t="n"/>
      <c r="DQ130" s="24" t="n"/>
    </row>
    <row r="131" ht="36" customHeight="1">
      <c r="A131" s="24" t="inlineStr">
        <is>
          <t>fffec9408dec4dd6</t>
        </is>
      </c>
      <c r="B131" s="24" t="inlineStr">
        <is>
          <t>2026-09-06T04:35:54.324711Z</t>
        </is>
      </c>
      <c r="C131" s="24" t="inlineStr">
        <is>
          <t>2026-09-06T08:00:00Z</t>
        </is>
      </c>
      <c r="D131" s="24" t="inlineStr">
        <is>
          <t>101512</t>
        </is>
      </c>
      <c r="E131" s="24" t="inlineStr">
        <is>
          <t>NPB</t>
        </is>
      </c>
      <c r="F131" s="24" t="inlineStr">
        <is>
          <t>Chunichi Dragons</t>
        </is>
      </c>
      <c r="G131" s="24" t="inlineStr">
        <is>
          <t>Tokyo Yakult Swallows</t>
        </is>
      </c>
      <c r="H131" s="24" t="inlineStr">
        <is>
          <t>moneyline</t>
        </is>
      </c>
      <c r="I131" s="24" t="inlineStr">
        <is>
          <t>home</t>
        </is>
      </c>
      <c r="J131" s="25" t="n"/>
      <c r="K131" s="24" t="inlineStr">
        <is>
          <t>polymarket_us</t>
        </is>
      </c>
      <c r="L131" s="26" t="n">
        <v>113</v>
      </c>
      <c r="M131" s="27" t="n">
        <v>2.13</v>
      </c>
      <c r="N131" s="28" t="n">
        <v>0.469484</v>
      </c>
      <c r="O131" s="28" t="n">
        <v>0.508296</v>
      </c>
      <c r="P131" s="28" t="n"/>
      <c r="Q131" s="28" t="n">
        <v>0.038812</v>
      </c>
      <c r="R131" s="26" t="n">
        <v>39</v>
      </c>
      <c r="S131" s="29" t="n">
        <v>1</v>
      </c>
      <c r="T131" s="24" t="inlineStr">
        <is>
          <t>npb-tie-aware-elo-v2</t>
        </is>
      </c>
      <c r="U131" s="24" t="inlineStr">
        <is>
          <t>settled</t>
        </is>
      </c>
      <c r="V131" s="24" t="inlineStr">
        <is>
          <t>push</t>
        </is>
      </c>
      <c r="W131" s="26" t="n"/>
      <c r="X131" s="26" t="n"/>
      <c r="Y131" s="25" t="n"/>
      <c r="Z131" s="26" t="n"/>
      <c r="AA131" s="28" t="n"/>
      <c r="AB131" s="28" t="n"/>
      <c r="AC131" s="30" t="n">
        <v>0</v>
      </c>
      <c r="AD131" s="24" t="inlineStr">
        <is>
          <t>2026-10-06T22:59:32.469557Z</t>
        </is>
      </c>
      <c r="AE131" s="31" t="inlineStr">
        <is>
          <t>Tie-aware Elo baseline; executable ask 0.4700 (market_slug=aec-npb-tys-cdh-2026-09-06). Tie probability=0.0355.</t>
        </is>
      </c>
      <c r="AF131" s="31" t="inlineStr">
        <is>
          <t>Config-promoted international baseball baseline; gates enforced at log time.</t>
        </is>
      </c>
      <c r="AG131" s="24" t="inlineStr">
        <is>
          <t>not_applicable</t>
        </is>
      </c>
      <c r="AH131" s="24" t="n"/>
      <c r="AI131" s="31" t="n"/>
      <c r="AJ131" s="31" t="n"/>
      <c r="AK131" s="24" t="inlineStr">
        <is>
          <t>paper_call</t>
        </is>
      </c>
      <c r="AL131" s="26" t="n">
        <v>4</v>
      </c>
      <c r="AM131" s="24" t="inlineStr">
        <is>
          <t>RESEARCH_OBSERVATION</t>
        </is>
      </c>
      <c r="AN131" s="24" t="inlineStr">
        <is>
          <t>CALL</t>
        </is>
      </c>
      <c r="AO131" s="24" t="inlineStr">
        <is>
          <t>PAPER_CALL_LOW_EDGE</t>
        </is>
      </c>
      <c r="AP131" s="24" t="inlineStr">
        <is>
          <t>Chunichi Dragons</t>
        </is>
      </c>
      <c r="AQ131" s="24" t="inlineStr">
        <is>
          <t>Chunichi Dragons</t>
        </is>
      </c>
      <c r="AR131" s="24" t="inlineStr">
        <is>
          <t>Chunichi Dragons</t>
        </is>
      </c>
      <c r="AS131" s="24" t="inlineStr">
        <is>
          <t>Tokyo Yakult Swallows</t>
        </is>
      </c>
      <c r="AT131" s="24" t="inlineStr">
        <is>
          <t>Tokyo Yakult Swallows</t>
        </is>
      </c>
      <c r="AU131" s="24" t="inlineStr">
        <is>
          <t>Tokyo Yakult Swallows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shadow_qualified</t>
        </is>
      </c>
      <c r="BA131" s="24" t="inlineStr">
        <is>
          <t>96b4d47b7be74863a523c6108fb64a9951e94e8fef1b85d1defeda38849e1534</t>
        </is>
      </c>
      <c r="BB131" s="24" t="inlineStr">
        <is>
          <t>tie_aware_elo</t>
        </is>
      </c>
      <c r="BC131" s="24" t="inlineStr">
        <is>
          <t>npb-tie-aware-elo-v2</t>
        </is>
      </c>
      <c r="BD131" s="24" t="inlineStr">
        <is>
          <t>96b4d47b7be74863a523c6108fb64a9951e94e8fef1b85d1defeda38849e1534</t>
        </is>
      </c>
      <c r="BE131" s="24" t="inlineStr">
        <is>
          <t>1</t>
        </is>
      </c>
      <c r="BF131" s="24" t="inlineStr">
        <is>
          <t>1</t>
        </is>
      </c>
      <c r="BG131" s="24" t="inlineStr">
        <is>
          <t>npb-tie-aware-elo-v2</t>
        </is>
      </c>
      <c r="BH131" s="24" t="inlineStr">
        <is>
          <t>2026-09-06T04:35:54.196367Z</t>
        </is>
      </c>
      <c r="BI131" s="24" t="inlineStr">
        <is>
          <t>["same_event","same_team_same_day","same_league_same_day"]</t>
        </is>
      </c>
      <c r="BJ131" s="25" t="n"/>
      <c r="BK131" s="26" t="n">
        <v>113</v>
      </c>
      <c r="BL131" s="27" t="n">
        <v>2.13</v>
      </c>
      <c r="BM131" s="28" t="n">
        <v>0.469484</v>
      </c>
      <c r="BN131" s="28" t="n"/>
      <c r="BO131" s="28" t="n"/>
      <c r="BP131" s="25" t="n"/>
      <c r="BQ131" s="27" t="n"/>
      <c r="BR131" s="28" t="n"/>
      <c r="BS131" s="28" t="n"/>
      <c r="BT131" s="28" t="n"/>
      <c r="BU131" s="25" t="n"/>
      <c r="BV131" s="29" t="n"/>
      <c r="BW131" s="24" t="inlineStr">
        <is>
          <t>NPB game scheduled on 2026-09-06 cancelled/postponed (no final score posted after &gt;7 days)</t>
        </is>
      </c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  <c r="CS131" s="24" t="inlineStr">
        <is>
          <t>True</t>
        </is>
      </c>
      <c r="CT131" s="24" t="n"/>
      <c r="CU131" s="24" t="n"/>
      <c r="CV131" s="24" t="n"/>
      <c r="CW131" s="24" t="n"/>
      <c r="CX131" s="24" t="n"/>
      <c r="CY131" s="24" t="n"/>
      <c r="CZ131" s="24" t="n"/>
      <c r="DA131" s="24" t="n"/>
      <c r="DB131" s="24" t="n"/>
      <c r="DC131" s="24" t="n"/>
      <c r="DD131" s="24" t="n"/>
      <c r="DE131" s="24" t="n"/>
      <c r="DF131" s="24" t="n"/>
      <c r="DG131" s="24" t="n"/>
      <c r="DH131" s="24" t="n"/>
      <c r="DI131" s="24" t="n"/>
      <c r="DJ131" s="24" t="inlineStr">
        <is>
          <t>0.469484</t>
        </is>
      </c>
      <c r="DK131" s="24" t="n"/>
      <c r="DL131" s="24" t="n"/>
      <c r="DM131" s="24" t="n"/>
      <c r="DN131" s="24" t="n"/>
      <c r="DO131" s="24" t="n"/>
      <c r="DP131" s="24" t="n"/>
      <c r="DQ131" s="24" t="n"/>
    </row>
    <row r="132" ht="36" customHeight="1">
      <c r="A132" s="24" t="inlineStr">
        <is>
          <t>cd195d11873e4ea0</t>
        </is>
      </c>
      <c r="B132" s="24" t="inlineStr">
        <is>
          <t>2026-09-06T04:35:54.324711Z</t>
        </is>
      </c>
      <c r="C132" s="24" t="inlineStr">
        <is>
          <t>2026-09-06T09:00:00Z</t>
        </is>
      </c>
      <c r="D132" s="24" t="inlineStr">
        <is>
          <t>101534</t>
        </is>
      </c>
      <c r="E132" s="24" t="inlineStr">
        <is>
          <t>NPB</t>
        </is>
      </c>
      <c r="F132" s="24" t="inlineStr">
        <is>
          <t>Yokohama BayStars</t>
        </is>
      </c>
      <c r="G132" s="24" t="inlineStr">
        <is>
          <t>Hanshin Tigers</t>
        </is>
      </c>
      <c r="H132" s="24" t="inlineStr">
        <is>
          <t>moneyline</t>
        </is>
      </c>
      <c r="I132" s="24" t="inlineStr">
        <is>
          <t>home</t>
        </is>
      </c>
      <c r="J132" s="25" t="n"/>
      <c r="K132" s="24" t="inlineStr">
        <is>
          <t>polymarket_us</t>
        </is>
      </c>
      <c r="L132" s="26" t="n">
        <v>-150</v>
      </c>
      <c r="M132" s="27" t="n">
        <v>1.666667</v>
      </c>
      <c r="N132" s="28" t="n">
        <v>0.6</v>
      </c>
      <c r="O132" s="28" t="n">
        <v>0.598796</v>
      </c>
      <c r="P132" s="28" t="n"/>
      <c r="Q132" s="28" t="n">
        <v>-0.001204</v>
      </c>
      <c r="R132" s="26" t="n">
        <v>19</v>
      </c>
      <c r="S132" s="29" t="n">
        <v>1</v>
      </c>
      <c r="T132" s="24" t="inlineStr">
        <is>
          <t>npb-tie-aware-elo-v2</t>
        </is>
      </c>
      <c r="U132" s="24" t="inlineStr">
        <is>
          <t>settled</t>
        </is>
      </c>
      <c r="V132" s="24" t="inlineStr">
        <is>
          <t>loss</t>
        </is>
      </c>
      <c r="W132" s="26" t="n">
        <v>4</v>
      </c>
      <c r="X132" s="26" t="n">
        <v>1</v>
      </c>
      <c r="Y132" s="25" t="n"/>
      <c r="Z132" s="26" t="n">
        <v>-150</v>
      </c>
      <c r="AA132" s="28" t="n">
        <v>0.6</v>
      </c>
      <c r="AB132" s="28" t="n">
        <v>0</v>
      </c>
      <c r="AC132" s="30" t="n">
        <v>-1</v>
      </c>
      <c r="AD132" s="24" t="inlineStr">
        <is>
          <t>2026-09-06T22:02:21.352202Z</t>
        </is>
      </c>
      <c r="AE132" s="31" t="inlineStr">
        <is>
          <t>Tie-aware Elo baseline; executable ask 0.6000 (market_slug=aec-npb-hta-ybo-2026-09-06). Tie probability=0.0276.</t>
        </is>
      </c>
      <c r="AF132" s="31" t="inlineStr">
        <is>
          <t>Config-promoted international baseball baseline; gates enforced at log time.</t>
        </is>
      </c>
      <c r="AG132" s="24" t="inlineStr">
        <is>
          <t>review_required</t>
        </is>
      </c>
      <c r="AH132" s="24" t="n"/>
      <c r="AI132" s="31" t="n"/>
      <c r="AJ132" s="31" t="n"/>
      <c r="AK132" s="24" t="inlineStr">
        <is>
          <t>paper_call</t>
        </is>
      </c>
      <c r="AL132" s="26" t="n">
        <v>4</v>
      </c>
      <c r="AM132" s="24" t="inlineStr">
        <is>
          <t>RESEARCH_OBSERVATION</t>
        </is>
      </c>
      <c r="AN132" s="24" t="inlineStr">
        <is>
          <t>CALL</t>
        </is>
      </c>
      <c r="AO132" s="24" t="inlineStr">
        <is>
          <t>PAPER_CALL_LOW_EDGE</t>
        </is>
      </c>
      <c r="AP132" s="24" t="inlineStr">
        <is>
          <t>Yokohama BayStars</t>
        </is>
      </c>
      <c r="AQ132" s="24" t="inlineStr">
        <is>
          <t>Yokohama BayStars</t>
        </is>
      </c>
      <c r="AR132" s="24" t="inlineStr">
        <is>
          <t>Yokohama BayStars</t>
        </is>
      </c>
      <c r="AS132" s="24" t="inlineStr">
        <is>
          <t>Hanshin Tigers</t>
        </is>
      </c>
      <c r="AT132" s="24" t="inlineStr">
        <is>
          <t>Hanshin Tigers</t>
        </is>
      </c>
      <c r="AU132" s="24" t="inlineStr">
        <is>
          <t>Hanshin Tigers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96b4d47b7be74863a523c6108fb64a9951e94e8fef1b85d1defeda38849e1534</t>
        </is>
      </c>
      <c r="BB132" s="24" t="inlineStr">
        <is>
          <t>tie_aware_elo</t>
        </is>
      </c>
      <c r="BC132" s="24" t="inlineStr">
        <is>
          <t>npb-tie-aware-elo-v2</t>
        </is>
      </c>
      <c r="BD132" s="24" t="inlineStr">
        <is>
          <t>96b4d47b7be74863a523c6108fb64a9951e94e8fef1b85d1defeda38849e1534</t>
        </is>
      </c>
      <c r="BE132" s="24" t="inlineStr">
        <is>
          <t>1</t>
        </is>
      </c>
      <c r="BF132" s="24" t="inlineStr">
        <is>
          <t>1</t>
        </is>
      </c>
      <c r="BG132" s="24" t="inlineStr">
        <is>
          <t>npb-tie-aware-elo-v2</t>
        </is>
      </c>
      <c r="BH132" s="24" t="inlineStr">
        <is>
          <t>2026-09-06T04:35:54.254839Z</t>
        </is>
      </c>
      <c r="BI132" s="24" t="inlineStr">
        <is>
          <t>["same_event","same_team_same_day","same_league_same_day"]</t>
        </is>
      </c>
      <c r="BJ132" s="25" t="n"/>
      <c r="BK132" s="26" t="n">
        <v>-150</v>
      </c>
      <c r="BL132" s="27" t="n">
        <v>1.666667</v>
      </c>
      <c r="BM132" s="28" t="n">
        <v>0.6</v>
      </c>
      <c r="BN132" s="28" t="n"/>
      <c r="BO132" s="28" t="n"/>
      <c r="BP132" s="25" t="n"/>
      <c r="BQ132" s="27" t="n">
        <v>1.666667</v>
      </c>
      <c r="BR132" s="28" t="n">
        <v>0.6</v>
      </c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  <c r="CS132" s="24" t="inlineStr">
        <is>
          <t>False</t>
        </is>
      </c>
      <c r="CT132" s="24" t="n"/>
      <c r="CU132" s="24" t="n"/>
      <c r="CV132" s="24" t="n"/>
      <c r="CW132" s="24" t="n"/>
      <c r="CX132" s="24" t="n"/>
      <c r="CY132" s="24" t="n"/>
      <c r="CZ132" s="24" t="n"/>
      <c r="DA132" s="24" t="n"/>
      <c r="DB132" s="24" t="n"/>
      <c r="DC132" s="24" t="n"/>
      <c r="DD132" s="24" t="n"/>
      <c r="DE132" s="24" t="n"/>
      <c r="DF132" s="24" t="n"/>
      <c r="DG132" s="24" t="n"/>
      <c r="DH132" s="24" t="n"/>
      <c r="DI132" s="24" t="n"/>
      <c r="DJ132" s="24" t="inlineStr">
        <is>
          <t>0.6</t>
        </is>
      </c>
      <c r="DK132" s="24" t="n"/>
      <c r="DL132" s="24" t="n"/>
      <c r="DM132" s="24" t="n"/>
      <c r="DN132" s="24" t="n"/>
      <c r="DO132" s="24" t="n"/>
      <c r="DP132" s="24" t="n"/>
      <c r="DQ132" s="24" t="n"/>
    </row>
    <row r="133" ht="36" customHeight="1">
      <c r="A133" s="24" t="inlineStr">
        <is>
          <t>57713a3d80714f94</t>
        </is>
      </c>
      <c r="B133" s="24" t="inlineStr">
        <is>
          <t>2026-09-06T04:35:54.324711Z</t>
        </is>
      </c>
      <c r="C133" s="24" t="inlineStr">
        <is>
          <t>2026-09-06T09:00:00Z</t>
        </is>
      </c>
      <c r="D133" s="24" t="inlineStr">
        <is>
          <t>101535</t>
        </is>
      </c>
      <c r="E133" s="24" t="inlineStr">
        <is>
          <t>NPB</t>
        </is>
      </c>
      <c r="F133" s="24" t="inlineStr">
        <is>
          <t>Yomiuri Giants</t>
        </is>
      </c>
      <c r="G133" s="24" t="inlineStr">
        <is>
          <t>Hiroshima Carp</t>
        </is>
      </c>
      <c r="H133" s="24" t="inlineStr">
        <is>
          <t>moneyline</t>
        </is>
      </c>
      <c r="I133" s="24" t="inlineStr">
        <is>
          <t>away</t>
        </is>
      </c>
      <c r="J133" s="25" t="n"/>
      <c r="K133" s="24" t="inlineStr">
        <is>
          <t>polymarket_us</t>
        </is>
      </c>
      <c r="L133" s="26" t="n">
        <v>-113</v>
      </c>
      <c r="M133" s="27" t="n">
        <v>1.884956</v>
      </c>
      <c r="N133" s="28" t="n">
        <v>0.530516</v>
      </c>
      <c r="O133" s="28" t="n">
        <v>0.522949</v>
      </c>
      <c r="P133" s="28" t="n"/>
      <c r="Q133" s="28" t="n">
        <v>-0.007567</v>
      </c>
      <c r="R133" s="26" t="n">
        <v>16</v>
      </c>
      <c r="S133" s="29" t="n">
        <v>1</v>
      </c>
      <c r="T133" s="24" t="inlineStr">
        <is>
          <t>npb-tie-aware-elo-v2</t>
        </is>
      </c>
      <c r="U133" s="24" t="inlineStr">
        <is>
          <t>settled</t>
        </is>
      </c>
      <c r="V133" s="24" t="inlineStr">
        <is>
          <t>win</t>
        </is>
      </c>
      <c r="W133" s="26" t="n">
        <v>4</v>
      </c>
      <c r="X133" s="26" t="n">
        <v>0</v>
      </c>
      <c r="Y133" s="25" t="n"/>
      <c r="Z133" s="26" t="n">
        <v>-113</v>
      </c>
      <c r="AA133" s="28" t="n">
        <v>0.53</v>
      </c>
      <c r="AB133" s="28" t="n">
        <v>-0.000516</v>
      </c>
      <c r="AC133" s="30" t="n">
        <v>0.885</v>
      </c>
      <c r="AD133" s="24" t="inlineStr">
        <is>
          <t>2026-09-06T22:02:21.478957Z</t>
        </is>
      </c>
      <c r="AE133" s="31" t="inlineStr">
        <is>
          <t>Tie-aware Elo baseline; executable ask 0.5300 (market_slug=aec-npb-hci-ygo-2026-09-06). Tie probability=0.0342.</t>
        </is>
      </c>
      <c r="AF133" s="31" t="inlineStr">
        <is>
          <t>Config-promoted international baseball baseline; gates enforced at log time.</t>
        </is>
      </c>
      <c r="AG133" s="24" t="inlineStr">
        <is>
          <t>not_applicable</t>
        </is>
      </c>
      <c r="AH133" s="24" t="n"/>
      <c r="AI133" s="31" t="n"/>
      <c r="AJ133" s="31" t="n"/>
      <c r="AK133" s="24" t="inlineStr">
        <is>
          <t>paper_call</t>
        </is>
      </c>
      <c r="AL133" s="26" t="n">
        <v>4</v>
      </c>
      <c r="AM133" s="24" t="inlineStr">
        <is>
          <t>RESEARCH_OBSERVATION</t>
        </is>
      </c>
      <c r="AN133" s="24" t="inlineStr">
        <is>
          <t>CALL</t>
        </is>
      </c>
      <c r="AO133" s="24" t="inlineStr">
        <is>
          <t>PAPER_CALL_LOW_EDGE</t>
        </is>
      </c>
      <c r="AP133" s="24" t="inlineStr">
        <is>
          <t>Yomiuri Giants</t>
        </is>
      </c>
      <c r="AQ133" s="24" t="inlineStr">
        <is>
          <t>Yomiuri Giants</t>
        </is>
      </c>
      <c r="AR133" s="24" t="inlineStr">
        <is>
          <t>Yomiuri Giants</t>
        </is>
      </c>
      <c r="AS133" s="24" t="inlineStr">
        <is>
          <t>Hiroshima Carp</t>
        </is>
      </c>
      <c r="AT133" s="24" t="inlineStr">
        <is>
          <t>Hiroshima Carp</t>
        </is>
      </c>
      <c r="AU133" s="24" t="inlineStr">
        <is>
          <t>Hiroshima Carp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shadow_qualified</t>
        </is>
      </c>
      <c r="BA133" s="24" t="inlineStr">
        <is>
          <t>96b4d47b7be74863a523c6108fb64a9951e94e8fef1b85d1defeda38849e1534</t>
        </is>
      </c>
      <c r="BB133" s="24" t="inlineStr">
        <is>
          <t>tie_aware_elo</t>
        </is>
      </c>
      <c r="BC133" s="24" t="inlineStr">
        <is>
          <t>npb-tie-aware-elo-v2</t>
        </is>
      </c>
      <c r="BD133" s="24" t="inlineStr">
        <is>
          <t>96b4d47b7be74863a523c6108fb64a9951e94e8fef1b85d1defeda38849e1534</t>
        </is>
      </c>
      <c r="BE133" s="24" t="inlineStr">
        <is>
          <t>1</t>
        </is>
      </c>
      <c r="BF133" s="24" t="inlineStr">
        <is>
          <t>1</t>
        </is>
      </c>
      <c r="BG133" s="24" t="inlineStr">
        <is>
          <t>npb-tie-aware-elo-v2</t>
        </is>
      </c>
      <c r="BH133" s="24" t="inlineStr">
        <is>
          <t>2026-09-06T04:35:54.324675Z</t>
        </is>
      </c>
      <c r="BI133" s="24" t="inlineStr">
        <is>
          <t>["same_event","same_team_same_day","same_league_same_day"]</t>
        </is>
      </c>
      <c r="BJ133" s="25" t="n"/>
      <c r="BK133" s="26" t="n">
        <v>-113</v>
      </c>
      <c r="BL133" s="27" t="n">
        <v>1.884956</v>
      </c>
      <c r="BM133" s="28" t="n">
        <v>0.530516</v>
      </c>
      <c r="BN133" s="28" t="n"/>
      <c r="BO133" s="28" t="n"/>
      <c r="BP133" s="25" t="n"/>
      <c r="BQ133" s="27" t="n">
        <v>1.884956</v>
      </c>
      <c r="BR133" s="28" t="n">
        <v>0.53</v>
      </c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inlineStr">
        <is>
          <t>False</t>
        </is>
      </c>
      <c r="CT133" s="24" t="n"/>
      <c r="CU133" s="24" t="n"/>
      <c r="CV133" s="24" t="n"/>
      <c r="CW133" s="24" t="n"/>
      <c r="CX133" s="24" t="n"/>
      <c r="CY133" s="24" t="n"/>
      <c r="CZ133" s="24" t="n"/>
      <c r="DA133" s="24" t="n"/>
      <c r="DB133" s="24" t="n"/>
      <c r="DC133" s="24" t="n"/>
      <c r="DD133" s="24" t="n"/>
      <c r="DE133" s="24" t="n"/>
      <c r="DF133" s="24" t="n"/>
      <c r="DG133" s="24" t="n"/>
      <c r="DH133" s="24" t="n"/>
      <c r="DI133" s="24" t="n"/>
      <c r="DJ133" s="24" t="inlineStr">
        <is>
          <t>0.530516</t>
        </is>
      </c>
      <c r="DK133" s="24" t="n"/>
      <c r="DL133" s="24" t="n"/>
      <c r="DM133" s="24" t="n"/>
      <c r="DN133" s="24" t="n"/>
      <c r="DO133" s="24" t="n"/>
      <c r="DP133" s="24" t="n"/>
      <c r="DQ133" s="24" t="n"/>
    </row>
    <row r="134" ht="36" customHeight="1">
      <c r="A134" s="24" t="inlineStr">
        <is>
          <t>81964db86f5f476d</t>
        </is>
      </c>
      <c r="B134" s="24" t="inlineStr">
        <is>
          <t>2026-09-08T04:35:36.513311Z</t>
        </is>
      </c>
      <c r="C134" s="24" t="inlineStr">
        <is>
          <t>2026-09-08T09:00:00Z</t>
        </is>
      </c>
      <c r="D134" s="24" t="inlineStr">
        <is>
          <t>103048</t>
        </is>
      </c>
      <c r="E134" s="24" t="inlineStr">
        <is>
          <t>NPB</t>
        </is>
      </c>
      <c r="F134" s="24" t="inlineStr">
        <is>
          <t>Tohoku Rakuten Golden Eagles</t>
        </is>
      </c>
      <c r="G134" s="24" t="inlineStr">
        <is>
          <t>Chiba Lotte Marines</t>
        </is>
      </c>
      <c r="H134" s="24" t="inlineStr">
        <is>
          <t>moneyline</t>
        </is>
      </c>
      <c r="I134" s="24" t="inlineStr">
        <is>
          <t>home</t>
        </is>
      </c>
      <c r="J134" s="25" t="n"/>
      <c r="K134" s="24" t="inlineStr">
        <is>
          <t>polymarket_us</t>
        </is>
      </c>
      <c r="L134" s="26" t="n">
        <v>-113</v>
      </c>
      <c r="M134" s="27" t="n">
        <v>1.884956</v>
      </c>
      <c r="N134" s="28" t="n">
        <v>0.530516</v>
      </c>
      <c r="O134" s="28" t="n">
        <v>0.6001609999999999</v>
      </c>
      <c r="P134" s="28" t="n"/>
      <c r="Q134" s="28" t="n">
        <v>0.069645</v>
      </c>
      <c r="R134" s="26" t="n">
        <v>55</v>
      </c>
      <c r="S134" s="29" t="n">
        <v>1.25</v>
      </c>
      <c r="T134" s="24" t="inlineStr">
        <is>
          <t>npb-tie-aware-elo-v2</t>
        </is>
      </c>
      <c r="U134" s="24" t="inlineStr">
        <is>
          <t>settled</t>
        </is>
      </c>
      <c r="V134" s="24" t="inlineStr">
        <is>
          <t>win</t>
        </is>
      </c>
      <c r="W134" s="26" t="n">
        <v>2</v>
      </c>
      <c r="X134" s="26" t="n">
        <v>3</v>
      </c>
      <c r="Y134" s="25" t="n"/>
      <c r="Z134" s="26" t="n">
        <v>-113</v>
      </c>
      <c r="AA134" s="28" t="n">
        <v>0.53</v>
      </c>
      <c r="AB134" s="28" t="n">
        <v>-0.000516</v>
      </c>
      <c r="AC134" s="30" t="n">
        <v>1.1062</v>
      </c>
      <c r="AD134" s="24" t="inlineStr">
        <is>
          <t>2026-09-08T22:43:32.330885Z</t>
        </is>
      </c>
      <c r="AE134" s="31" t="inlineStr">
        <is>
          <t>Tie-aware Elo baseline; executable ask 0.5300 (market_slug=aec-npb-clm-trge-2026-09-08). Tie probability=0.0274.</t>
        </is>
      </c>
      <c r="AF134" s="31" t="inlineStr">
        <is>
          <t>Config-promoted international baseball baseline; gates enforced at log time.</t>
        </is>
      </c>
      <c r="AG134" s="24" t="inlineStr">
        <is>
          <t>not_applicable</t>
        </is>
      </c>
      <c r="AH134" s="24" t="n"/>
      <c r="AI134" s="31" t="n"/>
      <c r="AJ134" s="31" t="n"/>
      <c r="AK134" s="24" t="inlineStr">
        <is>
          <t>model_qualified</t>
        </is>
      </c>
      <c r="AL134" s="26" t="n">
        <v>4</v>
      </c>
      <c r="AM134" s="24" t="inlineStr">
        <is>
          <t>QUALIFIED_SHADOW_CALL</t>
        </is>
      </c>
      <c r="AN134" s="24" t="inlineStr">
        <is>
          <t>CALL</t>
        </is>
      </c>
      <c r="AO134" s="24" t="inlineStr">
        <is>
          <t>QUALIFIED</t>
        </is>
      </c>
      <c r="AP134" s="24" t="inlineStr">
        <is>
          <t>Tohoku Rakuten Golden Eagles</t>
        </is>
      </c>
      <c r="AQ134" s="24" t="inlineStr">
        <is>
          <t>Tohoku Rakuten Golden Eagles</t>
        </is>
      </c>
      <c r="AR134" s="24" t="inlineStr">
        <is>
          <t>Tohoku Rakuten Golden Eagles</t>
        </is>
      </c>
      <c r="AS134" s="24" t="inlineStr">
        <is>
          <t>Chiba Lotte Marines</t>
        </is>
      </c>
      <c r="AT134" s="24" t="inlineStr">
        <is>
          <t>Chiba Lotte Marines</t>
        </is>
      </c>
      <c r="AU134" s="24" t="inlineStr">
        <is>
          <t>Chiba Lotte Marines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shadow_qualified</t>
        </is>
      </c>
      <c r="BA134" s="24" t="inlineStr">
        <is>
          <t>32c4c6e50df81339070058a656263ced4ce5596a79cba55455f7b3074ebcc4e7</t>
        </is>
      </c>
      <c r="BB134" s="24" t="inlineStr">
        <is>
          <t>tie_aware_elo</t>
        </is>
      </c>
      <c r="BC134" s="24" t="inlineStr">
        <is>
          <t>npb-tie-aware-elo-v2</t>
        </is>
      </c>
      <c r="BD134" s="24" t="inlineStr">
        <is>
          <t>32c4c6e50df81339070058a656263ced4ce5596a79cba55455f7b3074ebcc4e7</t>
        </is>
      </c>
      <c r="BE134" s="24" t="inlineStr">
        <is>
          <t>1</t>
        </is>
      </c>
      <c r="BF134" s="24" t="inlineStr">
        <is>
          <t>1</t>
        </is>
      </c>
      <c r="BG134" s="24" t="inlineStr">
        <is>
          <t>npb-tie-aware-elo-v2</t>
        </is>
      </c>
      <c r="BH134" s="24" t="inlineStr">
        <is>
          <t>2026-09-08T04:35:36.149662Z</t>
        </is>
      </c>
      <c r="BI134" s="24" t="inlineStr">
        <is>
          <t>["same_event","same_team_same_day","same_league_same_day"]</t>
        </is>
      </c>
      <c r="BJ134" s="25" t="n"/>
      <c r="BK134" s="26" t="n">
        <v>-113</v>
      </c>
      <c r="BL134" s="27" t="n">
        <v>1.884956</v>
      </c>
      <c r="BM134" s="28" t="n">
        <v>0.530516</v>
      </c>
      <c r="BN134" s="28" t="n"/>
      <c r="BO134" s="28" t="n"/>
      <c r="BP134" s="25" t="n"/>
      <c r="BQ134" s="27" t="n">
        <v>1.884956</v>
      </c>
      <c r="BR134" s="28" t="n">
        <v>0.53</v>
      </c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inlineStr">
        <is>
          <t>True</t>
        </is>
      </c>
      <c r="CT134" s="24" t="n"/>
      <c r="CU134" s="24" t="n"/>
      <c r="CV134" s="24" t="n"/>
      <c r="CW134" s="24" t="n"/>
      <c r="CX134" s="24" t="n"/>
      <c r="CY134" s="24" t="n"/>
      <c r="CZ134" s="24" t="n"/>
      <c r="DA134" s="24" t="n"/>
      <c r="DB134" s="24" t="n"/>
      <c r="DC134" s="24" t="n"/>
      <c r="DD134" s="24" t="n"/>
      <c r="DE134" s="24" t="n"/>
      <c r="DF134" s="24" t="n"/>
      <c r="DG134" s="24" t="n"/>
      <c r="DH134" s="24" t="n"/>
      <c r="DI134" s="24" t="n"/>
      <c r="DJ134" s="24" t="inlineStr">
        <is>
          <t>0.530516</t>
        </is>
      </c>
      <c r="DK134" s="24" t="n"/>
      <c r="DL134" s="24" t="n"/>
      <c r="DM134" s="24" t="n"/>
      <c r="DN134" s="24" t="n"/>
      <c r="DO134" s="24" t="n"/>
      <c r="DP134" s="24" t="n"/>
      <c r="DQ134" s="24" t="n"/>
    </row>
    <row r="135" ht="36" customHeight="1">
      <c r="A135" s="24" t="inlineStr">
        <is>
          <t>590ddac52f7c4438</t>
        </is>
      </c>
      <c r="B135" s="24" t="inlineStr">
        <is>
          <t>2026-09-08T04:35:36.513311Z</t>
        </is>
      </c>
      <c r="C135" s="24" t="inlineStr">
        <is>
          <t>2026-09-08T09:00:00Z</t>
        </is>
      </c>
      <c r="D135" s="24" t="inlineStr">
        <is>
          <t>103046</t>
        </is>
      </c>
      <c r="E135" s="24" t="inlineStr">
        <is>
          <t>NPB</t>
        </is>
      </c>
      <c r="F135" s="24" t="inlineStr">
        <is>
          <t>Tokyo Yakult Swallows</t>
        </is>
      </c>
      <c r="G135" s="24" t="inlineStr">
        <is>
          <t>Yokohama BayStars</t>
        </is>
      </c>
      <c r="H135" s="24" t="inlineStr">
        <is>
          <t>moneyline</t>
        </is>
      </c>
      <c r="I135" s="24" t="inlineStr">
        <is>
          <t>home</t>
        </is>
      </c>
      <c r="J135" s="25" t="n"/>
      <c r="K135" s="24" t="inlineStr">
        <is>
          <t>polymarket_us</t>
        </is>
      </c>
      <c r="L135" s="26" t="n">
        <v>-223</v>
      </c>
      <c r="M135" s="27" t="n">
        <v>1.44843</v>
      </c>
      <c r="N135" s="28" t="n">
        <v>0.690402</v>
      </c>
      <c r="O135" s="28" t="n">
        <v>0.641856</v>
      </c>
      <c r="P135" s="28" t="n"/>
      <c r="Q135" s="28" t="n">
        <v>-0.048546</v>
      </c>
      <c r="R135" s="26" t="n">
        <v>0</v>
      </c>
      <c r="S135" s="29" t="n">
        <v>1</v>
      </c>
      <c r="T135" s="24" t="inlineStr">
        <is>
          <t>npb-tie-aware-elo-v2</t>
        </is>
      </c>
      <c r="U135" s="24" t="inlineStr">
        <is>
          <t>settled</t>
        </is>
      </c>
      <c r="V135" s="24" t="inlineStr">
        <is>
          <t>loss</t>
        </is>
      </c>
      <c r="W135" s="26" t="n">
        <v>3</v>
      </c>
      <c r="X135" s="26" t="n">
        <v>1</v>
      </c>
      <c r="Y135" s="25" t="n"/>
      <c r="Z135" s="26" t="n">
        <v>-223</v>
      </c>
      <c r="AA135" s="28" t="n">
        <v>0.6899999999999999</v>
      </c>
      <c r="AB135" s="28" t="n">
        <v>-0.000402</v>
      </c>
      <c r="AC135" s="30" t="n">
        <v>-1</v>
      </c>
      <c r="AD135" s="24" t="inlineStr">
        <is>
          <t>2026-09-08T22:43:32.780331Z</t>
        </is>
      </c>
      <c r="AE135" s="31" t="inlineStr">
        <is>
          <t>Tie-aware Elo baseline; executable ask 0.6900 (market_slug=aec-npb-ybo-tys-2026-09-08). Tie probability=0.0236.</t>
        </is>
      </c>
      <c r="AF135" s="31" t="inlineStr">
        <is>
          <t>Config-promoted international baseball baseline; gates enforced at log time.</t>
        </is>
      </c>
      <c r="AG135" s="24" t="inlineStr">
        <is>
          <t>review_required</t>
        </is>
      </c>
      <c r="AH135" s="24" t="n"/>
      <c r="AI135" s="31" t="n"/>
      <c r="AJ135" s="31" t="n"/>
      <c r="AK135" s="24" t="inlineStr">
        <is>
          <t>paper_call</t>
        </is>
      </c>
      <c r="AL135" s="26" t="n">
        <v>4</v>
      </c>
      <c r="AM135" s="24" t="inlineStr">
        <is>
          <t>RESEARCH_OBSERVATION</t>
        </is>
      </c>
      <c r="AN135" s="24" t="inlineStr">
        <is>
          <t>CALL</t>
        </is>
      </c>
      <c r="AO135" s="24" t="inlineStr">
        <is>
          <t>PAPER_CALL_LOW_EDGE</t>
        </is>
      </c>
      <c r="AP135" s="24" t="inlineStr">
        <is>
          <t>Tokyo Yakult Swallows</t>
        </is>
      </c>
      <c r="AQ135" s="24" t="inlineStr">
        <is>
          <t>Tokyo Yakult Swallows</t>
        </is>
      </c>
      <c r="AR135" s="24" t="inlineStr">
        <is>
          <t>Tokyo Yakult Swallows</t>
        </is>
      </c>
      <c r="AS135" s="24" t="inlineStr">
        <is>
          <t>Yokohama BayStars</t>
        </is>
      </c>
      <c r="AT135" s="24" t="inlineStr">
        <is>
          <t>Yokohama BayStars</t>
        </is>
      </c>
      <c r="AU135" s="24" t="inlineStr">
        <is>
          <t>Yokohama BayStars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shadow_qualified</t>
        </is>
      </c>
      <c r="BA135" s="24" t="inlineStr">
        <is>
          <t>32c4c6e50df81339070058a656263ced4ce5596a79cba55455f7b3074ebcc4e7</t>
        </is>
      </c>
      <c r="BB135" s="24" t="inlineStr">
        <is>
          <t>tie_aware_elo</t>
        </is>
      </c>
      <c r="BC135" s="24" t="inlineStr">
        <is>
          <t>npb-tie-aware-elo-v2</t>
        </is>
      </c>
      <c r="BD135" s="24" t="inlineStr">
        <is>
          <t>32c4c6e50df81339070058a656263ced4ce5596a79cba55455f7b3074ebcc4e7</t>
        </is>
      </c>
      <c r="BE135" s="24" t="inlineStr">
        <is>
          <t>1</t>
        </is>
      </c>
      <c r="BF135" s="24" t="inlineStr">
        <is>
          <t>1</t>
        </is>
      </c>
      <c r="BG135" s="24" t="inlineStr">
        <is>
          <t>npb-tie-aware-elo-v2</t>
        </is>
      </c>
      <c r="BH135" s="24" t="inlineStr">
        <is>
          <t>2026-09-08T04:35:36.219266Z</t>
        </is>
      </c>
      <c r="BI135" s="24" t="inlineStr">
        <is>
          <t>["same_event","same_team_same_day","same_league_same_day"]</t>
        </is>
      </c>
      <c r="BJ135" s="25" t="n"/>
      <c r="BK135" s="26" t="n">
        <v>-223</v>
      </c>
      <c r="BL135" s="27" t="n">
        <v>1.44843</v>
      </c>
      <c r="BM135" s="28" t="n">
        <v>0.690402</v>
      </c>
      <c r="BN135" s="28" t="n"/>
      <c r="BO135" s="28" t="n"/>
      <c r="BP135" s="25" t="n"/>
      <c r="BQ135" s="27" t="n">
        <v>1.44843</v>
      </c>
      <c r="BR135" s="28" t="n">
        <v>0.6899999999999999</v>
      </c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inlineStr">
        <is>
          <t>False</t>
        </is>
      </c>
      <c r="CT135" s="24" t="n"/>
      <c r="CU135" s="24" t="n"/>
      <c r="CV135" s="24" t="n"/>
      <c r="CW135" s="24" t="n"/>
      <c r="CX135" s="24" t="n"/>
      <c r="CY135" s="24" t="n"/>
      <c r="CZ135" s="24" t="n"/>
      <c r="DA135" s="24" t="n"/>
      <c r="DB135" s="24" t="n"/>
      <c r="DC135" s="24" t="n"/>
      <c r="DD135" s="24" t="n"/>
      <c r="DE135" s="24" t="n"/>
      <c r="DF135" s="24" t="n"/>
      <c r="DG135" s="24" t="n"/>
      <c r="DH135" s="24" t="n"/>
      <c r="DI135" s="24" t="n"/>
      <c r="DJ135" s="24" t="inlineStr">
        <is>
          <t>0.690402</t>
        </is>
      </c>
      <c r="DK135" s="24" t="n"/>
      <c r="DL135" s="24" t="n"/>
      <c r="DM135" s="24" t="n"/>
      <c r="DN135" s="24" t="n"/>
      <c r="DO135" s="24" t="n"/>
      <c r="DP135" s="24" t="n"/>
      <c r="DQ135" s="24" t="n"/>
    </row>
    <row r="136" ht="36" customHeight="1">
      <c r="A136" s="24" t="inlineStr">
        <is>
          <t>4f345238173b4778</t>
        </is>
      </c>
      <c r="B136" s="24" t="inlineStr">
        <is>
          <t>2026-09-08T04:35:36.513311Z</t>
        </is>
      </c>
      <c r="C136" s="24" t="inlineStr">
        <is>
          <t>2026-09-08T09:00:00Z</t>
        </is>
      </c>
      <c r="D136" s="24" t="inlineStr">
        <is>
          <t>103050</t>
        </is>
      </c>
      <c r="E136" s="24" t="inlineStr">
        <is>
          <t>NPB</t>
        </is>
      </c>
      <c r="F136" s="24" t="inlineStr">
        <is>
          <t>Nippon Ham Fighters</t>
        </is>
      </c>
      <c r="G136" s="24" t="inlineStr">
        <is>
          <t>Fukuoka SoftBank Hawks</t>
        </is>
      </c>
      <c r="H136" s="24" t="inlineStr">
        <is>
          <t>moneyline</t>
        </is>
      </c>
      <c r="I136" s="24" t="inlineStr">
        <is>
          <t>home</t>
        </is>
      </c>
      <c r="J136" s="25" t="n"/>
      <c r="K136" s="24" t="inlineStr">
        <is>
          <t>polymarket_us</t>
        </is>
      </c>
      <c r="L136" s="26" t="n">
        <v>-213</v>
      </c>
      <c r="M136" s="27" t="n">
        <v>1.469484</v>
      </c>
      <c r="N136" s="28" t="n">
        <v>0.680511</v>
      </c>
      <c r="O136" s="28" t="n">
        <v>0.58245</v>
      </c>
      <c r="P136" s="28" t="n"/>
      <c r="Q136" s="28" t="n">
        <v>-0.098061</v>
      </c>
      <c r="R136" s="26" t="n">
        <v>0</v>
      </c>
      <c r="S136" s="29" t="n">
        <v>1</v>
      </c>
      <c r="T136" s="24" t="inlineStr">
        <is>
          <t>npb-tie-aware-elo-v2</t>
        </is>
      </c>
      <c r="U136" s="24" t="inlineStr">
        <is>
          <t>settled</t>
        </is>
      </c>
      <c r="V136" s="24" t="inlineStr">
        <is>
          <t>win</t>
        </is>
      </c>
      <c r="W136" s="26" t="n">
        <v>1</v>
      </c>
      <c r="X136" s="26" t="n">
        <v>14</v>
      </c>
      <c r="Y136" s="25" t="n"/>
      <c r="Z136" s="26" t="n">
        <v>-213</v>
      </c>
      <c r="AA136" s="28" t="n">
        <v>0.68</v>
      </c>
      <c r="AB136" s="28" t="n">
        <v>-0.000511</v>
      </c>
      <c r="AC136" s="30" t="n">
        <v>0.4695</v>
      </c>
      <c r="AD136" s="24" t="inlineStr">
        <is>
          <t>2026-09-08T22:43:33.090369Z</t>
        </is>
      </c>
      <c r="AE136" s="31" t="inlineStr">
        <is>
          <t>Tie-aware Elo baseline; executable ask 0.6800 (market_slug=aec-npb-fsh-nhf-2026-09-08). Tie probability=0.0290.</t>
        </is>
      </c>
      <c r="AF136" s="31" t="inlineStr">
        <is>
          <t>Config-promoted international baseball baseline; gates enforced at log time.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paper_call</t>
        </is>
      </c>
      <c r="AL136" s="26" t="n">
        <v>4</v>
      </c>
      <c r="AM136" s="24" t="inlineStr">
        <is>
          <t>RESEARCH_OBSERVATION</t>
        </is>
      </c>
      <c r="AN136" s="24" t="inlineStr">
        <is>
          <t>CALL</t>
        </is>
      </c>
      <c r="AO136" s="24" t="inlineStr">
        <is>
          <t>PAPER_CALL_LOW_EDGE</t>
        </is>
      </c>
      <c r="AP136" s="24" t="inlineStr">
        <is>
          <t>Nippon Ham Fighters</t>
        </is>
      </c>
      <c r="AQ136" s="24" t="inlineStr">
        <is>
          <t>Nippon Ham Fighters</t>
        </is>
      </c>
      <c r="AR136" s="24" t="inlineStr">
        <is>
          <t>Nippon Ham Fighters</t>
        </is>
      </c>
      <c r="AS136" s="24" t="inlineStr">
        <is>
          <t>Fukuoka SoftBank Hawks</t>
        </is>
      </c>
      <c r="AT136" s="24" t="inlineStr">
        <is>
          <t>Fukuoka SoftBank Hawks</t>
        </is>
      </c>
      <c r="AU136" s="24" t="inlineStr">
        <is>
          <t>Fukuoka SoftBank Hawks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shadow_qualified</t>
        </is>
      </c>
      <c r="BA136" s="24" t="inlineStr">
        <is>
          <t>32c4c6e50df81339070058a656263ced4ce5596a79cba55455f7b3074ebcc4e7</t>
        </is>
      </c>
      <c r="BB136" s="24" t="inlineStr">
        <is>
          <t>tie_aware_elo</t>
        </is>
      </c>
      <c r="BC136" s="24" t="inlineStr">
        <is>
          <t>npb-tie-aware-elo-v2</t>
        </is>
      </c>
      <c r="BD136" s="24" t="inlineStr">
        <is>
          <t>32c4c6e50df81339070058a656263ced4ce5596a79cba55455f7b3074ebcc4e7</t>
        </is>
      </c>
      <c r="BE136" s="24" t="inlineStr">
        <is>
          <t>1</t>
        </is>
      </c>
      <c r="BF136" s="24" t="inlineStr">
        <is>
          <t>1</t>
        </is>
      </c>
      <c r="BG136" s="24" t="inlineStr">
        <is>
          <t>npb-tie-aware-elo-v2</t>
        </is>
      </c>
      <c r="BH136" s="24" t="inlineStr">
        <is>
          <t>2026-09-08T04:35:36.300664Z</t>
        </is>
      </c>
      <c r="BI136" s="24" t="inlineStr">
        <is>
          <t>["same_event","same_team_same_day","same_league_same_day"]</t>
        </is>
      </c>
      <c r="BJ136" s="25" t="n"/>
      <c r="BK136" s="26" t="n">
        <v>-213</v>
      </c>
      <c r="BL136" s="27" t="n">
        <v>1.469484</v>
      </c>
      <c r="BM136" s="28" t="n">
        <v>0.680511</v>
      </c>
      <c r="BN136" s="28" t="n"/>
      <c r="BO136" s="28" t="n"/>
      <c r="BP136" s="25" t="n"/>
      <c r="BQ136" s="27" t="n">
        <v>1.469484</v>
      </c>
      <c r="BR136" s="28" t="n">
        <v>0.68</v>
      </c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inlineStr">
        <is>
          <t>False</t>
        </is>
      </c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/>
      <c r="DH136" s="24" t="n"/>
      <c r="DI136" s="24" t="n"/>
      <c r="DJ136" s="24" t="inlineStr">
        <is>
          <t>0.680511</t>
        </is>
      </c>
      <c r="DK136" s="24" t="n"/>
      <c r="DL136" s="24" t="n"/>
      <c r="DM136" s="24" t="n"/>
      <c r="DN136" s="24" t="n"/>
      <c r="DO136" s="24" t="n"/>
      <c r="DP136" s="24" t="n"/>
      <c r="DQ136" s="24" t="n"/>
    </row>
    <row r="137" ht="36" customHeight="1">
      <c r="A137" s="24" t="inlineStr">
        <is>
          <t>20bdf42e76294c10</t>
        </is>
      </c>
      <c r="B137" s="24" t="inlineStr">
        <is>
          <t>2026-09-08T04:35:36.513311Z</t>
        </is>
      </c>
      <c r="C137" s="24" t="inlineStr">
        <is>
          <t>2026-09-08T09:00:00Z</t>
        </is>
      </c>
      <c r="D137" s="24" t="inlineStr">
        <is>
          <t>103049</t>
        </is>
      </c>
      <c r="E137" s="24" t="inlineStr">
        <is>
          <t>NPB</t>
        </is>
      </c>
      <c r="F137" s="24" t="inlineStr">
        <is>
          <t>Saitama Seibu Lions</t>
        </is>
      </c>
      <c r="G137" s="24" t="inlineStr">
        <is>
          <t>Orix Buffaloes</t>
        </is>
      </c>
      <c r="H137" s="24" t="inlineStr">
        <is>
          <t>moneyline</t>
        </is>
      </c>
      <c r="I137" s="24" t="inlineStr">
        <is>
          <t>away</t>
        </is>
      </c>
      <c r="J137" s="25" t="n"/>
      <c r="K137" s="24" t="inlineStr">
        <is>
          <t>polymarket_us</t>
        </is>
      </c>
      <c r="L137" s="26" t="n">
        <v>-122</v>
      </c>
      <c r="M137" s="27" t="n">
        <v>1.819672</v>
      </c>
      <c r="N137" s="28" t="n">
        <v>0.54955</v>
      </c>
      <c r="O137" s="28" t="n">
        <v>0.525906</v>
      </c>
      <c r="P137" s="28" t="n"/>
      <c r="Q137" s="28" t="n">
        <v>-0.023644</v>
      </c>
      <c r="R137" s="26" t="n">
        <v>8</v>
      </c>
      <c r="S137" s="29" t="n">
        <v>1</v>
      </c>
      <c r="T137" s="24" t="inlineStr">
        <is>
          <t>npb-tie-aware-elo-v2</t>
        </is>
      </c>
      <c r="U137" s="24" t="inlineStr">
        <is>
          <t>settled</t>
        </is>
      </c>
      <c r="V137" s="24" t="inlineStr">
        <is>
          <t>win</t>
        </is>
      </c>
      <c r="W137" s="26" t="n">
        <v>2</v>
      </c>
      <c r="X137" s="26" t="n">
        <v>0</v>
      </c>
      <c r="Y137" s="25" t="n"/>
      <c r="Z137" s="26" t="n">
        <v>-122</v>
      </c>
      <c r="AA137" s="28" t="n">
        <v>0.55</v>
      </c>
      <c r="AB137" s="28" t="n">
        <v>0.00045</v>
      </c>
      <c r="AC137" s="30" t="n">
        <v>0.8197</v>
      </c>
      <c r="AD137" s="24" t="inlineStr">
        <is>
          <t>2026-09-08T22:43:33.685000Z</t>
        </is>
      </c>
      <c r="AE137" s="31" t="inlineStr">
        <is>
          <t>Tie-aware Elo baseline; executable ask 0.5500 (market_slug=aec-npb-obr-ssl-2026-09-08). Tie probability=0.0339.</t>
        </is>
      </c>
      <c r="AF137" s="31" t="inlineStr">
        <is>
          <t>Config-promoted international baseball baseline; gates enforced at log time.</t>
        </is>
      </c>
      <c r="AG137" s="24" t="inlineStr">
        <is>
          <t>not_applicable</t>
        </is>
      </c>
      <c r="AH137" s="24" t="n"/>
      <c r="AI137" s="31" t="n"/>
      <c r="AJ137" s="31" t="n"/>
      <c r="AK137" s="24" t="inlineStr">
        <is>
          <t>paper_call</t>
        </is>
      </c>
      <c r="AL137" s="26" t="n">
        <v>4</v>
      </c>
      <c r="AM137" s="24" t="inlineStr">
        <is>
          <t>RESEARCH_OBSERVATION</t>
        </is>
      </c>
      <c r="AN137" s="24" t="inlineStr">
        <is>
          <t>CALL</t>
        </is>
      </c>
      <c r="AO137" s="24" t="inlineStr">
        <is>
          <t>PAPER_CALL_LOW_EDGE</t>
        </is>
      </c>
      <c r="AP137" s="24" t="inlineStr">
        <is>
          <t>Saitama Seibu Lions</t>
        </is>
      </c>
      <c r="AQ137" s="24" t="inlineStr">
        <is>
          <t>Saitama Seibu Lions</t>
        </is>
      </c>
      <c r="AR137" s="24" t="inlineStr">
        <is>
          <t>Saitama Seibu Lions</t>
        </is>
      </c>
      <c r="AS137" s="24" t="inlineStr">
        <is>
          <t>Orix Buffaloes</t>
        </is>
      </c>
      <c r="AT137" s="24" t="inlineStr">
        <is>
          <t>Orix Buffaloes</t>
        </is>
      </c>
      <c r="AU137" s="24" t="inlineStr">
        <is>
          <t>Orix Buffaloes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shadow_qualified</t>
        </is>
      </c>
      <c r="BA137" s="24" t="inlineStr">
        <is>
          <t>32c4c6e50df81339070058a656263ced4ce5596a79cba55455f7b3074ebcc4e7</t>
        </is>
      </c>
      <c r="BB137" s="24" t="inlineStr">
        <is>
          <t>tie_aware_elo</t>
        </is>
      </c>
      <c r="BC137" s="24" t="inlineStr">
        <is>
          <t>npb-tie-aware-elo-v2</t>
        </is>
      </c>
      <c r="BD137" s="24" t="inlineStr">
        <is>
          <t>32c4c6e50df81339070058a656263ced4ce5596a79cba55455f7b3074ebcc4e7</t>
        </is>
      </c>
      <c r="BE137" s="24" t="inlineStr">
        <is>
          <t>1</t>
        </is>
      </c>
      <c r="BF137" s="24" t="inlineStr">
        <is>
          <t>1</t>
        </is>
      </c>
      <c r="BG137" s="24" t="inlineStr">
        <is>
          <t>npb-tie-aware-elo-v2</t>
        </is>
      </c>
      <c r="BH137" s="24" t="inlineStr">
        <is>
          <t>2026-09-08T04:35:36.370679Z</t>
        </is>
      </c>
      <c r="BI137" s="24" t="inlineStr">
        <is>
          <t>["same_event","same_team_same_day","same_league_same_day"]</t>
        </is>
      </c>
      <c r="BJ137" s="25" t="n"/>
      <c r="BK137" s="26" t="n">
        <v>-122</v>
      </c>
      <c r="BL137" s="27" t="n">
        <v>1.819672</v>
      </c>
      <c r="BM137" s="28" t="n">
        <v>0.54955</v>
      </c>
      <c r="BN137" s="28" t="n"/>
      <c r="BO137" s="28" t="n"/>
      <c r="BP137" s="25" t="n"/>
      <c r="BQ137" s="27" t="n">
        <v>1.819672</v>
      </c>
      <c r="BR137" s="28" t="n">
        <v>0.55</v>
      </c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inlineStr">
        <is>
          <t>False</t>
        </is>
      </c>
      <c r="CT137" s="24" t="n"/>
      <c r="CU137" s="24" t="n"/>
      <c r="CV137" s="24" t="n"/>
      <c r="CW137" s="24" t="n"/>
      <c r="CX137" s="24" t="n"/>
      <c r="CY137" s="24" t="n"/>
      <c r="CZ137" s="24" t="n"/>
      <c r="DA137" s="24" t="n"/>
      <c r="DB137" s="24" t="n"/>
      <c r="DC137" s="24" t="n"/>
      <c r="DD137" s="24" t="n"/>
      <c r="DE137" s="24" t="n"/>
      <c r="DF137" s="24" t="n"/>
      <c r="DG137" s="24" t="n"/>
      <c r="DH137" s="24" t="n"/>
      <c r="DI137" s="24" t="n"/>
      <c r="DJ137" s="24" t="inlineStr">
        <is>
          <t>0.54955</t>
        </is>
      </c>
      <c r="DK137" s="24" t="n"/>
      <c r="DL137" s="24" t="n"/>
      <c r="DM137" s="24" t="n"/>
      <c r="DN137" s="24" t="n"/>
      <c r="DO137" s="24" t="n"/>
      <c r="DP137" s="24" t="n"/>
      <c r="DQ137" s="24" t="n"/>
    </row>
    <row r="138" ht="36" customHeight="1">
      <c r="A138" s="24" t="inlineStr">
        <is>
          <t>3d43f9f486fa4e19</t>
        </is>
      </c>
      <c r="B138" s="24" t="inlineStr">
        <is>
          <t>2026-09-08T04:35:36.513311Z</t>
        </is>
      </c>
      <c r="C138" s="24" t="inlineStr">
        <is>
          <t>2026-09-08T09:00:00Z</t>
        </is>
      </c>
      <c r="D138" s="24" t="inlineStr">
        <is>
          <t>103047</t>
        </is>
      </c>
      <c r="E138" s="24" t="inlineStr">
        <is>
          <t>NPB</t>
        </is>
      </c>
      <c r="F138" s="24" t="inlineStr">
        <is>
          <t>Hiroshima Carp</t>
        </is>
      </c>
      <c r="G138" s="24" t="inlineStr">
        <is>
          <t>Hanshin Tigers</t>
        </is>
      </c>
      <c r="H138" s="24" t="inlineStr">
        <is>
          <t>moneyline</t>
        </is>
      </c>
      <c r="I138" s="24" t="inlineStr">
        <is>
          <t>home</t>
        </is>
      </c>
      <c r="J138" s="25" t="n"/>
      <c r="K138" s="24" t="inlineStr">
        <is>
          <t>polymarket_us</t>
        </is>
      </c>
      <c r="L138" s="26" t="n">
        <v>-203</v>
      </c>
      <c r="M138" s="27" t="n">
        <v>1.492611</v>
      </c>
      <c r="N138" s="28" t="n">
        <v>0.669967</v>
      </c>
      <c r="O138" s="28" t="n">
        <v>0.679496</v>
      </c>
      <c r="P138" s="28" t="n"/>
      <c r="Q138" s="28" t="n">
        <v>0.009528999999999999</v>
      </c>
      <c r="R138" s="26" t="n">
        <v>25</v>
      </c>
      <c r="S138" s="29" t="n">
        <v>1</v>
      </c>
      <c r="T138" s="24" t="inlineStr">
        <is>
          <t>npb-tie-aware-elo-v2</t>
        </is>
      </c>
      <c r="U138" s="24" t="inlineStr">
        <is>
          <t>settled</t>
        </is>
      </c>
      <c r="V138" s="24" t="inlineStr">
        <is>
          <t>push</t>
        </is>
      </c>
      <c r="W138" s="26" t="n"/>
      <c r="X138" s="26" t="n"/>
      <c r="Y138" s="25" t="n"/>
      <c r="Z138" s="26" t="n"/>
      <c r="AA138" s="28" t="n"/>
      <c r="AB138" s="28" t="n"/>
      <c r="AC138" s="30" t="n">
        <v>0</v>
      </c>
      <c r="AD138" s="24" t="inlineStr">
        <is>
          <t>2026-10-06T22:59:35.834543Z</t>
        </is>
      </c>
      <c r="AE138" s="31" t="inlineStr">
        <is>
          <t>Tie-aware Elo baseline; executable ask 0.6700 (market_slug=aec-npb-hta-hci-2026-09-08). Tie probability=0.0201.</t>
        </is>
      </c>
      <c r="AF138" s="31" t="inlineStr">
        <is>
          <t>Config-promoted international baseball baseline; gates enforced at log time.</t>
        </is>
      </c>
      <c r="AG138" s="24" t="inlineStr">
        <is>
          <t>not_applicable</t>
        </is>
      </c>
      <c r="AH138" s="24" t="n"/>
      <c r="AI138" s="31" t="n"/>
      <c r="AJ138" s="31" t="n"/>
      <c r="AK138" s="24" t="inlineStr">
        <is>
          <t>paper_call</t>
        </is>
      </c>
      <c r="AL138" s="26" t="n">
        <v>4</v>
      </c>
      <c r="AM138" s="24" t="inlineStr">
        <is>
          <t>RESEARCH_OBSERVATION</t>
        </is>
      </c>
      <c r="AN138" s="24" t="inlineStr">
        <is>
          <t>CALL</t>
        </is>
      </c>
      <c r="AO138" s="24" t="inlineStr">
        <is>
          <t>PAPER_CALL_LOW_EDGE</t>
        </is>
      </c>
      <c r="AP138" s="24" t="inlineStr">
        <is>
          <t>Hiroshima Carp</t>
        </is>
      </c>
      <c r="AQ138" s="24" t="inlineStr">
        <is>
          <t>Hiroshima Carp</t>
        </is>
      </c>
      <c r="AR138" s="24" t="inlineStr">
        <is>
          <t>Hiroshima Carp</t>
        </is>
      </c>
      <c r="AS138" s="24" t="inlineStr">
        <is>
          <t>Hanshin Tigers</t>
        </is>
      </c>
      <c r="AT138" s="24" t="inlineStr">
        <is>
          <t>Hanshin Tigers</t>
        </is>
      </c>
      <c r="AU138" s="24" t="inlineStr">
        <is>
          <t>Hanshin Tigers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32c4c6e50df81339070058a656263ced4ce5596a79cba55455f7b3074ebcc4e7</t>
        </is>
      </c>
      <c r="BB138" s="24" t="inlineStr">
        <is>
          <t>tie_aware_elo</t>
        </is>
      </c>
      <c r="BC138" s="24" t="inlineStr">
        <is>
          <t>npb-tie-aware-elo-v2</t>
        </is>
      </c>
      <c r="BD138" s="24" t="inlineStr">
        <is>
          <t>32c4c6e50df81339070058a656263ced4ce5596a79cba55455f7b3074ebcc4e7</t>
        </is>
      </c>
      <c r="BE138" s="24" t="inlineStr">
        <is>
          <t>1</t>
        </is>
      </c>
      <c r="BF138" s="24" t="inlineStr">
        <is>
          <t>1</t>
        </is>
      </c>
      <c r="BG138" s="24" t="inlineStr">
        <is>
          <t>npb-tie-aware-elo-v2</t>
        </is>
      </c>
      <c r="BH138" s="24" t="inlineStr">
        <is>
          <t>2026-09-08T04:35:36.444869Z</t>
        </is>
      </c>
      <c r="BI138" s="24" t="inlineStr">
        <is>
          <t>["same_event","same_team_same_day","same_league_same_day"]</t>
        </is>
      </c>
      <c r="BJ138" s="25" t="n"/>
      <c r="BK138" s="26" t="n">
        <v>-203</v>
      </c>
      <c r="BL138" s="27" t="n">
        <v>1.492611</v>
      </c>
      <c r="BM138" s="28" t="n">
        <v>0.669967</v>
      </c>
      <c r="BN138" s="28" t="n"/>
      <c r="BO138" s="28" t="n"/>
      <c r="BP138" s="25" t="n"/>
      <c r="BQ138" s="27" t="n"/>
      <c r="BR138" s="28" t="n"/>
      <c r="BS138" s="28" t="n"/>
      <c r="BT138" s="28" t="n"/>
      <c r="BU138" s="25" t="n"/>
      <c r="BV138" s="29" t="n"/>
      <c r="BW138" s="24" t="inlineStr">
        <is>
          <t>NPB game scheduled on 2026-09-08 cancelled/postponed (no final score posted after &gt;7 days)</t>
        </is>
      </c>
      <c r="BX138" s="30" t="n"/>
      <c r="BY138" s="27" t="n"/>
      <c r="BZ138" s="24" t="n"/>
      <c r="CA138" s="31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  <c r="CR138" s="24" t="n"/>
      <c r="CS138" s="24" t="inlineStr">
        <is>
          <t>True</t>
        </is>
      </c>
      <c r="CT138" s="24" t="n"/>
      <c r="CU138" s="24" t="n"/>
      <c r="CV138" s="24" t="n"/>
      <c r="CW138" s="24" t="n"/>
      <c r="CX138" s="24" t="n"/>
      <c r="CY138" s="24" t="n"/>
      <c r="CZ138" s="24" t="n"/>
      <c r="DA138" s="24" t="n"/>
      <c r="DB138" s="24" t="n"/>
      <c r="DC138" s="24" t="n"/>
      <c r="DD138" s="24" t="n"/>
      <c r="DE138" s="24" t="n"/>
      <c r="DF138" s="24" t="n"/>
      <c r="DG138" s="24" t="n"/>
      <c r="DH138" s="24" t="n"/>
      <c r="DI138" s="24" t="n"/>
      <c r="DJ138" s="24" t="inlineStr">
        <is>
          <t>0.669967</t>
        </is>
      </c>
      <c r="DK138" s="24" t="n"/>
      <c r="DL138" s="24" t="n"/>
      <c r="DM138" s="24" t="n"/>
      <c r="DN138" s="24" t="n"/>
      <c r="DO138" s="24" t="n"/>
      <c r="DP138" s="24" t="n"/>
      <c r="DQ138" s="24" t="n"/>
    </row>
    <row r="139" ht="36" customHeight="1">
      <c r="A139" s="24" t="inlineStr">
        <is>
          <t>5e796096edb34981</t>
        </is>
      </c>
      <c r="B139" s="24" t="inlineStr">
        <is>
          <t>2026-09-08T04:35:36.513311Z</t>
        </is>
      </c>
      <c r="C139" s="24" t="inlineStr">
        <is>
          <t>2026-09-08T09:00:00Z</t>
        </is>
      </c>
      <c r="D139" s="24" t="inlineStr">
        <is>
          <t>103045</t>
        </is>
      </c>
      <c r="E139" s="24" t="inlineStr">
        <is>
          <t>NPB</t>
        </is>
      </c>
      <c r="F139" s="24" t="inlineStr">
        <is>
          <t>Chunichi Dragons</t>
        </is>
      </c>
      <c r="G139" s="24" t="inlineStr">
        <is>
          <t>Yomiuri Giants</t>
        </is>
      </c>
      <c r="H139" s="24" t="inlineStr">
        <is>
          <t>moneyline</t>
        </is>
      </c>
      <c r="I139" s="24" t="inlineStr">
        <is>
          <t>home</t>
        </is>
      </c>
      <c r="J139" s="25" t="n"/>
      <c r="K139" s="24" t="inlineStr">
        <is>
          <t>polymarket_us</t>
        </is>
      </c>
      <c r="L139" s="26" t="n">
        <v>-133</v>
      </c>
      <c r="M139" s="27" t="n">
        <v>1.75188</v>
      </c>
      <c r="N139" s="28" t="n">
        <v>0.570815</v>
      </c>
      <c r="O139" s="28" t="n">
        <v>0.632385</v>
      </c>
      <c r="P139" s="28" t="n"/>
      <c r="Q139" s="28" t="n">
        <v>0.06157</v>
      </c>
      <c r="R139" s="26" t="n">
        <v>51</v>
      </c>
      <c r="S139" s="29" t="n">
        <v>1</v>
      </c>
      <c r="T139" s="24" t="inlineStr">
        <is>
          <t>npb-tie-aware-elo-v2</t>
        </is>
      </c>
      <c r="U139" s="24" t="inlineStr">
        <is>
          <t>settled</t>
        </is>
      </c>
      <c r="V139" s="24" t="inlineStr">
        <is>
          <t>loss</t>
        </is>
      </c>
      <c r="W139" s="26" t="n">
        <v>3</v>
      </c>
      <c r="X139" s="26" t="n">
        <v>0</v>
      </c>
      <c r="Y139" s="25" t="n"/>
      <c r="Z139" s="26" t="n">
        <v>-133</v>
      </c>
      <c r="AA139" s="28" t="n">
        <v>0.57</v>
      </c>
      <c r="AB139" s="28" t="n">
        <v>-0.000815</v>
      </c>
      <c r="AC139" s="30" t="n">
        <v>-1</v>
      </c>
      <c r="AD139" s="24" t="inlineStr">
        <is>
          <t>2026-09-08T22:43:36.078597Z</t>
        </is>
      </c>
      <c r="AE139" s="31" t="inlineStr">
        <is>
          <t>Tie-aware Elo baseline; executable ask 0.5700 (market_slug=aec-npb-ygo-cdh-2026-09-08). Tie probability=0.0245.</t>
        </is>
      </c>
      <c r="AF139" s="31" t="inlineStr">
        <is>
          <t>Config-promoted international baseball baseline; gates enforced at log time.</t>
        </is>
      </c>
      <c r="AG139" s="24" t="inlineStr">
        <is>
          <t>review_required</t>
        </is>
      </c>
      <c r="AH139" s="24" t="n"/>
      <c r="AI139" s="31" t="n"/>
      <c r="AJ139" s="31" t="n"/>
      <c r="AK139" s="24" t="inlineStr">
        <is>
          <t>model_qualified</t>
        </is>
      </c>
      <c r="AL139" s="26" t="n">
        <v>4</v>
      </c>
      <c r="AM139" s="24" t="inlineStr">
        <is>
          <t>QUALIFIED_SHADOW_CALL</t>
        </is>
      </c>
      <c r="AN139" s="24" t="inlineStr">
        <is>
          <t>CALL</t>
        </is>
      </c>
      <c r="AO139" s="24" t="inlineStr">
        <is>
          <t>QUALIFIED</t>
        </is>
      </c>
      <c r="AP139" s="24" t="inlineStr">
        <is>
          <t>Chunichi Dragons</t>
        </is>
      </c>
      <c r="AQ139" s="24" t="inlineStr">
        <is>
          <t>Chunichi Dragons</t>
        </is>
      </c>
      <c r="AR139" s="24" t="inlineStr">
        <is>
          <t>Chunichi Dragons</t>
        </is>
      </c>
      <c r="AS139" s="24" t="inlineStr">
        <is>
          <t>Yomiuri Giants</t>
        </is>
      </c>
      <c r="AT139" s="24" t="inlineStr">
        <is>
          <t>Yomiuri Giants</t>
        </is>
      </c>
      <c r="AU139" s="24" t="inlineStr">
        <is>
          <t>Yomiuri Giants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shadow_qualified</t>
        </is>
      </c>
      <c r="BA139" s="24" t="inlineStr">
        <is>
          <t>32c4c6e50df81339070058a656263ced4ce5596a79cba55455f7b3074ebcc4e7</t>
        </is>
      </c>
      <c r="BB139" s="24" t="inlineStr">
        <is>
          <t>tie_aware_elo</t>
        </is>
      </c>
      <c r="BC139" s="24" t="inlineStr">
        <is>
          <t>npb-tie-aware-elo-v2</t>
        </is>
      </c>
      <c r="BD139" s="24" t="inlineStr">
        <is>
          <t>32c4c6e50df81339070058a656263ced4ce5596a79cba55455f7b3074ebcc4e7</t>
        </is>
      </c>
      <c r="BE139" s="24" t="inlineStr">
        <is>
          <t>1</t>
        </is>
      </c>
      <c r="BF139" s="24" t="inlineStr">
        <is>
          <t>1</t>
        </is>
      </c>
      <c r="BG139" s="24" t="inlineStr">
        <is>
          <t>npb-tie-aware-elo-v2</t>
        </is>
      </c>
      <c r="BH139" s="24" t="inlineStr">
        <is>
          <t>2026-09-08T04:35:36.513247Z</t>
        </is>
      </c>
      <c r="BI139" s="24" t="inlineStr">
        <is>
          <t>["same_event","same_team_same_day","same_league_same_day"]</t>
        </is>
      </c>
      <c r="BJ139" s="25" t="n"/>
      <c r="BK139" s="26" t="n">
        <v>-133</v>
      </c>
      <c r="BL139" s="27" t="n">
        <v>1.75188</v>
      </c>
      <c r="BM139" s="28" t="n">
        <v>0.570815</v>
      </c>
      <c r="BN139" s="28" t="n"/>
      <c r="BO139" s="28" t="n"/>
      <c r="BP139" s="25" t="n"/>
      <c r="BQ139" s="27" t="n">
        <v>1.75188</v>
      </c>
      <c r="BR139" s="28" t="n">
        <v>0.57</v>
      </c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inlineStr">
        <is>
          <t>True</t>
        </is>
      </c>
      <c r="CT139" s="24" t="n"/>
      <c r="CU139" s="24" t="n"/>
      <c r="CV139" s="24" t="n"/>
      <c r="CW139" s="24" t="n"/>
      <c r="CX139" s="24" t="n"/>
      <c r="CY139" s="24" t="n"/>
      <c r="CZ139" s="24" t="n"/>
      <c r="DA139" s="24" t="n"/>
      <c r="DB139" s="24" t="n"/>
      <c r="DC139" s="24" t="n"/>
      <c r="DD139" s="24" t="n"/>
      <c r="DE139" s="24" t="n"/>
      <c r="DF139" s="24" t="n"/>
      <c r="DG139" s="24" t="n"/>
      <c r="DH139" s="24" t="n"/>
      <c r="DI139" s="24" t="n"/>
      <c r="DJ139" s="24" t="inlineStr">
        <is>
          <t>0.570815</t>
        </is>
      </c>
      <c r="DK139" s="24" t="n"/>
      <c r="DL139" s="24" t="n"/>
      <c r="DM139" s="24" t="n"/>
      <c r="DN139" s="24" t="n"/>
      <c r="DO139" s="24" t="n"/>
      <c r="DP139" s="24" t="n"/>
      <c r="DQ139" s="24" t="n"/>
    </row>
    <row r="140" ht="36" customHeight="1">
      <c r="A140" s="24" t="inlineStr">
        <is>
          <t>6f58f9f869db463d</t>
        </is>
      </c>
      <c r="B140" s="24" t="inlineStr">
        <is>
          <t>2026-09-09T04:34:50.163038Z</t>
        </is>
      </c>
      <c r="C140" s="24" t="inlineStr">
        <is>
          <t>2026-09-09T09:00:00Z</t>
        </is>
      </c>
      <c r="D140" s="24" t="inlineStr">
        <is>
          <t>104535</t>
        </is>
      </c>
      <c r="E140" s="24" t="inlineStr">
        <is>
          <t>NPB</t>
        </is>
      </c>
      <c r="F140" s="24" t="inlineStr">
        <is>
          <t>Saitama Seibu Lions</t>
        </is>
      </c>
      <c r="G140" s="24" t="inlineStr">
        <is>
          <t>Orix Buffaloes</t>
        </is>
      </c>
      <c r="H140" s="24" t="inlineStr">
        <is>
          <t>moneyline</t>
        </is>
      </c>
      <c r="I140" s="24" t="inlineStr">
        <is>
          <t>away</t>
        </is>
      </c>
      <c r="J140" s="25" t="n"/>
      <c r="K140" s="24" t="inlineStr">
        <is>
          <t>polymarket_us</t>
        </is>
      </c>
      <c r="L140" s="26" t="n">
        <v>117</v>
      </c>
      <c r="M140" s="27" t="n">
        <v>2.17</v>
      </c>
      <c r="N140" s="28" t="n">
        <v>0.460829</v>
      </c>
      <c r="O140" s="28" t="n">
        <v>0.536423</v>
      </c>
      <c r="P140" s="28" t="n"/>
      <c r="Q140" s="28" t="n">
        <v>0.07559399999999999</v>
      </c>
      <c r="R140" s="26" t="n">
        <v>58</v>
      </c>
      <c r="S140" s="29" t="n">
        <v>1.25</v>
      </c>
      <c r="T140" s="24" t="inlineStr">
        <is>
          <t>npb-tie-aware-elo-v2</t>
        </is>
      </c>
      <c r="U140" s="24" t="inlineStr">
        <is>
          <t>settled</t>
        </is>
      </c>
      <c r="V140" s="24" t="inlineStr">
        <is>
          <t>win</t>
        </is>
      </c>
      <c r="W140" s="26" t="n">
        <v>8</v>
      </c>
      <c r="X140" s="26" t="n">
        <v>0</v>
      </c>
      <c r="Y140" s="25" t="n"/>
      <c r="Z140" s="26" t="n">
        <v>117</v>
      </c>
      <c r="AA140" s="28" t="n">
        <v>0.46</v>
      </c>
      <c r="AB140" s="28" t="n">
        <v>-0.000829</v>
      </c>
      <c r="AC140" s="30" t="n">
        <v>1.4625</v>
      </c>
      <c r="AD140" s="24" t="inlineStr">
        <is>
          <t>2026-09-09T22:03:14.663628Z</t>
        </is>
      </c>
      <c r="AE140" s="31" t="inlineStr">
        <is>
          <t>Tie-aware Elo baseline; executable ask 0.4600 (market_slug=aec-npb-obr-ssl-2026-09-09). Tie probability=0.0329.</t>
        </is>
      </c>
      <c r="AF140" s="31" t="inlineStr">
        <is>
          <t>Config-promoted international baseball baseline; gates enforced at log time.</t>
        </is>
      </c>
      <c r="AG140" s="24" t="inlineStr">
        <is>
          <t>not_applicable</t>
        </is>
      </c>
      <c r="AH140" s="24" t="n"/>
      <c r="AI140" s="31" t="n"/>
      <c r="AJ140" s="31" t="n"/>
      <c r="AK140" s="24" t="inlineStr">
        <is>
          <t>paper_call</t>
        </is>
      </c>
      <c r="AL140" s="26" t="n">
        <v>4</v>
      </c>
      <c r="AM140" s="24" t="inlineStr">
        <is>
          <t>RESEARCH_OBSERVATION</t>
        </is>
      </c>
      <c r="AN140" s="24" t="inlineStr">
        <is>
          <t>CALL</t>
        </is>
      </c>
      <c r="AO140" s="24" t="inlineStr">
        <is>
          <t>PAPER_CALL_LOW_EDGE</t>
        </is>
      </c>
      <c r="AP140" s="24" t="inlineStr">
        <is>
          <t>Saitama Seibu Lions</t>
        </is>
      </c>
      <c r="AQ140" s="24" t="inlineStr">
        <is>
          <t>Saitama Seibu Lions</t>
        </is>
      </c>
      <c r="AR140" s="24" t="inlineStr">
        <is>
          <t>Saitama Seibu Lions</t>
        </is>
      </c>
      <c r="AS140" s="24" t="inlineStr">
        <is>
          <t>Orix Buffaloes</t>
        </is>
      </c>
      <c r="AT140" s="24" t="inlineStr">
        <is>
          <t>Orix Buffaloes</t>
        </is>
      </c>
      <c r="AU140" s="24" t="inlineStr">
        <is>
          <t>Orix Buffaloes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shadow_qualified</t>
        </is>
      </c>
      <c r="BA140" s="24" t="inlineStr">
        <is>
          <t>dea86af59888267a165e70ff6ab15e0e8c8c8777a64392cf06ecf037cfab7c77</t>
        </is>
      </c>
      <c r="BB140" s="24" t="inlineStr">
        <is>
          <t>tie_aware_elo</t>
        </is>
      </c>
      <c r="BC140" s="24" t="inlineStr">
        <is>
          <t>npb-tie-aware-elo-v2</t>
        </is>
      </c>
      <c r="BD140" s="24" t="inlineStr">
        <is>
          <t>dea86af59888267a165e70ff6ab15e0e8c8c8777a64392cf06ecf037cfab7c77</t>
        </is>
      </c>
      <c r="BE140" s="24" t="inlineStr">
        <is>
          <t>1</t>
        </is>
      </c>
      <c r="BF140" s="24" t="inlineStr">
        <is>
          <t>1</t>
        </is>
      </c>
      <c r="BG140" s="24" t="inlineStr">
        <is>
          <t>npb-tie-aware-elo-v2</t>
        </is>
      </c>
      <c r="BH140" s="24" t="inlineStr">
        <is>
          <t>2026-09-09T04:34:49.761598Z</t>
        </is>
      </c>
      <c r="BI140" s="24" t="inlineStr">
        <is>
          <t>["same_event","same_team_same_day","same_league_same_day"]</t>
        </is>
      </c>
      <c r="BJ140" s="25" t="n"/>
      <c r="BK140" s="26" t="n">
        <v>117</v>
      </c>
      <c r="BL140" s="27" t="n">
        <v>2.17</v>
      </c>
      <c r="BM140" s="28" t="n">
        <v>0.460829</v>
      </c>
      <c r="BN140" s="28" t="n"/>
      <c r="BO140" s="28" t="n"/>
      <c r="BP140" s="25" t="n"/>
      <c r="BQ140" s="27" t="n">
        <v>2.17</v>
      </c>
      <c r="BR140" s="28" t="n">
        <v>0.46</v>
      </c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inlineStr">
        <is>
          <t>True</t>
        </is>
      </c>
      <c r="CT140" s="24" t="n"/>
      <c r="CU140" s="24" t="n"/>
      <c r="CV140" s="24" t="n"/>
      <c r="CW140" s="24" t="n"/>
      <c r="CX140" s="24" t="n"/>
      <c r="CY140" s="24" t="n"/>
      <c r="CZ140" s="24" t="n"/>
      <c r="DA140" s="24" t="n"/>
      <c r="DB140" s="24" t="n"/>
      <c r="DC140" s="24" t="n"/>
      <c r="DD140" s="24" t="n"/>
      <c r="DE140" s="24" t="n"/>
      <c r="DF140" s="24" t="n"/>
      <c r="DG140" s="24" t="n"/>
      <c r="DH140" s="24" t="n"/>
      <c r="DI140" s="24" t="n"/>
      <c r="DJ140" s="24" t="inlineStr">
        <is>
          <t>0.460829</t>
        </is>
      </c>
      <c r="DK140" s="24" t="n"/>
      <c r="DL140" s="24" t="n"/>
      <c r="DM140" s="24" t="n"/>
      <c r="DN140" s="24" t="n"/>
      <c r="DO140" s="24" t="n"/>
      <c r="DP140" s="24" t="n"/>
      <c r="DQ140" s="24" t="n"/>
    </row>
    <row r="141" ht="36" customHeight="1">
      <c r="A141" s="24" t="inlineStr">
        <is>
          <t>b5cef05052d2434f</t>
        </is>
      </c>
      <c r="B141" s="24" t="inlineStr">
        <is>
          <t>2026-09-09T04:34:50.163038Z</t>
        </is>
      </c>
      <c r="C141" s="24" t="inlineStr">
        <is>
          <t>2026-09-09T09:00:00Z</t>
        </is>
      </c>
      <c r="D141" s="24" t="inlineStr">
        <is>
          <t>104526</t>
        </is>
      </c>
      <c r="E141" s="24" t="inlineStr">
        <is>
          <t>NPB</t>
        </is>
      </c>
      <c r="F141" s="24" t="inlineStr">
        <is>
          <t>Tokyo Yakult Swallows</t>
        </is>
      </c>
      <c r="G141" s="24" t="inlineStr">
        <is>
          <t>Yokohama BayStars</t>
        </is>
      </c>
      <c r="H141" s="24" t="inlineStr">
        <is>
          <t>moneyline</t>
        </is>
      </c>
      <c r="I141" s="24" t="inlineStr">
        <is>
          <t>home</t>
        </is>
      </c>
      <c r="J141" s="25" t="n"/>
      <c r="K141" s="24" t="inlineStr">
        <is>
          <t>polymarket_us</t>
        </is>
      </c>
      <c r="L141" s="26" t="n">
        <v>-138</v>
      </c>
      <c r="M141" s="27" t="n">
        <v>1.724638</v>
      </c>
      <c r="N141" s="28" t="n">
        <v>0.579832</v>
      </c>
      <c r="O141" s="28" t="n">
        <v>0.628302</v>
      </c>
      <c r="P141" s="28" t="n"/>
      <c r="Q141" s="28" t="n">
        <v>0.04847</v>
      </c>
      <c r="R141" s="26" t="n">
        <v>44</v>
      </c>
      <c r="S141" s="29" t="n">
        <v>1</v>
      </c>
      <c r="T141" s="24" t="inlineStr">
        <is>
          <t>npb-tie-aware-elo-v2</t>
        </is>
      </c>
      <c r="U141" s="24" t="inlineStr">
        <is>
          <t>settled</t>
        </is>
      </c>
      <c r="V141" s="24" t="inlineStr">
        <is>
          <t>win</t>
        </is>
      </c>
      <c r="W141" s="26" t="n">
        <v>2</v>
      </c>
      <c r="X141" s="26" t="n">
        <v>9</v>
      </c>
      <c r="Y141" s="25" t="n"/>
      <c r="Z141" s="26" t="n">
        <v>-138</v>
      </c>
      <c r="AA141" s="28" t="n">
        <v>0.58</v>
      </c>
      <c r="AB141" s="28" t="n">
        <v>0.000168</v>
      </c>
      <c r="AC141" s="30" t="n">
        <v>0.7246</v>
      </c>
      <c r="AD141" s="24" t="inlineStr">
        <is>
          <t>2026-09-09T22:03:15.148101Z</t>
        </is>
      </c>
      <c r="AE141" s="31" t="inlineStr">
        <is>
          <t>Tie-aware Elo baseline; executable ask 0.5800 (market_slug=aec-npb-ybo-tys-2026-09-09). Tie probability=0.0248.</t>
        </is>
      </c>
      <c r="AF141" s="31" t="inlineStr">
        <is>
          <t>Config-promoted international baseball baseline; gates enforced at log time.</t>
        </is>
      </c>
      <c r="AG141" s="24" t="inlineStr">
        <is>
          <t>not_applicable</t>
        </is>
      </c>
      <c r="AH141" s="24" t="n"/>
      <c r="AI141" s="31" t="n"/>
      <c r="AJ141" s="31" t="n"/>
      <c r="AK141" s="24" t="inlineStr">
        <is>
          <t>model_qualified</t>
        </is>
      </c>
      <c r="AL141" s="26" t="n">
        <v>4</v>
      </c>
      <c r="AM141" s="24" t="inlineStr">
        <is>
          <t>QUALIFIED_SHADOW_CALL</t>
        </is>
      </c>
      <c r="AN141" s="24" t="inlineStr">
        <is>
          <t>CALL</t>
        </is>
      </c>
      <c r="AO141" s="24" t="inlineStr">
        <is>
          <t>QUALIFIED</t>
        </is>
      </c>
      <c r="AP141" s="24" t="inlineStr">
        <is>
          <t>Tokyo Yakult Swallows</t>
        </is>
      </c>
      <c r="AQ141" s="24" t="inlineStr">
        <is>
          <t>Tokyo Yakult Swallows</t>
        </is>
      </c>
      <c r="AR141" s="24" t="inlineStr">
        <is>
          <t>Tokyo Yakult Swallows</t>
        </is>
      </c>
      <c r="AS141" s="24" t="inlineStr">
        <is>
          <t>Yokohama BayStars</t>
        </is>
      </c>
      <c r="AT141" s="24" t="inlineStr">
        <is>
          <t>Yokohama BayStars</t>
        </is>
      </c>
      <c r="AU141" s="24" t="inlineStr">
        <is>
          <t>Yokohama BayStars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shadow_qualified</t>
        </is>
      </c>
      <c r="BA141" s="24" t="inlineStr">
        <is>
          <t>dea86af59888267a165e70ff6ab15e0e8c8c8777a64392cf06ecf037cfab7c77</t>
        </is>
      </c>
      <c r="BB141" s="24" t="inlineStr">
        <is>
          <t>tie_aware_elo</t>
        </is>
      </c>
      <c r="BC141" s="24" t="inlineStr">
        <is>
          <t>npb-tie-aware-elo-v2</t>
        </is>
      </c>
      <c r="BD141" s="24" t="inlineStr">
        <is>
          <t>dea86af59888267a165e70ff6ab15e0e8c8c8777a64392cf06ecf037cfab7c77</t>
        </is>
      </c>
      <c r="BE141" s="24" t="inlineStr">
        <is>
          <t>1</t>
        </is>
      </c>
      <c r="BF141" s="24" t="inlineStr">
        <is>
          <t>1</t>
        </is>
      </c>
      <c r="BG141" s="24" t="inlineStr">
        <is>
          <t>npb-tie-aware-elo-v2</t>
        </is>
      </c>
      <c r="BH141" s="24" t="inlineStr">
        <is>
          <t>2026-09-09T04:34:49.814136Z</t>
        </is>
      </c>
      <c r="BI141" s="24" t="inlineStr">
        <is>
          <t>["same_event","same_team_same_day","same_league_same_day"]</t>
        </is>
      </c>
      <c r="BJ141" s="25" t="n"/>
      <c r="BK141" s="26" t="n">
        <v>-138</v>
      </c>
      <c r="BL141" s="27" t="n">
        <v>1.724638</v>
      </c>
      <c r="BM141" s="28" t="n">
        <v>0.579832</v>
      </c>
      <c r="BN141" s="28" t="n"/>
      <c r="BO141" s="28" t="n"/>
      <c r="BP141" s="25" t="n"/>
      <c r="BQ141" s="27" t="n">
        <v>1.724638</v>
      </c>
      <c r="BR141" s="28" t="n">
        <v>0.58</v>
      </c>
      <c r="BS141" s="28" t="n"/>
      <c r="BT141" s="28" t="n"/>
      <c r="BU141" s="25" t="n"/>
      <c r="BV141" s="29" t="n"/>
      <c r="BW141" s="24" t="n"/>
      <c r="BX141" s="30" t="n"/>
      <c r="BY141" s="27" t="n"/>
      <c r="BZ141" s="24" t="n"/>
      <c r="CA141" s="31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n"/>
      <c r="CR141" s="24" t="n"/>
      <c r="CS141" s="24" t="inlineStr">
        <is>
          <t>True</t>
        </is>
      </c>
      <c r="CT141" s="24" t="n"/>
      <c r="CU141" s="24" t="n"/>
      <c r="CV141" s="24" t="n"/>
      <c r="CW141" s="24" t="n"/>
      <c r="CX141" s="24" t="n"/>
      <c r="CY141" s="24" t="n"/>
      <c r="CZ141" s="24" t="n"/>
      <c r="DA141" s="24" t="n"/>
      <c r="DB141" s="24" t="n"/>
      <c r="DC141" s="24" t="n"/>
      <c r="DD141" s="24" t="n"/>
      <c r="DE141" s="24" t="n"/>
      <c r="DF141" s="24" t="n"/>
      <c r="DG141" s="24" t="n"/>
      <c r="DH141" s="24" t="n"/>
      <c r="DI141" s="24" t="n"/>
      <c r="DJ141" s="24" t="inlineStr">
        <is>
          <t>0.579832</t>
        </is>
      </c>
      <c r="DK141" s="24" t="n"/>
      <c r="DL141" s="24" t="n"/>
      <c r="DM141" s="24" t="n"/>
      <c r="DN141" s="24" t="n"/>
      <c r="DO141" s="24" t="n"/>
      <c r="DP141" s="24" t="n"/>
      <c r="DQ141" s="24" t="n"/>
    </row>
    <row r="142" ht="36" customHeight="1">
      <c r="A142" s="24" t="inlineStr">
        <is>
          <t>7f341a5539484351</t>
        </is>
      </c>
      <c r="B142" s="24" t="inlineStr">
        <is>
          <t>2026-09-09T04:34:50.163038Z</t>
        </is>
      </c>
      <c r="C142" s="24" t="inlineStr">
        <is>
          <t>2026-09-09T09:00:00Z</t>
        </is>
      </c>
      <c r="D142" s="24" t="inlineStr">
        <is>
          <t>104541</t>
        </is>
      </c>
      <c r="E142" s="24" t="inlineStr">
        <is>
          <t>NPB</t>
        </is>
      </c>
      <c r="F142" s="24" t="inlineStr">
        <is>
          <t>Chunichi Dragons</t>
        </is>
      </c>
      <c r="G142" s="24" t="inlineStr">
        <is>
          <t>Yomiuri Giants</t>
        </is>
      </c>
      <c r="H142" s="24" t="inlineStr">
        <is>
          <t>moneyline</t>
        </is>
      </c>
      <c r="I142" s="24" t="inlineStr">
        <is>
          <t>home</t>
        </is>
      </c>
      <c r="J142" s="25" t="n"/>
      <c r="K142" s="24" t="inlineStr">
        <is>
          <t>polymarket_us</t>
        </is>
      </c>
      <c r="L142" s="26" t="n">
        <v>-113</v>
      </c>
      <c r="M142" s="27" t="n">
        <v>1.884956</v>
      </c>
      <c r="N142" s="28" t="n">
        <v>0.530516</v>
      </c>
      <c r="O142" s="28" t="n">
        <v>0.61891</v>
      </c>
      <c r="P142" s="28" t="n"/>
      <c r="Q142" s="28" t="n">
        <v>0.088394</v>
      </c>
      <c r="R142" s="26" t="n">
        <v>64</v>
      </c>
      <c r="S142" s="29" t="n">
        <v>1.25</v>
      </c>
      <c r="T142" s="24" t="inlineStr">
        <is>
          <t>npb-tie-aware-elo-v2</t>
        </is>
      </c>
      <c r="U142" s="24" t="inlineStr">
        <is>
          <t>settled</t>
        </is>
      </c>
      <c r="V142" s="24" t="inlineStr">
        <is>
          <t>win</t>
        </is>
      </c>
      <c r="W142" s="26" t="n">
        <v>1</v>
      </c>
      <c r="X142" s="26" t="n">
        <v>5</v>
      </c>
      <c r="Y142" s="25" t="n"/>
      <c r="Z142" s="26" t="n">
        <v>-113</v>
      </c>
      <c r="AA142" s="28" t="n">
        <v>0.53</v>
      </c>
      <c r="AB142" s="28" t="n">
        <v>-0.000516</v>
      </c>
      <c r="AC142" s="30" t="n">
        <v>1.1062</v>
      </c>
      <c r="AD142" s="24" t="inlineStr">
        <is>
          <t>2026-09-09T22:03:15.474441Z</t>
        </is>
      </c>
      <c r="AE142" s="31" t="inlineStr">
        <is>
          <t>Tie-aware Elo baseline; executable ask 0.5300 (market_slug=aec-npb-ygo-cdh-2026-09-09). Tie probability=0.0257.</t>
        </is>
      </c>
      <c r="AF142" s="31" t="inlineStr">
        <is>
          <t>Config-promoted international baseball baseline; gates enforced at log time.</t>
        </is>
      </c>
      <c r="AG142" s="24" t="inlineStr">
        <is>
          <t>not_applicable</t>
        </is>
      </c>
      <c r="AH142" s="24" t="n"/>
      <c r="AI142" s="31" t="n"/>
      <c r="AJ142" s="31" t="n"/>
      <c r="AK142" s="24" t="inlineStr">
        <is>
          <t>model_qualified</t>
        </is>
      </c>
      <c r="AL142" s="26" t="n">
        <v>4</v>
      </c>
      <c r="AM142" s="24" t="inlineStr">
        <is>
          <t>QUALIFIED_SHADOW_CALL</t>
        </is>
      </c>
      <c r="AN142" s="24" t="inlineStr">
        <is>
          <t>CALL</t>
        </is>
      </c>
      <c r="AO142" s="24" t="inlineStr">
        <is>
          <t>QUALIFIED</t>
        </is>
      </c>
      <c r="AP142" s="24" t="inlineStr">
        <is>
          <t>Chunichi Dragons</t>
        </is>
      </c>
      <c r="AQ142" s="24" t="inlineStr">
        <is>
          <t>Chunichi Dragons</t>
        </is>
      </c>
      <c r="AR142" s="24" t="inlineStr">
        <is>
          <t>Chunichi Dragons</t>
        </is>
      </c>
      <c r="AS142" s="24" t="inlineStr">
        <is>
          <t>Yomiuri Giants</t>
        </is>
      </c>
      <c r="AT142" s="24" t="inlineStr">
        <is>
          <t>Yomiuri Giants</t>
        </is>
      </c>
      <c r="AU142" s="24" t="inlineStr">
        <is>
          <t>Yomiuri Giants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shadow_qualified</t>
        </is>
      </c>
      <c r="BA142" s="24" t="inlineStr">
        <is>
          <t>dea86af59888267a165e70ff6ab15e0e8c8c8777a64392cf06ecf037cfab7c77</t>
        </is>
      </c>
      <c r="BB142" s="24" t="inlineStr">
        <is>
          <t>tie_aware_elo</t>
        </is>
      </c>
      <c r="BC142" s="24" t="inlineStr">
        <is>
          <t>npb-tie-aware-elo-v2</t>
        </is>
      </c>
      <c r="BD142" s="24" t="inlineStr">
        <is>
          <t>dea86af59888267a165e70ff6ab15e0e8c8c8777a64392cf06ecf037cfab7c77</t>
        </is>
      </c>
      <c r="BE142" s="24" t="inlineStr">
        <is>
          <t>1</t>
        </is>
      </c>
      <c r="BF142" s="24" t="inlineStr">
        <is>
          <t>1</t>
        </is>
      </c>
      <c r="BG142" s="24" t="inlineStr">
        <is>
          <t>npb-tie-aware-elo-v2</t>
        </is>
      </c>
      <c r="BH142" s="24" t="inlineStr">
        <is>
          <t>2026-09-09T04:34:49.868660Z</t>
        </is>
      </c>
      <c r="BI142" s="24" t="inlineStr">
        <is>
          <t>["same_event","same_team_same_day","same_league_same_day"]</t>
        </is>
      </c>
      <c r="BJ142" s="25" t="n"/>
      <c r="BK142" s="26" t="n">
        <v>-113</v>
      </c>
      <c r="BL142" s="27" t="n">
        <v>1.884956</v>
      </c>
      <c r="BM142" s="28" t="n">
        <v>0.530516</v>
      </c>
      <c r="BN142" s="28" t="n"/>
      <c r="BO142" s="28" t="n"/>
      <c r="BP142" s="25" t="n"/>
      <c r="BQ142" s="27" t="n">
        <v>1.884956</v>
      </c>
      <c r="BR142" s="28" t="n">
        <v>0.53</v>
      </c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inlineStr">
        <is>
          <t>True</t>
        </is>
      </c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/>
      <c r="DH142" s="24" t="n"/>
      <c r="DI142" s="24" t="n"/>
      <c r="DJ142" s="24" t="inlineStr">
        <is>
          <t>0.530516</t>
        </is>
      </c>
      <c r="DK142" s="24" t="n"/>
      <c r="DL142" s="24" t="n"/>
      <c r="DM142" s="24" t="n"/>
      <c r="DN142" s="24" t="n"/>
      <c r="DO142" s="24" t="n"/>
      <c r="DP142" s="24" t="n"/>
      <c r="DQ142" s="24" t="n"/>
    </row>
    <row r="143" ht="36" customHeight="1">
      <c r="A143" s="24" t="inlineStr">
        <is>
          <t>521aa6b0ea064f4a</t>
        </is>
      </c>
      <c r="B143" s="24" t="inlineStr">
        <is>
          <t>2026-09-09T04:34:50.163038Z</t>
        </is>
      </c>
      <c r="C143" s="24" t="inlineStr">
        <is>
          <t>2026-09-09T09:00:00Z</t>
        </is>
      </c>
      <c r="D143" s="24" t="inlineStr">
        <is>
          <t>104536</t>
        </is>
      </c>
      <c r="E143" s="24" t="inlineStr">
        <is>
          <t>NPB</t>
        </is>
      </c>
      <c r="F143" s="24" t="inlineStr">
        <is>
          <t>Tohoku Rakuten Golden Eagles</t>
        </is>
      </c>
      <c r="G143" s="24" t="inlineStr">
        <is>
          <t>Chiba Lotte Marines</t>
        </is>
      </c>
      <c r="H143" s="24" t="inlineStr">
        <is>
          <t>moneyline</t>
        </is>
      </c>
      <c r="I143" s="24" t="inlineStr">
        <is>
          <t>home</t>
        </is>
      </c>
      <c r="J143" s="25" t="n"/>
      <c r="K143" s="24" t="inlineStr">
        <is>
          <t>polymarket_us</t>
        </is>
      </c>
      <c r="L143" s="26" t="n">
        <v>113</v>
      </c>
      <c r="M143" s="27" t="n">
        <v>2.13</v>
      </c>
      <c r="N143" s="28" t="n">
        <v>0.469484</v>
      </c>
      <c r="O143" s="28" t="n">
        <v>0.608731</v>
      </c>
      <c r="P143" s="28" t="n"/>
      <c r="Q143" s="28" t="n">
        <v>0.139247</v>
      </c>
      <c r="R143" s="26" t="n">
        <v>90</v>
      </c>
      <c r="S143" s="29" t="n">
        <v>1.5</v>
      </c>
      <c r="T143" s="24" t="inlineStr">
        <is>
          <t>npb-tie-aware-elo-v2</t>
        </is>
      </c>
      <c r="U143" s="24" t="inlineStr">
        <is>
          <t>settled</t>
        </is>
      </c>
      <c r="V143" s="24" t="inlineStr">
        <is>
          <t>win</t>
        </is>
      </c>
      <c r="W143" s="26" t="n">
        <v>4</v>
      </c>
      <c r="X143" s="26" t="n">
        <v>10</v>
      </c>
      <c r="Y143" s="25" t="n"/>
      <c r="Z143" s="26" t="n">
        <v>113</v>
      </c>
      <c r="AA143" s="28" t="n">
        <v>0.47</v>
      </c>
      <c r="AB143" s="28" t="n">
        <v>0.000516</v>
      </c>
      <c r="AC143" s="30" t="n">
        <v>1.695</v>
      </c>
      <c r="AD143" s="24" t="inlineStr">
        <is>
          <t>2026-09-09T22:03:15.787640Z</t>
        </is>
      </c>
      <c r="AE143" s="31" t="inlineStr">
        <is>
          <t>Tie-aware Elo baseline; executable ask 0.4700 (market_slug=aec-npb-clm-trge-2026-09-09). Tie probability=0.0266.</t>
        </is>
      </c>
      <c r="AF143" s="31" t="inlineStr">
        <is>
          <t>Config-promoted international baseball baseline; gates enforced at log time.</t>
        </is>
      </c>
      <c r="AG143" s="24" t="inlineStr">
        <is>
          <t>not_applicable</t>
        </is>
      </c>
      <c r="AH143" s="24" t="n"/>
      <c r="AI143" s="31" t="n"/>
      <c r="AJ143" s="31" t="n"/>
      <c r="AK143" s="24" t="inlineStr">
        <is>
          <t>model_qualified</t>
        </is>
      </c>
      <c r="AL143" s="26" t="n">
        <v>4</v>
      </c>
      <c r="AM143" s="24" t="inlineStr">
        <is>
          <t>QUALIFIED_SHADOW_CALL</t>
        </is>
      </c>
      <c r="AN143" s="24" t="inlineStr">
        <is>
          <t>CALL</t>
        </is>
      </c>
      <c r="AO143" s="24" t="inlineStr">
        <is>
          <t>QUALIFIED</t>
        </is>
      </c>
      <c r="AP143" s="24" t="inlineStr">
        <is>
          <t>Tohoku Rakuten Golden Eagles</t>
        </is>
      </c>
      <c r="AQ143" s="24" t="inlineStr">
        <is>
          <t>Tohoku Rakuten Golden Eagles</t>
        </is>
      </c>
      <c r="AR143" s="24" t="inlineStr">
        <is>
          <t>Tohoku Rakuten Golden Eagles</t>
        </is>
      </c>
      <c r="AS143" s="24" t="inlineStr">
        <is>
          <t>Chiba Lotte Marines</t>
        </is>
      </c>
      <c r="AT143" s="24" t="inlineStr">
        <is>
          <t>Chiba Lotte Marines</t>
        </is>
      </c>
      <c r="AU143" s="24" t="inlineStr">
        <is>
          <t>Chiba Lotte Marines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shadow_qualified</t>
        </is>
      </c>
      <c r="BA143" s="24" t="inlineStr">
        <is>
          <t>dea86af59888267a165e70ff6ab15e0e8c8c8777a64392cf06ecf037cfab7c77</t>
        </is>
      </c>
      <c r="BB143" s="24" t="inlineStr">
        <is>
          <t>tie_aware_elo</t>
        </is>
      </c>
      <c r="BC143" s="24" t="inlineStr">
        <is>
          <t>npb-tie-aware-elo-v2</t>
        </is>
      </c>
      <c r="BD143" s="24" t="inlineStr">
        <is>
          <t>dea86af59888267a165e70ff6ab15e0e8c8c8777a64392cf06ecf037cfab7c77</t>
        </is>
      </c>
      <c r="BE143" s="24" t="inlineStr">
        <is>
          <t>1</t>
        </is>
      </c>
      <c r="BF143" s="24" t="inlineStr">
        <is>
          <t>1</t>
        </is>
      </c>
      <c r="BG143" s="24" t="inlineStr">
        <is>
          <t>npb-tie-aware-elo-v2</t>
        </is>
      </c>
      <c r="BH143" s="24" t="inlineStr">
        <is>
          <t>2026-09-09T04:34:49.950559Z</t>
        </is>
      </c>
      <c r="BI143" s="24" t="inlineStr">
        <is>
          <t>["same_event","same_team_same_day","same_league_same_day"]</t>
        </is>
      </c>
      <c r="BJ143" s="25" t="n"/>
      <c r="BK143" s="26" t="n">
        <v>113</v>
      </c>
      <c r="BL143" s="27" t="n">
        <v>2.13</v>
      </c>
      <c r="BM143" s="28" t="n">
        <v>0.469484</v>
      </c>
      <c r="BN143" s="28" t="n"/>
      <c r="BO143" s="28" t="n"/>
      <c r="BP143" s="25" t="n"/>
      <c r="BQ143" s="27" t="n">
        <v>2.13</v>
      </c>
      <c r="BR143" s="28" t="n">
        <v>0.47</v>
      </c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n"/>
      <c r="CR143" s="24" t="n"/>
      <c r="CS143" s="24" t="inlineStr">
        <is>
          <t>True</t>
        </is>
      </c>
      <c r="CT143" s="24" t="n"/>
      <c r="CU143" s="24" t="n"/>
      <c r="CV143" s="24" t="n"/>
      <c r="CW143" s="24" t="n"/>
      <c r="CX143" s="24" t="n"/>
      <c r="CY143" s="24" t="n"/>
      <c r="CZ143" s="24" t="n"/>
      <c r="DA143" s="24" t="n"/>
      <c r="DB143" s="24" t="n"/>
      <c r="DC143" s="24" t="n"/>
      <c r="DD143" s="24" t="n"/>
      <c r="DE143" s="24" t="n"/>
      <c r="DF143" s="24" t="n"/>
      <c r="DG143" s="24" t="n"/>
      <c r="DH143" s="24" t="n"/>
      <c r="DI143" s="24" t="n"/>
      <c r="DJ143" s="24" t="inlineStr">
        <is>
          <t>0.469484</t>
        </is>
      </c>
      <c r="DK143" s="24" t="n"/>
      <c r="DL143" s="24" t="n"/>
      <c r="DM143" s="24" t="n"/>
      <c r="DN143" s="24" t="n"/>
      <c r="DO143" s="24" t="n"/>
      <c r="DP143" s="24" t="n"/>
      <c r="DQ143" s="24" t="n"/>
    </row>
    <row r="144" ht="36" customHeight="1">
      <c r="A144" s="24" t="inlineStr">
        <is>
          <t>6f60aa39ad2c4683</t>
        </is>
      </c>
      <c r="B144" s="24" t="inlineStr">
        <is>
          <t>2026-09-09T04:34:50.163038Z</t>
        </is>
      </c>
      <c r="C144" s="24" t="inlineStr">
        <is>
          <t>2026-09-09T09:00:00Z</t>
        </is>
      </c>
      <c r="D144" s="24" t="inlineStr">
        <is>
          <t>104527</t>
        </is>
      </c>
      <c r="E144" s="24" t="inlineStr">
        <is>
          <t>NPB</t>
        </is>
      </c>
      <c r="F144" s="24" t="inlineStr">
        <is>
          <t>Hiroshima Carp</t>
        </is>
      </c>
      <c r="G144" s="24" t="inlineStr">
        <is>
          <t>Hanshin Tigers</t>
        </is>
      </c>
      <c r="H144" s="24" t="inlineStr">
        <is>
          <t>moneyline</t>
        </is>
      </c>
      <c r="I144" s="24" t="inlineStr">
        <is>
          <t>home</t>
        </is>
      </c>
      <c r="J144" s="25" t="n"/>
      <c r="K144" s="24" t="inlineStr">
        <is>
          <t>polymarket_us</t>
        </is>
      </c>
      <c r="L144" s="26" t="n">
        <v>-223</v>
      </c>
      <c r="M144" s="27" t="n">
        <v>1.44843</v>
      </c>
      <c r="N144" s="28" t="n">
        <v>0.690402</v>
      </c>
      <c r="O144" s="28" t="n">
        <v>0.6795</v>
      </c>
      <c r="P144" s="28" t="n"/>
      <c r="Q144" s="28" t="n">
        <v>-0.010902</v>
      </c>
      <c r="R144" s="26" t="n">
        <v>15</v>
      </c>
      <c r="S144" s="29" t="n">
        <v>1</v>
      </c>
      <c r="T144" s="24" t="inlineStr">
        <is>
          <t>npb-tie-aware-elo-v2</t>
        </is>
      </c>
      <c r="U144" s="24" t="inlineStr">
        <is>
          <t>settled</t>
        </is>
      </c>
      <c r="V144" s="24" t="inlineStr">
        <is>
          <t>loss</t>
        </is>
      </c>
      <c r="W144" s="26" t="n">
        <v>3</v>
      </c>
      <c r="X144" s="26" t="n">
        <v>1</v>
      </c>
      <c r="Y144" s="25" t="n"/>
      <c r="Z144" s="26" t="n">
        <v>-223</v>
      </c>
      <c r="AA144" s="28" t="n">
        <v>0.6899999999999999</v>
      </c>
      <c r="AB144" s="28" t="n">
        <v>-0.000402</v>
      </c>
      <c r="AC144" s="30" t="n">
        <v>-1</v>
      </c>
      <c r="AD144" s="24" t="inlineStr">
        <is>
          <t>2026-09-09T22:03:16.224341Z</t>
        </is>
      </c>
      <c r="AE144" s="31" t="inlineStr">
        <is>
          <t>Tie-aware Elo baseline; executable ask 0.6900 (market_slug=aec-npb-hta-hci-2026-09-09). Tie probability=0.0200.</t>
        </is>
      </c>
      <c r="AF144" s="31" t="inlineStr">
        <is>
          <t>Config-promoted international baseball baseline; gates enforced at log time.</t>
        </is>
      </c>
      <c r="AG144" s="24" t="inlineStr">
        <is>
          <t>review_required</t>
        </is>
      </c>
      <c r="AH144" s="24" t="n"/>
      <c r="AI144" s="31" t="n"/>
      <c r="AJ144" s="31" t="n"/>
      <c r="AK144" s="24" t="inlineStr">
        <is>
          <t>paper_call</t>
        </is>
      </c>
      <c r="AL144" s="26" t="n">
        <v>4</v>
      </c>
      <c r="AM144" s="24" t="inlineStr">
        <is>
          <t>RESEARCH_OBSERVATION</t>
        </is>
      </c>
      <c r="AN144" s="24" t="inlineStr">
        <is>
          <t>CALL</t>
        </is>
      </c>
      <c r="AO144" s="24" t="inlineStr">
        <is>
          <t>PAPER_CALL_LOW_EDGE</t>
        </is>
      </c>
      <c r="AP144" s="24" t="inlineStr">
        <is>
          <t>Hiroshima Carp</t>
        </is>
      </c>
      <c r="AQ144" s="24" t="inlineStr">
        <is>
          <t>Hiroshima Carp</t>
        </is>
      </c>
      <c r="AR144" s="24" t="inlineStr">
        <is>
          <t>Hiroshima Carp</t>
        </is>
      </c>
      <c r="AS144" s="24" t="inlineStr">
        <is>
          <t>Hanshin Tigers</t>
        </is>
      </c>
      <c r="AT144" s="24" t="inlineStr">
        <is>
          <t>Hanshin Tigers</t>
        </is>
      </c>
      <c r="AU144" s="24" t="inlineStr">
        <is>
          <t>Hanshin Tigers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shadow_qualified</t>
        </is>
      </c>
      <c r="BA144" s="24" t="inlineStr">
        <is>
          <t>dea86af59888267a165e70ff6ab15e0e8c8c8777a64392cf06ecf037cfab7c77</t>
        </is>
      </c>
      <c r="BB144" s="24" t="inlineStr">
        <is>
          <t>tie_aware_elo</t>
        </is>
      </c>
      <c r="BC144" s="24" t="inlineStr">
        <is>
          <t>npb-tie-aware-elo-v2</t>
        </is>
      </c>
      <c r="BD144" s="24" t="inlineStr">
        <is>
          <t>dea86af59888267a165e70ff6ab15e0e8c8c8777a64392cf06ecf037cfab7c77</t>
        </is>
      </c>
      <c r="BE144" s="24" t="inlineStr">
        <is>
          <t>1</t>
        </is>
      </c>
      <c r="BF144" s="24" t="inlineStr">
        <is>
          <t>1</t>
        </is>
      </c>
      <c r="BG144" s="24" t="inlineStr">
        <is>
          <t>npb-tie-aware-elo-v2</t>
        </is>
      </c>
      <c r="BH144" s="24" t="inlineStr">
        <is>
          <t>2026-09-09T04:34:50.012158Z</t>
        </is>
      </c>
      <c r="BI144" s="24" t="inlineStr">
        <is>
          <t>["same_event","same_team_same_day","same_league_same_day"]</t>
        </is>
      </c>
      <c r="BJ144" s="25" t="n"/>
      <c r="BK144" s="26" t="n">
        <v>-223</v>
      </c>
      <c r="BL144" s="27" t="n">
        <v>1.44843</v>
      </c>
      <c r="BM144" s="28" t="n">
        <v>0.690402</v>
      </c>
      <c r="BN144" s="28" t="n"/>
      <c r="BO144" s="28" t="n"/>
      <c r="BP144" s="25" t="n"/>
      <c r="BQ144" s="27" t="n">
        <v>1.44843</v>
      </c>
      <c r="BR144" s="28" t="n">
        <v>0.6899999999999999</v>
      </c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n"/>
      <c r="CR144" s="24" t="n"/>
      <c r="CS144" s="24" t="inlineStr">
        <is>
          <t>False</t>
        </is>
      </c>
      <c r="CT144" s="24" t="n"/>
      <c r="CU144" s="24" t="n"/>
      <c r="CV144" s="24" t="n"/>
      <c r="CW144" s="24" t="n"/>
      <c r="CX144" s="24" t="n"/>
      <c r="CY144" s="24" t="n"/>
      <c r="CZ144" s="24" t="n"/>
      <c r="DA144" s="24" t="n"/>
      <c r="DB144" s="24" t="n"/>
      <c r="DC144" s="24" t="n"/>
      <c r="DD144" s="24" t="n"/>
      <c r="DE144" s="24" t="n"/>
      <c r="DF144" s="24" t="n"/>
      <c r="DG144" s="24" t="n"/>
      <c r="DH144" s="24" t="n"/>
      <c r="DI144" s="24" t="n"/>
      <c r="DJ144" s="24" t="inlineStr">
        <is>
          <t>0.690402</t>
        </is>
      </c>
      <c r="DK144" s="24" t="n"/>
      <c r="DL144" s="24" t="n"/>
      <c r="DM144" s="24" t="n"/>
      <c r="DN144" s="24" t="n"/>
      <c r="DO144" s="24" t="n"/>
      <c r="DP144" s="24" t="n"/>
      <c r="DQ144" s="24" t="n"/>
    </row>
    <row r="145" ht="36" customHeight="1">
      <c r="A145" s="24" t="inlineStr">
        <is>
          <t>92a79c5271b343a2</t>
        </is>
      </c>
      <c r="B145" s="24" t="inlineStr">
        <is>
          <t>2026-09-09T04:34:50.163038Z</t>
        </is>
      </c>
      <c r="C145" s="24" t="inlineStr">
        <is>
          <t>2026-09-09T09:00:00Z</t>
        </is>
      </c>
      <c r="D145" s="24" t="inlineStr">
        <is>
          <t>104529</t>
        </is>
      </c>
      <c r="E145" s="24" t="inlineStr">
        <is>
          <t>NPB</t>
        </is>
      </c>
      <c r="F145" s="24" t="inlineStr">
        <is>
          <t>Nippon Ham Fighters</t>
        </is>
      </c>
      <c r="G145" s="24" t="inlineStr">
        <is>
          <t>Fukuoka SoftBank Hawks</t>
        </is>
      </c>
      <c r="H145" s="24" t="inlineStr">
        <is>
          <t>moneyline</t>
        </is>
      </c>
      <c r="I145" s="24" t="inlineStr">
        <is>
          <t>home</t>
        </is>
      </c>
      <c r="J145" s="25" t="n"/>
      <c r="K145" s="24" t="inlineStr">
        <is>
          <t>polymarket_us</t>
        </is>
      </c>
      <c r="L145" s="26" t="n">
        <v>-138</v>
      </c>
      <c r="M145" s="27" t="n">
        <v>1.724638</v>
      </c>
      <c r="N145" s="28" t="n">
        <v>0.579832</v>
      </c>
      <c r="O145" s="28" t="n">
        <v>0.591512</v>
      </c>
      <c r="P145" s="28" t="n"/>
      <c r="Q145" s="28" t="n">
        <v>0.01168</v>
      </c>
      <c r="R145" s="26" t="n">
        <v>26</v>
      </c>
      <c r="S145" s="29" t="n">
        <v>1</v>
      </c>
      <c r="T145" s="24" t="inlineStr">
        <is>
          <t>npb-tie-aware-elo-v2</t>
        </is>
      </c>
      <c r="U145" s="24" t="inlineStr">
        <is>
          <t>settled</t>
        </is>
      </c>
      <c r="V145" s="24" t="inlineStr">
        <is>
          <t>win</t>
        </is>
      </c>
      <c r="W145" s="26" t="n">
        <v>4</v>
      </c>
      <c r="X145" s="26" t="n">
        <v>5</v>
      </c>
      <c r="Y145" s="25" t="n"/>
      <c r="Z145" s="26" t="n">
        <v>-138</v>
      </c>
      <c r="AA145" s="28" t="n">
        <v>0.58</v>
      </c>
      <c r="AB145" s="28" t="n">
        <v>0.000168</v>
      </c>
      <c r="AC145" s="30" t="n">
        <v>0.7246</v>
      </c>
      <c r="AD145" s="24" t="inlineStr">
        <is>
          <t>2026-09-09T22:03:16.531446Z</t>
        </is>
      </c>
      <c r="AE145" s="31" t="inlineStr">
        <is>
          <t>Tie-aware Elo baseline; executable ask 0.5800 (market_slug=aec-npb-fsh-nhf-2026-09-09). Tie probability=0.0281.</t>
        </is>
      </c>
      <c r="AF145" s="31" t="inlineStr">
        <is>
          <t>Config-promoted international baseball baseline; gates enforced at log time.</t>
        </is>
      </c>
      <c r="AG145" s="24" t="inlineStr">
        <is>
          <t>not_applicable</t>
        </is>
      </c>
      <c r="AH145" s="24" t="n"/>
      <c r="AI145" s="31" t="n"/>
      <c r="AJ145" s="31" t="n"/>
      <c r="AK145" s="24" t="inlineStr">
        <is>
          <t>paper_call</t>
        </is>
      </c>
      <c r="AL145" s="26" t="n">
        <v>4</v>
      </c>
      <c r="AM145" s="24" t="inlineStr">
        <is>
          <t>RESEARCH_OBSERVATION</t>
        </is>
      </c>
      <c r="AN145" s="24" t="inlineStr">
        <is>
          <t>CALL</t>
        </is>
      </c>
      <c r="AO145" s="24" t="inlineStr">
        <is>
          <t>PAPER_CALL_LOW_EDGE</t>
        </is>
      </c>
      <c r="AP145" s="24" t="inlineStr">
        <is>
          <t>Nippon Ham Fighters</t>
        </is>
      </c>
      <c r="AQ145" s="24" t="inlineStr">
        <is>
          <t>Nippon Ham Fighters</t>
        </is>
      </c>
      <c r="AR145" s="24" t="inlineStr">
        <is>
          <t>Nippon Ham Fighters</t>
        </is>
      </c>
      <c r="AS145" s="24" t="inlineStr">
        <is>
          <t>Fukuoka SoftBank Hawks</t>
        </is>
      </c>
      <c r="AT145" s="24" t="inlineStr">
        <is>
          <t>Fukuoka SoftBank Hawks</t>
        </is>
      </c>
      <c r="AU145" s="24" t="inlineStr">
        <is>
          <t>Fukuoka SoftBank Hawks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shadow_qualified</t>
        </is>
      </c>
      <c r="BA145" s="24" t="inlineStr">
        <is>
          <t>dea86af59888267a165e70ff6ab15e0e8c8c8777a64392cf06ecf037cfab7c77</t>
        </is>
      </c>
      <c r="BB145" s="24" t="inlineStr">
        <is>
          <t>tie_aware_elo</t>
        </is>
      </c>
      <c r="BC145" s="24" t="inlineStr">
        <is>
          <t>npb-tie-aware-elo-v2</t>
        </is>
      </c>
      <c r="BD145" s="24" t="inlineStr">
        <is>
          <t>dea86af59888267a165e70ff6ab15e0e8c8c8777a64392cf06ecf037cfab7c77</t>
        </is>
      </c>
      <c r="BE145" s="24" t="inlineStr">
        <is>
          <t>1</t>
        </is>
      </c>
      <c r="BF145" s="24" t="inlineStr">
        <is>
          <t>1</t>
        </is>
      </c>
      <c r="BG145" s="24" t="inlineStr">
        <is>
          <t>npb-tie-aware-elo-v2</t>
        </is>
      </c>
      <c r="BH145" s="24" t="inlineStr">
        <is>
          <t>2026-09-09T04:34:50.162984Z</t>
        </is>
      </c>
      <c r="BI145" s="24" t="inlineStr">
        <is>
          <t>["same_event","same_team_same_day","same_league_same_day"]</t>
        </is>
      </c>
      <c r="BJ145" s="25" t="n"/>
      <c r="BK145" s="26" t="n">
        <v>-138</v>
      </c>
      <c r="BL145" s="27" t="n">
        <v>1.724638</v>
      </c>
      <c r="BM145" s="28" t="n">
        <v>0.579832</v>
      </c>
      <c r="BN145" s="28" t="n"/>
      <c r="BO145" s="28" t="n"/>
      <c r="BP145" s="25" t="n"/>
      <c r="BQ145" s="27" t="n">
        <v>1.724638</v>
      </c>
      <c r="BR145" s="28" t="n">
        <v>0.58</v>
      </c>
      <c r="BS145" s="28" t="n"/>
      <c r="BT145" s="28" t="n"/>
      <c r="BU145" s="25" t="n"/>
      <c r="BV145" s="29" t="n"/>
      <c r="BW145" s="24" t="n"/>
      <c r="BX145" s="30" t="n"/>
      <c r="BY145" s="27" t="n"/>
      <c r="BZ145" s="24" t="n"/>
      <c r="CA145" s="31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n"/>
      <c r="CQ145" s="24" t="n"/>
      <c r="CR145" s="24" t="n"/>
      <c r="CS145" s="24" t="inlineStr">
        <is>
          <t>True</t>
        </is>
      </c>
      <c r="CT145" s="24" t="n"/>
      <c r="CU145" s="24" t="n"/>
      <c r="CV145" s="24" t="n"/>
      <c r="CW145" s="24" t="n"/>
      <c r="CX145" s="24" t="n"/>
      <c r="CY145" s="24" t="n"/>
      <c r="CZ145" s="24" t="n"/>
      <c r="DA145" s="24" t="n"/>
      <c r="DB145" s="24" t="n"/>
      <c r="DC145" s="24" t="n"/>
      <c r="DD145" s="24" t="n"/>
      <c r="DE145" s="24" t="n"/>
      <c r="DF145" s="24" t="n"/>
      <c r="DG145" s="24" t="n"/>
      <c r="DH145" s="24" t="n"/>
      <c r="DI145" s="24" t="n"/>
      <c r="DJ145" s="24" t="inlineStr">
        <is>
          <t>0.579832</t>
        </is>
      </c>
      <c r="DK145" s="24" t="n"/>
      <c r="DL145" s="24" t="n"/>
      <c r="DM145" s="24" t="n"/>
      <c r="DN145" s="24" t="n"/>
      <c r="DO145" s="24" t="n"/>
      <c r="DP145" s="24" t="n"/>
      <c r="DQ145" s="24" t="n"/>
    </row>
    <row r="146" ht="36" customHeight="1">
      <c r="A146" s="24" t="inlineStr">
        <is>
          <t>5cf7dbb441f04f12</t>
        </is>
      </c>
      <c r="B146" s="24" t="inlineStr">
        <is>
          <t>2026-09-10T04:35:57.829262Z</t>
        </is>
      </c>
      <c r="C146" s="24" t="inlineStr">
        <is>
          <t>2026-09-10T09:00:00Z</t>
        </is>
      </c>
      <c r="D146" s="24" t="inlineStr">
        <is>
          <t>105510</t>
        </is>
      </c>
      <c r="E146" s="24" t="inlineStr">
        <is>
          <t>NPB</t>
        </is>
      </c>
      <c r="F146" s="24" t="inlineStr">
        <is>
          <t>Nippon Ham Fighters</t>
        </is>
      </c>
      <c r="G146" s="24" t="inlineStr">
        <is>
          <t>Fukuoka SoftBank Hawks</t>
        </is>
      </c>
      <c r="H146" s="24" t="inlineStr">
        <is>
          <t>moneyline</t>
        </is>
      </c>
      <c r="I146" s="24" t="inlineStr">
        <is>
          <t>home</t>
        </is>
      </c>
      <c r="J146" s="25" t="n"/>
      <c r="K146" s="24" t="inlineStr">
        <is>
          <t>polymarket_us</t>
        </is>
      </c>
      <c r="L146" s="26" t="n">
        <v>-150</v>
      </c>
      <c r="M146" s="27" t="n">
        <v>1.666667</v>
      </c>
      <c r="N146" s="28" t="n">
        <v>0.6</v>
      </c>
      <c r="O146" s="28" t="n">
        <v>0.600325</v>
      </c>
      <c r="P146" s="28" t="n"/>
      <c r="Q146" s="28" t="n">
        <v>0.000325</v>
      </c>
      <c r="R146" s="26" t="n">
        <v>20</v>
      </c>
      <c r="S146" s="29" t="n">
        <v>1</v>
      </c>
      <c r="T146" s="24" t="inlineStr">
        <is>
          <t>npb-tie-aware-elo-v2</t>
        </is>
      </c>
      <c r="U146" s="24" t="inlineStr">
        <is>
          <t>settled</t>
        </is>
      </c>
      <c r="V146" s="24" t="inlineStr">
        <is>
          <t>win</t>
        </is>
      </c>
      <c r="W146" s="26" t="n">
        <v>2</v>
      </c>
      <c r="X146" s="26" t="n">
        <v>3</v>
      </c>
      <c r="Y146" s="25" t="n"/>
      <c r="Z146" s="26" t="n">
        <v>-150</v>
      </c>
      <c r="AA146" s="28" t="n">
        <v>0.6</v>
      </c>
      <c r="AB146" s="28" t="n">
        <v>0</v>
      </c>
      <c r="AC146" s="30" t="n">
        <v>0.6667</v>
      </c>
      <c r="AD146" s="24" t="inlineStr">
        <is>
          <t>2026-09-10T22:02:10.600374Z</t>
        </is>
      </c>
      <c r="AE146" s="31" t="inlineStr">
        <is>
          <t>Tie-aware Elo baseline; executable ask 0.6000 (market_slug=aec-npb-fsh-nhf-2026-09-10). Tie probability=0.0273.</t>
        </is>
      </c>
      <c r="AF146" s="31" t="inlineStr">
        <is>
          <t>Config-promoted international baseball baseline; gates enforced at log time.</t>
        </is>
      </c>
      <c r="AG146" s="24" t="inlineStr">
        <is>
          <t>not_applicable</t>
        </is>
      </c>
      <c r="AH146" s="24" t="n"/>
      <c r="AI146" s="31" t="n"/>
      <c r="AJ146" s="31" t="n"/>
      <c r="AK146" s="24" t="inlineStr">
        <is>
          <t>paper_call</t>
        </is>
      </c>
      <c r="AL146" s="26" t="n">
        <v>4</v>
      </c>
      <c r="AM146" s="24" t="inlineStr">
        <is>
          <t>RESEARCH_OBSERVATION</t>
        </is>
      </c>
      <c r="AN146" s="24" t="inlineStr">
        <is>
          <t>CALL</t>
        </is>
      </c>
      <c r="AO146" s="24" t="inlineStr">
        <is>
          <t>PAPER_CALL_LOW_EDGE</t>
        </is>
      </c>
      <c r="AP146" s="24" t="inlineStr">
        <is>
          <t>Nippon Ham Fighters</t>
        </is>
      </c>
      <c r="AQ146" s="24" t="inlineStr">
        <is>
          <t>Nippon Ham Fighters</t>
        </is>
      </c>
      <c r="AR146" s="24" t="inlineStr">
        <is>
          <t>Nippon Ham Fighters</t>
        </is>
      </c>
      <c r="AS146" s="24" t="inlineStr">
        <is>
          <t>Fukuoka SoftBank Hawks</t>
        </is>
      </c>
      <c r="AT146" s="24" t="inlineStr">
        <is>
          <t>Fukuoka SoftBank Hawks</t>
        </is>
      </c>
      <c r="AU146" s="24" t="inlineStr">
        <is>
          <t>Fukuoka SoftBank Hawks</t>
        </is>
      </c>
      <c r="AV146" s="24" t="n"/>
      <c r="AW146" s="24" t="n"/>
      <c r="AX146" s="24" t="inlineStr">
        <is>
          <t>statistical_model</t>
        </is>
      </c>
      <c r="AY146" s="24" t="n"/>
      <c r="AZ146" s="24" t="inlineStr">
        <is>
          <t>shadow_qualified</t>
        </is>
      </c>
      <c r="BA146" s="24" t="inlineStr">
        <is>
          <t>b07c14cfcf9ee2183513ba5f3c2e7ca1eaea1ed60af01b7cf91b3acbdde7a31f</t>
        </is>
      </c>
      <c r="BB146" s="24" t="inlineStr">
        <is>
          <t>tie_aware_elo</t>
        </is>
      </c>
      <c r="BC146" s="24" t="inlineStr">
        <is>
          <t>npb-tie-aware-elo-v2</t>
        </is>
      </c>
      <c r="BD146" s="24" t="inlineStr">
        <is>
          <t>b07c14cfcf9ee2183513ba5f3c2e7ca1eaea1ed60af01b7cf91b3acbdde7a31f</t>
        </is>
      </c>
      <c r="BE146" s="24" t="inlineStr">
        <is>
          <t>1</t>
        </is>
      </c>
      <c r="BF146" s="24" t="inlineStr">
        <is>
          <t>1</t>
        </is>
      </c>
      <c r="BG146" s="24" t="inlineStr">
        <is>
          <t>npb-tie-aware-elo-v2</t>
        </is>
      </c>
      <c r="BH146" s="24" t="inlineStr">
        <is>
          <t>2026-09-10T04:35:57.014292Z</t>
        </is>
      </c>
      <c r="BI146" s="24" t="inlineStr">
        <is>
          <t>["same_event","same_team_same_day","same_league_same_day"]</t>
        </is>
      </c>
      <c r="BJ146" s="25" t="n"/>
      <c r="BK146" s="26" t="n">
        <v>-150</v>
      </c>
      <c r="BL146" s="27" t="n">
        <v>1.666667</v>
      </c>
      <c r="BM146" s="28" t="n">
        <v>0.6</v>
      </c>
      <c r="BN146" s="28" t="n"/>
      <c r="BO146" s="28" t="n"/>
      <c r="BP146" s="25" t="n"/>
      <c r="BQ146" s="27" t="n">
        <v>1.666667</v>
      </c>
      <c r="BR146" s="28" t="n">
        <v>0.6</v>
      </c>
      <c r="BS146" s="28" t="n"/>
      <c r="BT146" s="28" t="n"/>
      <c r="BU146" s="25" t="n"/>
      <c r="BV146" s="29" t="n"/>
      <c r="BW146" s="24" t="n"/>
      <c r="BX146" s="30" t="n"/>
      <c r="BY146" s="27" t="n"/>
      <c r="BZ146" s="24" t="n"/>
      <c r="CA146" s="31" t="n"/>
      <c r="CB146" s="24" t="n"/>
      <c r="CC146" s="24" t="n"/>
      <c r="CD146" s="24" t="n"/>
      <c r="CE146" s="24" t="n"/>
      <c r="CF146" s="24" t="n"/>
      <c r="CG146" s="24" t="n"/>
      <c r="CH146" s="24" t="n"/>
      <c r="CI146" s="24" t="n"/>
      <c r="CJ146" s="24" t="n"/>
      <c r="CK146" s="24" t="n"/>
      <c r="CL146" s="24" t="n"/>
      <c r="CM146" s="24" t="n"/>
      <c r="CN146" s="24" t="n"/>
      <c r="CO146" s="24" t="n"/>
      <c r="CP146" s="24" t="n"/>
      <c r="CQ146" s="24" t="n"/>
      <c r="CR146" s="24" t="n"/>
      <c r="CS146" s="24" t="inlineStr">
        <is>
          <t>True</t>
        </is>
      </c>
      <c r="CT146" s="24" t="n"/>
      <c r="CU146" s="24" t="n"/>
      <c r="CV146" s="24" t="n"/>
      <c r="CW146" s="24" t="n"/>
      <c r="CX146" s="24" t="n"/>
      <c r="CY146" s="24" t="n"/>
      <c r="CZ146" s="24" t="n"/>
      <c r="DA146" s="24" t="n"/>
      <c r="DB146" s="24" t="n"/>
      <c r="DC146" s="24" t="n"/>
      <c r="DD146" s="24" t="n"/>
      <c r="DE146" s="24" t="n"/>
      <c r="DF146" s="24" t="n"/>
      <c r="DG146" s="24" t="n"/>
      <c r="DH146" s="24" t="n"/>
      <c r="DI146" s="24" t="n"/>
      <c r="DJ146" s="24" t="inlineStr">
        <is>
          <t>0.6</t>
        </is>
      </c>
      <c r="DK146" s="24" t="n"/>
      <c r="DL146" s="24" t="n"/>
      <c r="DM146" s="24" t="n"/>
      <c r="DN146" s="24" t="n"/>
      <c r="DO146" s="24" t="n"/>
      <c r="DP146" s="24" t="n"/>
      <c r="DQ146" s="24" t="inlineStr">
        <is>
          <t>{"artifact_hash": "b07c14cfcf9ee2183513ba5f3c2e7ca1eaea1ed60af01b7cf91b3acbdde7a31f", "away_team": "Nippon Ham Fighters", "draw_settlement_value": 0.5, "event_id": "105510", "event_start_utc": "2026-09-10T09:00:00Z", "features": {"away_elo": 1565.94797, "base_tie_rate": 0.02403496, "home_advantage": 35.0, "home_elo": 1603.661722}, "historical_source_observation_times_verified": false, "home_team": "Fukuoka SoftBank Hawks", "inference_inputs": {"away_id": "F", "base_tie_rate": 0.02403496, "book_state": {"_games_played": null, "_last_active": null, "decay_rate": 0.0, "home_advantage": 35.0, "k": 8.0, "margin_weight": 0.0, "ratings": {"F": 1565.94797, "H": 1603.661722}}, "code_sha256": {"features/elo_ratings.py": "8525faf022a6343c452286dbfeb17dbb043744c6bdabbe448b6b371216da439b", "international_baseball.py": "f345eb917316d2e897f62c1cdd0f73153115c65da54c30c6137ad76bb7b27869"}, "home_id": "H", "tie_method": "elo_gap"}, "market_type": "moneyline", "model_version": "npb-tie-aware-elo-v2", "observed_at_utc": "2026-09-10T04:35:56.944412+00:00", "outcome_probabilities": {"away": 0.38601821716069246, "draw": 0.02731407939615039, "home": 0.5866677034431571}, "replay_scope": "Exact Elo and tie model; logged value is expected contract settlement, not outright win probability.", "schema": "international-elo-replay-v1", "settlement_values": {"away": 0.399675, "home": 0.600325}, "snapshot_hash": "7385fb516aa59d12cafcb02fe4d0522dd039566989bffb4c3afc27135306708f", "sport": "NPB"}</t>
        </is>
      </c>
    </row>
    <row r="147" ht="36" customHeight="1">
      <c r="A147" s="24" t="inlineStr">
        <is>
          <t>ebf5e3e9cd07454e</t>
        </is>
      </c>
      <c r="B147" s="24" t="inlineStr">
        <is>
          <t>2026-09-10T04:35:57.829262Z</t>
        </is>
      </c>
      <c r="C147" s="24" t="inlineStr">
        <is>
          <t>2026-09-10T09:00:00Z</t>
        </is>
      </c>
      <c r="D147" s="24" t="inlineStr">
        <is>
          <t>105511</t>
        </is>
      </c>
      <c r="E147" s="24" t="inlineStr">
        <is>
          <t>NPB</t>
        </is>
      </c>
      <c r="F147" s="24" t="inlineStr">
        <is>
          <t>Chunichi Dragons</t>
        </is>
      </c>
      <c r="G147" s="24" t="inlineStr">
        <is>
          <t>Yomiuri Giants</t>
        </is>
      </c>
      <c r="H147" s="24" t="inlineStr">
        <is>
          <t>moneyline</t>
        </is>
      </c>
      <c r="I147" s="24" t="inlineStr">
        <is>
          <t>home</t>
        </is>
      </c>
      <c r="J147" s="25" t="n"/>
      <c r="K147" s="24" t="inlineStr">
        <is>
          <t>polymarket_us</t>
        </is>
      </c>
      <c r="L147" s="26" t="n">
        <v>-127</v>
      </c>
      <c r="M147" s="27" t="n">
        <v>1.787402</v>
      </c>
      <c r="N147" s="28" t="n">
        <v>0.5594710000000001</v>
      </c>
      <c r="O147" s="28" t="n">
        <v>0.626949</v>
      </c>
      <c r="P147" s="28" t="n"/>
      <c r="Q147" s="28" t="n">
        <v>0.067478</v>
      </c>
      <c r="R147" s="26" t="n">
        <v>54</v>
      </c>
      <c r="S147" s="29" t="n">
        <v>1</v>
      </c>
      <c r="T147" s="24" t="inlineStr">
        <is>
          <t>npb-tie-aware-elo-v2</t>
        </is>
      </c>
      <c r="U147" s="24" t="inlineStr">
        <is>
          <t>settled</t>
        </is>
      </c>
      <c r="V147" s="24" t="inlineStr">
        <is>
          <t>win</t>
        </is>
      </c>
      <c r="W147" s="26" t="n">
        <v>3</v>
      </c>
      <c r="X147" s="26" t="n">
        <v>5</v>
      </c>
      <c r="Y147" s="25" t="n"/>
      <c r="Z147" s="26" t="n">
        <v>-127</v>
      </c>
      <c r="AA147" s="28" t="n">
        <v>0.5600000000000001</v>
      </c>
      <c r="AB147" s="28" t="n">
        <v>0.000529</v>
      </c>
      <c r="AC147" s="30" t="n">
        <v>0.7874</v>
      </c>
      <c r="AD147" s="24" t="inlineStr">
        <is>
          <t>2026-09-10T22:02:10.784178Z</t>
        </is>
      </c>
      <c r="AE147" s="31" t="inlineStr">
        <is>
          <t>Tie-aware Elo baseline; executable ask 0.5600 (market_slug=aec-npb-ygo-cdh-2026-09-10). Tie probability=0.0249.</t>
        </is>
      </c>
      <c r="AF147" s="31" t="inlineStr">
        <is>
          <t>Config-promoted international baseball baseline; gates enforced at log time.</t>
        </is>
      </c>
      <c r="AG147" s="24" t="inlineStr">
        <is>
          <t>not_applicable</t>
        </is>
      </c>
      <c r="AH147" s="24" t="n"/>
      <c r="AI147" s="31" t="n"/>
      <c r="AJ147" s="31" t="n"/>
      <c r="AK147" s="24" t="inlineStr">
        <is>
          <t>model_qualified</t>
        </is>
      </c>
      <c r="AL147" s="26" t="n">
        <v>4</v>
      </c>
      <c r="AM147" s="24" t="inlineStr">
        <is>
          <t>QUALIFIED_SHADOW_CALL</t>
        </is>
      </c>
      <c r="AN147" s="24" t="inlineStr">
        <is>
          <t>CALL</t>
        </is>
      </c>
      <c r="AO147" s="24" t="inlineStr">
        <is>
          <t>QUALIFIED</t>
        </is>
      </c>
      <c r="AP147" s="24" t="inlineStr">
        <is>
          <t>Chunichi Dragons</t>
        </is>
      </c>
      <c r="AQ147" s="24" t="inlineStr">
        <is>
          <t>Chunichi Dragons</t>
        </is>
      </c>
      <c r="AR147" s="24" t="inlineStr">
        <is>
          <t>Chunichi Dragons</t>
        </is>
      </c>
      <c r="AS147" s="24" t="inlineStr">
        <is>
          <t>Yomiuri Giants</t>
        </is>
      </c>
      <c r="AT147" s="24" t="inlineStr">
        <is>
          <t>Yomiuri Giants</t>
        </is>
      </c>
      <c r="AU147" s="24" t="inlineStr">
        <is>
          <t>Yomiuri Giants</t>
        </is>
      </c>
      <c r="AV147" s="24" t="n"/>
      <c r="AW147" s="24" t="n"/>
      <c r="AX147" s="24" t="inlineStr">
        <is>
          <t>statistical_model</t>
        </is>
      </c>
      <c r="AY147" s="24" t="n"/>
      <c r="AZ147" s="24" t="inlineStr">
        <is>
          <t>shadow_qualified</t>
        </is>
      </c>
      <c r="BA147" s="24" t="inlineStr">
        <is>
          <t>b07c14cfcf9ee2183513ba5f3c2e7ca1eaea1ed60af01b7cf91b3acbdde7a31f</t>
        </is>
      </c>
      <c r="BB147" s="24" t="inlineStr">
        <is>
          <t>tie_aware_elo</t>
        </is>
      </c>
      <c r="BC147" s="24" t="inlineStr">
        <is>
          <t>npb-tie-aware-elo-v2</t>
        </is>
      </c>
      <c r="BD147" s="24" t="inlineStr">
        <is>
          <t>b07c14cfcf9ee2183513ba5f3c2e7ca1eaea1ed60af01b7cf91b3acbdde7a31f</t>
        </is>
      </c>
      <c r="BE147" s="24" t="inlineStr">
        <is>
          <t>1</t>
        </is>
      </c>
      <c r="BF147" s="24" t="inlineStr">
        <is>
          <t>1</t>
        </is>
      </c>
      <c r="BG147" s="24" t="inlineStr">
        <is>
          <t>npb-tie-aware-elo-v2</t>
        </is>
      </c>
      <c r="BH147" s="24" t="inlineStr">
        <is>
          <t>2026-09-10T04:35:57.299205Z</t>
        </is>
      </c>
      <c r="BI147" s="24" t="inlineStr">
        <is>
          <t>["same_event","same_team_same_day","same_league_same_day"]</t>
        </is>
      </c>
      <c r="BJ147" s="25" t="n"/>
      <c r="BK147" s="26" t="n">
        <v>-127</v>
      </c>
      <c r="BL147" s="27" t="n">
        <v>1.787402</v>
      </c>
      <c r="BM147" s="28" t="n">
        <v>0.5594710000000001</v>
      </c>
      <c r="BN147" s="28" t="n"/>
      <c r="BO147" s="28" t="n"/>
      <c r="BP147" s="25" t="n"/>
      <c r="BQ147" s="27" t="n">
        <v>1.787402</v>
      </c>
      <c r="BR147" s="28" t="n">
        <v>0.5600000000000001</v>
      </c>
      <c r="BS147" s="28" t="n"/>
      <c r="BT147" s="28" t="n"/>
      <c r="BU147" s="25" t="n"/>
      <c r="BV147" s="29" t="n"/>
      <c r="BW147" s="24" t="n"/>
      <c r="BX147" s="30" t="n"/>
      <c r="BY147" s="27" t="n"/>
      <c r="BZ147" s="24" t="n"/>
      <c r="CA147" s="31" t="n"/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  <c r="CL147" s="24" t="n"/>
      <c r="CM147" s="24" t="n"/>
      <c r="CN147" s="24" t="n"/>
      <c r="CO147" s="24" t="n"/>
      <c r="CP147" s="24" t="n"/>
      <c r="CQ147" s="24" t="n"/>
      <c r="CR147" s="24" t="n"/>
      <c r="CS147" s="24" t="inlineStr">
        <is>
          <t>True</t>
        </is>
      </c>
      <c r="CT147" s="24" t="n"/>
      <c r="CU147" s="24" t="n"/>
      <c r="CV147" s="24" t="n"/>
      <c r="CW147" s="24" t="n"/>
      <c r="CX147" s="24" t="n"/>
      <c r="CY147" s="24" t="n"/>
      <c r="CZ147" s="24" t="n"/>
      <c r="DA147" s="24" t="n"/>
      <c r="DB147" s="24" t="n"/>
      <c r="DC147" s="24" t="n"/>
      <c r="DD147" s="24" t="n"/>
      <c r="DE147" s="24" t="n"/>
      <c r="DF147" s="24" t="n"/>
      <c r="DG147" s="24" t="n"/>
      <c r="DH147" s="24" t="n"/>
      <c r="DI147" s="24" t="n"/>
      <c r="DJ147" s="24" t="inlineStr">
        <is>
          <t>0.559471</t>
        </is>
      </c>
      <c r="DK147" s="24" t="n"/>
      <c r="DL147" s="24" t="n"/>
      <c r="DM147" s="24" t="n"/>
      <c r="DN147" s="24" t="n"/>
      <c r="DO147" s="24" t="n"/>
      <c r="DP147" s="24" t="n"/>
      <c r="DQ147" s="24" t="inlineStr">
        <is>
          <t>{"artifact_hash": "b07c14cfcf9ee2183513ba5f3c2e7ca1eaea1ed60af01b7cf91b3acbdde7a31f", "away_team": "Chunichi Dragons", "draw_settlement_value": 0.5, "event_id": "105511", "event_start_utc": "2026-09-10T09:00:00Z", "features": {"away_elo": 1454.963738, "base_tie_rate": 0.02403496, "home_advantage": 35.0, "home_elo": 1512.563517}, "historical_source_observation_times_verified": false, "home_team": "Yomiuri Giants", "inference_inputs": {"away_id": "D", "base_tie_rate": 0.02403496, "book_state": {"_games_played": null, "_last_active": null, "decay_rate": 0.0, "home_advantage": 35.0, "k": 8.0, "margin_weight": 0.0, "ratings": {"D": 1454.963738, "G": 1512.563517}}, "code_sha256": {"features/elo_ratings.py": "8525faf022a6343c452286dbfeb17dbb043744c6bdabbe448b6b371216da439b", "international_baseball.py": "f345eb917316d2e897f62c1cdd0f73153115c65da54c30c6137ad76bb7b27869"}, "home_id": "G", "tie_method": "elo_gap"}, "market_type": "moneyline", "model_version": "npb-tie-aware-elo-v2", "observed_at_utc": "2026-09-10T04:35:56.944412+00:00", "outcome_probabilities": {"away": 0.3605893033983939, "draw": 0.024924280078630786, "home": 0.6144864165229753}, "replay_scope": "Exact Elo and tie model; logged value is expected contract settlement, not outright win probability.", "schema": "international-elo-replay-v1", "settlement_values": {"away": 0.373051, "home": 0.626949}, "snapshot_hash": "3e1d71370af721f225ebe7ced628c939391e3a84083260d5533b788879d2ebc2", "sport": "NPB"}</t>
        </is>
      </c>
    </row>
    <row r="148" ht="36" customHeight="1">
      <c r="A148" s="24" t="inlineStr">
        <is>
          <t>f3b84b0900f44c5e</t>
        </is>
      </c>
      <c r="B148" s="24" t="inlineStr">
        <is>
          <t>2026-09-10T04:35:57.829262Z</t>
        </is>
      </c>
      <c r="C148" s="24" t="inlineStr">
        <is>
          <t>2026-09-10T09:00:00Z</t>
        </is>
      </c>
      <c r="D148" s="24" t="inlineStr">
        <is>
          <t>105512</t>
        </is>
      </c>
      <c r="E148" s="24" t="inlineStr">
        <is>
          <t>NPB</t>
        </is>
      </c>
      <c r="F148" s="24" t="inlineStr">
        <is>
          <t>Tokyo Yakult Swallows</t>
        </is>
      </c>
      <c r="G148" s="24" t="inlineStr">
        <is>
          <t>Yokohama BayStars</t>
        </is>
      </c>
      <c r="H148" s="24" t="inlineStr">
        <is>
          <t>moneyline</t>
        </is>
      </c>
      <c r="I148" s="24" t="inlineStr">
        <is>
          <t>home</t>
        </is>
      </c>
      <c r="J148" s="25" t="n"/>
      <c r="K148" s="24" t="inlineStr">
        <is>
          <t>polymarket_us</t>
        </is>
      </c>
      <c r="L148" s="26" t="n">
        <v>-203</v>
      </c>
      <c r="M148" s="27" t="n">
        <v>1.492611</v>
      </c>
      <c r="N148" s="28" t="n">
        <v>0.669967</v>
      </c>
      <c r="O148" s="28" t="n">
        <v>0.6360710000000001</v>
      </c>
      <c r="P148" s="28" t="n"/>
      <c r="Q148" s="28" t="n">
        <v>-0.033896</v>
      </c>
      <c r="R148" s="26" t="n">
        <v>3</v>
      </c>
      <c r="S148" s="29" t="n">
        <v>1</v>
      </c>
      <c r="T148" s="24" t="inlineStr">
        <is>
          <t>npb-tie-aware-elo-v2</t>
        </is>
      </c>
      <c r="U148" s="24" t="inlineStr">
        <is>
          <t>settled</t>
        </is>
      </c>
      <c r="V148" s="24" t="inlineStr">
        <is>
          <t>win</t>
        </is>
      </c>
      <c r="W148" s="26" t="n">
        <v>1</v>
      </c>
      <c r="X148" s="26" t="n">
        <v>8</v>
      </c>
      <c r="Y148" s="25" t="n"/>
      <c r="Z148" s="26" t="n">
        <v>-203</v>
      </c>
      <c r="AA148" s="28" t="n">
        <v>0.67</v>
      </c>
      <c r="AB148" s="28" t="n">
        <v>3.3e-05</v>
      </c>
      <c r="AC148" s="30" t="n">
        <v>0.4926</v>
      </c>
      <c r="AD148" s="24" t="inlineStr">
        <is>
          <t>2026-09-10T22:02:10.938496Z</t>
        </is>
      </c>
      <c r="AE148" s="31" t="inlineStr">
        <is>
          <t>Tie-aware Elo baseline; executable ask 0.6700 (market_slug=aec-npb-ybo-tys-2026-09-10). Tie probability=0.0241.</t>
        </is>
      </c>
      <c r="AF148" s="31" t="inlineStr">
        <is>
          <t>Config-promoted international baseball baseline; gates enforced at log time.</t>
        </is>
      </c>
      <c r="AG148" s="24" t="inlineStr">
        <is>
          <t>not_applicable</t>
        </is>
      </c>
      <c r="AH148" s="24" t="n"/>
      <c r="AI148" s="31" t="n"/>
      <c r="AJ148" s="31" t="n"/>
      <c r="AK148" s="24" t="inlineStr">
        <is>
          <t>paper_call</t>
        </is>
      </c>
      <c r="AL148" s="26" t="n">
        <v>4</v>
      </c>
      <c r="AM148" s="24" t="inlineStr">
        <is>
          <t>RESEARCH_OBSERVATION</t>
        </is>
      </c>
      <c r="AN148" s="24" t="inlineStr">
        <is>
          <t>CALL</t>
        </is>
      </c>
      <c r="AO148" s="24" t="inlineStr">
        <is>
          <t>PAPER_CALL_LOW_EDGE</t>
        </is>
      </c>
      <c r="AP148" s="24" t="inlineStr">
        <is>
          <t>Tokyo Yakult Swallows</t>
        </is>
      </c>
      <c r="AQ148" s="24" t="inlineStr">
        <is>
          <t>Tokyo Yakult Swallows</t>
        </is>
      </c>
      <c r="AR148" s="24" t="inlineStr">
        <is>
          <t>Tokyo Yakult Swallows</t>
        </is>
      </c>
      <c r="AS148" s="24" t="inlineStr">
        <is>
          <t>Yokohama BayStars</t>
        </is>
      </c>
      <c r="AT148" s="24" t="inlineStr">
        <is>
          <t>Yokohama BayStars</t>
        </is>
      </c>
      <c r="AU148" s="24" t="inlineStr">
        <is>
          <t>Yokohama BayStars</t>
        </is>
      </c>
      <c r="AV148" s="24" t="n"/>
      <c r="AW148" s="24" t="n"/>
      <c r="AX148" s="24" t="inlineStr">
        <is>
          <t>statistical_model</t>
        </is>
      </c>
      <c r="AY148" s="24" t="n"/>
      <c r="AZ148" s="24" t="inlineStr">
        <is>
          <t>shadow_qualified</t>
        </is>
      </c>
      <c r="BA148" s="24" t="inlineStr">
        <is>
          <t>b07c14cfcf9ee2183513ba5f3c2e7ca1eaea1ed60af01b7cf91b3acbdde7a31f</t>
        </is>
      </c>
      <c r="BB148" s="24" t="inlineStr">
        <is>
          <t>tie_aware_elo</t>
        </is>
      </c>
      <c r="BC148" s="24" t="inlineStr">
        <is>
          <t>npb-tie-aware-elo-v2</t>
        </is>
      </c>
      <c r="BD148" s="24" t="inlineStr">
        <is>
          <t>b07c14cfcf9ee2183513ba5f3c2e7ca1eaea1ed60af01b7cf91b3acbdde7a31f</t>
        </is>
      </c>
      <c r="BE148" s="24" t="inlineStr">
        <is>
          <t>1</t>
        </is>
      </c>
      <c r="BF148" s="24" t="inlineStr">
        <is>
          <t>1</t>
        </is>
      </c>
      <c r="BG148" s="24" t="inlineStr">
        <is>
          <t>npb-tie-aware-elo-v2</t>
        </is>
      </c>
      <c r="BH148" s="24" t="inlineStr">
        <is>
          <t>2026-09-10T04:35:57.415411Z</t>
        </is>
      </c>
      <c r="BI148" s="24" t="inlineStr">
        <is>
          <t>["same_event","same_team_same_day","same_league_same_day"]</t>
        </is>
      </c>
      <c r="BJ148" s="25" t="n"/>
      <c r="BK148" s="26" t="n">
        <v>-203</v>
      </c>
      <c r="BL148" s="27" t="n">
        <v>1.492611</v>
      </c>
      <c r="BM148" s="28" t="n">
        <v>0.669967</v>
      </c>
      <c r="BN148" s="28" t="n"/>
      <c r="BO148" s="28" t="n"/>
      <c r="BP148" s="25" t="n"/>
      <c r="BQ148" s="27" t="n">
        <v>1.492611</v>
      </c>
      <c r="BR148" s="28" t="n">
        <v>0.67</v>
      </c>
      <c r="BS148" s="28" t="n"/>
      <c r="BT148" s="28" t="n"/>
      <c r="BU148" s="25" t="n"/>
      <c r="BV148" s="29" t="n"/>
      <c r="BW148" s="24" t="n"/>
      <c r="BX148" s="30" t="n"/>
      <c r="BY148" s="27" t="n"/>
      <c r="BZ148" s="24" t="n"/>
      <c r="CA148" s="31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inlineStr">
        <is>
          <t>False</t>
        </is>
      </c>
      <c r="CT148" s="24" t="n"/>
      <c r="CU148" s="24" t="n"/>
      <c r="CV148" s="24" t="n"/>
      <c r="CW148" s="24" t="n"/>
      <c r="CX148" s="24" t="n"/>
      <c r="CY148" s="24" t="n"/>
      <c r="CZ148" s="24" t="n"/>
      <c r="DA148" s="24" t="n"/>
      <c r="DB148" s="24" t="n"/>
      <c r="DC148" s="24" t="n"/>
      <c r="DD148" s="24" t="n"/>
      <c r="DE148" s="24" t="n"/>
      <c r="DF148" s="24" t="n"/>
      <c r="DG148" s="24" t="n"/>
      <c r="DH148" s="24" t="n"/>
      <c r="DI148" s="24" t="n"/>
      <c r="DJ148" s="24" t="inlineStr">
        <is>
          <t>0.669967</t>
        </is>
      </c>
      <c r="DK148" s="24" t="n"/>
      <c r="DL148" s="24" t="n"/>
      <c r="DM148" s="24" t="n"/>
      <c r="DN148" s="24" t="n"/>
      <c r="DO148" s="24" t="n"/>
      <c r="DP148" s="24" t="n"/>
      <c r="DQ148" s="24" t="inlineStr">
        <is>
          <t>{"artifact_hash": "b07c14cfcf9ee2183513ba5f3c2e7ca1eaea1ed60af01b7cf91b3acbdde7a31f", "away_team": "Tokyo Yakult Swallows", "draw_settlement_value": 0.5, "event_id": "105512", "event_start_utc": "2026-09-10T09:00:00Z", "features": {"away_elo": 1429.870023, "base_tie_rate": 0.02403496, "home_advantage": 35.0, "home_elo": 1494.391688}, "historical_source_observation_times_verified": false, "home_team": "Yokohama BayStars", "inference_inputs": {"away_id": "S", "base_tie_rate": 0.02403496, "book_state": {"_games_played": null, "_last_active": null, "decay_rate": 0.0, "home_advantage": 35.0, "k": 8.0, "margin_weight": 0.0, "ratings": {"DB": 1494.391688, "S": 1429.870023}}, "code_sha256": {"features/elo_ratings.py": "8525faf022a6343c452286dbfeb17dbb043744c6bdabbe448b6b371216da439b", "international_baseball.py": "f345eb917316d2e897f62c1cdd0f73153115c65da54c30c6137ad76bb7b27869"}, "home_id": "DB", "tie_method": "elo_gap"}, "market_type": "moneyline", "model_version": "npb-tie-aware-elo-v2", "observed_at_utc": "2026-09-10T04:35:56.944412+00:00", "outcome_probabilities": {"away": 0.3518826019287528, "draw": 0.024092443812958005, "home": 0.6240249542582891}, "replay_scope": "Exact Elo and tie model; logged value is expected contract settlement, not outright win probability.", "schema": "international-elo-replay-v1", "settlement_values": {"away": 0.363929, "home": 0.636071}, "snapshot_hash": "b5a326a8efd1e9c37c5d3b1bac89af117e632b079254ddeade8a2b379b1ce0d9", "sport": "NPB"}</t>
        </is>
      </c>
    </row>
    <row r="149" ht="36" customHeight="1">
      <c r="A149" s="24" t="inlineStr">
        <is>
          <t>040b22d837714e5b</t>
        </is>
      </c>
      <c r="B149" s="24" t="inlineStr">
        <is>
          <t>2026-09-10T04:35:57.829262Z</t>
        </is>
      </c>
      <c r="C149" s="24" t="inlineStr">
        <is>
          <t>2026-09-10T09:00:00Z</t>
        </is>
      </c>
      <c r="D149" s="24" t="inlineStr">
        <is>
          <t>105513</t>
        </is>
      </c>
      <c r="E149" s="24" t="inlineStr">
        <is>
          <t>NPB</t>
        </is>
      </c>
      <c r="F149" s="24" t="inlineStr">
        <is>
          <t>Hiroshima Carp</t>
        </is>
      </c>
      <c r="G149" s="24" t="inlineStr">
        <is>
          <t>Hanshin Tigers</t>
        </is>
      </c>
      <c r="H149" s="24" t="inlineStr">
        <is>
          <t>moneyline</t>
        </is>
      </c>
      <c r="I149" s="24" t="inlineStr">
        <is>
          <t>home</t>
        </is>
      </c>
      <c r="J149" s="25" t="n"/>
      <c r="K149" s="24" t="inlineStr">
        <is>
          <t>polymarket_us</t>
        </is>
      </c>
      <c r="L149" s="26" t="n">
        <v>-150</v>
      </c>
      <c r="M149" s="27" t="n">
        <v>1.666667</v>
      </c>
      <c r="N149" s="28" t="n">
        <v>0.6</v>
      </c>
      <c r="O149" s="28" t="n">
        <v>0.665785</v>
      </c>
      <c r="P149" s="28" t="n"/>
      <c r="Q149" s="28" t="n">
        <v>0.065785</v>
      </c>
      <c r="R149" s="26" t="n">
        <v>53</v>
      </c>
      <c r="S149" s="29" t="n">
        <v>1</v>
      </c>
      <c r="T149" s="24" t="inlineStr">
        <is>
          <t>npb-tie-aware-elo-v2</t>
        </is>
      </c>
      <c r="U149" s="24" t="inlineStr">
        <is>
          <t>settled</t>
        </is>
      </c>
      <c r="V149" s="24" t="inlineStr">
        <is>
          <t>push</t>
        </is>
      </c>
      <c r="W149" s="26" t="n"/>
      <c r="X149" s="26" t="n"/>
      <c r="Y149" s="25" t="n"/>
      <c r="Z149" s="26" t="n"/>
      <c r="AA149" s="28" t="n"/>
      <c r="AB149" s="28" t="n"/>
      <c r="AC149" s="30" t="n">
        <v>0</v>
      </c>
      <c r="AD149" s="24" t="inlineStr">
        <is>
          <t>2026-10-06T22:59:38.976537Z</t>
        </is>
      </c>
      <c r="AE149" s="31" t="inlineStr">
        <is>
          <t>Tie-aware Elo baseline; executable ask 0.6000 (market_slug=aec-npb-hta-hci-2026-09-10). Tie probability=0.0213.</t>
        </is>
      </c>
      <c r="AF149" s="31" t="inlineStr">
        <is>
          <t>Config-promoted international baseball baseline; gates enforced at log time.</t>
        </is>
      </c>
      <c r="AG149" s="24" t="inlineStr">
        <is>
          <t>not_applicable</t>
        </is>
      </c>
      <c r="AH149" s="24" t="n"/>
      <c r="AI149" s="31" t="n"/>
      <c r="AJ149" s="31" t="n"/>
      <c r="AK149" s="24" t="inlineStr">
        <is>
          <t>model_qualified</t>
        </is>
      </c>
      <c r="AL149" s="26" t="n">
        <v>4</v>
      </c>
      <c r="AM149" s="24" t="inlineStr">
        <is>
          <t>QUALIFIED_SHADOW_CALL</t>
        </is>
      </c>
      <c r="AN149" s="24" t="inlineStr">
        <is>
          <t>CALL</t>
        </is>
      </c>
      <c r="AO149" s="24" t="inlineStr">
        <is>
          <t>QUALIFIED</t>
        </is>
      </c>
      <c r="AP149" s="24" t="inlineStr">
        <is>
          <t>Hiroshima Carp</t>
        </is>
      </c>
      <c r="AQ149" s="24" t="inlineStr">
        <is>
          <t>Hiroshima Carp</t>
        </is>
      </c>
      <c r="AR149" s="24" t="inlineStr">
        <is>
          <t>Hiroshima Carp</t>
        </is>
      </c>
      <c r="AS149" s="24" t="inlineStr">
        <is>
          <t>Hanshin Tigers</t>
        </is>
      </c>
      <c r="AT149" s="24" t="inlineStr">
        <is>
          <t>Hanshin Tigers</t>
        </is>
      </c>
      <c r="AU149" s="24" t="inlineStr">
        <is>
          <t>Hanshin Tigers</t>
        </is>
      </c>
      <c r="AV149" s="24" t="n"/>
      <c r="AW149" s="24" t="n"/>
      <c r="AX149" s="24" t="inlineStr">
        <is>
          <t>statistical_model</t>
        </is>
      </c>
      <c r="AY149" s="24" t="n"/>
      <c r="AZ149" s="24" t="inlineStr">
        <is>
          <t>shadow_qualified</t>
        </is>
      </c>
      <c r="BA149" s="24" t="inlineStr">
        <is>
          <t>b07c14cfcf9ee2183513ba5f3c2e7ca1eaea1ed60af01b7cf91b3acbdde7a31f</t>
        </is>
      </c>
      <c r="BB149" s="24" t="inlineStr">
        <is>
          <t>tie_aware_elo</t>
        </is>
      </c>
      <c r="BC149" s="24" t="inlineStr">
        <is>
          <t>npb-tie-aware-elo-v2</t>
        </is>
      </c>
      <c r="BD149" s="24" t="inlineStr">
        <is>
          <t>b07c14cfcf9ee2183513ba5f3c2e7ca1eaea1ed60af01b7cf91b3acbdde7a31f</t>
        </is>
      </c>
      <c r="BE149" s="24" t="inlineStr">
        <is>
          <t>1</t>
        </is>
      </c>
      <c r="BF149" s="24" t="inlineStr">
        <is>
          <t>1</t>
        </is>
      </c>
      <c r="BG149" s="24" t="inlineStr">
        <is>
          <t>npb-tie-aware-elo-v2</t>
        </is>
      </c>
      <c r="BH149" s="24" t="inlineStr">
        <is>
          <t>2026-09-10T04:35:57.505807Z</t>
        </is>
      </c>
      <c r="BI149" s="24" t="inlineStr">
        <is>
          <t>["same_event","same_team_same_day","same_league_same_day"]</t>
        </is>
      </c>
      <c r="BJ149" s="25" t="n"/>
      <c r="BK149" s="26" t="n">
        <v>-150</v>
      </c>
      <c r="BL149" s="27" t="n">
        <v>1.666667</v>
      </c>
      <c r="BM149" s="28" t="n">
        <v>0.6</v>
      </c>
      <c r="BN149" s="28" t="n"/>
      <c r="BO149" s="28" t="n"/>
      <c r="BP149" s="25" t="n"/>
      <c r="BQ149" s="27" t="n"/>
      <c r="BR149" s="28" t="n"/>
      <c r="BS149" s="28" t="n"/>
      <c r="BT149" s="28" t="n"/>
      <c r="BU149" s="25" t="n"/>
      <c r="BV149" s="29" t="n"/>
      <c r="BW149" s="24" t="inlineStr">
        <is>
          <t>NPB game scheduled on 2026-09-10 cancelled/postponed (no final score posted after &gt;7 days)</t>
        </is>
      </c>
      <c r="BX149" s="30" t="n"/>
      <c r="BY149" s="27" t="n"/>
      <c r="BZ149" s="24" t="n"/>
      <c r="CA149" s="31" t="n"/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  <c r="CL149" s="24" t="n"/>
      <c r="CM149" s="24" t="n"/>
      <c r="CN149" s="24" t="n"/>
      <c r="CO149" s="24" t="n"/>
      <c r="CP149" s="24" t="n"/>
      <c r="CQ149" s="24" t="n"/>
      <c r="CR149" s="24" t="n"/>
      <c r="CS149" s="24" t="inlineStr">
        <is>
          <t>True</t>
        </is>
      </c>
      <c r="CT149" s="24" t="n"/>
      <c r="CU149" s="24" t="n"/>
      <c r="CV149" s="24" t="n"/>
      <c r="CW149" s="24" t="n"/>
      <c r="CX149" s="24" t="n"/>
      <c r="CY149" s="24" t="n"/>
      <c r="CZ149" s="24" t="n"/>
      <c r="DA149" s="24" t="n"/>
      <c r="DB149" s="24" t="n"/>
      <c r="DC149" s="24" t="n"/>
      <c r="DD149" s="24" t="n"/>
      <c r="DE149" s="24" t="n"/>
      <c r="DF149" s="24" t="n"/>
      <c r="DG149" s="24" t="n"/>
      <c r="DH149" s="24" t="n"/>
      <c r="DI149" s="24" t="n"/>
      <c r="DJ149" s="24" t="inlineStr">
        <is>
          <t>0.6</t>
        </is>
      </c>
      <c r="DK149" s="24" t="n"/>
      <c r="DL149" s="24" t="n"/>
      <c r="DM149" s="24" t="n"/>
      <c r="DN149" s="24" t="n"/>
      <c r="DO149" s="24" t="n"/>
      <c r="DP149" s="24" t="n"/>
      <c r="DQ149" s="24" t="inlineStr">
        <is>
          <t>{"artifact_hash": "b07c14cfcf9ee2183513ba5f3c2e7ca1eaea1ed60af01b7cf91b3acbdde7a31f", "away_team": "Hiroshima Carp", "draw_settlement_value": 0.5, "event_id": "105513", "event_start_utc": "2026-09-10T09:00:00Z", "features": {"away_elo": 1442.682033, "base_tie_rate": 0.02403496, "home_advantage": 35.0, "home_elo": 1530.23304}, "historical_source_observation_times_verified": false, "home_team": "Hanshin Tigers", "inference_inputs": {"away_id": "C", "base_tie_rate": 0.02403496, "book_state": {"_games_played": null, "_last_active": null, "decay_rate": 0.0, "home_advantage": 35.0, "k": 8.0, "margin_weight": 0.0, "ratings": {"C": 1442.682033, "T": 1530.23304}}, "code_sha256": {"features/elo_ratings.py": "8525faf022a6343c452286dbfeb17dbb043744c6bdabbe448b6b371216da439b", "international_baseball.py": "f345eb917316d2e897f62c1cdd0f73153115c65da54c30c6137ad76bb7b27869"}, "home_id": "T", "tie_method": "elo_gap"}, "market_type": "moneyline", "model_version": "npb-tie-aware-elo-v2", "observed_at_utc": "2026-09-10T04:35:56.944412+00:00", "outcome_probabilities": {"away": 0.3235526526971467, "draw": 0.021324897243976397, "home": 0.6551224500588769}, "replay_scope": "Exact Elo and tie model; logged value is expected contract settlement, not outright win probability.", "schema": "international-elo-replay-v1", "settlement_values": {"away": 0.334215, "home": 0.665785}, "snapshot_hash": "31478a12a1ec910097a6d6c2e71dda373d0bfa44f8c5cf8992b43ae99570b3a2", "sport": "NPB"}</t>
        </is>
      </c>
    </row>
    <row r="150" ht="36" customHeight="1">
      <c r="A150" s="24" t="inlineStr">
        <is>
          <t>73404a2a781c4678</t>
        </is>
      </c>
      <c r="B150" s="24" t="inlineStr">
        <is>
          <t>2026-09-10T04:35:57.829262Z</t>
        </is>
      </c>
      <c r="C150" s="24" t="inlineStr">
        <is>
          <t>2026-09-10T09:00:00Z</t>
        </is>
      </c>
      <c r="D150" s="24" t="inlineStr">
        <is>
          <t>105514</t>
        </is>
      </c>
      <c r="E150" s="24" t="inlineStr">
        <is>
          <t>NPB</t>
        </is>
      </c>
      <c r="F150" s="24" t="inlineStr">
        <is>
          <t>Tohoku Rakuten Golden Eagles</t>
        </is>
      </c>
      <c r="G150" s="24" t="inlineStr">
        <is>
          <t>Chiba Lotte Marines</t>
        </is>
      </c>
      <c r="H150" s="24" t="inlineStr">
        <is>
          <t>moneyline</t>
        </is>
      </c>
      <c r="I150" s="24" t="inlineStr">
        <is>
          <t>home</t>
        </is>
      </c>
      <c r="J150" s="25" t="n"/>
      <c r="K150" s="24" t="inlineStr">
        <is>
          <t>polymarket_us</t>
        </is>
      </c>
      <c r="L150" s="26" t="n">
        <v>-104</v>
      </c>
      <c r="M150" s="27" t="n">
        <v>1.961538</v>
      </c>
      <c r="N150" s="28" t="n">
        <v>0.509804</v>
      </c>
      <c r="O150" s="28" t="n">
        <v>0.617061</v>
      </c>
      <c r="P150" s="28" t="n"/>
      <c r="Q150" s="28" t="n">
        <v>0.107257</v>
      </c>
      <c r="R150" s="26" t="n">
        <v>74</v>
      </c>
      <c r="S150" s="29" t="n">
        <v>1.5</v>
      </c>
      <c r="T150" s="24" t="inlineStr">
        <is>
          <t>npb-tie-aware-elo-v2</t>
        </is>
      </c>
      <c r="U150" s="24" t="inlineStr">
        <is>
          <t>settled</t>
        </is>
      </c>
      <c r="V150" s="24" t="inlineStr">
        <is>
          <t>win</t>
        </is>
      </c>
      <c r="W150" s="26" t="n">
        <v>1</v>
      </c>
      <c r="X150" s="26" t="n">
        <v>6</v>
      </c>
      <c r="Y150" s="25" t="n"/>
      <c r="Z150" s="26" t="n">
        <v>-104</v>
      </c>
      <c r="AA150" s="28" t="n">
        <v>0.51</v>
      </c>
      <c r="AB150" s="28" t="n">
        <v>0.000196</v>
      </c>
      <c r="AC150" s="30" t="n">
        <v>1.4423</v>
      </c>
      <c r="AD150" s="24" t="inlineStr">
        <is>
          <t>2026-09-10T22:02:13.127149Z</t>
        </is>
      </c>
      <c r="AE150" s="31" t="inlineStr">
        <is>
          <t>Tie-aware Elo baseline; executable ask 0.5100 (market_slug=aec-npb-clm-trge-2026-09-10). Tie probability=0.0258.</t>
        </is>
      </c>
      <c r="AF150" s="31" t="inlineStr">
        <is>
          <t>Config-promoted international baseball baseline; gates enforced at log time.</t>
        </is>
      </c>
      <c r="AG150" s="24" t="inlineStr">
        <is>
          <t>not_applicable</t>
        </is>
      </c>
      <c r="AH150" s="24" t="n"/>
      <c r="AI150" s="31" t="n"/>
      <c r="AJ150" s="31" t="n"/>
      <c r="AK150" s="24" t="inlineStr">
        <is>
          <t>model_qualified</t>
        </is>
      </c>
      <c r="AL150" s="26" t="n">
        <v>4</v>
      </c>
      <c r="AM150" s="24" t="inlineStr">
        <is>
          <t>QUALIFIED_SHADOW_CALL</t>
        </is>
      </c>
      <c r="AN150" s="24" t="inlineStr">
        <is>
          <t>CALL</t>
        </is>
      </c>
      <c r="AO150" s="24" t="inlineStr">
        <is>
          <t>QUALIFIED</t>
        </is>
      </c>
      <c r="AP150" s="24" t="inlineStr">
        <is>
          <t>Tohoku Rakuten Golden Eagles</t>
        </is>
      </c>
      <c r="AQ150" s="24" t="inlineStr">
        <is>
          <t>Tohoku Rakuten Golden Eagles</t>
        </is>
      </c>
      <c r="AR150" s="24" t="inlineStr">
        <is>
          <t>Tohoku Rakuten Golden Eagles</t>
        </is>
      </c>
      <c r="AS150" s="24" t="inlineStr">
        <is>
          <t>Chiba Lotte Marines</t>
        </is>
      </c>
      <c r="AT150" s="24" t="inlineStr">
        <is>
          <t>Chiba Lotte Marines</t>
        </is>
      </c>
      <c r="AU150" s="24" t="inlineStr">
        <is>
          <t>Chiba Lotte Marines</t>
        </is>
      </c>
      <c r="AV150" s="24" t="n"/>
      <c r="AW150" s="24" t="n"/>
      <c r="AX150" s="24" t="inlineStr">
        <is>
          <t>statistical_model</t>
        </is>
      </c>
      <c r="AY150" s="24" t="n"/>
      <c r="AZ150" s="24" t="inlineStr">
        <is>
          <t>shadow_qualified</t>
        </is>
      </c>
      <c r="BA150" s="24" t="inlineStr">
        <is>
          <t>b07c14cfcf9ee2183513ba5f3c2e7ca1eaea1ed60af01b7cf91b3acbdde7a31f</t>
        </is>
      </c>
      <c r="BB150" s="24" t="inlineStr">
        <is>
          <t>tie_aware_elo</t>
        </is>
      </c>
      <c r="BC150" s="24" t="inlineStr">
        <is>
          <t>npb-tie-aware-elo-v2</t>
        </is>
      </c>
      <c r="BD150" s="24" t="inlineStr">
        <is>
          <t>b07c14cfcf9ee2183513ba5f3c2e7ca1eaea1ed60af01b7cf91b3acbdde7a31f</t>
        </is>
      </c>
      <c r="BE150" s="24" t="inlineStr">
        <is>
          <t>1</t>
        </is>
      </c>
      <c r="BF150" s="24" t="inlineStr">
        <is>
          <t>1</t>
        </is>
      </c>
      <c r="BG150" s="24" t="inlineStr">
        <is>
          <t>npb-tie-aware-elo-v2</t>
        </is>
      </c>
      <c r="BH150" s="24" t="inlineStr">
        <is>
          <t>2026-09-10T04:35:57.653579Z</t>
        </is>
      </c>
      <c r="BI150" s="24" t="inlineStr">
        <is>
          <t>["same_event","same_team_same_day","same_league_same_day"]</t>
        </is>
      </c>
      <c r="BJ150" s="25" t="n"/>
      <c r="BK150" s="26" t="n">
        <v>-104</v>
      </c>
      <c r="BL150" s="27" t="n">
        <v>1.961538</v>
      </c>
      <c r="BM150" s="28" t="n">
        <v>0.509804</v>
      </c>
      <c r="BN150" s="28" t="n"/>
      <c r="BO150" s="28" t="n"/>
      <c r="BP150" s="25" t="n"/>
      <c r="BQ150" s="27" t="n">
        <v>1.961538</v>
      </c>
      <c r="BR150" s="28" t="n">
        <v>0.51</v>
      </c>
      <c r="BS150" s="28" t="n"/>
      <c r="BT150" s="28" t="n"/>
      <c r="BU150" s="25" t="n"/>
      <c r="BV150" s="29" t="n"/>
      <c r="BW150" s="24" t="n"/>
      <c r="BX150" s="30" t="n"/>
      <c r="BY150" s="27" t="n"/>
      <c r="BZ150" s="24" t="n"/>
      <c r="CA150" s="31" t="n"/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  <c r="CL150" s="24" t="n"/>
      <c r="CM150" s="24" t="n"/>
      <c r="CN150" s="24" t="n"/>
      <c r="CO150" s="24" t="n"/>
      <c r="CP150" s="24" t="n"/>
      <c r="CQ150" s="24" t="n"/>
      <c r="CR150" s="24" t="n"/>
      <c r="CS150" s="24" t="inlineStr">
        <is>
          <t>True</t>
        </is>
      </c>
      <c r="CT150" s="24" t="n"/>
      <c r="CU150" s="24" t="n"/>
      <c r="CV150" s="24" t="n"/>
      <c r="CW150" s="24" t="n"/>
      <c r="CX150" s="24" t="n"/>
      <c r="CY150" s="24" t="n"/>
      <c r="CZ150" s="24" t="n"/>
      <c r="DA150" s="24" t="n"/>
      <c r="DB150" s="24" t="n"/>
      <c r="DC150" s="24" t="n"/>
      <c r="DD150" s="24" t="n"/>
      <c r="DE150" s="24" t="n"/>
      <c r="DF150" s="24" t="n"/>
      <c r="DG150" s="24" t="n"/>
      <c r="DH150" s="24" t="n"/>
      <c r="DI150" s="24" t="n"/>
      <c r="DJ150" s="24" t="inlineStr">
        <is>
          <t>0.509804</t>
        </is>
      </c>
      <c r="DK150" s="24" t="n"/>
      <c r="DL150" s="24" t="n"/>
      <c r="DM150" s="24" t="n"/>
      <c r="DN150" s="24" t="n"/>
      <c r="DO150" s="24" t="n"/>
      <c r="DP150" s="24" t="n"/>
      <c r="DQ150" s="24" t="inlineStr">
        <is>
          <t>{"artifact_hash": "b07c14cfcf9ee2183513ba5f3c2e7ca1eaea1ed60af01b7cf91b3acbdde7a31f", "away_team": "Tohoku Rakuten Golden Eagles", "draw_settlement_value": 0.5, "event_id": "105514", "event_start_utc": "2026-09-10T09:00:00Z", "features": {"away_elo": 1443.716933, "base_tie_rate": 0.02403496, "home_advantage": 35.0, "home_elo": 1493.880278}, "historical_source_observation_times_verified": false, "home_team": "Chiba Lotte Marines", "inference_inputs": {"away_id": "E", "base_tie_rate": 0.02403496, "book_state": {"_games_played": null, "_last_active": null, "decay_rate": 0.0, "home_advantage": 35.0, "k": 8.0, "margin_weight": 0.0, "ratings": {"E": 1443.716933, "M": 1493.880278}}, "code_sha256": {"features/elo_ratings.py": "8525faf022a6343c452286dbfeb17dbb043744c6bdabbe448b6b371216da439b", "international_baseball.py": "f345eb917316d2e897f62c1cdd0f73153115c65da54c30c6137ad76bb7b27869"}, "home_id": "M", "tie_method": "elo_gap"}, "market_type": "moneyline", "model_version": "npb-tie-aware-elo-v2", "observed_at_utc": "2026-09-10T04:35:56.944412+00:00", "outcome_probabilities": {"away": 0.3700305039768108, "draw": 0.02581795204729398, "home": 0.6041515439758952}, "replay_scope": "Exact Elo and tie model; logged value is expected contract settlement, not outright win probability.", "schema": "international-elo-replay-v1", "settlement_values": {"away": 0.382939, "home": 0.617061}, "snapshot_hash": "65d2137403383ed9c76efc6ccb2c8859d9151fd72d7842485433b7a13536cc49", "sport": "NPB"}</t>
        </is>
      </c>
    </row>
    <row r="151" ht="36" customHeight="1">
      <c r="A151" s="24" t="inlineStr">
        <is>
          <t>c5b3de18f1fc4fbf</t>
        </is>
      </c>
      <c r="B151" s="24" t="inlineStr">
        <is>
          <t>2026-09-10T04:35:57.829262Z</t>
        </is>
      </c>
      <c r="C151" s="24" t="inlineStr">
        <is>
          <t>2026-09-10T09:00:00Z</t>
        </is>
      </c>
      <c r="D151" s="24" t="inlineStr">
        <is>
          <t>105515</t>
        </is>
      </c>
      <c r="E151" s="24" t="inlineStr">
        <is>
          <t>NPB</t>
        </is>
      </c>
      <c r="F151" s="24" t="inlineStr">
        <is>
          <t>Saitama Seibu Lions</t>
        </is>
      </c>
      <c r="G151" s="24" t="inlineStr">
        <is>
          <t>Orix Buffaloes</t>
        </is>
      </c>
      <c r="H151" s="24" t="inlineStr">
        <is>
          <t>moneyline</t>
        </is>
      </c>
      <c r="I151" s="24" t="inlineStr">
        <is>
          <t>away</t>
        </is>
      </c>
      <c r="J151" s="25" t="n"/>
      <c r="K151" s="24" t="inlineStr">
        <is>
          <t>polymarket_us</t>
        </is>
      </c>
      <c r="L151" s="26" t="n">
        <v>-117</v>
      </c>
      <c r="M151" s="27" t="n">
        <v>1.854701</v>
      </c>
      <c r="N151" s="28" t="n">
        <v>0.539171</v>
      </c>
      <c r="O151" s="28" t="n">
        <v>0.546687</v>
      </c>
      <c r="P151" s="28" t="n"/>
      <c r="Q151" s="28" t="n">
        <v>0.007516</v>
      </c>
      <c r="R151" s="26" t="n">
        <v>24</v>
      </c>
      <c r="S151" s="29" t="n">
        <v>1</v>
      </c>
      <c r="T151" s="24" t="inlineStr">
        <is>
          <t>npb-tie-aware-elo-v2</t>
        </is>
      </c>
      <c r="U151" s="24" t="inlineStr">
        <is>
          <t>settled</t>
        </is>
      </c>
      <c r="V151" s="24" t="inlineStr">
        <is>
          <t>win</t>
        </is>
      </c>
      <c r="W151" s="26" t="n">
        <v>8</v>
      </c>
      <c r="X151" s="26" t="n">
        <v>4</v>
      </c>
      <c r="Y151" s="25" t="n"/>
      <c r="Z151" s="26" t="n">
        <v>-117</v>
      </c>
      <c r="AA151" s="28" t="n">
        <v>0.54</v>
      </c>
      <c r="AB151" s="28" t="n">
        <v>0.000829</v>
      </c>
      <c r="AC151" s="30" t="n">
        <v>0.8547</v>
      </c>
      <c r="AD151" s="24" t="inlineStr">
        <is>
          <t>2026-09-10T22:02:13.299726Z</t>
        </is>
      </c>
      <c r="AE151" s="31" t="inlineStr">
        <is>
          <t>Tie-aware Elo baseline; executable ask 0.5400 (market_slug=aec-npb-obr-ssl-2026-09-10). Tie probability=0.0320.</t>
        </is>
      </c>
      <c r="AF151" s="31" t="inlineStr">
        <is>
          <t>Config-promoted international baseball baseline; gates enforced at log time.</t>
        </is>
      </c>
      <c r="AG151" s="24" t="inlineStr">
        <is>
          <t>not_applicable</t>
        </is>
      </c>
      <c r="AH151" s="24" t="n"/>
      <c r="AI151" s="31" t="n"/>
      <c r="AJ151" s="31" t="n"/>
      <c r="AK151" s="24" t="inlineStr">
        <is>
          <t>paper_call</t>
        </is>
      </c>
      <c r="AL151" s="26" t="n">
        <v>4</v>
      </c>
      <c r="AM151" s="24" t="inlineStr">
        <is>
          <t>RESEARCH_OBSERVATION</t>
        </is>
      </c>
      <c r="AN151" s="24" t="inlineStr">
        <is>
          <t>CALL</t>
        </is>
      </c>
      <c r="AO151" s="24" t="inlineStr">
        <is>
          <t>PAPER_CALL_LOW_EDGE</t>
        </is>
      </c>
      <c r="AP151" s="24" t="inlineStr">
        <is>
          <t>Saitama Seibu Lions</t>
        </is>
      </c>
      <c r="AQ151" s="24" t="inlineStr">
        <is>
          <t>Saitama Seibu Lions</t>
        </is>
      </c>
      <c r="AR151" s="24" t="inlineStr">
        <is>
          <t>Saitama Seibu Lions</t>
        </is>
      </c>
      <c r="AS151" s="24" t="inlineStr">
        <is>
          <t>Orix Buffaloes</t>
        </is>
      </c>
      <c r="AT151" s="24" t="inlineStr">
        <is>
          <t>Orix Buffaloes</t>
        </is>
      </c>
      <c r="AU151" s="24" t="inlineStr">
        <is>
          <t>Orix Buffaloes</t>
        </is>
      </c>
      <c r="AV151" s="24" t="n"/>
      <c r="AW151" s="24" t="n"/>
      <c r="AX151" s="24" t="inlineStr">
        <is>
          <t>statistical_model</t>
        </is>
      </c>
      <c r="AY151" s="24" t="n"/>
      <c r="AZ151" s="24" t="inlineStr">
        <is>
          <t>shadow_qualified</t>
        </is>
      </c>
      <c r="BA151" s="24" t="inlineStr">
        <is>
          <t>b07c14cfcf9ee2183513ba5f3c2e7ca1eaea1ed60af01b7cf91b3acbdde7a31f</t>
        </is>
      </c>
      <c r="BB151" s="24" t="inlineStr">
        <is>
          <t>tie_aware_elo</t>
        </is>
      </c>
      <c r="BC151" s="24" t="inlineStr">
        <is>
          <t>npb-tie-aware-elo-v2</t>
        </is>
      </c>
      <c r="BD151" s="24" t="inlineStr">
        <is>
          <t>b07c14cfcf9ee2183513ba5f3c2e7ca1eaea1ed60af01b7cf91b3acbdde7a31f</t>
        </is>
      </c>
      <c r="BE151" s="24" t="inlineStr">
        <is>
          <t>1</t>
        </is>
      </c>
      <c r="BF151" s="24" t="inlineStr">
        <is>
          <t>1</t>
        </is>
      </c>
      <c r="BG151" s="24" t="inlineStr">
        <is>
          <t>npb-tie-aware-elo-v2</t>
        </is>
      </c>
      <c r="BH151" s="24" t="inlineStr">
        <is>
          <t>2026-09-10T04:35:57.829145Z</t>
        </is>
      </c>
      <c r="BI151" s="24" t="inlineStr">
        <is>
          <t>["same_event","same_team_same_day","same_league_same_day"]</t>
        </is>
      </c>
      <c r="BJ151" s="25" t="n"/>
      <c r="BK151" s="26" t="n">
        <v>-117</v>
      </c>
      <c r="BL151" s="27" t="n">
        <v>1.854701</v>
      </c>
      <c r="BM151" s="28" t="n">
        <v>0.539171</v>
      </c>
      <c r="BN151" s="28" t="n"/>
      <c r="BO151" s="28" t="n"/>
      <c r="BP151" s="25" t="n"/>
      <c r="BQ151" s="27" t="n">
        <v>1.854701</v>
      </c>
      <c r="BR151" s="28" t="n">
        <v>0.54</v>
      </c>
      <c r="BS151" s="28" t="n"/>
      <c r="BT151" s="28" t="n"/>
      <c r="BU151" s="25" t="n"/>
      <c r="BV151" s="29" t="n"/>
      <c r="BW151" s="24" t="n"/>
      <c r="BX151" s="30" t="n"/>
      <c r="BY151" s="27" t="n"/>
      <c r="BZ151" s="24" t="n"/>
      <c r="CA151" s="31" t="n"/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  <c r="CL151" s="24" t="n"/>
      <c r="CM151" s="24" t="n"/>
      <c r="CN151" s="24" t="n"/>
      <c r="CO151" s="24" t="n"/>
      <c r="CP151" s="24" t="n"/>
      <c r="CQ151" s="24" t="n"/>
      <c r="CR151" s="24" t="n"/>
      <c r="CS151" s="24" t="inlineStr">
        <is>
          <t>True</t>
        </is>
      </c>
      <c r="CT151" s="24" t="n"/>
      <c r="CU151" s="24" t="n"/>
      <c r="CV151" s="24" t="n"/>
      <c r="CW151" s="24" t="n"/>
      <c r="CX151" s="24" t="n"/>
      <c r="CY151" s="24" t="n"/>
      <c r="CZ151" s="24" t="n"/>
      <c r="DA151" s="24" t="n"/>
      <c r="DB151" s="24" t="n"/>
      <c r="DC151" s="24" t="n"/>
      <c r="DD151" s="24" t="n"/>
      <c r="DE151" s="24" t="n"/>
      <c r="DF151" s="24" t="n"/>
      <c r="DG151" s="24" t="n"/>
      <c r="DH151" s="24" t="n"/>
      <c r="DI151" s="24" t="n"/>
      <c r="DJ151" s="24" t="inlineStr">
        <is>
          <t>0.539171</t>
        </is>
      </c>
      <c r="DK151" s="24" t="n"/>
      <c r="DL151" s="24" t="n"/>
      <c r="DM151" s="24" t="n"/>
      <c r="DN151" s="24" t="n"/>
      <c r="DO151" s="24" t="n"/>
      <c r="DP151" s="24" t="n"/>
      <c r="DQ151" s="24" t="inlineStr">
        <is>
          <t>{"artifact_hash": "b07c14cfcf9ee2183513ba5f3c2e7ca1eaea1ed60af01b7cf91b3acbdde7a31f", "away_team": "Saitama Seibu Lions", "draw_settlement_value": 0.5, "event_id": "105515", "event_start_utc": "2026-09-10T09:00:00Z", "features": {"away_elo": 1548.354001, "base_tie_rate": 0.02403496, "home_advantage": 35.0, "home_elo": 1479.735057}, "historical_source_observation_times_verified": false, "home_team": "Orix Buffaloes", "inference_inputs": {"away_id": "L", "base_tie_rate": 0.02403496, "book_state": {"_games_played": null, "_last_active": null, "decay_rate": 0.0, "home_advantage": 35.0, "k": 8.0, "margin_weight": 0.0, "ratings": {"B": 1479.735057, "L": 1548.354001}}, "code_sha256": {"features/elo_ratings.py": "8525faf022a6343c452286dbfeb17dbb043744c6bdabbe448b6b371216da439b", "international_baseball.py": "f345eb917316d2e897f62c1cdd0f73153115c65da54c30c6137ad76bb7b27869"}, "home_id": "B", "tie_method": "elo_gap"}, "market_type": "moneyline", "model_version": "npb-tie-aware-elo-v2", "observed_at_utc": "2026-09-10T04:35:56.944412+00:00", "outcome_probabilities": {"away": 0.5306809791383917, "draw": 0.03201229012858882, "home": 0.4373067307330194}, "replay_scope": "Exact Elo and tie model; logged value is expected contract settlement, not outright win probability.", "schema": "international-elo-replay-v1", "settlement_values": {"away": 0.546687, "home": 0.453313}, "snapshot_hash": "52409ae4c63b7734248656003153e902a1c4f87e226b0f0b91b646c893d5eeeb", "sport": "NPB"}</t>
        </is>
      </c>
    </row>
    <row r="152" ht="36" customHeight="1">
      <c r="A152" s="24" t="inlineStr">
        <is>
          <t>151aa094271e49b0</t>
        </is>
      </c>
      <c r="B152" s="24" t="inlineStr">
        <is>
          <t>2026-09-11T04:33:55.174426Z</t>
        </is>
      </c>
      <c r="C152" s="24" t="inlineStr">
        <is>
          <t>2026-09-11T09:00:00Z</t>
        </is>
      </c>
      <c r="D152" s="24" t="inlineStr">
        <is>
          <t>106737</t>
        </is>
      </c>
      <c r="E152" s="24" t="inlineStr">
        <is>
          <t>NPB</t>
        </is>
      </c>
      <c r="F152" s="24" t="inlineStr">
        <is>
          <t>Yokohama BayStars</t>
        </is>
      </c>
      <c r="G152" s="24" t="inlineStr">
        <is>
          <t>Hiroshima Carp</t>
        </is>
      </c>
      <c r="H152" s="24" t="inlineStr">
        <is>
          <t>moneyline</t>
        </is>
      </c>
      <c r="I152" s="24" t="inlineStr">
        <is>
          <t>away</t>
        </is>
      </c>
      <c r="J152" s="25" t="n"/>
      <c r="K152" s="24" t="inlineStr">
        <is>
          <t>polymarket_us</t>
        </is>
      </c>
      <c r="L152" s="26" t="n">
        <v>-117</v>
      </c>
      <c r="M152" s="27" t="n">
        <v>1.854701</v>
      </c>
      <c r="N152" s="28" t="n">
        <v>0.539171</v>
      </c>
      <c r="O152" s="28" t="n">
        <v>0.52722</v>
      </c>
      <c r="P152" s="28" t="n"/>
      <c r="Q152" s="28" t="n">
        <v>-0.011951</v>
      </c>
      <c r="R152" s="26" t="n">
        <v>14</v>
      </c>
      <c r="S152" s="29" t="n">
        <v>1</v>
      </c>
      <c r="T152" s="24" t="inlineStr">
        <is>
          <t>npb-tie-aware-elo-v2</t>
        </is>
      </c>
      <c r="U152" s="24" t="inlineStr">
        <is>
          <t>settled</t>
        </is>
      </c>
      <c r="V152" s="24" t="inlineStr">
        <is>
          <t>win</t>
        </is>
      </c>
      <c r="W152" s="26" t="n">
        <v>6</v>
      </c>
      <c r="X152" s="26" t="n">
        <v>1</v>
      </c>
      <c r="Y152" s="25" t="n"/>
      <c r="Z152" s="26" t="n">
        <v>-117</v>
      </c>
      <c r="AA152" s="28" t="n">
        <v>0.54</v>
      </c>
      <c r="AB152" s="28" t="n">
        <v>0.000829</v>
      </c>
      <c r="AC152" s="30" t="n">
        <v>0.8547</v>
      </c>
      <c r="AD152" s="24" t="inlineStr">
        <is>
          <t>2026-09-11T22:01:38.497228Z</t>
        </is>
      </c>
      <c r="AE152" s="31" t="inlineStr">
        <is>
          <t>Tie-aware Elo baseline; executable ask 0.5400 (market_slug=aec-npb-hci-ybo-2026-09-11). Tie probability=0.0337.</t>
        </is>
      </c>
      <c r="AF152" s="31" t="inlineStr">
        <is>
          <t>Config-promoted international baseball baseline; gates enforced at log time.</t>
        </is>
      </c>
      <c r="AG152" s="24" t="inlineStr">
        <is>
          <t>not_applicable</t>
        </is>
      </c>
      <c r="AH152" s="24" t="n"/>
      <c r="AI152" s="31" t="n"/>
      <c r="AJ152" s="31" t="n"/>
      <c r="AK152" s="24" t="inlineStr">
        <is>
          <t>paper_call</t>
        </is>
      </c>
      <c r="AL152" s="26" t="n">
        <v>4</v>
      </c>
      <c r="AM152" s="24" t="inlineStr">
        <is>
          <t>RESEARCH_OBSERVATION</t>
        </is>
      </c>
      <c r="AN152" s="24" t="inlineStr">
        <is>
          <t>CALL</t>
        </is>
      </c>
      <c r="AO152" s="24" t="inlineStr">
        <is>
          <t>PAPER_CALL_LOW_EDGE</t>
        </is>
      </c>
      <c r="AP152" s="24" t="inlineStr">
        <is>
          <t>Yokohama BayStars</t>
        </is>
      </c>
      <c r="AQ152" s="24" t="inlineStr">
        <is>
          <t>Yokohama BayStars</t>
        </is>
      </c>
      <c r="AR152" s="24" t="inlineStr">
        <is>
          <t>Yokohama BayStars</t>
        </is>
      </c>
      <c r="AS152" s="24" t="inlineStr">
        <is>
          <t>Hiroshima Carp</t>
        </is>
      </c>
      <c r="AT152" s="24" t="inlineStr">
        <is>
          <t>Hiroshima Carp</t>
        </is>
      </c>
      <c r="AU152" s="24" t="inlineStr">
        <is>
          <t>Hiroshima Carp</t>
        </is>
      </c>
      <c r="AV152" s="24" t="n"/>
      <c r="AW152" s="24" t="n"/>
      <c r="AX152" s="24" t="inlineStr">
        <is>
          <t>statistical_model</t>
        </is>
      </c>
      <c r="AY152" s="24" t="n"/>
      <c r="AZ152" s="24" t="inlineStr">
        <is>
          <t>shadow_qualified</t>
        </is>
      </c>
      <c r="BA152" s="24" t="inlineStr">
        <is>
          <t>c744cfa1f24e8e8d582cca8f759c57fa755b41102aa8729552d8a28033ab0d18</t>
        </is>
      </c>
      <c r="BB152" s="24" t="inlineStr">
        <is>
          <t>tie_aware_elo</t>
        </is>
      </c>
      <c r="BC152" s="24" t="inlineStr">
        <is>
          <t>npb-tie-aware-elo-v2</t>
        </is>
      </c>
      <c r="BD152" s="24" t="inlineStr">
        <is>
          <t>c744cfa1f24e8e8d582cca8f759c57fa755b41102aa8729552d8a28033ab0d18</t>
        </is>
      </c>
      <c r="BE152" s="24" t="inlineStr">
        <is>
          <t>1</t>
        </is>
      </c>
      <c r="BF152" s="24" t="inlineStr">
        <is>
          <t>1</t>
        </is>
      </c>
      <c r="BG152" s="24" t="inlineStr">
        <is>
          <t>npb-tie-aware-elo-v2</t>
        </is>
      </c>
      <c r="BH152" s="24" t="inlineStr">
        <is>
          <t>2026-09-11T04:33:55.174385Z</t>
        </is>
      </c>
      <c r="BI152" s="24" t="inlineStr">
        <is>
          <t>["same_event","same_team_same_day","same_league_same_day"]</t>
        </is>
      </c>
      <c r="BJ152" s="25" t="n"/>
      <c r="BK152" s="26" t="n">
        <v>-117</v>
      </c>
      <c r="BL152" s="27" t="n">
        <v>1.854701</v>
      </c>
      <c r="BM152" s="28" t="n">
        <v>0.539171</v>
      </c>
      <c r="BN152" s="28" t="n"/>
      <c r="BO152" s="28" t="n"/>
      <c r="BP152" s="25" t="n"/>
      <c r="BQ152" s="27" t="n">
        <v>1.854701</v>
      </c>
      <c r="BR152" s="28" t="n">
        <v>0.54</v>
      </c>
      <c r="BS152" s="28" t="n"/>
      <c r="BT152" s="28" t="n"/>
      <c r="BU152" s="25" t="n"/>
      <c r="BV152" s="29" t="n"/>
      <c r="BW152" s="24" t="n"/>
      <c r="BX152" s="30" t="n"/>
      <c r="BY152" s="27" t="n"/>
      <c r="BZ152" s="24" t="n"/>
      <c r="CA152" s="31" t="n"/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  <c r="CL152" s="24" t="n"/>
      <c r="CM152" s="24" t="n"/>
      <c r="CN152" s="24" t="n"/>
      <c r="CO152" s="24" t="n"/>
      <c r="CP152" s="24" t="n"/>
      <c r="CQ152" s="24" t="n"/>
      <c r="CR152" s="24" t="n"/>
      <c r="CS152" s="24" t="inlineStr">
        <is>
          <t>False</t>
        </is>
      </c>
      <c r="CT152" s="24" t="n"/>
      <c r="CU152" s="24" t="n"/>
      <c r="CV152" s="24" t="n"/>
      <c r="CW152" s="24" t="n"/>
      <c r="CX152" s="24" t="n"/>
      <c r="CY152" s="24" t="n"/>
      <c r="CZ152" s="24" t="n"/>
      <c r="DA152" s="24" t="n"/>
      <c r="DB152" s="24" t="n"/>
      <c r="DC152" s="24" t="n"/>
      <c r="DD152" s="24" t="n"/>
      <c r="DE152" s="24" t="n"/>
      <c r="DF152" s="24" t="n"/>
      <c r="DG152" s="24" t="n"/>
      <c r="DH152" s="24" t="n"/>
      <c r="DI152" s="24" t="n"/>
      <c r="DJ152" s="24" t="inlineStr">
        <is>
          <t>0.539171</t>
        </is>
      </c>
      <c r="DK152" s="24" t="n"/>
      <c r="DL152" s="24" t="n"/>
      <c r="DM152" s="24" t="n"/>
      <c r="DN152" s="24" t="n"/>
      <c r="DO152" s="24" t="n"/>
      <c r="DP152" s="24" t="n"/>
      <c r="DQ152" s="24" t="inlineStr">
        <is>
          <t>{"artifact_hash": "c744cfa1f24e8e8d582cca8f759c57fa755b41102aa8729552d8a28033ab0d18", "away_team": "Yokohama BayStars", "draw_settlement_value": 0.5, "event_id": "106737", "event_start_utc": "2026-09-11T09:00:00Z", "features": {"away_elo": 1497.276244, "base_tie_rate": 0.02400582, "home_advantage": 35.0, "home_elo": 1442.682033}, "historical_source_observation_times_verified": false, "home_team": "Hiroshima Carp", "inference_inputs": {"away_id": "DB", "base_tie_rate": 0.02400582, "book_state": {"_games_played": null, "_last_active": null, "decay_rate": 0.0, "home_advantage": 35.0, "k": 8.0, "margin_weight": 0.0, "ratings": {"C": 1442.682033, "DB": 1497.276244}}, "code_sha256": {"features/elo_ratings.py": "8525faf022a6343c452286dbfeb17dbb043744c6bdabbe448b6b371216da439b", "international_baseball.py": "f345eb917316d2e897f62c1cdd0f73153115c65da54c30c6137ad76bb7b27869"}, "home_id": "C", "tie_method": "elo_gap"}, "market_type": "moneyline", "model_version": "npb-tie-aware-elo-v2", "observed_at_utc": "2026-09-11T04:33:54.905384+00:00", "outcome_probabilities": {"away": 0.5103919889719589, "draw": 0.03365685448845992, "home": 0.4559511565395812}, "replay_scope": "Exact Elo and tie model; logged value is expected contract settlement, not outright win probability.", "schema": "international-elo-replay-v1", "settlement_values": {"away": 0.52722, "home": 0.47278}, "snapshot_hash": "ab80338aa09efd5dfd42646909cc7fb74f9af0412f509381d802dea1e3181b6f", "sport": "NPB"}</t>
        </is>
      </c>
    </row>
    <row r="153" ht="36" customHeight="1">
      <c r="A153" s="24" t="inlineStr">
        <is>
          <t>e32dcb8ee9cf4303</t>
        </is>
      </c>
      <c r="B153" s="24" t="inlineStr">
        <is>
          <t>2026-09-12T04:37:57.444773Z</t>
        </is>
      </c>
      <c r="C153" s="24" t="inlineStr">
        <is>
          <t>2026-09-12T05:00:00Z</t>
        </is>
      </c>
      <c r="D153" s="24" t="inlineStr">
        <is>
          <t>107638</t>
        </is>
      </c>
      <c r="E153" s="24" t="inlineStr">
        <is>
          <t>NPB</t>
        </is>
      </c>
      <c r="F153" s="24" t="inlineStr">
        <is>
          <t>Hanshin Tigers</t>
        </is>
      </c>
      <c r="G153" s="24" t="inlineStr">
        <is>
          <t>Yomiuri Giants</t>
        </is>
      </c>
      <c r="H153" s="24" t="inlineStr">
        <is>
          <t>moneyline</t>
        </is>
      </c>
      <c r="I153" s="24" t="inlineStr">
        <is>
          <t>home</t>
        </is>
      </c>
      <c r="J153" s="25" t="n"/>
      <c r="K153" s="24" t="inlineStr">
        <is>
          <t>polymarket_us</t>
        </is>
      </c>
      <c r="L153" s="26" t="n">
        <v>138</v>
      </c>
      <c r="M153" s="27" t="n">
        <v>2.38</v>
      </c>
      <c r="N153" s="28" t="n">
        <v>0.420168</v>
      </c>
      <c r="O153" s="28" t="n">
        <v>0.528187</v>
      </c>
      <c r="P153" s="28" t="n"/>
      <c r="Q153" s="28" t="n">
        <v>0.108019</v>
      </c>
      <c r="R153" s="26" t="n">
        <v>74</v>
      </c>
      <c r="S153" s="29" t="n">
        <v>1.5</v>
      </c>
      <c r="T153" s="24" t="inlineStr">
        <is>
          <t>npb-tie-aware-elo-v2</t>
        </is>
      </c>
      <c r="U153" s="24" t="inlineStr">
        <is>
          <t>settled</t>
        </is>
      </c>
      <c r="V153" s="24" t="inlineStr">
        <is>
          <t>win</t>
        </is>
      </c>
      <c r="W153" s="26" t="n">
        <v>0</v>
      </c>
      <c r="X153" s="26" t="n">
        <v>1</v>
      </c>
      <c r="Y153" s="25" t="n"/>
      <c r="Z153" s="26" t="n">
        <v>138</v>
      </c>
      <c r="AA153" s="28" t="n">
        <v>0.42</v>
      </c>
      <c r="AB153" s="28" t="n">
        <v>-0.000168</v>
      </c>
      <c r="AC153" s="30" t="n">
        <v>2.07</v>
      </c>
      <c r="AD153" s="24" t="inlineStr">
        <is>
          <t>2026-09-12T22:03:06.531133Z</t>
        </is>
      </c>
      <c r="AE153" s="31" t="inlineStr">
        <is>
          <t>Tie-aware Elo baseline; executable ask 0.4200 (market_slug=aec-npb-ygo-hta-2026-09-12). Tie probability=0.0335.</t>
        </is>
      </c>
      <c r="AF153" s="31" t="inlineStr">
        <is>
          <t>Config-promoted international baseball baseline; gates enforced at log time.</t>
        </is>
      </c>
      <c r="AG153" s="24" t="inlineStr">
        <is>
          <t>not_applicable</t>
        </is>
      </c>
      <c r="AH153" s="24" t="n"/>
      <c r="AI153" s="31" t="n"/>
      <c r="AJ153" s="31" t="n"/>
      <c r="AK153" s="24" t="inlineStr">
        <is>
          <t>paper_call</t>
        </is>
      </c>
      <c r="AL153" s="26" t="n">
        <v>4</v>
      </c>
      <c r="AM153" s="24" t="inlineStr">
        <is>
          <t>RESEARCH_OBSERVATION</t>
        </is>
      </c>
      <c r="AN153" s="24" t="inlineStr">
        <is>
          <t>CALL</t>
        </is>
      </c>
      <c r="AO153" s="24" t="inlineStr">
        <is>
          <t>PAPER_CALL_LOW_EDGE</t>
        </is>
      </c>
      <c r="AP153" s="24" t="inlineStr">
        <is>
          <t>Hanshin Tigers</t>
        </is>
      </c>
      <c r="AQ153" s="24" t="inlineStr">
        <is>
          <t>Hanshin Tigers</t>
        </is>
      </c>
      <c r="AR153" s="24" t="inlineStr">
        <is>
          <t>Hanshin Tigers</t>
        </is>
      </c>
      <c r="AS153" s="24" t="inlineStr">
        <is>
          <t>Yomiuri Giants</t>
        </is>
      </c>
      <c r="AT153" s="24" t="inlineStr">
        <is>
          <t>Yomiuri Giants</t>
        </is>
      </c>
      <c r="AU153" s="24" t="inlineStr">
        <is>
          <t>Yomiuri Giants</t>
        </is>
      </c>
      <c r="AV153" s="24" t="n"/>
      <c r="AW153" s="24" t="n"/>
      <c r="AX153" s="24" t="inlineStr">
        <is>
          <t>statistical_model</t>
        </is>
      </c>
      <c r="AY153" s="24" t="n"/>
      <c r="AZ153" s="24" t="inlineStr">
        <is>
          <t>shadow_qualified</t>
        </is>
      </c>
      <c r="BA153" s="24" t="inlineStr">
        <is>
          <t>aeeed8c4e45fb90aa03928973cdef00bb9223381ab4c6bb3ae4d2f37ce590719</t>
        </is>
      </c>
      <c r="BB153" s="24" t="inlineStr">
        <is>
          <t>tie_aware_elo</t>
        </is>
      </c>
      <c r="BC153" s="24" t="inlineStr">
        <is>
          <t>npb-tie-aware-elo-v2</t>
        </is>
      </c>
      <c r="BD153" s="24" t="inlineStr">
        <is>
          <t>aeeed8c4e45fb90aa03928973cdef00bb9223381ab4c6bb3ae4d2f37ce590719</t>
        </is>
      </c>
      <c r="BE153" s="24" t="inlineStr">
        <is>
          <t>1</t>
        </is>
      </c>
      <c r="BF153" s="24" t="inlineStr">
        <is>
          <t>1</t>
        </is>
      </c>
      <c r="BG153" s="24" t="inlineStr">
        <is>
          <t>npb-tie-aware-elo-v2</t>
        </is>
      </c>
      <c r="BH153" s="24" t="inlineStr">
        <is>
          <t>2026-09-12T04:37:56.838127Z</t>
        </is>
      </c>
      <c r="BI153" s="24" t="inlineStr">
        <is>
          <t>["same_event","same_team_same_day","same_league_same_day"]</t>
        </is>
      </c>
      <c r="BJ153" s="25" t="n"/>
      <c r="BK153" s="26" t="n">
        <v>138</v>
      </c>
      <c r="BL153" s="27" t="n">
        <v>2.38</v>
      </c>
      <c r="BM153" s="28" t="n">
        <v>0.420168</v>
      </c>
      <c r="BN153" s="28" t="n"/>
      <c r="BO153" s="28" t="n"/>
      <c r="BP153" s="25" t="n"/>
      <c r="BQ153" s="27" t="n">
        <v>2.38</v>
      </c>
      <c r="BR153" s="28" t="n">
        <v>0.42</v>
      </c>
      <c r="BS153" s="28" t="n"/>
      <c r="BT153" s="28" t="n"/>
      <c r="BU153" s="25" t="n"/>
      <c r="BV153" s="29" t="n"/>
      <c r="BW153" s="24" t="n"/>
      <c r="BX153" s="30" t="n"/>
      <c r="BY153" s="27" t="n"/>
      <c r="BZ153" s="24" t="n"/>
      <c r="CA153" s="31" t="n"/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  <c r="CL153" s="24" t="n"/>
      <c r="CM153" s="24" t="n"/>
      <c r="CN153" s="24" t="n"/>
      <c r="CO153" s="24" t="n"/>
      <c r="CP153" s="24" t="n"/>
      <c r="CQ153" s="24" t="n"/>
      <c r="CR153" s="24" t="n"/>
      <c r="CS153" s="24" t="inlineStr">
        <is>
          <t>True</t>
        </is>
      </c>
      <c r="CT153" s="24" t="n"/>
      <c r="CU153" s="24" t="n"/>
      <c r="CV153" s="24" t="n"/>
      <c r="CW153" s="24" t="n"/>
      <c r="CX153" s="24" t="n"/>
      <c r="CY153" s="24" t="n"/>
      <c r="CZ153" s="24" t="n"/>
      <c r="DA153" s="24" t="n"/>
      <c r="DB153" s="24" t="n"/>
      <c r="DC153" s="24" t="n"/>
      <c r="DD153" s="24" t="n"/>
      <c r="DE153" s="24" t="n"/>
      <c r="DF153" s="24" t="n"/>
      <c r="DG153" s="24" t="n"/>
      <c r="DH153" s="24" t="n"/>
      <c r="DI153" s="24" t="n"/>
      <c r="DJ153" s="24" t="inlineStr">
        <is>
          <t>0.420168</t>
        </is>
      </c>
      <c r="DK153" s="24" t="n"/>
      <c r="DL153" s="24" t="n"/>
      <c r="DM153" s="24" t="n"/>
      <c r="DN153" s="24" t="n"/>
      <c r="DO153" s="24" t="n"/>
      <c r="DP153" s="24" t="n"/>
      <c r="DQ153" s="24" t="inlineStr">
        <is>
          <t>{"artifact_hash": "aeeed8c4e45fb90aa03928973cdef00bb9223381ab4c6bb3ae4d2f37ce590719", "away_team": "Hanshin Tigers", "draw_settlement_value": 0.5, "event_id": "107638", "event_start_utc": "2026-09-12T05:00:00Z", "features": {"away_elo": 1530.23304, "base_tie_rate": 0.02398837, "home_advantage": 35.0, "home_elo": 1515.521969}, "historical_source_observation_times_verified": false, "home_team": "Yomiuri Giants", "inference_inputs": {"away_id": "T", "base_tie_rate": 0.02398837, "book_state": {"_games_played": null, "_last_active": null, "decay_rate": 0.0, "home_advantage": 35.0, "k": 8.0, "margin_weight": 0.0, "ratings": {"G": 1515.521969, "T": 1530.23304}}, "code_sha256": {"features/elo_ratings.py": "8525faf022a6343c452286dbfeb17dbb043744c6bdabbe448b6b371216da439b", "international_baseball.py": "f345eb917316d2e897f62c1cdd0f73153115c65da54c30c6137ad76bb7b27869"}, "home_id": "G", "tie_method": "elo_gap"}, "market_type": "moneyline", "model_version": "npb-tie-aware-elo-v2", "observed_at_utc": "2026-09-12T04:37:56.789145+00:00", "outcome_probabilities": {"away": 0.4550389543772526, "draw": 0.03354906332122137, "home": 0.511411982301526}, "replay_scope": "Exact Elo and tie model; logged value is expected contract settlement, not outright win probability.", "schema": "international-elo-replay-v1", "settlement_values": {"away": 0.471813, "home": 0.528187}, "snapshot_hash": "8ad25c1e668698687a7bb52d4cf8632a47a23d918229f70cb4e55dbc7adf783c", "sport": "NPB"}</t>
        </is>
      </c>
    </row>
    <row r="154" ht="36" customHeight="1">
      <c r="A154" s="24" t="inlineStr">
        <is>
          <t>a6e3f92473104f49</t>
        </is>
      </c>
      <c r="B154" s="24" t="inlineStr">
        <is>
          <t>2026-09-12T04:37:57.444773Z</t>
        </is>
      </c>
      <c r="C154" s="24" t="inlineStr">
        <is>
          <t>2026-09-12T05:00:00Z</t>
        </is>
      </c>
      <c r="D154" s="24" t="inlineStr">
        <is>
          <t>107639</t>
        </is>
      </c>
      <c r="E154" s="24" t="inlineStr">
        <is>
          <t>NPB</t>
        </is>
      </c>
      <c r="F154" s="24" t="inlineStr">
        <is>
          <t>Tokyo Yakult Swallows</t>
        </is>
      </c>
      <c r="G154" s="24" t="inlineStr">
        <is>
          <t>Chunichi Dragons</t>
        </is>
      </c>
      <c r="H154" s="24" t="inlineStr">
        <is>
          <t>moneyline</t>
        </is>
      </c>
      <c r="I154" s="24" t="inlineStr">
        <is>
          <t>home</t>
        </is>
      </c>
      <c r="J154" s="25" t="n"/>
      <c r="K154" s="24" t="inlineStr">
        <is>
          <t>polymarket_us</t>
        </is>
      </c>
      <c r="L154" s="26" t="n">
        <v>-138</v>
      </c>
      <c r="M154" s="27" t="n">
        <v>1.724638</v>
      </c>
      <c r="N154" s="28" t="n">
        <v>0.579832</v>
      </c>
      <c r="O154" s="28" t="n">
        <v>0.5830650000000001</v>
      </c>
      <c r="P154" s="28" t="n"/>
      <c r="Q154" s="28" t="n">
        <v>0.003233</v>
      </c>
      <c r="R154" s="26" t="n">
        <v>22</v>
      </c>
      <c r="S154" s="29" t="n">
        <v>1</v>
      </c>
      <c r="T154" s="24" t="inlineStr">
        <is>
          <t>npb-tie-aware-elo-v2</t>
        </is>
      </c>
      <c r="U154" s="24" t="inlineStr">
        <is>
          <t>settled</t>
        </is>
      </c>
      <c r="V154" s="24" t="inlineStr">
        <is>
          <t>loss</t>
        </is>
      </c>
      <c r="W154" s="26" t="n">
        <v>6</v>
      </c>
      <c r="X154" s="26" t="n">
        <v>5</v>
      </c>
      <c r="Y154" s="25" t="n"/>
      <c r="Z154" s="26" t="n">
        <v>-138</v>
      </c>
      <c r="AA154" s="28" t="n">
        <v>0.58</v>
      </c>
      <c r="AB154" s="28" t="n">
        <v>0.000168</v>
      </c>
      <c r="AC154" s="30" t="n">
        <v>-1</v>
      </c>
      <c r="AD154" s="24" t="inlineStr">
        <is>
          <t>2026-09-12T22:03:06.693868Z</t>
        </is>
      </c>
      <c r="AE154" s="31" t="inlineStr">
        <is>
          <t>Tie-aware Elo baseline; executable ask 0.5800 (market_slug=aec-npb-cdh-tys-2026-09-12). Tie probability=0.0288.</t>
        </is>
      </c>
      <c r="AF154" s="31" t="inlineStr">
        <is>
          <t>Config-promoted international baseball baseline; gates enforced at log time.</t>
        </is>
      </c>
      <c r="AG154" s="24" t="inlineStr">
        <is>
          <t>review_required</t>
        </is>
      </c>
      <c r="AH154" s="24" t="n"/>
      <c r="AI154" s="31" t="n"/>
      <c r="AJ154" s="31" t="n"/>
      <c r="AK154" s="24" t="inlineStr">
        <is>
          <t>paper_call</t>
        </is>
      </c>
      <c r="AL154" s="26" t="n">
        <v>4</v>
      </c>
      <c r="AM154" s="24" t="inlineStr">
        <is>
          <t>RESEARCH_OBSERVATION</t>
        </is>
      </c>
      <c r="AN154" s="24" t="inlineStr">
        <is>
          <t>CALL</t>
        </is>
      </c>
      <c r="AO154" s="24" t="inlineStr">
        <is>
          <t>PAPER_CALL_LOW_EDGE</t>
        </is>
      </c>
      <c r="AP154" s="24" t="inlineStr">
        <is>
          <t>Tokyo Yakult Swallows</t>
        </is>
      </c>
      <c r="AQ154" s="24" t="inlineStr">
        <is>
          <t>Tokyo Yakult Swallows</t>
        </is>
      </c>
      <c r="AR154" s="24" t="inlineStr">
        <is>
          <t>Tokyo Yakult Swallows</t>
        </is>
      </c>
      <c r="AS154" s="24" t="inlineStr">
        <is>
          <t>Chunichi Dragons</t>
        </is>
      </c>
      <c r="AT154" s="24" t="inlineStr">
        <is>
          <t>Chunichi Dragons</t>
        </is>
      </c>
      <c r="AU154" s="24" t="inlineStr">
        <is>
          <t>Chunichi Dragons</t>
        </is>
      </c>
      <c r="AV154" s="24" t="n"/>
      <c r="AW154" s="24" t="n"/>
      <c r="AX154" s="24" t="inlineStr">
        <is>
          <t>statistical_model</t>
        </is>
      </c>
      <c r="AY154" s="24" t="n"/>
      <c r="AZ154" s="24" t="inlineStr">
        <is>
          <t>shadow_qualified</t>
        </is>
      </c>
      <c r="BA154" s="24" t="inlineStr">
        <is>
          <t>aeeed8c4e45fb90aa03928973cdef00bb9223381ab4c6bb3ae4d2f37ce590719</t>
        </is>
      </c>
      <c r="BB154" s="24" t="inlineStr">
        <is>
          <t>tie_aware_elo</t>
        </is>
      </c>
      <c r="BC154" s="24" t="inlineStr">
        <is>
          <t>npb-tie-aware-elo-v2</t>
        </is>
      </c>
      <c r="BD154" s="24" t="inlineStr">
        <is>
          <t>aeeed8c4e45fb90aa03928973cdef00bb9223381ab4c6bb3ae4d2f37ce590719</t>
        </is>
      </c>
      <c r="BE154" s="24" t="inlineStr">
        <is>
          <t>1</t>
        </is>
      </c>
      <c r="BF154" s="24" t="inlineStr">
        <is>
          <t>1</t>
        </is>
      </c>
      <c r="BG154" s="24" t="inlineStr">
        <is>
          <t>npb-tie-aware-elo-v2</t>
        </is>
      </c>
      <c r="BH154" s="24" t="inlineStr">
        <is>
          <t>2026-09-12T04:37:56.943929Z</t>
        </is>
      </c>
      <c r="BI154" s="24" t="inlineStr">
        <is>
          <t>["same_event","same_team_same_day","same_league_same_day"]</t>
        </is>
      </c>
      <c r="BJ154" s="25" t="n"/>
      <c r="BK154" s="26" t="n">
        <v>-138</v>
      </c>
      <c r="BL154" s="27" t="n">
        <v>1.724638</v>
      </c>
      <c r="BM154" s="28" t="n">
        <v>0.579832</v>
      </c>
      <c r="BN154" s="28" t="n"/>
      <c r="BO154" s="28" t="n"/>
      <c r="BP154" s="25" t="n"/>
      <c r="BQ154" s="27" t="n">
        <v>1.724638</v>
      </c>
      <c r="BR154" s="28" t="n">
        <v>0.58</v>
      </c>
      <c r="BS154" s="28" t="n"/>
      <c r="BT154" s="28" t="n"/>
      <c r="BU154" s="25" t="n"/>
      <c r="BV154" s="29" t="n"/>
      <c r="BW154" s="24" t="n"/>
      <c r="BX154" s="30" t="n"/>
      <c r="BY154" s="27" t="n"/>
      <c r="BZ154" s="24" t="n"/>
      <c r="CA154" s="31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inlineStr">
        <is>
          <t>True</t>
        </is>
      </c>
      <c r="CT154" s="24" t="n"/>
      <c r="CU154" s="24" t="n"/>
      <c r="CV154" s="24" t="n"/>
      <c r="CW154" s="24" t="n"/>
      <c r="CX154" s="24" t="n"/>
      <c r="CY154" s="24" t="n"/>
      <c r="CZ154" s="24" t="n"/>
      <c r="DA154" s="24" t="n"/>
      <c r="DB154" s="24" t="n"/>
      <c r="DC154" s="24" t="n"/>
      <c r="DD154" s="24" t="n"/>
      <c r="DE154" s="24" t="n"/>
      <c r="DF154" s="24" t="n"/>
      <c r="DG154" s="24" t="n"/>
      <c r="DH154" s="24" t="n"/>
      <c r="DI154" s="24" t="n"/>
      <c r="DJ154" s="24" t="inlineStr">
        <is>
          <t>0.579832</t>
        </is>
      </c>
      <c r="DK154" s="24" t="n"/>
      <c r="DL154" s="24" t="n"/>
      <c r="DM154" s="24" t="n"/>
      <c r="DN154" s="24" t="n"/>
      <c r="DO154" s="24" t="n"/>
      <c r="DP154" s="24" t="n"/>
      <c r="DQ154" s="24" t="inlineStr">
        <is>
          <t>{"artifact_hash": "aeeed8c4e45fb90aa03928973cdef00bb9223381ab4c6bb3ae4d2f37ce590719", "away_team": "Tokyo Yakult Swallows", "draw_settlement_value": 0.5, "event_id": "107639", "event_start_utc": "2026-09-12T05:00:00Z", "features": {"away_elo": 1426.985466, "base_tie_rate": 0.02398837, "home_advantage": 35.0, "home_elo": 1452.005287}, "historical_source_observation_times_verified": false, "home_team": "Chunichi Dragons", "inference_inputs": {"away_id": "S", "base_tie_rate": 0.02398837, "book_state": {"_games_played": null, "_last_active": null, "decay_rate": 0.0, "home_advantage": 35.0, "k": 8.0, "margin_weight": 0.0, "ratings": {"D": 1452.005287, "S": 1426.985466}}, "code_sha256": {"features/elo_ratings.py": "8525faf022a6343c452286dbfeb17dbb043744c6bdabbe448b6b371216da439b", "international_baseball.py": "f345eb917316d2e897f62c1cdd0f73153115c65da54c30c6137ad76bb7b27869"}, "home_id": "D", "tie_method": "elo_gap"}, "market_type": "moneyline", "model_version": "npb-tie-aware-elo-v2", "observed_at_utc": "2026-09-12T04:37:56.789145+00:00", "outcome_probabilities": {"away": 0.40254356013040193, "draw": 0.028783666632591166, "home": 0.5686727732370069}, "replay_scope": "Exact Elo and tie model; logged value is expected contract settlement, not outright win probability.", "schema": "international-elo-replay-v1", "settlement_values": {"away": 0.416935, "home": 0.583065}, "snapshot_hash": "69fba8ae9d22978a2cd0db9be6d4ef52da6a753a4855357e4eb051b4193edbab", "sport": "NPB"}</t>
        </is>
      </c>
    </row>
    <row r="155" ht="36" customHeight="1">
      <c r="A155" s="24" t="inlineStr">
        <is>
          <t>19456408e5be4dff</t>
        </is>
      </c>
      <c r="B155" s="24" t="inlineStr">
        <is>
          <t>2026-09-12T04:37:57.444773Z</t>
        </is>
      </c>
      <c r="C155" s="24" t="inlineStr">
        <is>
          <t>2026-09-12T05:00:00Z</t>
        </is>
      </c>
      <c r="D155" s="24" t="inlineStr">
        <is>
          <t>107640</t>
        </is>
      </c>
      <c r="E155" s="24" t="inlineStr">
        <is>
          <t>NPB</t>
        </is>
      </c>
      <c r="F155" s="24" t="inlineStr">
        <is>
          <t>Yokohama BayStars</t>
        </is>
      </c>
      <c r="G155" s="24" t="inlineStr">
        <is>
          <t>Hiroshima Carp</t>
        </is>
      </c>
      <c r="H155" s="24" t="inlineStr">
        <is>
          <t>moneyline</t>
        </is>
      </c>
      <c r="I155" s="24" t="inlineStr">
        <is>
          <t>away</t>
        </is>
      </c>
      <c r="J155" s="25" t="n"/>
      <c r="K155" s="24" t="inlineStr">
        <is>
          <t>polymarket_us</t>
        </is>
      </c>
      <c r="L155" s="26" t="n">
        <v>100</v>
      </c>
      <c r="M155" s="27" t="n">
        <v>2</v>
      </c>
      <c r="N155" s="28" t="n">
        <v>0.5</v>
      </c>
      <c r="O155" s="28" t="n">
        <v>0.537708</v>
      </c>
      <c r="P155" s="28" t="n"/>
      <c r="Q155" s="28" t="n">
        <v>0.037708</v>
      </c>
      <c r="R155" s="26" t="n">
        <v>39</v>
      </c>
      <c r="S155" s="29" t="n">
        <v>1</v>
      </c>
      <c r="T155" s="24" t="inlineStr">
        <is>
          <t>npb-tie-aware-elo-v2</t>
        </is>
      </c>
      <c r="U155" s="24" t="inlineStr">
        <is>
          <t>settled</t>
        </is>
      </c>
      <c r="V155" s="24" t="inlineStr">
        <is>
          <t>win</t>
        </is>
      </c>
      <c r="W155" s="26" t="n">
        <v>7</v>
      </c>
      <c r="X155" s="26" t="n">
        <v>2</v>
      </c>
      <c r="Y155" s="25" t="n"/>
      <c r="Z155" s="26" t="n">
        <v>100</v>
      </c>
      <c r="AA155" s="28" t="n">
        <v>0.5</v>
      </c>
      <c r="AB155" s="28" t="n">
        <v>0</v>
      </c>
      <c r="AC155" s="30" t="n">
        <v>1</v>
      </c>
      <c r="AD155" s="24" t="inlineStr">
        <is>
          <t>2026-09-12T22:03:06.850231Z</t>
        </is>
      </c>
      <c r="AE155" s="31" t="inlineStr">
        <is>
          <t>Tie-aware Elo baseline; executable ask 0.5000 (market_slug=aec-npb-hci-ybo-2026-09-12). Tie probability=0.0327.</t>
        </is>
      </c>
      <c r="AF155" s="31" t="inlineStr">
        <is>
          <t>Config-promoted international baseball baseline; gates enforced at log time.</t>
        </is>
      </c>
      <c r="AG155" s="24" t="inlineStr">
        <is>
          <t>not_applicable</t>
        </is>
      </c>
      <c r="AH155" s="24" t="n"/>
      <c r="AI155" s="31" t="n"/>
      <c r="AJ155" s="31" t="n"/>
      <c r="AK155" s="24" t="inlineStr">
        <is>
          <t>paper_call</t>
        </is>
      </c>
      <c r="AL155" s="26" t="n">
        <v>4</v>
      </c>
      <c r="AM155" s="24" t="inlineStr">
        <is>
          <t>RESEARCH_OBSERVATION</t>
        </is>
      </c>
      <c r="AN155" s="24" t="inlineStr">
        <is>
          <t>CALL</t>
        </is>
      </c>
      <c r="AO155" s="24" t="inlineStr">
        <is>
          <t>PAPER_CALL_LOW_EDGE</t>
        </is>
      </c>
      <c r="AP155" s="24" t="inlineStr">
        <is>
          <t>Yokohama BayStars</t>
        </is>
      </c>
      <c r="AQ155" s="24" t="inlineStr">
        <is>
          <t>Yokohama BayStars</t>
        </is>
      </c>
      <c r="AR155" s="24" t="inlineStr">
        <is>
          <t>Yokohama BayStars</t>
        </is>
      </c>
      <c r="AS155" s="24" t="inlineStr">
        <is>
          <t>Hiroshima Carp</t>
        </is>
      </c>
      <c r="AT155" s="24" t="inlineStr">
        <is>
          <t>Hiroshima Carp</t>
        </is>
      </c>
      <c r="AU155" s="24" t="inlineStr">
        <is>
          <t>Hiroshima Carp</t>
        </is>
      </c>
      <c r="AV155" s="24" t="n"/>
      <c r="AW155" s="24" t="n"/>
      <c r="AX155" s="24" t="inlineStr">
        <is>
          <t>statistical_model</t>
        </is>
      </c>
      <c r="AY155" s="24" t="n"/>
      <c r="AZ155" s="24" t="inlineStr">
        <is>
          <t>shadow_qualified</t>
        </is>
      </c>
      <c r="BA155" s="24" t="inlineStr">
        <is>
          <t>aeeed8c4e45fb90aa03928973cdef00bb9223381ab4c6bb3ae4d2f37ce590719</t>
        </is>
      </c>
      <c r="BB155" s="24" t="inlineStr">
        <is>
          <t>tie_aware_elo</t>
        </is>
      </c>
      <c r="BC155" s="24" t="inlineStr">
        <is>
          <t>npb-tie-aware-elo-v2</t>
        </is>
      </c>
      <c r="BD155" s="24" t="inlineStr">
        <is>
          <t>aeeed8c4e45fb90aa03928973cdef00bb9223381ab4c6bb3ae4d2f37ce590719</t>
        </is>
      </c>
      <c r="BE155" s="24" t="inlineStr">
        <is>
          <t>1</t>
        </is>
      </c>
      <c r="BF155" s="24" t="inlineStr">
        <is>
          <t>1</t>
        </is>
      </c>
      <c r="BG155" s="24" t="inlineStr">
        <is>
          <t>npb-tie-aware-elo-v2</t>
        </is>
      </c>
      <c r="BH155" s="24" t="inlineStr">
        <is>
          <t>2026-09-12T04:37:57.241992Z</t>
        </is>
      </c>
      <c r="BI155" s="24" t="inlineStr">
        <is>
          <t>["same_event","same_team_same_day","same_league_same_day"]</t>
        </is>
      </c>
      <c r="BJ155" s="25" t="n"/>
      <c r="BK155" s="26" t="n">
        <v>100</v>
      </c>
      <c r="BL155" s="27" t="n">
        <v>2</v>
      </c>
      <c r="BM155" s="28" t="n">
        <v>0.5</v>
      </c>
      <c r="BN155" s="28" t="n"/>
      <c r="BO155" s="28" t="n"/>
      <c r="BP155" s="25" t="n"/>
      <c r="BQ155" s="27" t="n">
        <v>2</v>
      </c>
      <c r="BR155" s="28" t="n">
        <v>0.5</v>
      </c>
      <c r="BS155" s="28" t="n"/>
      <c r="BT155" s="28" t="n"/>
      <c r="BU155" s="25" t="n"/>
      <c r="BV155" s="29" t="n"/>
      <c r="BW155" s="24" t="n"/>
      <c r="BX155" s="30" t="n"/>
      <c r="BY155" s="27" t="n"/>
      <c r="BZ155" s="24" t="n"/>
      <c r="CA155" s="31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  <c r="CP155" s="24" t="n"/>
      <c r="CQ155" s="24" t="n"/>
      <c r="CR155" s="24" t="n"/>
      <c r="CS155" s="24" t="inlineStr">
        <is>
          <t>True</t>
        </is>
      </c>
      <c r="CT155" s="24" t="n"/>
      <c r="CU155" s="24" t="n"/>
      <c r="CV155" s="24" t="n"/>
      <c r="CW155" s="24" t="n"/>
      <c r="CX155" s="24" t="n"/>
      <c r="CY155" s="24" t="n"/>
      <c r="CZ155" s="24" t="n"/>
      <c r="DA155" s="24" t="n"/>
      <c r="DB155" s="24" t="n"/>
      <c r="DC155" s="24" t="n"/>
      <c r="DD155" s="24" t="n"/>
      <c r="DE155" s="24" t="n"/>
      <c r="DF155" s="24" t="n"/>
      <c r="DG155" s="24" t="n"/>
      <c r="DH155" s="24" t="n"/>
      <c r="DI155" s="24" t="n"/>
      <c r="DJ155" s="24" t="inlineStr">
        <is>
          <t>0.5</t>
        </is>
      </c>
      <c r="DK155" s="24" t="n"/>
      <c r="DL155" s="24" t="n"/>
      <c r="DM155" s="24" t="n"/>
      <c r="DN155" s="24" t="n"/>
      <c r="DO155" s="24" t="n"/>
      <c r="DP155" s="24" t="n"/>
      <c r="DQ155" s="24" t="inlineStr">
        <is>
          <t>{"artifact_hash": "aeeed8c4e45fb90aa03928973cdef00bb9223381ab4c6bb3ae4d2f37ce590719", "away_team": "Yokohama BayStars", "draw_settlement_value": 0.5, "event_id": "107640", "event_start_utc": "2026-09-12T05:00:00Z", "features": {"away_elo": 1501.050897, "base_tie_rate": 0.02398837, "home_advantage": 35.0, "home_elo": 1438.907381}, "historical_source_observation_times_verified": false, "home_team": "Hiroshima Carp", "inference_inputs": {"away_id": "DB", "base_tie_rate": 0.02398837, "book_state": {"_games_played": null, "_last_active": null, "decay_rate": 0.0, "home_advantage": 35.0, "k": 8.0, "margin_weight": 0.0, "ratings": {"C": 1438.907381, "DB": 1501.050897}}, "code_sha256": {"features/elo_ratings.py": "8525faf022a6343c452286dbfeb17dbb043744c6bdabbe448b6b371216da439b", "international_baseball.py": "f345eb917316d2e897f62c1cdd0f73153115c65da54c30c6137ad76bb7b27869"}, "home_id": "C", "tie_method": "elo_gap"}, "market_type": "moneyline", "model_version": "npb-tie-aware-elo-v2", "observed_at_utc": "2026-09-12T04:37:56.789145+00:00", "outcome_probabilities": {"away": 0.5213441179476296, "draw": 0.03272691147545539, "home": 0.445928970576915}, "replay_scope": "Exact Elo and tie model; logged value is expected contract settlement, not outright win probability.", "schema": "international-elo-replay-v1", "settlement_values": {"away": 0.537708, "home": 0.462292}, "snapshot_hash": "9fd6b0b376792feb2fb2f68f53dae0ae1f2ba58b9c1277e3ac185ef8f071c69f", "sport": "NPB"}</t>
        </is>
      </c>
    </row>
    <row r="156" ht="36" customHeight="1">
      <c r="A156" s="24" t="inlineStr">
        <is>
          <t>6ee0269cf9fb47aa</t>
        </is>
      </c>
      <c r="B156" s="24" t="inlineStr">
        <is>
          <t>2026-09-12T04:37:57.444773Z</t>
        </is>
      </c>
      <c r="C156" s="24" t="inlineStr">
        <is>
          <t>2026-09-12T05:00:00Z</t>
        </is>
      </c>
      <c r="D156" s="24" t="inlineStr">
        <is>
          <t>107641</t>
        </is>
      </c>
      <c r="E156" s="24" t="inlineStr">
        <is>
          <t>NPB</t>
        </is>
      </c>
      <c r="F156" s="24" t="inlineStr">
        <is>
          <t>Tohoku Rakuten Golden Eagles</t>
        </is>
      </c>
      <c r="G156" s="24" t="inlineStr">
        <is>
          <t>Orix Buffaloes</t>
        </is>
      </c>
      <c r="H156" s="24" t="inlineStr">
        <is>
          <t>moneyline</t>
        </is>
      </c>
      <c r="I156" s="24" t="inlineStr">
        <is>
          <t>home</t>
        </is>
      </c>
      <c r="J156" s="25" t="n"/>
      <c r="K156" s="24" t="inlineStr">
        <is>
          <t>polymarket_us</t>
        </is>
      </c>
      <c r="L156" s="26" t="n">
        <v>-113</v>
      </c>
      <c r="M156" s="27" t="n">
        <v>1.884956</v>
      </c>
      <c r="N156" s="28" t="n">
        <v>0.530516</v>
      </c>
      <c r="O156" s="28" t="n">
        <v>0.603299</v>
      </c>
      <c r="P156" s="28" t="n"/>
      <c r="Q156" s="28" t="n">
        <v>0.072783</v>
      </c>
      <c r="R156" s="26" t="n">
        <v>56</v>
      </c>
      <c r="S156" s="29" t="n">
        <v>1.25</v>
      </c>
      <c r="T156" s="24" t="inlineStr">
        <is>
          <t>npb-tie-aware-elo-v2</t>
        </is>
      </c>
      <c r="U156" s="24" t="inlineStr">
        <is>
          <t>settled</t>
        </is>
      </c>
      <c r="V156" s="24" t="inlineStr">
        <is>
          <t>win</t>
        </is>
      </c>
      <c r="W156" s="26" t="n">
        <v>3</v>
      </c>
      <c r="X156" s="26" t="n">
        <v>5</v>
      </c>
      <c r="Y156" s="25" t="n"/>
      <c r="Z156" s="26" t="n">
        <v>-113</v>
      </c>
      <c r="AA156" s="28" t="n">
        <v>0.53</v>
      </c>
      <c r="AB156" s="28" t="n">
        <v>-0.000516</v>
      </c>
      <c r="AC156" s="30" t="n">
        <v>1.1062</v>
      </c>
      <c r="AD156" s="24" t="inlineStr">
        <is>
          <t>2026-09-12T22:03:07.008757Z</t>
        </is>
      </c>
      <c r="AE156" s="31" t="inlineStr">
        <is>
          <t>Tie-aware Elo baseline; executable ask 0.5300 (market_slug=aec-npb-obr-trge-2026-09-12). Tie probability=0.0270.</t>
        </is>
      </c>
      <c r="AF156" s="31" t="inlineStr">
        <is>
          <t>Config-promoted international baseball baseline; gates enforced at log time.</t>
        </is>
      </c>
      <c r="AG156" s="24" t="inlineStr">
        <is>
          <t>not_applicable</t>
        </is>
      </c>
      <c r="AH156" s="24" t="n"/>
      <c r="AI156" s="31" t="n"/>
      <c r="AJ156" s="31" t="n"/>
      <c r="AK156" s="24" t="inlineStr">
        <is>
          <t>model_qualified</t>
        </is>
      </c>
      <c r="AL156" s="26" t="n">
        <v>4</v>
      </c>
      <c r="AM156" s="24" t="inlineStr">
        <is>
          <t>QUALIFIED_SHADOW_CALL</t>
        </is>
      </c>
      <c r="AN156" s="24" t="inlineStr">
        <is>
          <t>CALL</t>
        </is>
      </c>
      <c r="AO156" s="24" t="inlineStr">
        <is>
          <t>QUALIFIED</t>
        </is>
      </c>
      <c r="AP156" s="24" t="inlineStr">
        <is>
          <t>Tohoku Rakuten Golden Eagles</t>
        </is>
      </c>
      <c r="AQ156" s="24" t="inlineStr">
        <is>
          <t>Tohoku Rakuten Golden Eagles</t>
        </is>
      </c>
      <c r="AR156" s="24" t="inlineStr">
        <is>
          <t>Tohoku Rakuten Golden Eagles</t>
        </is>
      </c>
      <c r="AS156" s="24" t="inlineStr">
        <is>
          <t>Orix Buffaloes</t>
        </is>
      </c>
      <c r="AT156" s="24" t="inlineStr">
        <is>
          <t>Orix Buffaloes</t>
        </is>
      </c>
      <c r="AU156" s="24" t="inlineStr">
        <is>
          <t>Orix Buffaloes</t>
        </is>
      </c>
      <c r="AV156" s="24" t="n"/>
      <c r="AW156" s="24" t="n"/>
      <c r="AX156" s="24" t="inlineStr">
        <is>
          <t>statistical_model</t>
        </is>
      </c>
      <c r="AY156" s="24" t="n"/>
      <c r="AZ156" s="24" t="inlineStr">
        <is>
          <t>shadow_qualified</t>
        </is>
      </c>
      <c r="BA156" s="24" t="inlineStr">
        <is>
          <t>aeeed8c4e45fb90aa03928973cdef00bb9223381ab4c6bb3ae4d2f37ce590719</t>
        </is>
      </c>
      <c r="BB156" s="24" t="inlineStr">
        <is>
          <t>tie_aware_elo</t>
        </is>
      </c>
      <c r="BC156" s="24" t="inlineStr">
        <is>
          <t>npb-tie-aware-elo-v2</t>
        </is>
      </c>
      <c r="BD156" s="24" t="inlineStr">
        <is>
          <t>aeeed8c4e45fb90aa03928973cdef00bb9223381ab4c6bb3ae4d2f37ce590719</t>
        </is>
      </c>
      <c r="BE156" s="24" t="inlineStr">
        <is>
          <t>1</t>
        </is>
      </c>
      <c r="BF156" s="24" t="inlineStr">
        <is>
          <t>1</t>
        </is>
      </c>
      <c r="BG156" s="24" t="inlineStr">
        <is>
          <t>npb-tie-aware-elo-v2</t>
        </is>
      </c>
      <c r="BH156" s="24" t="inlineStr">
        <is>
          <t>2026-09-12T04:37:57.325866Z</t>
        </is>
      </c>
      <c r="BI156" s="24" t="inlineStr">
        <is>
          <t>["same_event","same_team_same_day","same_league_same_day"]</t>
        </is>
      </c>
      <c r="BJ156" s="25" t="n"/>
      <c r="BK156" s="26" t="n">
        <v>-113</v>
      </c>
      <c r="BL156" s="27" t="n">
        <v>1.884956</v>
      </c>
      <c r="BM156" s="28" t="n">
        <v>0.530516</v>
      </c>
      <c r="BN156" s="28" t="n"/>
      <c r="BO156" s="28" t="n"/>
      <c r="BP156" s="25" t="n"/>
      <c r="BQ156" s="27" t="n">
        <v>1.884956</v>
      </c>
      <c r="BR156" s="28" t="n">
        <v>0.53</v>
      </c>
      <c r="BS156" s="28" t="n"/>
      <c r="BT156" s="28" t="n"/>
      <c r="BU156" s="25" t="n"/>
      <c r="BV156" s="29" t="n"/>
      <c r="BW156" s="24" t="n"/>
      <c r="BX156" s="30" t="n"/>
      <c r="BY156" s="27" t="n"/>
      <c r="BZ156" s="24" t="n"/>
      <c r="CA156" s="31" t="n"/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  <c r="CL156" s="24" t="n"/>
      <c r="CM156" s="24" t="n"/>
      <c r="CN156" s="24" t="n"/>
      <c r="CO156" s="24" t="n"/>
      <c r="CP156" s="24" t="n"/>
      <c r="CQ156" s="24" t="n"/>
      <c r="CR156" s="24" t="n"/>
      <c r="CS156" s="24" t="inlineStr">
        <is>
          <t>True</t>
        </is>
      </c>
      <c r="CT156" s="24" t="n"/>
      <c r="CU156" s="24" t="n"/>
      <c r="CV156" s="24" t="n"/>
      <c r="CW156" s="24" t="n"/>
      <c r="CX156" s="24" t="n"/>
      <c r="CY156" s="24" t="n"/>
      <c r="CZ156" s="24" t="n"/>
      <c r="DA156" s="24" t="n"/>
      <c r="DB156" s="24" t="n"/>
      <c r="DC156" s="24" t="n"/>
      <c r="DD156" s="24" t="n"/>
      <c r="DE156" s="24" t="n"/>
      <c r="DF156" s="24" t="n"/>
      <c r="DG156" s="24" t="n"/>
      <c r="DH156" s="24" t="n"/>
      <c r="DI156" s="24" t="n"/>
      <c r="DJ156" s="24" t="inlineStr">
        <is>
          <t>0.530516</t>
        </is>
      </c>
      <c r="DK156" s="24" t="n"/>
      <c r="DL156" s="24" t="n"/>
      <c r="DM156" s="24" t="n"/>
      <c r="DN156" s="24" t="n"/>
      <c r="DO156" s="24" t="n"/>
      <c r="DP156" s="24" t="n"/>
      <c r="DQ156" s="24" t="inlineStr">
        <is>
          <t>{"artifact_hash": "aeeed8c4e45fb90aa03928973cdef00bb9223381ab4c6bb3ae4d2f37ce590719", "away_team": "Tohoku Rakuten Golden Eagles", "draw_settlement_value": 0.5, "event_id": "107641", "event_start_utc": "2026-09-12T05:00:00Z", "features": {"away_elo": 1440.678236, "base_tie_rate": 0.02398837, "home_advantage": 35.0, "home_elo": 1480.589023}, "historical_source_observation_times_verified": false, "home_team": "Orix Buffaloes", "inference_inputs": {"away_id": "E", "base_tie_rate": 0.02398837, "book_state": {"_games_played": null, "_last_active": null, "decay_rate": 0.0, "home_advantage": 35.0, "k": 8.0, "margin_weight": 0.0, "ratings": {"B": 1480.589023, "E": 1440.678236}}, "code_sha256": {"features/elo_ratings.py": "8525faf022a6343c452286dbfeb17dbb043744c6bdabbe448b6b371216da439b", "international_baseball.py": "f345eb917316d2e897f62c1cdd0f73153115c65da54c30c6137ad76bb7b27869"}, "home_id": "B", "tie_method": "elo_gap"}, "market_type": "moneyline", "model_version": "npb-tie-aware-elo-v2", "observed_at_utc": "2026-09-12T04:37:56.789145+00:00", "outcome_probabilities": {"away": 0.38320216898129056, "draw": 0.026997616622264044, "home": 0.5898002143964454}, "replay_scope": "Exact Elo and tie model; logged value is expected contract settlement, not outright win probability.", "schema": "international-elo-replay-v1", "settlement_values": {"away": 0.396701, "home": 0.603299}, "snapshot_hash": "9d53bcce29f41807b9246bab75f2cc41f6e688eafa7568ce8c7014823a2fba48", "sport": "NPB"}</t>
        </is>
      </c>
    </row>
    <row r="157" ht="36" customHeight="1">
      <c r="A157" s="24" t="inlineStr">
        <is>
          <t>b07fa4a028344d78</t>
        </is>
      </c>
      <c r="B157" s="24" t="inlineStr">
        <is>
          <t>2026-09-12T04:37:57.444773Z</t>
        </is>
      </c>
      <c r="C157" s="24" t="inlineStr">
        <is>
          <t>2026-09-12T05:00:00Z</t>
        </is>
      </c>
      <c r="D157" s="24" t="inlineStr">
        <is>
          <t>107642</t>
        </is>
      </c>
      <c r="E157" s="24" t="inlineStr">
        <is>
          <t>NPB</t>
        </is>
      </c>
      <c r="F157" s="24" t="inlineStr">
        <is>
          <t>Chiba Lotte Marines</t>
        </is>
      </c>
      <c r="G157" s="24" t="inlineStr">
        <is>
          <t>Fukuoka SoftBank Hawks</t>
        </is>
      </c>
      <c r="H157" s="24" t="inlineStr">
        <is>
          <t>moneyline</t>
        </is>
      </c>
      <c r="I157" s="24" t="inlineStr">
        <is>
          <t>home</t>
        </is>
      </c>
      <c r="J157" s="25" t="n"/>
      <c r="K157" s="24" t="inlineStr">
        <is>
          <t>polymarket_us</t>
        </is>
      </c>
      <c r="L157" s="26" t="n">
        <v>-194</v>
      </c>
      <c r="M157" s="27" t="n">
        <v>1.515464</v>
      </c>
      <c r="N157" s="28" t="n">
        <v>0.659864</v>
      </c>
      <c r="O157" s="28" t="n">
        <v>0.699439</v>
      </c>
      <c r="P157" s="28" t="n"/>
      <c r="Q157" s="28" t="n">
        <v>0.039575</v>
      </c>
      <c r="R157" s="26" t="n">
        <v>40</v>
      </c>
      <c r="S157" s="29" t="n">
        <v>1</v>
      </c>
      <c r="T157" s="24" t="inlineStr">
        <is>
          <t>npb-tie-aware-elo-v2</t>
        </is>
      </c>
      <c r="U157" s="24" t="inlineStr">
        <is>
          <t>settled</t>
        </is>
      </c>
      <c r="V157" s="24" t="inlineStr">
        <is>
          <t>win</t>
        </is>
      </c>
      <c r="W157" s="26" t="n">
        <v>4</v>
      </c>
      <c r="X157" s="26" t="n">
        <v>5</v>
      </c>
      <c r="Y157" s="25" t="n"/>
      <c r="Z157" s="26" t="n">
        <v>-194</v>
      </c>
      <c r="AA157" s="28" t="n">
        <v>0.66</v>
      </c>
      <c r="AB157" s="28" t="n">
        <v>0.000136</v>
      </c>
      <c r="AC157" s="30" t="n">
        <v>0.5155</v>
      </c>
      <c r="AD157" s="24" t="inlineStr">
        <is>
          <t>2026-09-12T22:03:07.253036Z</t>
        </is>
      </c>
      <c r="AE157" s="31" t="inlineStr">
        <is>
          <t>Tie-aware Elo baseline; executable ask 0.6600 (market_slug=aec-npb-fsh-clm-2026-09-12). Tie probability=0.0180.</t>
        </is>
      </c>
      <c r="AF157" s="31" t="inlineStr">
        <is>
          <t>Config-promoted international baseball baseline; gates enforced at log time.</t>
        </is>
      </c>
      <c r="AG157" s="24" t="inlineStr">
        <is>
          <t>not_applicable</t>
        </is>
      </c>
      <c r="AH157" s="24" t="n"/>
      <c r="AI157" s="31" t="n"/>
      <c r="AJ157" s="31" t="n"/>
      <c r="AK157" s="24" t="inlineStr">
        <is>
          <t>model_qualified</t>
        </is>
      </c>
      <c r="AL157" s="26" t="n">
        <v>4</v>
      </c>
      <c r="AM157" s="24" t="inlineStr">
        <is>
          <t>QUALIFIED_SHADOW_CALL</t>
        </is>
      </c>
      <c r="AN157" s="24" t="inlineStr">
        <is>
          <t>CALL</t>
        </is>
      </c>
      <c r="AO157" s="24" t="inlineStr">
        <is>
          <t>QUALIFIED</t>
        </is>
      </c>
      <c r="AP157" s="24" t="inlineStr">
        <is>
          <t>Chiba Lotte Marines</t>
        </is>
      </c>
      <c r="AQ157" s="24" t="inlineStr">
        <is>
          <t>Chiba Lotte Marines</t>
        </is>
      </c>
      <c r="AR157" s="24" t="inlineStr">
        <is>
          <t>Chiba Lotte Marines</t>
        </is>
      </c>
      <c r="AS157" s="24" t="inlineStr">
        <is>
          <t>Fukuoka SoftBank Hawks</t>
        </is>
      </c>
      <c r="AT157" s="24" t="inlineStr">
        <is>
          <t>Fukuoka SoftBank Hawks</t>
        </is>
      </c>
      <c r="AU157" s="24" t="inlineStr">
        <is>
          <t>Fukuoka SoftBank Hawks</t>
        </is>
      </c>
      <c r="AV157" s="24" t="n"/>
      <c r="AW157" s="24" t="n"/>
      <c r="AX157" s="24" t="inlineStr">
        <is>
          <t>statistical_model</t>
        </is>
      </c>
      <c r="AY157" s="24" t="n"/>
      <c r="AZ157" s="24" t="inlineStr">
        <is>
          <t>shadow_qualified</t>
        </is>
      </c>
      <c r="BA157" s="24" t="inlineStr">
        <is>
          <t>aeeed8c4e45fb90aa03928973cdef00bb9223381ab4c6bb3ae4d2f37ce590719</t>
        </is>
      </c>
      <c r="BB157" s="24" t="inlineStr">
        <is>
          <t>tie_aware_elo</t>
        </is>
      </c>
      <c r="BC157" s="24" t="inlineStr">
        <is>
          <t>npb-tie-aware-elo-v2</t>
        </is>
      </c>
      <c r="BD157" s="24" t="inlineStr">
        <is>
          <t>aeeed8c4e45fb90aa03928973cdef00bb9223381ab4c6bb3ae4d2f37ce590719</t>
        </is>
      </c>
      <c r="BE157" s="24" t="inlineStr">
        <is>
          <t>1</t>
        </is>
      </c>
      <c r="BF157" s="24" t="inlineStr">
        <is>
          <t>1</t>
        </is>
      </c>
      <c r="BG157" s="24" t="inlineStr">
        <is>
          <t>npb-tie-aware-elo-v2</t>
        </is>
      </c>
      <c r="BH157" s="24" t="inlineStr">
        <is>
          <t>2026-09-12T04:37:57.371528Z</t>
        </is>
      </c>
      <c r="BI157" s="24" t="inlineStr">
        <is>
          <t>["same_event","same_team_same_day","same_league_same_day"]</t>
        </is>
      </c>
      <c r="BJ157" s="25" t="n"/>
      <c r="BK157" s="26" t="n">
        <v>-194</v>
      </c>
      <c r="BL157" s="27" t="n">
        <v>1.515464</v>
      </c>
      <c r="BM157" s="28" t="n">
        <v>0.659864</v>
      </c>
      <c r="BN157" s="28" t="n"/>
      <c r="BO157" s="28" t="n"/>
      <c r="BP157" s="25" t="n"/>
      <c r="BQ157" s="27" t="n">
        <v>1.515464</v>
      </c>
      <c r="BR157" s="28" t="n">
        <v>0.66</v>
      </c>
      <c r="BS157" s="28" t="n"/>
      <c r="BT157" s="28" t="n"/>
      <c r="BU157" s="25" t="n"/>
      <c r="BV157" s="29" t="n"/>
      <c r="BW157" s="24" t="n"/>
      <c r="BX157" s="30" t="n"/>
      <c r="BY157" s="27" t="n"/>
      <c r="BZ157" s="24" t="n"/>
      <c r="CA157" s="31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inlineStr">
        <is>
          <t>True</t>
        </is>
      </c>
      <c r="CT157" s="24" t="n"/>
      <c r="CU157" s="24" t="n"/>
      <c r="CV157" s="24" t="n"/>
      <c r="CW157" s="24" t="n"/>
      <c r="CX157" s="24" t="n"/>
      <c r="CY157" s="24" t="n"/>
      <c r="CZ157" s="24" t="n"/>
      <c r="DA157" s="24" t="n"/>
      <c r="DB157" s="24" t="n"/>
      <c r="DC157" s="24" t="n"/>
      <c r="DD157" s="24" t="n"/>
      <c r="DE157" s="24" t="n"/>
      <c r="DF157" s="24" t="n"/>
      <c r="DG157" s="24" t="n"/>
      <c r="DH157" s="24" t="n"/>
      <c r="DI157" s="24" t="n"/>
      <c r="DJ157" s="24" t="inlineStr">
        <is>
          <t>0.659864</t>
        </is>
      </c>
      <c r="DK157" s="24" t="n"/>
      <c r="DL157" s="24" t="n"/>
      <c r="DM157" s="24" t="n"/>
      <c r="DN157" s="24" t="n"/>
      <c r="DO157" s="24" t="n"/>
      <c r="DP157" s="24" t="n"/>
      <c r="DQ157" s="24" t="inlineStr">
        <is>
          <t>{"artifact_hash": "aeeed8c4e45fb90aa03928973cdef00bb9223381ab4c6bb3ae4d2f37ce590719", "away_team": "Chiba Lotte Marines", "draw_settlement_value": 0.5, "event_id": "107642", "event_start_utc": "2026-09-12T05:00:00Z", "features": {"away_elo": 1494.496935, "base_tie_rate": 0.02398837, "home_advantage": 35.0, "home_elo": 1609.258626}, "historical_source_observation_times_verified": false, "home_team": "Fukuoka SoftBank Hawks", "inference_inputs": {"away_id": "M", "base_tie_rate": 0.02398837, "book_state": {"_games_played": null, "_last_active": null, "decay_rate": 0.0, "home_advantage": 35.0, "k": 8.0, "margin_weight": 0.0, "ratings": {"H": 1609.258626, "M": 1494.496935}}, "code_sha256": {"features/elo_ratings.py": "8525faf022a6343c452286dbfeb17dbb043744c6bdabbe448b6b371216da439b", "international_baseball.py": "f345eb917316d2e897f62c1cdd0f73153115c65da54c30c6137ad76bb7b27869"}, "home_id": "H", "tie_method": "elo_gap"}, "market_type": "moneyline", "model_version": "npb-tie-aware-elo-v2", "observed_at_utc": "2026-09-12T04:37:56.789145+00:00", "outcome_probabilities": {"away": 0.291551164943989, "draw": 0.01801986072233163, "home": 0.6904289743336793}, "replay_scope": "Exact Elo and tie model; logged value is expected contract settlement, not outright win probability.", "schema": "international-elo-replay-v1", "settlement_values": {"away": 0.300561, "home": 0.699439}, "snapshot_hash": "7f0f6d5b293bcc5ffd4a0ae1a3990ea5fb637b057c83d4994f2c54fde318db9a", "sport": "NPB"}</t>
        </is>
      </c>
    </row>
    <row r="158" ht="36" customHeight="1">
      <c r="A158" s="24" t="inlineStr">
        <is>
          <t>4eac999e846b44f2</t>
        </is>
      </c>
      <c r="B158" s="24" t="inlineStr">
        <is>
          <t>2026-09-12T04:37:57.444773Z</t>
        </is>
      </c>
      <c r="C158" s="24" t="inlineStr">
        <is>
          <t>2026-09-12T09:00:00Z</t>
        </is>
      </c>
      <c r="D158" s="24" t="inlineStr">
        <is>
          <t>107849</t>
        </is>
      </c>
      <c r="E158" s="24" t="inlineStr">
        <is>
          <t>NPB</t>
        </is>
      </c>
      <c r="F158" s="24" t="inlineStr">
        <is>
          <t>Nippon Ham Fighters</t>
        </is>
      </c>
      <c r="G158" s="24" t="inlineStr">
        <is>
          <t>Saitama Seibu Lions</t>
        </is>
      </c>
      <c r="H158" s="24" t="inlineStr">
        <is>
          <t>moneyline</t>
        </is>
      </c>
      <c r="I158" s="24" t="inlineStr">
        <is>
          <t>home</t>
        </is>
      </c>
      <c r="J158" s="25" t="n"/>
      <c r="K158" s="24" t="inlineStr">
        <is>
          <t>polymarket_us</t>
        </is>
      </c>
      <c r="L158" s="26" t="n">
        <v>-108</v>
      </c>
      <c r="M158" s="27" t="n">
        <v>1.925926</v>
      </c>
      <c r="N158" s="28" t="n">
        <v>0.519231</v>
      </c>
      <c r="O158" s="28" t="n">
        <v>0.527406</v>
      </c>
      <c r="P158" s="28" t="n"/>
      <c r="Q158" s="28" t="n">
        <v>0.008175</v>
      </c>
      <c r="R158" s="26" t="n">
        <v>24</v>
      </c>
      <c r="S158" s="29" t="n">
        <v>1</v>
      </c>
      <c r="T158" s="24" t="inlineStr">
        <is>
          <t>npb-tie-aware-elo-v2</t>
        </is>
      </c>
      <c r="U158" s="24" t="inlineStr">
        <is>
          <t>settled</t>
        </is>
      </c>
      <c r="V158" s="24" t="inlineStr">
        <is>
          <t>push</t>
        </is>
      </c>
      <c r="W158" s="26" t="n">
        <v>3</v>
      </c>
      <c r="X158" s="26" t="n">
        <v>3</v>
      </c>
      <c r="Y158" s="25" t="n"/>
      <c r="Z158" s="26" t="n">
        <v>-108</v>
      </c>
      <c r="AA158" s="28" t="n">
        <v>0.52</v>
      </c>
      <c r="AB158" s="28" t="n">
        <v>0.000769</v>
      </c>
      <c r="AC158" s="30" t="n">
        <v>-0.037</v>
      </c>
      <c r="AD158" s="24" t="inlineStr">
        <is>
          <t>2026-09-12T22:03:07.412892Z</t>
        </is>
      </c>
      <c r="AE158" s="31" t="inlineStr">
        <is>
          <t>Tie-aware Elo baseline; executable ask 0.5200 (market_slug=aec-npb-ssl-nhf-2026-09-12). Tie probability=0.0336.</t>
        </is>
      </c>
      <c r="AF158" s="31" t="inlineStr">
        <is>
          <t>Config-promoted international baseball baseline; gates enforced at log time.</t>
        </is>
      </c>
      <c r="AG158" s="24" t="inlineStr">
        <is>
          <t>not_applicable</t>
        </is>
      </c>
      <c r="AH158" s="24" t="n"/>
      <c r="AI158" s="31" t="n"/>
      <c r="AJ158" s="31" t="n"/>
      <c r="AK158" s="24" t="inlineStr">
        <is>
          <t>paper_call</t>
        </is>
      </c>
      <c r="AL158" s="26" t="n">
        <v>4</v>
      </c>
      <c r="AM158" s="24" t="inlineStr">
        <is>
          <t>RESEARCH_OBSERVATION</t>
        </is>
      </c>
      <c r="AN158" s="24" t="inlineStr">
        <is>
          <t>CALL</t>
        </is>
      </c>
      <c r="AO158" s="24" t="inlineStr">
        <is>
          <t>PAPER_CALL_LOW_EDGE</t>
        </is>
      </c>
      <c r="AP158" s="24" t="inlineStr">
        <is>
          <t>Nippon Ham Fighters</t>
        </is>
      </c>
      <c r="AQ158" s="24" t="inlineStr">
        <is>
          <t>Nippon Ham Fighters</t>
        </is>
      </c>
      <c r="AR158" s="24" t="inlineStr">
        <is>
          <t>Nippon Ham Fighters</t>
        </is>
      </c>
      <c r="AS158" s="24" t="inlineStr">
        <is>
          <t>Saitama Seibu Lions</t>
        </is>
      </c>
      <c r="AT158" s="24" t="inlineStr">
        <is>
          <t>Saitama Seibu Lions</t>
        </is>
      </c>
      <c r="AU158" s="24" t="inlineStr">
        <is>
          <t>Saitama Seibu Lions</t>
        </is>
      </c>
      <c r="AV158" s="24" t="n"/>
      <c r="AW158" s="24" t="n"/>
      <c r="AX158" s="24" t="inlineStr">
        <is>
          <t>statistical_model</t>
        </is>
      </c>
      <c r="AY158" s="24" t="n"/>
      <c r="AZ158" s="24" t="inlineStr">
        <is>
          <t>shadow_qualified</t>
        </is>
      </c>
      <c r="BA158" s="24" t="inlineStr">
        <is>
          <t>aeeed8c4e45fb90aa03928973cdef00bb9223381ab4c6bb3ae4d2f37ce590719</t>
        </is>
      </c>
      <c r="BB158" s="24" t="inlineStr">
        <is>
          <t>tie_aware_elo</t>
        </is>
      </c>
      <c r="BC158" s="24" t="inlineStr">
        <is>
          <t>npb-tie-aware-elo-v2</t>
        </is>
      </c>
      <c r="BD158" s="24" t="inlineStr">
        <is>
          <t>aeeed8c4e45fb90aa03928973cdef00bb9223381ab4c6bb3ae4d2f37ce590719</t>
        </is>
      </c>
      <c r="BE158" s="24" t="inlineStr">
        <is>
          <t>1</t>
        </is>
      </c>
      <c r="BF158" s="24" t="inlineStr">
        <is>
          <t>1</t>
        </is>
      </c>
      <c r="BG158" s="24" t="inlineStr">
        <is>
          <t>npb-tie-aware-elo-v2</t>
        </is>
      </c>
      <c r="BH158" s="24" t="inlineStr">
        <is>
          <t>2026-09-12T04:37:57.444729Z</t>
        </is>
      </c>
      <c r="BI158" s="24" t="inlineStr">
        <is>
          <t>["same_event","same_team_same_day","same_league_same_day"]</t>
        </is>
      </c>
      <c r="BJ158" s="25" t="n"/>
      <c r="BK158" s="26" t="n">
        <v>-108</v>
      </c>
      <c r="BL158" s="27" t="n">
        <v>1.925926</v>
      </c>
      <c r="BM158" s="28" t="n">
        <v>0.519231</v>
      </c>
      <c r="BN158" s="28" t="n"/>
      <c r="BO158" s="28" t="n"/>
      <c r="BP158" s="25" t="n"/>
      <c r="BQ158" s="27" t="n">
        <v>1.925926</v>
      </c>
      <c r="BR158" s="28" t="n">
        <v>0.52</v>
      </c>
      <c r="BS158" s="28" t="n"/>
      <c r="BT158" s="28" t="n"/>
      <c r="BU158" s="25" t="n"/>
      <c r="BV158" s="29" t="n"/>
      <c r="BW158" s="24" t="n"/>
      <c r="BX158" s="30" t="n"/>
      <c r="BY158" s="27" t="n"/>
      <c r="BZ158" s="24" t="n"/>
      <c r="CA158" s="31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inlineStr">
        <is>
          <t>True</t>
        </is>
      </c>
      <c r="CT158" s="24" t="n"/>
      <c r="CU158" s="24" t="n"/>
      <c r="CV158" s="24" t="n"/>
      <c r="CW158" s="24" t="n"/>
      <c r="CX158" s="24" t="n"/>
      <c r="CY158" s="24" t="n"/>
      <c r="CZ158" s="24" t="n"/>
      <c r="DA158" s="24" t="n"/>
      <c r="DB158" s="24" t="n"/>
      <c r="DC158" s="24" t="n"/>
      <c r="DD158" s="24" t="n"/>
      <c r="DE158" s="24" t="n"/>
      <c r="DF158" s="24" t="n"/>
      <c r="DG158" s="24" t="n"/>
      <c r="DH158" s="24" t="n"/>
      <c r="DI158" s="24" t="n"/>
      <c r="DJ158" s="24" t="inlineStr">
        <is>
          <t>0.519231</t>
        </is>
      </c>
      <c r="DK158" s="24" t="n"/>
      <c r="DL158" s="24" t="n"/>
      <c r="DM158" s="24" t="n"/>
      <c r="DN158" s="24" t="n"/>
      <c r="DO158" s="24" t="n"/>
      <c r="DP158" s="24" t="n"/>
      <c r="DQ158" s="24" t="inlineStr">
        <is>
          <t>{"artifact_hash": "aeeed8c4e45fb90aa03928973cdef00bb9223381ab4c6bb3ae4d2f37ce590719", "away_team": "Nippon Ham Fighters", "draw_settlement_value": 0.5, "event_id": "107849", "event_start_utc": "2026-09-12T09:00:00Z", "features": {"away_elo": 1562.773105, "base_tie_rate": 0.02398837, "home_advantage": 35.0, "home_elo": 1547.500036}, "historical_source_observation_times_verified": false, "home_team": "Saitama Seibu Lions", "inference_inputs": {"away_id": "F", "base_tie_rate": 0.02398837, "book_state": {"_games_played": null, "_last_active": null, "decay_rate": 0.0, "home_advantage": 35.0, "k": 8.0, "margin_weight": 0.0, "ratings": {"F": 1562.773105, "L": 1547.500036}}, "code_sha256": {"features/elo_ratings.py": "8525faf022a6343c452286dbfeb17dbb043744c6bdabbe448b6b371216da439b", "international_baseball.py": "f345eb917316d2e897f62c1cdd0f73153115c65da54c30c6137ad76bb7b27869"}, "home_id": "L", "tie_method": "elo_gap"}, "market_type": "moneyline", "model_version": "npb-tie-aware-elo-v2", "observed_at_utc": "2026-09-12T04:37:56.789145+00:00", "outcome_probabilities": {"away": 0.4557862221124738, "draw": 0.03361647040103766, "home": 0.5105973074864885}, "replay_scope": "Exact Elo and tie model; logged value is expected contract settlement, not outright win probability.", "schema": "international-elo-replay-v1", "settlement_values": {"away": 0.472594, "home": 0.527406}, "snapshot_hash": "633a5337d61e9f5f4f17612e3ae6a6d438bb7743198b9b69b5ceba4402343fba", "sport": "NPB"}</t>
        </is>
      </c>
    </row>
    <row r="159" ht="36" customHeight="1">
      <c r="A159" s="24" t="inlineStr">
        <is>
          <t>1c5c14ccd21343c6</t>
        </is>
      </c>
      <c r="B159" s="24" t="inlineStr">
        <is>
          <t>2026-09-12T22:42:22.924318Z</t>
        </is>
      </c>
      <c r="C159" s="24" t="inlineStr">
        <is>
          <t>2026-09-13T04:30:00Z</t>
        </is>
      </c>
      <c r="D159" s="24" t="inlineStr">
        <is>
          <t>108671</t>
        </is>
      </c>
      <c r="E159" s="24" t="inlineStr">
        <is>
          <t>NPB</t>
        </is>
      </c>
      <c r="F159" s="24" t="inlineStr">
        <is>
          <t>Chiba Lotte Marines</t>
        </is>
      </c>
      <c r="G159" s="24" t="inlineStr">
        <is>
          <t>Fukuoka SoftBank Hawks</t>
        </is>
      </c>
      <c r="H159" s="24" t="inlineStr">
        <is>
          <t>moneyline</t>
        </is>
      </c>
      <c r="I159" s="24" t="inlineStr">
        <is>
          <t>home</t>
        </is>
      </c>
      <c r="J159" s="25" t="n"/>
      <c r="K159" s="24" t="inlineStr">
        <is>
          <t>polymarket_us</t>
        </is>
      </c>
      <c r="L159" s="26" t="n">
        <v>-203</v>
      </c>
      <c r="M159" s="27" t="n">
        <v>1.492611</v>
      </c>
      <c r="N159" s="28" t="n">
        <v>0.669967</v>
      </c>
      <c r="O159" s="28" t="n">
        <v>0.705101</v>
      </c>
      <c r="P159" s="28" t="n"/>
      <c r="Q159" s="28" t="n">
        <v>0.035134</v>
      </c>
      <c r="R159" s="26" t="n">
        <v>38</v>
      </c>
      <c r="S159" s="29" t="n">
        <v>1</v>
      </c>
      <c r="T159" s="24" t="inlineStr">
        <is>
          <t>npb-tie-aware-elo-v2</t>
        </is>
      </c>
      <c r="U159" s="24" t="inlineStr">
        <is>
          <t>settled</t>
        </is>
      </c>
      <c r="V159" s="24" t="inlineStr">
        <is>
          <t>win</t>
        </is>
      </c>
      <c r="W159" s="26" t="n">
        <v>4</v>
      </c>
      <c r="X159" s="26" t="n">
        <v>7</v>
      </c>
      <c r="Y159" s="25" t="n"/>
      <c r="Z159" s="26" t="n"/>
      <c r="AA159" s="28" t="n"/>
      <c r="AB159" s="28" t="n"/>
      <c r="AC159" s="30" t="n">
        <v>0.4926</v>
      </c>
      <c r="AD159" s="24" t="inlineStr">
        <is>
          <t>2026-09-13T22:02:38.246038Z</t>
        </is>
      </c>
      <c r="AE159" s="31" t="inlineStr">
        <is>
          <t>Tie-aware Elo baseline; executable ask 0.6700 (market_slug=aec-npb-fsh-clm-2026-09-13). Tie probability=0.0176.</t>
        </is>
      </c>
      <c r="AF159" s="31" t="inlineStr">
        <is>
          <t>Config-promoted international baseball baseline; gates enforced at log time.</t>
        </is>
      </c>
      <c r="AG159" s="24" t="inlineStr">
        <is>
          <t>not_applicable</t>
        </is>
      </c>
      <c r="AH159" s="24" t="n"/>
      <c r="AI159" s="31" t="n"/>
      <c r="AJ159" s="31" t="n"/>
      <c r="AK159" s="24" t="inlineStr">
        <is>
          <t>model_qualified</t>
        </is>
      </c>
      <c r="AL159" s="26" t="n">
        <v>4</v>
      </c>
      <c r="AM159" s="24" t="inlineStr">
        <is>
          <t>QUALIFIED_SHADOW_CALL</t>
        </is>
      </c>
      <c r="AN159" s="24" t="inlineStr">
        <is>
          <t>CALL</t>
        </is>
      </c>
      <c r="AO159" s="24" t="inlineStr">
        <is>
          <t>QUALIFIED</t>
        </is>
      </c>
      <c r="AP159" s="24" t="inlineStr">
        <is>
          <t>Chiba Lotte Marines</t>
        </is>
      </c>
      <c r="AQ159" s="24" t="inlineStr">
        <is>
          <t>Chiba Lotte Marines</t>
        </is>
      </c>
      <c r="AR159" s="24" t="inlineStr">
        <is>
          <t>Chiba Lotte Marines</t>
        </is>
      </c>
      <c r="AS159" s="24" t="inlineStr">
        <is>
          <t>Fukuoka SoftBank Hawks</t>
        </is>
      </c>
      <c r="AT159" s="24" t="inlineStr">
        <is>
          <t>Fukuoka SoftBank Hawks</t>
        </is>
      </c>
      <c r="AU159" s="24" t="inlineStr">
        <is>
          <t>Fukuoka SoftBank Hawks</t>
        </is>
      </c>
      <c r="AV159" s="24" t="n"/>
      <c r="AW159" s="24" t="n"/>
      <c r="AX159" s="24" t="inlineStr">
        <is>
          <t>statistical_model</t>
        </is>
      </c>
      <c r="AY159" s="24" t="n"/>
      <c r="AZ159" s="24" t="inlineStr">
        <is>
          <t>shadow_qualified</t>
        </is>
      </c>
      <c r="BA159" s="24" t="inlineStr">
        <is>
          <t>02444963c46867099d3689f0d8b266928525cf1fd0a214ee44eb26c371b1af1b</t>
        </is>
      </c>
      <c r="BB159" s="24" t="inlineStr">
        <is>
          <t>tie_aware_elo</t>
        </is>
      </c>
      <c r="BC159" s="24" t="inlineStr">
        <is>
          <t>npb-tie-aware-elo-v2</t>
        </is>
      </c>
      <c r="BD159" s="24" t="inlineStr">
        <is>
          <t>02444963c46867099d3689f0d8b266928525cf1fd0a214ee44eb26c371b1af1b</t>
        </is>
      </c>
      <c r="BE159" s="24" t="inlineStr">
        <is>
          <t>1</t>
        </is>
      </c>
      <c r="BF159" s="24" t="inlineStr">
        <is>
          <t>1</t>
        </is>
      </c>
      <c r="BG159" s="24" t="inlineStr">
        <is>
          <t>npb-tie-aware-elo-v2</t>
        </is>
      </c>
      <c r="BH159" s="24" t="inlineStr">
        <is>
          <t>2026-09-12T22:42:10.517935Z</t>
        </is>
      </c>
      <c r="BI159" s="24" t="inlineStr">
        <is>
          <t>["same_event","same_team_same_day","same_league_same_day"]</t>
        </is>
      </c>
      <c r="BJ159" s="25" t="n"/>
      <c r="BK159" s="26" t="n">
        <v>-203</v>
      </c>
      <c r="BL159" s="27" t="n">
        <v>1.492611</v>
      </c>
      <c r="BM159" s="28" t="n">
        <v>0.669967</v>
      </c>
      <c r="BN159" s="28" t="n"/>
      <c r="BO159" s="28" t="n"/>
      <c r="BP159" s="25" t="n"/>
      <c r="BQ159" s="27" t="n"/>
      <c r="BR159" s="28" t="n"/>
      <c r="BS159" s="28" t="n"/>
      <c r="BT159" s="28" t="n"/>
      <c r="BU159" s="25" t="n"/>
      <c r="BV159" s="29" t="n"/>
      <c r="BW159" s="24" t="n"/>
      <c r="BX159" s="30" t="n"/>
      <c r="BY159" s="27" t="n"/>
      <c r="BZ159" s="24" t="n"/>
      <c r="CA159" s="31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inlineStr">
        <is>
          <t>True</t>
        </is>
      </c>
      <c r="CT159" s="24" t="n"/>
      <c r="CU159" s="24" t="n"/>
      <c r="CV159" s="24" t="n"/>
      <c r="CW159" s="24" t="n"/>
      <c r="CX159" s="24" t="n"/>
      <c r="CY159" s="24" t="n"/>
      <c r="CZ159" s="24" t="n"/>
      <c r="DA159" s="24" t="n"/>
      <c r="DB159" s="24" t="n"/>
      <c r="DC159" s="24" t="n"/>
      <c r="DD159" s="24" t="n"/>
      <c r="DE159" s="24" t="n"/>
      <c r="DF159" s="24" t="n"/>
      <c r="DG159" s="24" t="n"/>
      <c r="DH159" s="24" t="n"/>
      <c r="DI159" s="24" t="n"/>
      <c r="DJ159" s="24" t="inlineStr">
        <is>
          <t>0.669967</t>
        </is>
      </c>
      <c r="DK159" s="24" t="n"/>
      <c r="DL159" s="24" t="n"/>
      <c r="DM159" s="24" t="n"/>
      <c r="DN159" s="24" t="n"/>
      <c r="DO159" s="24" t="n"/>
      <c r="DP159" s="24" t="n"/>
      <c r="DQ159" s="24" t="inlineStr">
        <is>
          <t>{"artifact_hash": "02444963c46867099d3689f0d8b266928525cf1fd0a214ee44eb26c371b1af1b", "away_team": "Chiba Lotte Marines", "draw_settlement_value": 0.5, "event_id": "108671", "event_start_utc": "2026-09-13T04:30:00Z", "features": {"away_elo": 1492.121724, "base_tie_rate": 0.0241955, "home_advantage": 35.0, "home_elo": 1611.633837}, "historical_source_observation_times_verified": false, "home_team": "Fukuoka SoftBank Hawks", "inference_inputs": {"away_id": "M", "base_tie_rate": 0.0241955, "book_state": {"_games_played": null, "_last_active": null, "decay_rate": 0.0, "home_advantage": 35.0, "k": 8.0, "margin_weight": 0.0, "ratings": {"H": 1611.633837, "M": 1492.121724}}, "code_sha256": {"features/elo_ratings.py": "8525faf022a6343c452286dbfeb17dbb043744c6bdabbe448b6b371216da439b", "international_baseball.py": "f345eb917316d2e897f62c1cdd0f73153115c65da54c30c6137ad76bb7b27869"}, "home_id": "H", "tie_method": "elo_gap"}, "market_type": "moneyline", "model_version": "npb-tie-aware-elo-v2", "observed_at_utc": "2026-09-12T22:42:10.449106+00:00", "outcome_probabilities": {"away": 0.28609896358818937, "draw": 0.0176007608495425, "home": 0.696300275562268}, "replay_scope": "Exact Elo and tie model; logged value is expected contract settlement, not outright win probability.", "schema": "international-elo-replay-v1", "settlement_values": {"away": 0.294899, "home": 0.705101}, "snapshot_hash": "63523835b672621dfc8dbca3f3ab1f40d9d23a865a0c46e54af790b869d6a284", "sport": "NPB"}</t>
        </is>
      </c>
    </row>
    <row r="160" ht="36" customHeight="1">
      <c r="A160" s="24" t="inlineStr">
        <is>
          <t>82a140e229774a0e</t>
        </is>
      </c>
      <c r="B160" s="24" t="inlineStr">
        <is>
          <t>2026-09-13T05:00:47.810835Z</t>
        </is>
      </c>
      <c r="C160" s="24" t="inlineStr">
        <is>
          <t>2026-09-13T09:00:00Z</t>
        </is>
      </c>
      <c r="D160" s="24" t="inlineStr">
        <is>
          <t>108750</t>
        </is>
      </c>
      <c r="E160" s="24" t="inlineStr">
        <is>
          <t>NPB</t>
        </is>
      </c>
      <c r="F160" s="24" t="inlineStr">
        <is>
          <t>Chunichi Dragons</t>
        </is>
      </c>
      <c r="G160" s="24" t="inlineStr">
        <is>
          <t>Hanshin Tigers</t>
        </is>
      </c>
      <c r="H160" s="24" t="inlineStr">
        <is>
          <t>moneyline</t>
        </is>
      </c>
      <c r="I160" s="24" t="inlineStr">
        <is>
          <t>home</t>
        </is>
      </c>
      <c r="J160" s="25" t="n"/>
      <c r="K160" s="24" t="inlineStr">
        <is>
          <t>polymarket_us</t>
        </is>
      </c>
      <c r="L160" s="26" t="n">
        <v>-163</v>
      </c>
      <c r="M160" s="27" t="n">
        <v>1.613497</v>
      </c>
      <c r="N160" s="28" t="n">
        <v>0.619772</v>
      </c>
      <c r="O160" s="28" t="n">
        <v>0.655037</v>
      </c>
      <c r="P160" s="28" t="n"/>
      <c r="Q160" s="28" t="n">
        <v>0.035265</v>
      </c>
      <c r="R160" s="26" t="n">
        <v>38</v>
      </c>
      <c r="S160" s="29" t="n">
        <v>1</v>
      </c>
      <c r="T160" s="24" t="inlineStr">
        <is>
          <t>npb-tie-aware-elo-v2</t>
        </is>
      </c>
      <c r="U160" s="24" t="inlineStr">
        <is>
          <t>settled</t>
        </is>
      </c>
      <c r="V160" s="24" t="inlineStr">
        <is>
          <t>loss</t>
        </is>
      </c>
      <c r="W160" s="26" t="n">
        <v>1</v>
      </c>
      <c r="X160" s="26" t="n">
        <v>0</v>
      </c>
      <c r="Y160" s="25" t="n"/>
      <c r="Z160" s="26" t="n"/>
      <c r="AA160" s="28" t="n"/>
      <c r="AB160" s="28" t="n"/>
      <c r="AC160" s="30" t="n">
        <v>-1</v>
      </c>
      <c r="AD160" s="24" t="inlineStr">
        <is>
          <t>2026-09-13T22:02:38.498272Z</t>
        </is>
      </c>
      <c r="AE160" s="31" t="inlineStr">
        <is>
          <t>Tie-aware Elo baseline; executable ask 0.6200 (market_slug=aec-npb-hta-cdh-2026-09-13). Tie probability=0.0225.</t>
        </is>
      </c>
      <c r="AF160" s="31" t="inlineStr">
        <is>
          <t>Config-promoted international baseball baseline; gates enforced at log time.</t>
        </is>
      </c>
      <c r="AG160" s="24" t="inlineStr">
        <is>
          <t>review_required</t>
        </is>
      </c>
      <c r="AH160" s="24" t="n"/>
      <c r="AI160" s="31" t="n"/>
      <c r="AJ160" s="31" t="n"/>
      <c r="AK160" s="24" t="inlineStr">
        <is>
          <t>model_qualified</t>
        </is>
      </c>
      <c r="AL160" s="26" t="n">
        <v>4</v>
      </c>
      <c r="AM160" s="24" t="inlineStr">
        <is>
          <t>QUALIFIED_SHADOW_CALL</t>
        </is>
      </c>
      <c r="AN160" s="24" t="inlineStr">
        <is>
          <t>CALL</t>
        </is>
      </c>
      <c r="AO160" s="24" t="inlineStr">
        <is>
          <t>QUALIFIED</t>
        </is>
      </c>
      <c r="AP160" s="24" t="inlineStr">
        <is>
          <t>Chunichi Dragons</t>
        </is>
      </c>
      <c r="AQ160" s="24" t="inlineStr">
        <is>
          <t>Chunichi Dragons</t>
        </is>
      </c>
      <c r="AR160" s="24" t="inlineStr">
        <is>
          <t>Chunichi Dragons</t>
        </is>
      </c>
      <c r="AS160" s="24" t="inlineStr">
        <is>
          <t>Hanshin Tigers</t>
        </is>
      </c>
      <c r="AT160" s="24" t="inlineStr">
        <is>
          <t>Hanshin Tigers</t>
        </is>
      </c>
      <c r="AU160" s="24" t="inlineStr">
        <is>
          <t>Hanshin Tigers</t>
        </is>
      </c>
      <c r="AV160" s="24" t="n"/>
      <c r="AW160" s="24" t="n"/>
      <c r="AX160" s="24" t="inlineStr">
        <is>
          <t>statistical_model</t>
        </is>
      </c>
      <c r="AY160" s="24" t="n"/>
      <c r="AZ160" s="24" t="inlineStr">
        <is>
          <t>shadow_qualified</t>
        </is>
      </c>
      <c r="BA160" s="24" t="inlineStr">
        <is>
          <t>7372dd00d8590de2a6c87271faecf26014759bab97eb731f0aa8ac1551e38eef</t>
        </is>
      </c>
      <c r="BB160" s="24" t="inlineStr">
        <is>
          <t>tie_aware_elo</t>
        </is>
      </c>
      <c r="BC160" s="24" t="inlineStr">
        <is>
          <t>npb-tie-aware-elo-v2</t>
        </is>
      </c>
      <c r="BD160" s="24" t="inlineStr">
        <is>
          <t>7372dd00d8590de2a6c87271faecf26014759bab97eb731f0aa8ac1551e38eef</t>
        </is>
      </c>
      <c r="BE160" s="24" t="inlineStr">
        <is>
          <t>1</t>
        </is>
      </c>
      <c r="BF160" s="24" t="inlineStr">
        <is>
          <t>1</t>
        </is>
      </c>
      <c r="BG160" s="24" t="inlineStr">
        <is>
          <t>npb-tie-aware-elo-v2</t>
        </is>
      </c>
      <c r="BH160" s="24" t="inlineStr">
        <is>
          <t>2026-09-13T05:00:47.379290Z</t>
        </is>
      </c>
      <c r="BI160" s="24" t="inlineStr">
        <is>
          <t>["same_event","same_team_same_day","same_league_same_day"]</t>
        </is>
      </c>
      <c r="BJ160" s="25" t="n"/>
      <c r="BK160" s="26" t="n">
        <v>-163</v>
      </c>
      <c r="BL160" s="27" t="n">
        <v>1.613497</v>
      </c>
      <c r="BM160" s="28" t="n">
        <v>0.619772</v>
      </c>
      <c r="BN160" s="28" t="n"/>
      <c r="BO160" s="28" t="n"/>
      <c r="BP160" s="25" t="n"/>
      <c r="BQ160" s="27" t="n"/>
      <c r="BR160" s="28" t="n"/>
      <c r="BS160" s="28" t="n"/>
      <c r="BT160" s="28" t="n"/>
      <c r="BU160" s="25" t="n"/>
      <c r="BV160" s="29" t="n"/>
      <c r="BW160" s="24" t="n"/>
      <c r="BX160" s="30" t="n"/>
      <c r="BY160" s="27" t="n"/>
      <c r="BZ160" s="24" t="n"/>
      <c r="CA160" s="31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inlineStr">
        <is>
          <t>True</t>
        </is>
      </c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/>
      <c r="DH160" s="24" t="n"/>
      <c r="DI160" s="24" t="n"/>
      <c r="DJ160" s="24" t="inlineStr">
        <is>
          <t>0.619772</t>
        </is>
      </c>
      <c r="DK160" s="24" t="n"/>
      <c r="DL160" s="24" t="n"/>
      <c r="DM160" s="24" t="n"/>
      <c r="DN160" s="24" t="n"/>
      <c r="DO160" s="24" t="n"/>
      <c r="DP160" s="24" t="n"/>
      <c r="DQ160" s="24" t="inlineStr">
        <is>
          <t>{"artifact_hash": "7372dd00d8590de2a6c87271faecf26014759bab97eb731f0aa8ac1551e38eef", "away_team": "Chunichi Dragons", "draw_settlement_value": 0.5, "event_id": "108750", "event_start_utc": "2026-09-13T09:00:00Z", "features": {"away_elo": 1447.321076, "base_tie_rate": 0.0241955, "home_advantage": 35.0, "home_elo": 1526.466359}, "historical_source_observation_times_verified": false, "home_team": "Hanshin Tigers", "inference_inputs": {"away_id": "D", "base_tie_rate": 0.0241955, "book_state": {"_games_played": null, "_last_active": null, "decay_rate": 0.0, "home_advantage": 35.0, "k": 8.0, "margin_weight": 0.0, "ratings": {"D": 1447.321076, "T": 1526.466359}}, "code_sha256": {"features/elo_ratings.py": "8525faf022a6343c452286dbfeb17dbb043744c6bdabbe448b6b371216da439b", "international_baseball.py": "f345eb917316d2e897f62c1cdd0f73153115c65da54c30c6137ad76bb7b27869"}, "home_id": "T", "tie_method": "elo_gap"}, "market_type": "moneyline", "model_version": "npb-tie-aware-elo-v2", "observed_at_utc": "2026-09-13T05:00:37.152724+00:00", "outcome_probabilities": {"away": 0.33372135143034093, "draw": 0.022484239025867495, "home": 0.6437944095437915}, "replay_scope": "Exact Elo and tie model; logged value is expected contract settlement, not outright win probability.", "schema": "international-elo-replay-v1", "settlement_values": {"away": 0.344963, "home": 0.655037}, "snapshot_hash": "62b4408ad0a048e6cc01cbbffdf42aa4736784d0babe301ce5959ff89c0a4318", "sport": "NPB"}</t>
        </is>
      </c>
    </row>
    <row r="161" ht="36" customHeight="1">
      <c r="A161" s="24" t="inlineStr">
        <is>
          <t>83ea3ca380c149df</t>
        </is>
      </c>
      <c r="B161" s="24" t="inlineStr">
        <is>
          <t>2026-09-13T05:00:47.810835Z</t>
        </is>
      </c>
      <c r="C161" s="24" t="inlineStr">
        <is>
          <t>2026-09-13T09:00:00Z</t>
        </is>
      </c>
      <c r="D161" s="24" t="inlineStr">
        <is>
          <t>108748</t>
        </is>
      </c>
      <c r="E161" s="24" t="inlineStr">
        <is>
          <t>NPB</t>
        </is>
      </c>
      <c r="F161" s="24" t="inlineStr">
        <is>
          <t>Yomiuri Giants</t>
        </is>
      </c>
      <c r="G161" s="24" t="inlineStr">
        <is>
          <t>Yokohama BayStars</t>
        </is>
      </c>
      <c r="H161" s="24" t="inlineStr">
        <is>
          <t>moneyline</t>
        </is>
      </c>
      <c r="I161" s="24" t="inlineStr">
        <is>
          <t>home</t>
        </is>
      </c>
      <c r="J161" s="25" t="n"/>
      <c r="K161" s="24" t="inlineStr">
        <is>
          <t>polymarket_us</t>
        </is>
      </c>
      <c r="L161" s="26" t="n">
        <v>-117</v>
      </c>
      <c r="M161" s="27" t="n">
        <v>1.854701</v>
      </c>
      <c r="N161" s="28" t="n">
        <v>0.539171</v>
      </c>
      <c r="O161" s="28" t="n">
        <v>0.528402</v>
      </c>
      <c r="P161" s="28" t="n"/>
      <c r="Q161" s="28" t="n">
        <v>-0.010769</v>
      </c>
      <c r="R161" s="26" t="n">
        <v>15</v>
      </c>
      <c r="S161" s="29" t="n">
        <v>1</v>
      </c>
      <c r="T161" s="24" t="inlineStr">
        <is>
          <t>npb-tie-aware-elo-v2</t>
        </is>
      </c>
      <c r="U161" s="24" t="inlineStr">
        <is>
          <t>settled</t>
        </is>
      </c>
      <c r="V161" s="24" t="inlineStr">
        <is>
          <t>win</t>
        </is>
      </c>
      <c r="W161" s="26" t="n">
        <v>0</v>
      </c>
      <c r="X161" s="26" t="n">
        <v>5</v>
      </c>
      <c r="Y161" s="25" t="n"/>
      <c r="Z161" s="26" t="n"/>
      <c r="AA161" s="28" t="n"/>
      <c r="AB161" s="28" t="n"/>
      <c r="AC161" s="30" t="n">
        <v>0.8547</v>
      </c>
      <c r="AD161" s="24" t="inlineStr">
        <is>
          <t>2026-09-13T22:02:38.655322Z</t>
        </is>
      </c>
      <c r="AE161" s="31" t="inlineStr">
        <is>
          <t>Tie-aware Elo baseline; executable ask 0.5400 (market_slug=aec-npb-ybo-ygo-2026-09-13). Tie probability=0.0338.</t>
        </is>
      </c>
      <c r="AF161" s="31" t="inlineStr">
        <is>
          <t>Config-promoted international baseball baseline; gates enforced at log time.</t>
        </is>
      </c>
      <c r="AG161" s="24" t="inlineStr">
        <is>
          <t>not_applicable</t>
        </is>
      </c>
      <c r="AH161" s="24" t="n"/>
      <c r="AI161" s="31" t="n"/>
      <c r="AJ161" s="31" t="n"/>
      <c r="AK161" s="24" t="inlineStr">
        <is>
          <t>paper_call</t>
        </is>
      </c>
      <c r="AL161" s="26" t="n">
        <v>4</v>
      </c>
      <c r="AM161" s="24" t="inlineStr">
        <is>
          <t>RESEARCH_OBSERVATION</t>
        </is>
      </c>
      <c r="AN161" s="24" t="inlineStr">
        <is>
          <t>CALL</t>
        </is>
      </c>
      <c r="AO161" s="24" t="inlineStr">
        <is>
          <t>PAPER_CALL_LOW_EDGE</t>
        </is>
      </c>
      <c r="AP161" s="24" t="inlineStr">
        <is>
          <t>Yomiuri Giants</t>
        </is>
      </c>
      <c r="AQ161" s="24" t="inlineStr">
        <is>
          <t>Yomiuri Giants</t>
        </is>
      </c>
      <c r="AR161" s="24" t="inlineStr">
        <is>
          <t>Yomiuri Giants</t>
        </is>
      </c>
      <c r="AS161" s="24" t="inlineStr">
        <is>
          <t>Yokohama BayStars</t>
        </is>
      </c>
      <c r="AT161" s="24" t="inlineStr">
        <is>
          <t>Yokohama BayStars</t>
        </is>
      </c>
      <c r="AU161" s="24" t="inlineStr">
        <is>
          <t>Yokohama BayStars</t>
        </is>
      </c>
      <c r="AV161" s="24" t="n"/>
      <c r="AW161" s="24" t="n"/>
      <c r="AX161" s="24" t="inlineStr">
        <is>
          <t>statistical_model</t>
        </is>
      </c>
      <c r="AY161" s="24" t="n"/>
      <c r="AZ161" s="24" t="inlineStr">
        <is>
          <t>shadow_qualified</t>
        </is>
      </c>
      <c r="BA161" s="24" t="inlineStr">
        <is>
          <t>7372dd00d8590de2a6c87271faecf26014759bab97eb731f0aa8ac1551e38eef</t>
        </is>
      </c>
      <c r="BB161" s="24" t="inlineStr">
        <is>
          <t>tie_aware_elo</t>
        </is>
      </c>
      <c r="BC161" s="24" t="inlineStr">
        <is>
          <t>npb-tie-aware-elo-v2</t>
        </is>
      </c>
      <c r="BD161" s="24" t="inlineStr">
        <is>
          <t>7372dd00d8590de2a6c87271faecf26014759bab97eb731f0aa8ac1551e38eef</t>
        </is>
      </c>
      <c r="BE161" s="24" t="inlineStr">
        <is>
          <t>1</t>
        </is>
      </c>
      <c r="BF161" s="24" t="inlineStr">
        <is>
          <t>1</t>
        </is>
      </c>
      <c r="BG161" s="24" t="inlineStr">
        <is>
          <t>npb-tie-aware-elo-v2</t>
        </is>
      </c>
      <c r="BH161" s="24" t="inlineStr">
        <is>
          <t>2026-09-13T05:00:47.810788Z</t>
        </is>
      </c>
      <c r="BI161" s="24" t="inlineStr">
        <is>
          <t>["same_event","same_team_same_day","same_league_same_day"]</t>
        </is>
      </c>
      <c r="BJ161" s="25" t="n"/>
      <c r="BK161" s="26" t="n">
        <v>-117</v>
      </c>
      <c r="BL161" s="27" t="n">
        <v>1.854701</v>
      </c>
      <c r="BM161" s="28" t="n">
        <v>0.539171</v>
      </c>
      <c r="BN161" s="28" t="n"/>
      <c r="BO161" s="28" t="n"/>
      <c r="BP161" s="25" t="n"/>
      <c r="BQ161" s="27" t="n"/>
      <c r="BR161" s="28" t="n"/>
      <c r="BS161" s="28" t="n"/>
      <c r="BT161" s="28" t="n"/>
      <c r="BU161" s="25" t="n"/>
      <c r="BV161" s="29" t="n"/>
      <c r="BW161" s="24" t="n"/>
      <c r="BX161" s="30" t="n"/>
      <c r="BY161" s="27" t="n"/>
      <c r="BZ161" s="24" t="n"/>
      <c r="CA161" s="31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inlineStr">
        <is>
          <t>False</t>
        </is>
      </c>
      <c r="CT161" s="24" t="n"/>
      <c r="CU161" s="24" t="n"/>
      <c r="CV161" s="24" t="n"/>
      <c r="CW161" s="24" t="n"/>
      <c r="CX161" s="24" t="n"/>
      <c r="CY161" s="24" t="n"/>
      <c r="CZ161" s="24" t="n"/>
      <c r="DA161" s="24" t="n"/>
      <c r="DB161" s="24" t="n"/>
      <c r="DC161" s="24" t="n"/>
      <c r="DD161" s="24" t="n"/>
      <c r="DE161" s="24" t="n"/>
      <c r="DF161" s="24" t="n"/>
      <c r="DG161" s="24" t="n"/>
      <c r="DH161" s="24" t="n"/>
      <c r="DI161" s="24" t="n"/>
      <c r="DJ161" s="24" t="inlineStr">
        <is>
          <t>0.539171</t>
        </is>
      </c>
      <c r="DK161" s="24" t="n"/>
      <c r="DL161" s="24" t="n"/>
      <c r="DM161" s="24" t="n"/>
      <c r="DN161" s="24" t="n"/>
      <c r="DO161" s="24" t="n"/>
      <c r="DP161" s="24" t="n"/>
      <c r="DQ161" s="24" t="inlineStr">
        <is>
          <t>{"artifact_hash": "7372dd00d8590de2a6c87271faecf26014759bab97eb731f0aa8ac1551e38eef", "away_team": "Yomiuri Giants", "draw_settlement_value": 0.5, "event_id": "108748", "event_start_utc": "2026-09-13T09:00:00Z", "features": {"away_elo": 1519.288649, "base_tie_rate": 0.0241955, "home_advantage": 35.0, "home_elo": 1504.73903}, "historical_source_observation_times_verified": false, "home_team": "Yokohama BayStars", "inference_inputs": {"away_id": "G", "base_tie_rate": 0.0241955, "book_state": {"_games_played": null, "_last_active": null, "decay_rate": 0.0, "home_advantage": 35.0, "k": 8.0, "margin_weight": 0.0, "ratings": {"DB": 1504.73903, "G": 1519.288649}}, "code_sha256": {"features/elo_ratings.py": "8525faf022a6343c452286dbfeb17dbb043744c6bdabbe448b6b371216da439b", "international_baseball.py": "f345eb917316d2e897f62c1cdd0f73153115c65da54c30c6137ad76bb7b27869"}, "home_id": "DB", "tie_method": "elo_gap"}, "market_type": "moneyline", "model_version": "npb-tie-aware-elo-v2", "observed_at_utc": "2026-09-13T05:00:37.152724+00:00", "outcome_probabilities": {"away": 0.45468803756631365, "draw": 0.03381921403257252, "home": 0.5114927484011139}, "replay_scope": "Exact Elo and tie model; logged value is expected contract settlement, not outright win probability.", "schema": "international-elo-replay-v1", "settlement_values": {"away": 0.471598, "home": 0.528402}, "snapshot_hash": "4c1ebeb5154a35628b1d92ba1f4cbe4eda9289810a82d62e1697bedc1b679852", "sport": "NPB"}</t>
        </is>
      </c>
    </row>
    <row r="162" ht="36" customHeight="1">
      <c r="A162" s="24" t="inlineStr">
        <is>
          <t>93d7d6082f5a44fc</t>
        </is>
      </c>
      <c r="B162" s="24" t="inlineStr">
        <is>
          <t>2026-09-15T04:40:03.917551Z</t>
        </is>
      </c>
      <c r="C162" s="24" t="inlineStr">
        <is>
          <t>2026-09-15T09:00:00Z</t>
        </is>
      </c>
      <c r="D162" s="24" t="inlineStr">
        <is>
          <t>110208</t>
        </is>
      </c>
      <c r="E162" s="24" t="inlineStr">
        <is>
          <t>NPB</t>
        </is>
      </c>
      <c r="F162" s="24" t="inlineStr">
        <is>
          <t>Saitama Seibu Lions</t>
        </is>
      </c>
      <c r="G162" s="24" t="inlineStr">
        <is>
          <t>Tohoku Rakuten Golden Eagles</t>
        </is>
      </c>
      <c r="H162" s="24" t="inlineStr">
        <is>
          <t>moneyline</t>
        </is>
      </c>
      <c r="I162" s="24" t="inlineStr">
        <is>
          <t>away</t>
        </is>
      </c>
      <c r="J162" s="25" t="n"/>
      <c r="K162" s="24" t="inlineStr">
        <is>
          <t>polymarket_us</t>
        </is>
      </c>
      <c r="L162" s="26" t="n">
        <v>-104</v>
      </c>
      <c r="M162" s="27" t="n">
        <v>1.961538</v>
      </c>
      <c r="N162" s="28" t="n">
        <v>0.509804</v>
      </c>
      <c r="O162" s="28" t="n">
        <v>0.597347</v>
      </c>
      <c r="P162" s="28" t="n"/>
      <c r="Q162" s="28" t="n">
        <v>0.087543</v>
      </c>
      <c r="R162" s="26" t="n">
        <v>64</v>
      </c>
      <c r="S162" s="29" t="n">
        <v>1.25</v>
      </c>
      <c r="T162" s="24" t="inlineStr">
        <is>
          <t>npb-tie-aware-elo-v2</t>
        </is>
      </c>
      <c r="U162" s="24" t="inlineStr">
        <is>
          <t>settled</t>
        </is>
      </c>
      <c r="V162" s="24" t="inlineStr">
        <is>
          <t>loss</t>
        </is>
      </c>
      <c r="W162" s="26" t="n">
        <v>0</v>
      </c>
      <c r="X162" s="26" t="n">
        <v>1</v>
      </c>
      <c r="Y162" s="25" t="n"/>
      <c r="Z162" s="26" t="n">
        <v>-104</v>
      </c>
      <c r="AA162" s="28" t="n">
        <v>0.51</v>
      </c>
      <c r="AB162" s="28" t="n">
        <v>0.000196</v>
      </c>
      <c r="AC162" s="30" t="n">
        <v>-1.25</v>
      </c>
      <c r="AD162" s="24" t="inlineStr">
        <is>
          <t>2026-09-16T04:49:43.474159Z</t>
        </is>
      </c>
      <c r="AE162" s="31" t="inlineStr">
        <is>
          <t>Tie-aware Elo baseline; executable ask 0.5100 (market_slug=aec-npb-trge-ssl-2026-09-15). Tie probability=0.0277.</t>
        </is>
      </c>
      <c r="AF162" s="31" t="inlineStr">
        <is>
          <t>Config-promoted international baseball baseline; gates enforced at log time.</t>
        </is>
      </c>
      <c r="AG162" s="24" t="inlineStr">
        <is>
          <t>review_required</t>
        </is>
      </c>
      <c r="AH162" s="24" t="n"/>
      <c r="AI162" s="31" t="n"/>
      <c r="AJ162" s="31" t="n"/>
      <c r="AK162" s="24" t="inlineStr">
        <is>
          <t>model_qualified</t>
        </is>
      </c>
      <c r="AL162" s="26" t="n">
        <v>4</v>
      </c>
      <c r="AM162" s="24" t="inlineStr">
        <is>
          <t>QUALIFIED_SHADOW_CALL</t>
        </is>
      </c>
      <c r="AN162" s="24" t="inlineStr">
        <is>
          <t>CALL</t>
        </is>
      </c>
      <c r="AO162" s="24" t="inlineStr">
        <is>
          <t>QUALIFIED</t>
        </is>
      </c>
      <c r="AP162" s="24" t="inlineStr">
        <is>
          <t>Saitama Seibu Lions</t>
        </is>
      </c>
      <c r="AQ162" s="24" t="inlineStr">
        <is>
          <t>Saitama Seibu Lions</t>
        </is>
      </c>
      <c r="AR162" s="24" t="inlineStr">
        <is>
          <t>Saitama Seibu Lions</t>
        </is>
      </c>
      <c r="AS162" s="24" t="inlineStr">
        <is>
          <t>Tohoku Rakuten Golden Eagles</t>
        </is>
      </c>
      <c r="AT162" s="24" t="inlineStr">
        <is>
          <t>Tohoku Rakuten Golden Eagles</t>
        </is>
      </c>
      <c r="AU162" s="24" t="inlineStr">
        <is>
          <t>Tohoku Rakuten Golden Eagles</t>
        </is>
      </c>
      <c r="AV162" s="24" t="n"/>
      <c r="AW162" s="24" t="n"/>
      <c r="AX162" s="24" t="inlineStr">
        <is>
          <t>statistical_model</t>
        </is>
      </c>
      <c r="AY162" s="24" t="n"/>
      <c r="AZ162" s="24" t="inlineStr">
        <is>
          <t>shadow_qualified</t>
        </is>
      </c>
      <c r="BA162" s="24" t="inlineStr">
        <is>
          <t>83a0d43cb400359d27600e0fa07db5a71d664a66301eefa9bf7f0f0566d7b1d6</t>
        </is>
      </c>
      <c r="BB162" s="24" t="inlineStr">
        <is>
          <t>tie_aware_elo</t>
        </is>
      </c>
      <c r="BC162" s="24" t="inlineStr">
        <is>
          <t>npb-tie-aware-elo-v2</t>
        </is>
      </c>
      <c r="BD162" s="24" t="inlineStr">
        <is>
          <t>83a0d43cb400359d27600e0fa07db5a71d664a66301eefa9bf7f0f0566d7b1d6</t>
        </is>
      </c>
      <c r="BE162" s="24" t="inlineStr">
        <is>
          <t>1</t>
        </is>
      </c>
      <c r="BF162" s="24" t="inlineStr">
        <is>
          <t>1</t>
        </is>
      </c>
      <c r="BG162" s="24" t="inlineStr">
        <is>
          <t>npb-tie-aware-elo-v2</t>
        </is>
      </c>
      <c r="BH162" s="24" t="inlineStr">
        <is>
          <t>2026-09-15T04:39:55.411954Z</t>
        </is>
      </c>
      <c r="BI162" s="24" t="inlineStr">
        <is>
          <t>["same_event","same_team_same_day","same_league_same_day"]</t>
        </is>
      </c>
      <c r="BJ162" s="25" t="n"/>
      <c r="BK162" s="26" t="n">
        <v>-104</v>
      </c>
      <c r="BL162" s="27" t="n">
        <v>1.961538</v>
      </c>
      <c r="BM162" s="28" t="n">
        <v>0.509804</v>
      </c>
      <c r="BN162" s="28" t="n"/>
      <c r="BO162" s="28" t="n"/>
      <c r="BP162" s="25" t="n"/>
      <c r="BQ162" s="27" t="n">
        <v>1.961538</v>
      </c>
      <c r="BR162" s="28" t="n">
        <v>0.51</v>
      </c>
      <c r="BS162" s="28" t="n"/>
      <c r="BT162" s="28" t="n"/>
      <c r="BU162" s="25" t="n"/>
      <c r="BV162" s="29" t="n"/>
      <c r="BW162" s="24" t="n"/>
      <c r="BX162" s="30" t="n"/>
      <c r="BY162" s="27" t="n"/>
      <c r="BZ162" s="24" t="n"/>
      <c r="CA162" s="31" t="n"/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n"/>
      <c r="CQ162" s="24" t="n"/>
      <c r="CR162" s="24" t="n"/>
      <c r="CS162" s="24" t="inlineStr">
        <is>
          <t>True</t>
        </is>
      </c>
      <c r="CT162" s="24" t="n"/>
      <c r="CU162" s="24" t="n"/>
      <c r="CV162" s="24" t="n"/>
      <c r="CW162" s="24" t="n"/>
      <c r="CX162" s="24" t="n"/>
      <c r="CY162" s="24" t="n"/>
      <c r="CZ162" s="24" t="n"/>
      <c r="DA162" s="24" t="n"/>
      <c r="DB162" s="24" t="n"/>
      <c r="DC162" s="24" t="n"/>
      <c r="DD162" s="24" t="n"/>
      <c r="DE162" s="24" t="n"/>
      <c r="DF162" s="24" t="n"/>
      <c r="DG162" s="24" t="n"/>
      <c r="DH162" s="24" t="n"/>
      <c r="DI162" s="24" t="n"/>
      <c r="DJ162" s="24" t="inlineStr">
        <is>
          <t>0.509804</t>
        </is>
      </c>
      <c r="DK162" s="24" t="n"/>
      <c r="DL162" s="24" t="n"/>
      <c r="DM162" s="24" t="n"/>
      <c r="DN162" s="24" t="n"/>
      <c r="DO162" s="24" t="n"/>
      <c r="DP162" s="24" t="n"/>
      <c r="DQ162" s="24" t="inlineStr">
        <is>
          <t>{"artifact_hash": "83a0d43cb400359d27600e0fa07db5a71d664a66301eefa9bf7f0f0566d7b1d6", "away_team": "Saitama Seibu Lions", "draw_settlement_value": 0.5, "event_id": "110208", "event_start_utc": "2026-09-15T09:00:00Z", "features": {"away_elo": 1543.051501, "base_tie_rate": 0.02414876, "home_advantage": 35.0, "home_elo": 1437.527558}, "historical_source_observation_times_verified": false, "home_team": "Tohoku Rakuten Golden Eagles", "inference_inputs": {"away_id": "L", "base_tie_rate": 0.02414876, "book_state": {"_games_played": null, "_last_active": null, "decay_rate": 0.0, "home_advantage": 35.0, "k": 8.0, "margin_weight": 0.0, "ratings": {"E": 1437.527558, "L": 1543.051501}}, "code_sha256": {"features/elo_ratings.py": "8525faf022a6343c452286dbfeb17dbb043744c6bdabbe448b6b371216da439b", "international_baseball.py": "f345eb917316d2e897f62c1cdd0f73153115c65da54c30c6137ad76bb7b27869"}, "home_id": "E", "tie_method": "elo_gap"}, "market_type": "moneyline", "model_version": "npb-tie-aware-elo-v2", "observed_at_utc": "2026-09-15T04:39:53.495904+00:00", "outcome_probabilities": {"away": 0.5834927622137095, "draw": 0.027707811131196605, "home": 0.38879942665509387}, "replay_scope": "Exact Elo and tie model; logged value is expected contract settlement, not outright win probability.", "schema": "international-elo-replay-v1", "settlement_values": {"away": 0.597347, "home": 0.402653}, "snapshot_hash": "c22c9068231921d64f59ee161c6c0e1824a712e3e05b8536cb4a7d8e55a15d8a", "sport": "NPB"}</t>
        </is>
      </c>
    </row>
    <row r="163" ht="36" customHeight="1">
      <c r="A163" s="24" t="inlineStr">
        <is>
          <t>c01e7c2c0c82442d</t>
        </is>
      </c>
      <c r="B163" s="24" t="inlineStr">
        <is>
          <t>2026-09-15T04:40:03.917551Z</t>
        </is>
      </c>
      <c r="C163" s="24" t="inlineStr">
        <is>
          <t>2026-09-15T09:00:00Z</t>
        </is>
      </c>
      <c r="D163" s="24" t="inlineStr">
        <is>
          <t>110206</t>
        </is>
      </c>
      <c r="E163" s="24" t="inlineStr">
        <is>
          <t>NPB</t>
        </is>
      </c>
      <c r="F163" s="24" t="inlineStr">
        <is>
          <t>Fukuoka SoftBank Hawks</t>
        </is>
      </c>
      <c r="G163" s="24" t="inlineStr">
        <is>
          <t>Orix Buffaloes</t>
        </is>
      </c>
      <c r="H163" s="24" t="inlineStr">
        <is>
          <t>moneyline</t>
        </is>
      </c>
      <c r="I163" s="24" t="inlineStr">
        <is>
          <t>away</t>
        </is>
      </c>
      <c r="J163" s="25" t="n"/>
      <c r="K163" s="24" t="inlineStr">
        <is>
          <t>polymarket_us</t>
        </is>
      </c>
      <c r="L163" s="26" t="n">
        <v>-245</v>
      </c>
      <c r="M163" s="27" t="n">
        <v>1.408163</v>
      </c>
      <c r="N163" s="28" t="n">
        <v>0.710145</v>
      </c>
      <c r="O163" s="28" t="n">
        <v>0.630401</v>
      </c>
      <c r="P163" s="28" t="n"/>
      <c r="Q163" s="28" t="n">
        <v>-0.079744</v>
      </c>
      <c r="R163" s="26" t="n">
        <v>0</v>
      </c>
      <c r="S163" s="29" t="n">
        <v>1</v>
      </c>
      <c r="T163" s="24" t="inlineStr">
        <is>
          <t>npb-tie-aware-elo-v2</t>
        </is>
      </c>
      <c r="U163" s="24" t="inlineStr">
        <is>
          <t>settled</t>
        </is>
      </c>
      <c r="V163" s="24" t="inlineStr">
        <is>
          <t>win</t>
        </is>
      </c>
      <c r="W163" s="26" t="n">
        <v>5</v>
      </c>
      <c r="X163" s="26" t="n">
        <v>3</v>
      </c>
      <c r="Y163" s="25" t="n"/>
      <c r="Z163" s="26" t="n">
        <v>-245</v>
      </c>
      <c r="AA163" s="28" t="n">
        <v>0.71</v>
      </c>
      <c r="AB163" s="28" t="n">
        <v>-0.000145</v>
      </c>
      <c r="AC163" s="30" t="n">
        <v>0.4082</v>
      </c>
      <c r="AD163" s="24" t="inlineStr">
        <is>
          <t>2026-09-16T04:49:45.319623Z</t>
        </is>
      </c>
      <c r="AE163" s="31" t="inlineStr">
        <is>
          <t>Tie-aware Elo baseline; executable ask 0.7100 (market_slug=aec-npb-obr-fsh-2026-09-15). Tie probability=0.0247.</t>
        </is>
      </c>
      <c r="AF163" s="31" t="inlineStr">
        <is>
          <t>Config-promoted international baseball baseline; gates enforced at log time.</t>
        </is>
      </c>
      <c r="AG163" s="24" t="inlineStr">
        <is>
          <t>not_applicable</t>
        </is>
      </c>
      <c r="AH163" s="24" t="n"/>
      <c r="AI163" s="31" t="n"/>
      <c r="AJ163" s="31" t="n"/>
      <c r="AK163" s="24" t="inlineStr">
        <is>
          <t>paper_call</t>
        </is>
      </c>
      <c r="AL163" s="26" t="n">
        <v>4</v>
      </c>
      <c r="AM163" s="24" t="inlineStr">
        <is>
          <t>RESEARCH_OBSERVATION</t>
        </is>
      </c>
      <c r="AN163" s="24" t="inlineStr">
        <is>
          <t>CALL</t>
        </is>
      </c>
      <c r="AO163" s="24" t="inlineStr">
        <is>
          <t>PAPER_CALL_LOW_EDGE</t>
        </is>
      </c>
      <c r="AP163" s="24" t="inlineStr">
        <is>
          <t>Fukuoka SoftBank Hawks</t>
        </is>
      </c>
      <c r="AQ163" s="24" t="inlineStr">
        <is>
          <t>Fukuoka SoftBank Hawks</t>
        </is>
      </c>
      <c r="AR163" s="24" t="inlineStr">
        <is>
          <t>Fukuoka SoftBank Hawks</t>
        </is>
      </c>
      <c r="AS163" s="24" t="inlineStr">
        <is>
          <t>Orix Buffaloes</t>
        </is>
      </c>
      <c r="AT163" s="24" t="inlineStr">
        <is>
          <t>Orix Buffaloes</t>
        </is>
      </c>
      <c r="AU163" s="24" t="inlineStr">
        <is>
          <t>Orix Buffaloes</t>
        </is>
      </c>
      <c r="AV163" s="24" t="n"/>
      <c r="AW163" s="24" t="n"/>
      <c r="AX163" s="24" t="inlineStr">
        <is>
          <t>statistical_model</t>
        </is>
      </c>
      <c r="AY163" s="24" t="n"/>
      <c r="AZ163" s="24" t="inlineStr">
        <is>
          <t>shadow_qualified</t>
        </is>
      </c>
      <c r="BA163" s="24" t="inlineStr">
        <is>
          <t>83a0d43cb400359d27600e0fa07db5a71d664a66301eefa9bf7f0f0566d7b1d6</t>
        </is>
      </c>
      <c r="BB163" s="24" t="inlineStr">
        <is>
          <t>tie_aware_elo</t>
        </is>
      </c>
      <c r="BC163" s="24" t="inlineStr">
        <is>
          <t>npb-tie-aware-elo-v2</t>
        </is>
      </c>
      <c r="BD163" s="24" t="inlineStr">
        <is>
          <t>83a0d43cb400359d27600e0fa07db5a71d664a66301eefa9bf7f0f0566d7b1d6</t>
        </is>
      </c>
      <c r="BE163" s="24" t="inlineStr">
        <is>
          <t>1</t>
        </is>
      </c>
      <c r="BF163" s="24" t="inlineStr">
        <is>
          <t>1</t>
        </is>
      </c>
      <c r="BG163" s="24" t="inlineStr">
        <is>
          <t>npb-tie-aware-elo-v2</t>
        </is>
      </c>
      <c r="BH163" s="24" t="inlineStr">
        <is>
          <t>2026-09-15T04:39:55.483504Z</t>
        </is>
      </c>
      <c r="BI163" s="24" t="inlineStr">
        <is>
          <t>["same_event","same_team_same_day","same_league_same_day"]</t>
        </is>
      </c>
      <c r="BJ163" s="25" t="n"/>
      <c r="BK163" s="26" t="n">
        <v>-245</v>
      </c>
      <c r="BL163" s="27" t="n">
        <v>1.408163</v>
      </c>
      <c r="BM163" s="28" t="n">
        <v>0.710145</v>
      </c>
      <c r="BN163" s="28" t="n"/>
      <c r="BO163" s="28" t="n"/>
      <c r="BP163" s="25" t="n"/>
      <c r="BQ163" s="27" t="n">
        <v>1.408163</v>
      </c>
      <c r="BR163" s="28" t="n">
        <v>0.71</v>
      </c>
      <c r="BS163" s="28" t="n"/>
      <c r="BT163" s="28" t="n"/>
      <c r="BU163" s="25" t="n"/>
      <c r="BV163" s="29" t="n"/>
      <c r="BW163" s="24" t="n"/>
      <c r="BX163" s="30" t="n"/>
      <c r="BY163" s="27" t="n"/>
      <c r="BZ163" s="24" t="n"/>
      <c r="CA163" s="31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inlineStr">
        <is>
          <t>False</t>
        </is>
      </c>
      <c r="CT163" s="24" t="n"/>
      <c r="CU163" s="24" t="n"/>
      <c r="CV163" s="24" t="n"/>
      <c r="CW163" s="24" t="n"/>
      <c r="CX163" s="24" t="n"/>
      <c r="CY163" s="24" t="n"/>
      <c r="CZ163" s="24" t="n"/>
      <c r="DA163" s="24" t="n"/>
      <c r="DB163" s="24" t="n"/>
      <c r="DC163" s="24" t="n"/>
      <c r="DD163" s="24" t="n"/>
      <c r="DE163" s="24" t="n"/>
      <c r="DF163" s="24" t="n"/>
      <c r="DG163" s="24" t="n"/>
      <c r="DH163" s="24" t="n"/>
      <c r="DI163" s="24" t="n"/>
      <c r="DJ163" s="24" t="inlineStr">
        <is>
          <t>0.710145</t>
        </is>
      </c>
      <c r="DK163" s="24" t="n"/>
      <c r="DL163" s="24" t="n"/>
      <c r="DM163" s="24" t="n"/>
      <c r="DN163" s="24" t="n"/>
      <c r="DO163" s="24" t="n"/>
      <c r="DP163" s="24" t="n"/>
      <c r="DQ163" s="24" t="inlineStr">
        <is>
          <t>{"artifact_hash": "83a0d43cb400359d27600e0fa07db5a71d664a66301eefa9bf7f0f0566d7b1d6", "away_team": "Fukuoka SoftBank Hawks", "draw_settlement_value": 0.5, "event_id": "110206", "event_start_utc": "2026-09-15T09:00:00Z", "features": {"away_elo": 1613.963635, "base_tie_rate": 0.02414876, "home_advantage": 35.0, "home_elo": 1483.739701}, "historical_source_observation_times_verified": false, "home_team": "Orix Buffaloes", "inference_inputs": {"away_id": "H", "base_tie_rate": 0.02414876, "book_state": {"_games_played": null, "_last_active": null, "decay_rate": 0.0, "home_advantage": 35.0, "k": 8.0, "margin_weight": 0.0, "ratings": {"B": 1483.739701, "H": 1613.963635}}, "code_sha256": {"features/elo_ratings.py": "8525faf022a6343c452286dbfeb17dbb043744c6bdabbe448b6b371216da439b", "international_baseball.py": "f345eb917316d2e897f62c1cdd0f73153115c65da54c30c6137ad76bb7b27869"}, "home_id": "B", "tie_method": "elo_gap"}, "market_type": "moneyline", "model_version": "npb-tie-aware-elo-v2", "observed_at_utc": "2026-09-15T04:39:53.495904+00:00", "outcome_probabilities": {"away": 0.6180382891949322, "draw": 0.024725440357890784, "home": 0.35723627044717693}, "replay_scope": "Exact Elo and tie model; logged value is expected contract settlement, not outright win probability.", "schema": "international-elo-replay-v1", "settlement_values": {"away": 0.630401, "home": 0.369599}, "snapshot_hash": "b28922d18af79b2b222076f434fdfe24cc4cd3ff4cca522b794fb44aef1a95a8", "sport": "NPB"}</t>
        </is>
      </c>
    </row>
    <row r="164" ht="36" customHeight="1">
      <c r="A164" s="24" t="inlineStr">
        <is>
          <t>8d850f40c19e472d</t>
        </is>
      </c>
      <c r="B164" s="24" t="inlineStr">
        <is>
          <t>2026-09-18T07:43:23.416905Z</t>
        </is>
      </c>
      <c r="C164" s="24" t="inlineStr">
        <is>
          <t>2026-09-18T09:00:00Z</t>
        </is>
      </c>
      <c r="D164" s="24" t="inlineStr">
        <is>
          <t>113387</t>
        </is>
      </c>
      <c r="E164" s="24" t="inlineStr">
        <is>
          <t>NPB</t>
        </is>
      </c>
      <c r="F164" s="24" t="inlineStr">
        <is>
          <t>Chunichi Dragons</t>
        </is>
      </c>
      <c r="G164" s="24" t="inlineStr">
        <is>
          <t>Yomiuri Giants</t>
        </is>
      </c>
      <c r="H164" s="24" t="inlineStr">
        <is>
          <t>moneyline</t>
        </is>
      </c>
      <c r="I164" s="24" t="inlineStr">
        <is>
          <t>home</t>
        </is>
      </c>
      <c r="J164" s="25" t="n"/>
      <c r="K164" s="24" t="inlineStr">
        <is>
          <t>polymarket_us</t>
        </is>
      </c>
      <c r="L164" s="26" t="n">
        <v>-138</v>
      </c>
      <c r="M164" s="27" t="n">
        <v>1.724638</v>
      </c>
      <c r="N164" s="28" t="n">
        <v>0.579832</v>
      </c>
      <c r="O164" s="28" t="n">
        <v>0.610749</v>
      </c>
      <c r="P164" s="28" t="n"/>
      <c r="Q164" s="28" t="n">
        <v>0.030917</v>
      </c>
      <c r="R164" s="26" t="n">
        <v>35</v>
      </c>
      <c r="S164" s="29" t="n">
        <v>1</v>
      </c>
      <c r="T164" s="24" t="inlineStr">
        <is>
          <t>npb-tie-aware-elo-v2</t>
        </is>
      </c>
      <c r="U164" s="24" t="inlineStr">
        <is>
          <t>settled</t>
        </is>
      </c>
      <c r="V164" s="24" t="inlineStr">
        <is>
          <t>win</t>
        </is>
      </c>
      <c r="W164" s="26" t="n">
        <v>0</v>
      </c>
      <c r="X164" s="26" t="n">
        <v>2</v>
      </c>
      <c r="Y164" s="25" t="n"/>
      <c r="Z164" s="26" t="n"/>
      <c r="AA164" s="28" t="n"/>
      <c r="AB164" s="28" t="n"/>
      <c r="AC164" s="30" t="n">
        <v>0.7246</v>
      </c>
      <c r="AD164" s="24" t="inlineStr">
        <is>
          <t>2026-09-18T22:01:11.769433Z</t>
        </is>
      </c>
      <c r="AE164" s="31" t="inlineStr">
        <is>
          <t>Tie-aware Elo baseline; executable ask 0.5800 (market_slug=aec-npb-ygo-cdh-2026-09-18). Tie probability=0.0264.</t>
        </is>
      </c>
      <c r="AF164" s="31" t="inlineStr">
        <is>
          <t>Config-promoted international baseball baseline; gates enforced at log time.</t>
        </is>
      </c>
      <c r="AG164" s="24" t="inlineStr">
        <is>
          <t>not_applicable</t>
        </is>
      </c>
      <c r="AH164" s="24" t="n"/>
      <c r="AI164" s="31" t="n"/>
      <c r="AJ164" s="31" t="n"/>
      <c r="AK164" s="24" t="inlineStr">
        <is>
          <t>model_qualified</t>
        </is>
      </c>
      <c r="AL164" s="26" t="n">
        <v>4</v>
      </c>
      <c r="AM164" s="24" t="inlineStr">
        <is>
          <t>QUALIFIED_SHADOW_CALL</t>
        </is>
      </c>
      <c r="AN164" s="24" t="inlineStr">
        <is>
          <t>CALL</t>
        </is>
      </c>
      <c r="AO164" s="24" t="inlineStr">
        <is>
          <t>QUALIFIED</t>
        </is>
      </c>
      <c r="AP164" s="24" t="inlineStr">
        <is>
          <t>Chunichi Dragons</t>
        </is>
      </c>
      <c r="AQ164" s="24" t="inlineStr">
        <is>
          <t>Chunichi Dragons</t>
        </is>
      </c>
      <c r="AR164" s="24" t="inlineStr">
        <is>
          <t>Chunichi Dragons</t>
        </is>
      </c>
      <c r="AS164" s="24" t="inlineStr">
        <is>
          <t>Yomiuri Giants</t>
        </is>
      </c>
      <c r="AT164" s="24" t="inlineStr">
        <is>
          <t>Yomiuri Giants</t>
        </is>
      </c>
      <c r="AU164" s="24" t="inlineStr">
        <is>
          <t>Yomiuri Giants</t>
        </is>
      </c>
      <c r="AV164" s="24" t="n"/>
      <c r="AW164" s="24" t="n"/>
      <c r="AX164" s="24" t="inlineStr">
        <is>
          <t>statistical_model</t>
        </is>
      </c>
      <c r="AY164" s="24" t="n"/>
      <c r="AZ164" s="24" t="inlineStr">
        <is>
          <t>shadow_qualified</t>
        </is>
      </c>
      <c r="BA164" s="24" t="inlineStr">
        <is>
          <t>0d92a6f9072a32fcbc91ff0bc4839b22dd43ac55e239ff6e19aebbebf190eee1</t>
        </is>
      </c>
      <c r="BB164" s="24" t="inlineStr">
        <is>
          <t>tie_aware_elo</t>
        </is>
      </c>
      <c r="BC164" s="24" t="inlineStr">
        <is>
          <t>npb-tie-aware-elo-v2</t>
        </is>
      </c>
      <c r="BD164" s="24" t="inlineStr">
        <is>
          <t>0d92a6f9072a32fcbc91ff0bc4839b22dd43ac55e239ff6e19aebbebf190eee1</t>
        </is>
      </c>
      <c r="BE164" s="24" t="inlineStr">
        <is>
          <t>1</t>
        </is>
      </c>
      <c r="BF164" s="24" t="inlineStr">
        <is>
          <t>1</t>
        </is>
      </c>
      <c r="BG164" s="24" t="inlineStr">
        <is>
          <t>npb-tie-aware-elo-v2</t>
        </is>
      </c>
      <c r="BH164" s="24" t="inlineStr">
        <is>
          <t>2026-09-18T07:43:22.892329Z</t>
        </is>
      </c>
      <c r="BI164" s="24" t="inlineStr">
        <is>
          <t>["same_event","same_team_same_day","same_league_same_day"]</t>
        </is>
      </c>
      <c r="BJ164" s="25" t="n"/>
      <c r="BK164" s="26" t="n">
        <v>-138</v>
      </c>
      <c r="BL164" s="27" t="n">
        <v>1.724638</v>
      </c>
      <c r="BM164" s="28" t="n">
        <v>0.579832</v>
      </c>
      <c r="BN164" s="28" t="n"/>
      <c r="BO164" s="28" t="n"/>
      <c r="BP164" s="25" t="n"/>
      <c r="BQ164" s="27" t="n"/>
      <c r="BR164" s="28" t="n"/>
      <c r="BS164" s="28" t="n"/>
      <c r="BT164" s="28" t="n"/>
      <c r="BU164" s="25" t="n"/>
      <c r="BV164" s="29" t="n"/>
      <c r="BW164" s="24" t="n"/>
      <c r="BX164" s="30" t="n"/>
      <c r="BY164" s="27" t="n"/>
      <c r="BZ164" s="24" t="n"/>
      <c r="CA164" s="31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24" t="n"/>
      <c r="CN164" s="24" t="n"/>
      <c r="CO164" s="24" t="n"/>
      <c r="CP164" s="24" t="n"/>
      <c r="CQ164" s="24" t="n"/>
      <c r="CR164" s="24" t="n"/>
      <c r="CS164" s="24" t="inlineStr">
        <is>
          <t>True</t>
        </is>
      </c>
      <c r="CT164" s="24" t="n"/>
      <c r="CU164" s="24" t="n"/>
      <c r="CV164" s="24" t="n"/>
      <c r="CW164" s="24" t="n"/>
      <c r="CX164" s="24" t="n"/>
      <c r="CY164" s="24" t="n"/>
      <c r="CZ164" s="24" t="n"/>
      <c r="DA164" s="24" t="n"/>
      <c r="DB164" s="24" t="n"/>
      <c r="DC164" s="24" t="n"/>
      <c r="DD164" s="24" t="n"/>
      <c r="DE164" s="24" t="n"/>
      <c r="DF164" s="24" t="n"/>
      <c r="DG164" s="24" t="n"/>
      <c r="DH164" s="24" t="n"/>
      <c r="DI164" s="24" t="n"/>
      <c r="DJ164" s="24" t="inlineStr">
        <is>
          <t>0.579832</t>
        </is>
      </c>
      <c r="DK164" s="24" t="n"/>
      <c r="DL164" s="24" t="n"/>
      <c r="DM164" s="24" t="n"/>
      <c r="DN164" s="24" t="n"/>
      <c r="DO164" s="24" t="n"/>
      <c r="DP164" s="24" t="n"/>
      <c r="DQ164" s="24" t="inlineStr">
        <is>
          <t>{"artifact_hash": "0d92a6f9072a32fcbc91ff0bc4839b22dd43ac55e239ff6e19aebbebf190eee1", "away_team": "Chunichi Dragons", "draw_settlement_value": 0.5, "event_id": "113387", "event_start_utc": "2026-09-18T09:00:00Z", "features": {"away_elo": 1462.797534, "base_tie_rate": 0.02407318, "home_advantage": 35.0, "home_elo": 1508.250696}, "historical_source_observation_times_verified": false, "home_team": "Yomiuri Giants", "inference_inputs": {"away_id": "D", "base_tie_rate": 0.02407318, "book_state": {"_games_played": null, "_last_active": null, "decay_rate": 0.0, "home_advantage": 35.0, "k": 8.0, "margin_weight": 0.0, "ratings": {"D": 1462.797534, "G": 1508.250696}}, "code_sha256": {"features/elo_ratings.py": "8525faf022a6343c452286dbfeb17dbb043744c6bdabbe448b6b371216da439b", "international_baseball.py": "f345eb917316d2e897f62c1cdd0f73153115c65da54c30c6137ad76bb7b27869"}, "home_id": "G", "tie_method": "elo_gap"}, "market_type": "moneyline", "model_version": "npb-tie-aware-elo-v2", "observed_at_utc": "2026-09-18T07:43:22.631719+00:00", "outcome_probabilities": {"away": 0.376037718715575, "draw": 0.026425952748024197, "home": 0.5975363285364008}, "replay_scope": "Exact Elo and tie model; logged value is expected contract settlement, not outright win probability.", "schema": "international-elo-replay-v1", "settlement_values": {"away": 0.389251, "home": 0.610749}, "snapshot_hash": "9f4d1c7388d8645dc6538414dbd267c8ebc13965d40ab5d8644eaae279ea9da6", "sport": "NPB"}</t>
        </is>
      </c>
    </row>
    <row r="165" ht="36" customHeight="1">
      <c r="A165" s="24" t="inlineStr">
        <is>
          <t>b89a60977e0a4805</t>
        </is>
      </c>
      <c r="B165" s="24" t="inlineStr">
        <is>
          <t>2026-09-18T07:43:23.416905Z</t>
        </is>
      </c>
      <c r="C165" s="24" t="inlineStr">
        <is>
          <t>2026-09-18T09:00:00Z</t>
        </is>
      </c>
      <c r="D165" s="24" t="inlineStr">
        <is>
          <t>113389</t>
        </is>
      </c>
      <c r="E165" s="24" t="inlineStr">
        <is>
          <t>NPB</t>
        </is>
      </c>
      <c r="F165" s="24" t="inlineStr">
        <is>
          <t>Tokyo Yakult Swallows</t>
        </is>
      </c>
      <c r="G165" s="24" t="inlineStr">
        <is>
          <t>Yokohama BayStars</t>
        </is>
      </c>
      <c r="H165" s="24" t="inlineStr">
        <is>
          <t>moneyline</t>
        </is>
      </c>
      <c r="I165" s="24" t="inlineStr">
        <is>
          <t>home</t>
        </is>
      </c>
      <c r="J165" s="25" t="n"/>
      <c r="K165" s="24" t="inlineStr">
        <is>
          <t>polymarket_us</t>
        </is>
      </c>
      <c r="L165" s="26" t="n">
        <v>-133</v>
      </c>
      <c r="M165" s="27" t="n">
        <v>1.75188</v>
      </c>
      <c r="N165" s="28" t="n">
        <v>0.570815</v>
      </c>
      <c r="O165" s="28" t="n">
        <v>0.676428</v>
      </c>
      <c r="P165" s="28" t="n"/>
      <c r="Q165" s="28" t="n">
        <v>0.105613</v>
      </c>
      <c r="R165" s="26" t="n">
        <v>73</v>
      </c>
      <c r="S165" s="29" t="n">
        <v>1.25</v>
      </c>
      <c r="T165" s="24" t="inlineStr">
        <is>
          <t>npb-tie-aware-elo-v2</t>
        </is>
      </c>
      <c r="U165" s="24" t="inlineStr">
        <is>
          <t>settled</t>
        </is>
      </c>
      <c r="V165" s="24" t="inlineStr">
        <is>
          <t>loss</t>
        </is>
      </c>
      <c r="W165" s="26" t="n">
        <v>3</v>
      </c>
      <c r="X165" s="26" t="n">
        <v>1</v>
      </c>
      <c r="Y165" s="25" t="n"/>
      <c r="Z165" s="26" t="n"/>
      <c r="AA165" s="28" t="n"/>
      <c r="AB165" s="28" t="n"/>
      <c r="AC165" s="30" t="n">
        <v>-1.25</v>
      </c>
      <c r="AD165" s="24" t="inlineStr">
        <is>
          <t>2026-09-18T22:01:12.015310Z</t>
        </is>
      </c>
      <c r="AE165" s="31" t="inlineStr">
        <is>
          <t>Tie-aware Elo baseline; executable ask 0.5700 (market_slug=aec-npb-ybo-tys-2026-09-18). Tie probability=0.0203.</t>
        </is>
      </c>
      <c r="AF165" s="31" t="inlineStr">
        <is>
          <t>Config-promoted international baseball baseline; gates enforced at log time.</t>
        </is>
      </c>
      <c r="AG165" s="24" t="inlineStr">
        <is>
          <t>review_required</t>
        </is>
      </c>
      <c r="AH165" s="24" t="n"/>
      <c r="AI165" s="31" t="n"/>
      <c r="AJ165" s="31" t="n"/>
      <c r="AK165" s="24" t="inlineStr">
        <is>
          <t>model_qualified</t>
        </is>
      </c>
      <c r="AL165" s="26" t="n">
        <v>4</v>
      </c>
      <c r="AM165" s="24" t="inlineStr">
        <is>
          <t>QUALIFIED_SHADOW_CALL</t>
        </is>
      </c>
      <c r="AN165" s="24" t="inlineStr">
        <is>
          <t>CALL</t>
        </is>
      </c>
      <c r="AO165" s="24" t="inlineStr">
        <is>
          <t>QUALIFIED</t>
        </is>
      </c>
      <c r="AP165" s="24" t="inlineStr">
        <is>
          <t>Tokyo Yakult Swallows</t>
        </is>
      </c>
      <c r="AQ165" s="24" t="inlineStr">
        <is>
          <t>Tokyo Yakult Swallows</t>
        </is>
      </c>
      <c r="AR165" s="24" t="inlineStr">
        <is>
          <t>Tokyo Yakult Swallows</t>
        </is>
      </c>
      <c r="AS165" s="24" t="inlineStr">
        <is>
          <t>Yokohama BayStars</t>
        </is>
      </c>
      <c r="AT165" s="24" t="inlineStr">
        <is>
          <t>Yokohama BayStars</t>
        </is>
      </c>
      <c r="AU165" s="24" t="inlineStr">
        <is>
          <t>Yokohama BayStars</t>
        </is>
      </c>
      <c r="AV165" s="24" t="n"/>
      <c r="AW165" s="24" t="n"/>
      <c r="AX165" s="24" t="inlineStr">
        <is>
          <t>statistical_model</t>
        </is>
      </c>
      <c r="AY165" s="24" t="n"/>
      <c r="AZ165" s="24" t="inlineStr">
        <is>
          <t>shadow_qualified</t>
        </is>
      </c>
      <c r="BA165" s="24" t="inlineStr">
        <is>
          <t>0d92a6f9072a32fcbc91ff0bc4839b22dd43ac55e239ff6e19aebbebf190eee1</t>
        </is>
      </c>
      <c r="BB165" s="24" t="inlineStr">
        <is>
          <t>tie_aware_elo</t>
        </is>
      </c>
      <c r="BC165" s="24" t="inlineStr">
        <is>
          <t>npb-tie-aware-elo-v2</t>
        </is>
      </c>
      <c r="BD165" s="24" t="inlineStr">
        <is>
          <t>0d92a6f9072a32fcbc91ff0bc4839b22dd43ac55e239ff6e19aebbebf190eee1</t>
        </is>
      </c>
      <c r="BE165" s="24" t="inlineStr">
        <is>
          <t>1</t>
        </is>
      </c>
      <c r="BF165" s="24" t="inlineStr">
        <is>
          <t>1</t>
        </is>
      </c>
      <c r="BG165" s="24" t="inlineStr">
        <is>
          <t>npb-tie-aware-elo-v2</t>
        </is>
      </c>
      <c r="BH165" s="24" t="inlineStr">
        <is>
          <t>2026-09-18T07:43:23.246991Z</t>
        </is>
      </c>
      <c r="BI165" s="24" t="inlineStr">
        <is>
          <t>["same_event","same_team_same_day","same_league_same_day"]</t>
        </is>
      </c>
      <c r="BJ165" s="25" t="n"/>
      <c r="BK165" s="26" t="n">
        <v>-133</v>
      </c>
      <c r="BL165" s="27" t="n">
        <v>1.75188</v>
      </c>
      <c r="BM165" s="28" t="n">
        <v>0.570815</v>
      </c>
      <c r="BN165" s="28" t="n"/>
      <c r="BO165" s="28" t="n"/>
      <c r="BP165" s="25" t="n"/>
      <c r="BQ165" s="27" t="n"/>
      <c r="BR165" s="28" t="n"/>
      <c r="BS165" s="28" t="n"/>
      <c r="BT165" s="28" t="n"/>
      <c r="BU165" s="25" t="n"/>
      <c r="BV165" s="29" t="n"/>
      <c r="BW165" s="24" t="n"/>
      <c r="BX165" s="30" t="n"/>
      <c r="BY165" s="27" t="n"/>
      <c r="BZ165" s="24" t="n"/>
      <c r="CA165" s="31" t="n"/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24" t="n"/>
      <c r="CN165" s="24" t="n"/>
      <c r="CO165" s="24" t="n"/>
      <c r="CP165" s="24" t="n"/>
      <c r="CQ165" s="24" t="n"/>
      <c r="CR165" s="24" t="n"/>
      <c r="CS165" s="24" t="inlineStr">
        <is>
          <t>True</t>
        </is>
      </c>
      <c r="CT165" s="24" t="n"/>
      <c r="CU165" s="24" t="n"/>
      <c r="CV165" s="24" t="n"/>
      <c r="CW165" s="24" t="n"/>
      <c r="CX165" s="24" t="n"/>
      <c r="CY165" s="24" t="n"/>
      <c r="CZ165" s="24" t="n"/>
      <c r="DA165" s="24" t="n"/>
      <c r="DB165" s="24" t="n"/>
      <c r="DC165" s="24" t="n"/>
      <c r="DD165" s="24" t="n"/>
      <c r="DE165" s="24" t="n"/>
      <c r="DF165" s="24" t="n"/>
      <c r="DG165" s="24" t="n"/>
      <c r="DH165" s="24" t="n"/>
      <c r="DI165" s="24" t="n"/>
      <c r="DJ165" s="24" t="inlineStr">
        <is>
          <t>0.570815</t>
        </is>
      </c>
      <c r="DK165" s="24" t="n"/>
      <c r="DL165" s="24" t="n"/>
      <c r="DM165" s="24" t="n"/>
      <c r="DN165" s="24" t="n"/>
      <c r="DO165" s="24" t="n"/>
      <c r="DP165" s="24" t="n"/>
      <c r="DQ165" s="24" t="inlineStr">
        <is>
          <t>{"artifact_hash": "0d92a6f9072a32fcbc91ff0bc4839b22dd43ac55e239ff6e19aebbebf190eee1", "away_team": "Tokyo Yakult Swallows", "draw_settlement_value": 0.5, "event_id": "113389", "event_start_utc": "2026-09-18T09:00:00Z", "features": {"away_elo": 1423.141441, "base_tie_rate": 0.02407318, "home_advantage": 35.0, "home_elo": 1519.157376}, "historical_source_observation_times_verified": false, "home_team": "Yokohama BayStars", "inference_inputs": {"away_id": "S", "base_tie_rate": 0.02407318, "book_state": {"_games_played": null, "_last_active": null, "decay_rate": 0.0, "home_advantage": 35.0, "k": 8.0, "margin_weight": 0.0, "ratings": {"DB": 1519.157376, "S": 1423.141441}}, "code_sha256": {"features/elo_ratings.py": "8525faf022a6343c452286dbfeb17dbb043744c6bdabbe448b6b371216da439b", "international_baseball.py": "f345eb917316d2e897f62c1cdd0f73153115c65da54c30c6137ad76bb7b27869"}, "home_id": "DB", "tie_method": "elo_gap"}, "market_type": "moneyline", "model_version": "npb-tie-aware-elo-v2", "observed_at_utc": "2026-09-18T07:43:22.631719+00:00", "outcome_probabilities": {"away": 0.3134024360184478, "draw": 0.020339919069383483, "home": 0.6662576449121688}, "replay_scope": "Exact Elo and tie model; logged value is expected contract settlement, not outright win probability.", "schema": "international-elo-replay-v1", "settlement_values": {"away": 0.323572, "home": 0.676428}, "snapshot_hash": "ea1e874498586e6f44090c7b534f403aa566e283dc4007c678f85fcd8d73747a", "sport": "NPB"}</t>
        </is>
      </c>
    </row>
    <row r="166" ht="36" customHeight="1">
      <c r="A166" s="24" t="inlineStr">
        <is>
          <t>0435f4a120974ffa</t>
        </is>
      </c>
      <c r="B166" s="24" t="inlineStr">
        <is>
          <t>2026-09-18T07:43:23.416905Z</t>
        </is>
      </c>
      <c r="C166" s="24" t="inlineStr">
        <is>
          <t>2026-09-18T09:00:00Z</t>
        </is>
      </c>
      <c r="D166" s="24" t="inlineStr">
        <is>
          <t>113390</t>
        </is>
      </c>
      <c r="E166" s="24" t="inlineStr">
        <is>
          <t>NPB</t>
        </is>
      </c>
      <c r="F166" s="24" t="inlineStr">
        <is>
          <t>Hiroshima Carp</t>
        </is>
      </c>
      <c r="G166" s="24" t="inlineStr">
        <is>
          <t>Hanshin Tigers</t>
        </is>
      </c>
      <c r="H166" s="24" t="inlineStr">
        <is>
          <t>moneyline</t>
        </is>
      </c>
      <c r="I166" s="24" t="inlineStr">
        <is>
          <t>home</t>
        </is>
      </c>
      <c r="J166" s="25" t="n"/>
      <c r="K166" s="24" t="inlineStr">
        <is>
          <t>polymarket_us</t>
        </is>
      </c>
      <c r="L166" s="26" t="n">
        <v>-170</v>
      </c>
      <c r="M166" s="27" t="n">
        <v>1.588235</v>
      </c>
      <c r="N166" s="28" t="n">
        <v>0.62963</v>
      </c>
      <c r="O166" s="28" t="n">
        <v>0.651344</v>
      </c>
      <c r="P166" s="28" t="n"/>
      <c r="Q166" s="28" t="n">
        <v>0.021714</v>
      </c>
      <c r="R166" s="26" t="n">
        <v>31</v>
      </c>
      <c r="S166" s="29" t="n">
        <v>1</v>
      </c>
      <c r="T166" s="24" t="inlineStr">
        <is>
          <t>npb-tie-aware-elo-v2</t>
        </is>
      </c>
      <c r="U166" s="24" t="inlineStr">
        <is>
          <t>settled</t>
        </is>
      </c>
      <c r="V166" s="24" t="inlineStr">
        <is>
          <t>win</t>
        </is>
      </c>
      <c r="W166" s="26" t="n">
        <v>1</v>
      </c>
      <c r="X166" s="26" t="n">
        <v>2</v>
      </c>
      <c r="Y166" s="25" t="n"/>
      <c r="Z166" s="26" t="n"/>
      <c r="AA166" s="28" t="n"/>
      <c r="AB166" s="28" t="n"/>
      <c r="AC166" s="30" t="n">
        <v>0.5881999999999999</v>
      </c>
      <c r="AD166" s="24" t="inlineStr">
        <is>
          <t>2026-09-18T22:01:12.215061Z</t>
        </is>
      </c>
      <c r="AE166" s="31" t="inlineStr">
        <is>
          <t>Tie-aware Elo baseline; executable ask 0.6300 (market_slug=aec-npb-hta-hci-2026-09-18). Tie probability=0.0227.</t>
        </is>
      </c>
      <c r="AF166" s="31" t="inlineStr">
        <is>
          <t>Config-promoted international baseball baseline; gates enforced at log time.</t>
        </is>
      </c>
      <c r="AG166" s="24" t="inlineStr">
        <is>
          <t>not_applicable</t>
        </is>
      </c>
      <c r="AH166" s="24" t="n"/>
      <c r="AI166" s="31" t="n"/>
      <c r="AJ166" s="31" t="n"/>
      <c r="AK166" s="24" t="inlineStr">
        <is>
          <t>model_qualified</t>
        </is>
      </c>
      <c r="AL166" s="26" t="n">
        <v>4</v>
      </c>
      <c r="AM166" s="24" t="inlineStr">
        <is>
          <t>QUALIFIED_SHADOW_CALL</t>
        </is>
      </c>
      <c r="AN166" s="24" t="inlineStr">
        <is>
          <t>CALL</t>
        </is>
      </c>
      <c r="AO166" s="24" t="inlineStr">
        <is>
          <t>QUALIFIED</t>
        </is>
      </c>
      <c r="AP166" s="24" t="inlineStr">
        <is>
          <t>Hiroshima Carp</t>
        </is>
      </c>
      <c r="AQ166" s="24" t="inlineStr">
        <is>
          <t>Hiroshima Carp</t>
        </is>
      </c>
      <c r="AR166" s="24" t="inlineStr">
        <is>
          <t>Hiroshima Carp</t>
        </is>
      </c>
      <c r="AS166" s="24" t="inlineStr">
        <is>
          <t>Hanshin Tigers</t>
        </is>
      </c>
      <c r="AT166" s="24" t="inlineStr">
        <is>
          <t>Hanshin Tigers</t>
        </is>
      </c>
      <c r="AU166" s="24" t="inlineStr">
        <is>
          <t>Hanshin Tigers</t>
        </is>
      </c>
      <c r="AV166" s="24" t="n"/>
      <c r="AW166" s="24" t="n"/>
      <c r="AX166" s="24" t="inlineStr">
        <is>
          <t>statistical_model</t>
        </is>
      </c>
      <c r="AY166" s="24" t="n"/>
      <c r="AZ166" s="24" t="inlineStr">
        <is>
          <t>shadow_qualified</t>
        </is>
      </c>
      <c r="BA166" s="24" t="inlineStr">
        <is>
          <t>0d92a6f9072a32fcbc91ff0bc4839b22dd43ac55e239ff6e19aebbebf190eee1</t>
        </is>
      </c>
      <c r="BB166" s="24" t="inlineStr">
        <is>
          <t>tie_aware_elo</t>
        </is>
      </c>
      <c r="BC166" s="24" t="inlineStr">
        <is>
          <t>npb-tie-aware-elo-v2</t>
        </is>
      </c>
      <c r="BD166" s="24" t="inlineStr">
        <is>
          <t>0d92a6f9072a32fcbc91ff0bc4839b22dd43ac55e239ff6e19aebbebf190eee1</t>
        </is>
      </c>
      <c r="BE166" s="24" t="inlineStr">
        <is>
          <t>1</t>
        </is>
      </c>
      <c r="BF166" s="24" t="inlineStr">
        <is>
          <t>1</t>
        </is>
      </c>
      <c r="BG166" s="24" t="inlineStr">
        <is>
          <t>npb-tie-aware-elo-v2</t>
        </is>
      </c>
      <c r="BH166" s="24" t="inlineStr">
        <is>
          <t>2026-09-18T07:43:23.416797Z</t>
        </is>
      </c>
      <c r="BI166" s="24" t="inlineStr">
        <is>
          <t>["same_event","same_team_same_day","same_league_same_day"]</t>
        </is>
      </c>
      <c r="BJ166" s="25" t="n"/>
      <c r="BK166" s="26" t="n">
        <v>-170</v>
      </c>
      <c r="BL166" s="27" t="n">
        <v>1.588235</v>
      </c>
      <c r="BM166" s="28" t="n">
        <v>0.62963</v>
      </c>
      <c r="BN166" s="28" t="n"/>
      <c r="BO166" s="28" t="n"/>
      <c r="BP166" s="25" t="n"/>
      <c r="BQ166" s="27" t="n"/>
      <c r="BR166" s="28" t="n"/>
      <c r="BS166" s="28" t="n"/>
      <c r="BT166" s="28" t="n"/>
      <c r="BU166" s="25" t="n"/>
      <c r="BV166" s="29" t="n"/>
      <c r="BW166" s="24" t="n"/>
      <c r="BX166" s="30" t="n"/>
      <c r="BY166" s="27" t="n"/>
      <c r="BZ166" s="24" t="n"/>
      <c r="CA166" s="31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  <c r="CS166" s="24" t="inlineStr">
        <is>
          <t>True</t>
        </is>
      </c>
      <c r="CT166" s="24" t="n"/>
      <c r="CU166" s="24" t="n"/>
      <c r="CV166" s="24" t="n"/>
      <c r="CW166" s="24" t="n"/>
      <c r="CX166" s="24" t="n"/>
      <c r="CY166" s="24" t="n"/>
      <c r="CZ166" s="24" t="n"/>
      <c r="DA166" s="24" t="n"/>
      <c r="DB166" s="24" t="n"/>
      <c r="DC166" s="24" t="n"/>
      <c r="DD166" s="24" t="n"/>
      <c r="DE166" s="24" t="n"/>
      <c r="DF166" s="24" t="n"/>
      <c r="DG166" s="24" t="n"/>
      <c r="DH166" s="24" t="n"/>
      <c r="DI166" s="24" t="n"/>
      <c r="DJ166" s="24" t="inlineStr">
        <is>
          <t>0.62963</t>
        </is>
      </c>
      <c r="DK166" s="24" t="n"/>
      <c r="DL166" s="24" t="n"/>
      <c r="DM166" s="24" t="n"/>
      <c r="DN166" s="24" t="n"/>
      <c r="DO166" s="24" t="n"/>
      <c r="DP166" s="24" t="n"/>
      <c r="DQ166" s="24" t="inlineStr">
        <is>
          <t>{"artifact_hash": "0d92a6f9072a32fcbc91ff0bc4839b22dd43ac55e239ff6e19aebbebf190eee1", "away_team": "Hiroshima Carp", "draw_settlement_value": 0.5, "event_id": "113390", "event_start_utc": "2026-09-18T09:00:00Z", "features": {"away_elo": 1437.546992, "base_tie_rate": 0.02407318, "home_advantage": 35.0, "home_elo": 1513.81}, "historical_source_observation_times_verified": false, "home_team": "Hanshin Tigers", "inference_inputs": {"away_id": "C", "base_tie_rate": 0.02407318, "book_state": {"_games_played": null, "_last_active": null, "decay_rate": 0.0, "home_advantage": 35.0, "k": 8.0, "margin_weight": 0.0, "ratings": {"C": 1437.546992, "T": 1513.81}}, "code_sha256": {"features/elo_ratings.py": "8525faf022a6343c452286dbfeb17dbb043744c6bdabbe448b6b371216da439b", "international_baseball.py": "f345eb917316d2e897f62c1cdd0f73153115c65da54c30c6137ad76bb7b27869"}, "home_id": "T", "tie_method": "elo_gap"}, "market_type": "moneyline", "model_version": "npb-tie-aware-elo-v2", "observed_at_utc": "2026-09-18T07:43:22.631719+00:00", "outcome_probabilities": {"away": 0.33729706984219043, "draw": 0.02271749790537281, "home": 0.6399854322524368}, "replay_scope": "Exact Elo and tie model; logged value is expected contract settlement, not outright win probability.", "schema": "international-elo-replay-v1", "settlement_values": {"away": 0.348656, "home": 0.651344}, "snapshot_hash": "77e9293de9d62f825665e15e5516548034e7ad858d82ade04bd0e961da1e4bf8", "sport": "NPB"}</t>
        </is>
      </c>
    </row>
    <row r="167" ht="36" customHeight="1">
      <c r="A167" s="24" t="inlineStr">
        <is>
          <t>c42c46e0e2e3484a</t>
        </is>
      </c>
      <c r="B167" s="24" t="inlineStr">
        <is>
          <t>2026-09-18T22:09:11.651667Z</t>
        </is>
      </c>
      <c r="C167" s="24" t="inlineStr">
        <is>
          <t>2026-09-19T05:00:00Z</t>
        </is>
      </c>
      <c r="D167" s="24" t="inlineStr">
        <is>
          <t>114327</t>
        </is>
      </c>
      <c r="E167" s="24" t="inlineStr">
        <is>
          <t>NPB</t>
        </is>
      </c>
      <c r="F167" s="24" t="inlineStr">
        <is>
          <t>Chunichi Dragons</t>
        </is>
      </c>
      <c r="G167" s="24" t="inlineStr">
        <is>
          <t>Yomiuri Giants</t>
        </is>
      </c>
      <c r="H167" s="24" t="inlineStr">
        <is>
          <t>moneyline</t>
        </is>
      </c>
      <c r="I167" s="24" t="inlineStr">
        <is>
          <t>home</t>
        </is>
      </c>
      <c r="J167" s="25" t="n"/>
      <c r="K167" s="24" t="inlineStr">
        <is>
          <t>polymarket_us</t>
        </is>
      </c>
      <c r="L167" s="26" t="n">
        <v>-127</v>
      </c>
      <c r="M167" s="27" t="n">
        <v>1.787402</v>
      </c>
      <c r="N167" s="28" t="n">
        <v>0.5594710000000001</v>
      </c>
      <c r="O167" s="28" t="n">
        <v>0.619215</v>
      </c>
      <c r="P167" s="28" t="n"/>
      <c r="Q167" s="28" t="n">
        <v>0.059744</v>
      </c>
      <c r="R167" s="26" t="n">
        <v>50</v>
      </c>
      <c r="S167" s="29" t="n">
        <v>1</v>
      </c>
      <c r="T167" s="24" t="inlineStr">
        <is>
          <t>npb-tie-aware-elo-v2</t>
        </is>
      </c>
      <c r="U167" s="24" t="inlineStr">
        <is>
          <t>settled</t>
        </is>
      </c>
      <c r="V167" s="24" t="inlineStr">
        <is>
          <t>win</t>
        </is>
      </c>
      <c r="W167" s="26" t="n">
        <v>1</v>
      </c>
      <c r="X167" s="26" t="n">
        <v>14</v>
      </c>
      <c r="Y167" s="25" t="n"/>
      <c r="Z167" s="26" t="n"/>
      <c r="AA167" s="28" t="n"/>
      <c r="AB167" s="28" t="n"/>
      <c r="AC167" s="30" t="n">
        <v>0.7874</v>
      </c>
      <c r="AD167" s="24" t="inlineStr">
        <is>
          <t>2026-09-19T22:02:02.344031Z</t>
        </is>
      </c>
      <c r="AE167" s="31" t="inlineStr">
        <is>
          <t>Tie-aware Elo baseline; executable ask 0.5600 (market_slug=aec-npb-ygo-cdh-2026-09-19). Tie probability=0.0241.</t>
        </is>
      </c>
      <c r="AF167" s="31" t="inlineStr">
        <is>
          <t>Config-promoted international baseball baseline; gates enforced at log time.</t>
        </is>
      </c>
      <c r="AG167" s="24" t="inlineStr">
        <is>
          <t>not_applicable</t>
        </is>
      </c>
      <c r="AH167" s="24" t="n"/>
      <c r="AI167" s="31" t="n"/>
      <c r="AJ167" s="31" t="n"/>
      <c r="AK167" s="24" t="inlineStr">
        <is>
          <t>model_qualified</t>
        </is>
      </c>
      <c r="AL167" s="26" t="n">
        <v>4</v>
      </c>
      <c r="AM167" s="24" t="inlineStr">
        <is>
          <t>QUALIFIED_SHADOW_CALL</t>
        </is>
      </c>
      <c r="AN167" s="24" t="inlineStr">
        <is>
          <t>CALL</t>
        </is>
      </c>
      <c r="AO167" s="24" t="inlineStr">
        <is>
          <t>QUALIFIED</t>
        </is>
      </c>
      <c r="AP167" s="24" t="inlineStr">
        <is>
          <t>Chunichi Dragons</t>
        </is>
      </c>
      <c r="AQ167" s="24" t="inlineStr">
        <is>
          <t>Chunichi Dragons</t>
        </is>
      </c>
      <c r="AR167" s="24" t="inlineStr">
        <is>
          <t>Chunichi Dragons</t>
        </is>
      </c>
      <c r="AS167" s="24" t="inlineStr">
        <is>
          <t>Yomiuri Giants</t>
        </is>
      </c>
      <c r="AT167" s="24" t="inlineStr">
        <is>
          <t>Yomiuri Giants</t>
        </is>
      </c>
      <c r="AU167" s="24" t="inlineStr">
        <is>
          <t>Yomiuri Giants</t>
        </is>
      </c>
      <c r="AV167" s="24" t="n"/>
      <c r="AW167" s="24" t="n"/>
      <c r="AX167" s="24" t="inlineStr">
        <is>
          <t>statistical_model</t>
        </is>
      </c>
      <c r="AY167" s="24" t="n"/>
      <c r="AZ167" s="24" t="inlineStr">
        <is>
          <t>shadow_qualified</t>
        </is>
      </c>
      <c r="BA167" s="24" t="inlineStr">
        <is>
          <t>ed60727dd07a4cdc7d2150b32e4822193576e9334ba7136b09a5a5b2eb1f2709</t>
        </is>
      </c>
      <c r="BB167" s="24" t="inlineStr">
        <is>
          <t>tie_aware_elo</t>
        </is>
      </c>
      <c r="BC167" s="24" t="inlineStr">
        <is>
          <t>npb-tie-aware-elo-v2</t>
        </is>
      </c>
      <c r="BD167" s="24" t="inlineStr">
        <is>
          <t>ed60727dd07a4cdc7d2150b32e4822193576e9334ba7136b09a5a5b2eb1f2709</t>
        </is>
      </c>
      <c r="BE167" s="24" t="inlineStr">
        <is>
          <t>1</t>
        </is>
      </c>
      <c r="BF167" s="24" t="inlineStr">
        <is>
          <t>1</t>
        </is>
      </c>
      <c r="BG167" s="24" t="inlineStr">
        <is>
          <t>npb-tie-aware-elo-v2</t>
        </is>
      </c>
      <c r="BH167" s="24" t="inlineStr">
        <is>
          <t>2026-09-18T22:08:54.967187Z</t>
        </is>
      </c>
      <c r="BI167" s="24" t="inlineStr">
        <is>
          <t>["same_event","same_team_same_day","same_league_same_day"]</t>
        </is>
      </c>
      <c r="BJ167" s="25" t="n"/>
      <c r="BK167" s="26" t="n">
        <v>-127</v>
      </c>
      <c r="BL167" s="27" t="n">
        <v>1.787402</v>
      </c>
      <c r="BM167" s="28" t="n">
        <v>0.5594710000000001</v>
      </c>
      <c r="BN167" s="28" t="n"/>
      <c r="BO167" s="28" t="n"/>
      <c r="BP167" s="25" t="n"/>
      <c r="BQ167" s="27" t="n"/>
      <c r="BR167" s="28" t="n"/>
      <c r="BS167" s="28" t="n"/>
      <c r="BT167" s="28" t="n"/>
      <c r="BU167" s="25" t="n"/>
      <c r="BV167" s="29" t="n"/>
      <c r="BW167" s="24" t="n"/>
      <c r="BX167" s="30" t="n"/>
      <c r="BY167" s="27" t="n"/>
      <c r="BZ167" s="24" t="n"/>
      <c r="CA167" s="31" t="n"/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  <c r="CL167" s="24" t="n"/>
      <c r="CM167" s="24" t="n"/>
      <c r="CN167" s="24" t="n"/>
      <c r="CO167" s="24" t="n"/>
      <c r="CP167" s="24" t="n"/>
      <c r="CQ167" s="24" t="n"/>
      <c r="CR167" s="24" t="n"/>
      <c r="CS167" s="24" t="inlineStr">
        <is>
          <t>True</t>
        </is>
      </c>
      <c r="CT167" s="24" t="n"/>
      <c r="CU167" s="24" t="n"/>
      <c r="CV167" s="24" t="n"/>
      <c r="CW167" s="24" t="n"/>
      <c r="CX167" s="24" t="n"/>
      <c r="CY167" s="24" t="n"/>
      <c r="CZ167" s="24" t="n"/>
      <c r="DA167" s="24" t="n"/>
      <c r="DB167" s="24" t="n"/>
      <c r="DC167" s="24" t="n"/>
      <c r="DD167" s="24" t="n"/>
      <c r="DE167" s="24" t="n"/>
      <c r="DF167" s="24" t="n"/>
      <c r="DG167" s="24" t="n"/>
      <c r="DH167" s="24" t="n"/>
      <c r="DI167" s="24" t="n"/>
      <c r="DJ167" s="24" t="inlineStr">
        <is>
          <t>0.559471</t>
        </is>
      </c>
      <c r="DK167" s="24" t="n"/>
      <c r="DL167" s="24" t="n"/>
      <c r="DM167" s="24" t="n"/>
      <c r="DN167" s="24" t="n"/>
      <c r="DO167" s="24" t="n"/>
      <c r="DP167" s="24" t="n"/>
      <c r="DQ167" s="24" t="inlineStr">
        <is>
          <t>{"artifact_hash": "ed60727dd07a4cdc7d2150b32e4822193576e9334ba7136b09a5a5b2eb1f2709", "away_team": "Chunichi Dragons", "draw_settlement_value": 0.5, "event_id": "114327", "event_start_utc": "2026-09-19T05:00:00Z", "features": {"away_elo": 1459.707577, "base_tie_rate": 0.02405581, "home_advantage": 35.0, "home_elo": 1511.340652}, "historical_source_observation_times_verified": false, "home_team": "Yomiuri Giants", "inference_inputs": {"away_id": "D", "base_tie_rate": 0.02405581, "book_state": {"_games_played": null, "_last_active": null, "decay_rate": 0.0, "home_advantage": 35.0, "k": 8.0, "margin_weight": 0.0, "ratings": {"D": 1459.707577, "G": 1511.340652}}, "code_sha256": {"features/elo_ratings.py": "8525faf022a6343c452286dbfeb17dbb043744c6bdabbe448b6b371216da439b", "international_baseball.py": "f345eb917316d2e897f62c1cdd0f73153115c65da54c30c6137ad76bb7b27869"}, "home_id": "G", "tie_method": "flat"}, "market_type": "moneyline", "model_version": "npb-tie-aware-elo-v2", "observed_at_utc": "2026-09-18T22:08:54.874854+00:00", "outcome_probabilities": {"away": 0.36875680977539704, "draw": 0.02405581, "home": 0.607187380224603}, "replay_scope": "Exact Elo and tie model; logged value is expected contract settlement, not outright win probability.", "schema": "international-elo-replay-v1", "settlement_values": {"away": 0.380785, "home": 0.619215}, "snapshot_hash": "8787e707443d0a2ce56a47fc843a94d922f1447f10f60e9486c5a239e7159381", "sport": "NPB"}</t>
        </is>
      </c>
    </row>
    <row r="168" ht="36" customHeight="1">
      <c r="A168" s="24" t="inlineStr">
        <is>
          <t>39caafff94cd4a6e</t>
        </is>
      </c>
      <c r="B168" s="24" t="inlineStr">
        <is>
          <t>2026-09-19T05:45:09.668085Z</t>
        </is>
      </c>
      <c r="C168" s="24" t="inlineStr">
        <is>
          <t>2026-09-19T09:00:00Z</t>
        </is>
      </c>
      <c r="D168" s="24" t="inlineStr">
        <is>
          <t>114515</t>
        </is>
      </c>
      <c r="E168" s="24" t="inlineStr">
        <is>
          <t>NPB</t>
        </is>
      </c>
      <c r="F168" s="24" t="inlineStr">
        <is>
          <t>Saitama Seibu Lions</t>
        </is>
      </c>
      <c r="G168" s="24" t="inlineStr">
        <is>
          <t>Chiba Lotte Marines</t>
        </is>
      </c>
      <c r="H168" s="24" t="inlineStr">
        <is>
          <t>moneyline</t>
        </is>
      </c>
      <c r="I168" s="24" t="inlineStr">
        <is>
          <t>away</t>
        </is>
      </c>
      <c r="J168" s="25" t="n"/>
      <c r="K168" s="24" t="inlineStr">
        <is>
          <t>polymarket_us</t>
        </is>
      </c>
      <c r="L168" s="26" t="n">
        <v>-138</v>
      </c>
      <c r="M168" s="27" t="n">
        <v>1.724638</v>
      </c>
      <c r="N168" s="28" t="n">
        <v>0.579832</v>
      </c>
      <c r="O168" s="28" t="n">
        <v>0.520699</v>
      </c>
      <c r="P168" s="28" t="n"/>
      <c r="Q168" s="28" t="n">
        <v>-0.059133</v>
      </c>
      <c r="R168" s="26" t="n">
        <v>0</v>
      </c>
      <c r="S168" s="29" t="n">
        <v>1</v>
      </c>
      <c r="T168" s="24" t="inlineStr">
        <is>
          <t>npb-tie-aware-elo-v2</t>
        </is>
      </c>
      <c r="U168" s="24" t="inlineStr">
        <is>
          <t>settled</t>
        </is>
      </c>
      <c r="V168" s="24" t="inlineStr">
        <is>
          <t>win</t>
        </is>
      </c>
      <c r="W168" s="26" t="n">
        <v>4</v>
      </c>
      <c r="X168" s="26" t="n">
        <v>2</v>
      </c>
      <c r="Y168" s="25" t="n"/>
      <c r="Z168" s="26" t="n"/>
      <c r="AA168" s="28" t="n"/>
      <c r="AB168" s="28" t="n"/>
      <c r="AC168" s="30" t="n">
        <v>0.7246</v>
      </c>
      <c r="AD168" s="24" t="inlineStr">
        <is>
          <t>2026-09-19T22:02:02.615706Z</t>
        </is>
      </c>
      <c r="AE168" s="31" t="inlineStr">
        <is>
          <t>Tie-aware Elo baseline; executable ask 0.5800 (market_slug=aec-npb-clm-ssl-2026-09-19). Tie probability=0.0241.</t>
        </is>
      </c>
      <c r="AF168" s="31" t="inlineStr">
        <is>
          <t>Config-promoted international baseball baseline; gates enforced at log time.</t>
        </is>
      </c>
      <c r="AG168" s="24" t="inlineStr">
        <is>
          <t>not_applicable</t>
        </is>
      </c>
      <c r="AH168" s="24" t="n"/>
      <c r="AI168" s="31" t="n"/>
      <c r="AJ168" s="31" t="n"/>
      <c r="AK168" s="24" t="inlineStr">
        <is>
          <t>paper_call</t>
        </is>
      </c>
      <c r="AL168" s="26" t="n">
        <v>4</v>
      </c>
      <c r="AM168" s="24" t="inlineStr">
        <is>
          <t>RESEARCH_OBSERVATION</t>
        </is>
      </c>
      <c r="AN168" s="24" t="inlineStr">
        <is>
          <t>CALL</t>
        </is>
      </c>
      <c r="AO168" s="24" t="inlineStr">
        <is>
          <t>PAPER_CALL_LOW_EDGE</t>
        </is>
      </c>
      <c r="AP168" s="24" t="inlineStr">
        <is>
          <t>Saitama Seibu Lions</t>
        </is>
      </c>
      <c r="AQ168" s="24" t="inlineStr">
        <is>
          <t>Saitama Seibu Lions</t>
        </is>
      </c>
      <c r="AR168" s="24" t="inlineStr">
        <is>
          <t>Saitama Seibu Lions</t>
        </is>
      </c>
      <c r="AS168" s="24" t="inlineStr">
        <is>
          <t>Chiba Lotte Marines</t>
        </is>
      </c>
      <c r="AT168" s="24" t="inlineStr">
        <is>
          <t>Chiba Lotte Marines</t>
        </is>
      </c>
      <c r="AU168" s="24" t="inlineStr">
        <is>
          <t>Chiba Lotte Marines</t>
        </is>
      </c>
      <c r="AV168" s="24" t="n"/>
      <c r="AW168" s="24" t="n"/>
      <c r="AX168" s="24" t="inlineStr">
        <is>
          <t>statistical_model</t>
        </is>
      </c>
      <c r="AY168" s="24" t="n"/>
      <c r="AZ168" s="24" t="inlineStr">
        <is>
          <t>shadow_qualified</t>
        </is>
      </c>
      <c r="BA168" s="24" t="inlineStr">
        <is>
          <t>3d78eb9204283cd02633977f396600b2f7f10e83436604a2a1af07d678a19bd9</t>
        </is>
      </c>
      <c r="BB168" s="24" t="inlineStr">
        <is>
          <t>tie_aware_elo</t>
        </is>
      </c>
      <c r="BC168" s="24" t="inlineStr">
        <is>
          <t>npb-tie-aware-elo-v2</t>
        </is>
      </c>
      <c r="BD168" s="24" t="inlineStr">
        <is>
          <t>3d78eb9204283cd02633977f396600b2f7f10e83436604a2a1af07d678a19bd9</t>
        </is>
      </c>
      <c r="BE168" s="24" t="inlineStr">
        <is>
          <t>1</t>
        </is>
      </c>
      <c r="BF168" s="24" t="inlineStr">
        <is>
          <t>1</t>
        </is>
      </c>
      <c r="BG168" s="24" t="inlineStr">
        <is>
          <t>npb-tie-aware-elo-v2</t>
        </is>
      </c>
      <c r="BH168" s="24" t="inlineStr">
        <is>
          <t>2026-09-19T05:45:09.668024Z</t>
        </is>
      </c>
      <c r="BI168" s="24" t="inlineStr">
        <is>
          <t>["same_event","same_team_same_day","same_league_same_day"]</t>
        </is>
      </c>
      <c r="BJ168" s="25" t="n"/>
      <c r="BK168" s="26" t="n">
        <v>-138</v>
      </c>
      <c r="BL168" s="27" t="n">
        <v>1.724638</v>
      </c>
      <c r="BM168" s="28" t="n">
        <v>0.579832</v>
      </c>
      <c r="BN168" s="28" t="n"/>
      <c r="BO168" s="28" t="n"/>
      <c r="BP168" s="25" t="n"/>
      <c r="BQ168" s="27" t="n"/>
      <c r="BR168" s="28" t="n"/>
      <c r="BS168" s="28" t="n"/>
      <c r="BT168" s="28" t="n"/>
      <c r="BU168" s="25" t="n"/>
      <c r="BV168" s="29" t="n"/>
      <c r="BW168" s="24" t="n"/>
      <c r="BX168" s="30" t="n"/>
      <c r="BY168" s="27" t="n"/>
      <c r="BZ168" s="24" t="n"/>
      <c r="CA168" s="31" t="n"/>
      <c r="CB168" s="24" t="n"/>
      <c r="CC168" s="24" t="n"/>
      <c r="CD168" s="24" t="n"/>
      <c r="CE168" s="24" t="n"/>
      <c r="CF168" s="24" t="n"/>
      <c r="CG168" s="24" t="n"/>
      <c r="CH168" s="24" t="n"/>
      <c r="CI168" s="24" t="n"/>
      <c r="CJ168" s="24" t="n"/>
      <c r="CK168" s="24" t="n"/>
      <c r="CL168" s="24" t="n"/>
      <c r="CM168" s="24" t="n"/>
      <c r="CN168" s="24" t="n"/>
      <c r="CO168" s="24" t="n"/>
      <c r="CP168" s="24" t="n"/>
      <c r="CQ168" s="24" t="n"/>
      <c r="CR168" s="24" t="n"/>
      <c r="CS168" s="24" t="inlineStr">
        <is>
          <t>False</t>
        </is>
      </c>
      <c r="CT168" s="24" t="n"/>
      <c r="CU168" s="24" t="n"/>
      <c r="CV168" s="24" t="n"/>
      <c r="CW168" s="24" t="n"/>
      <c r="CX168" s="24" t="n"/>
      <c r="CY168" s="24" t="n"/>
      <c r="CZ168" s="24" t="n"/>
      <c r="DA168" s="24" t="n"/>
      <c r="DB168" s="24" t="n"/>
      <c r="DC168" s="24" t="n"/>
      <c r="DD168" s="24" t="n"/>
      <c r="DE168" s="24" t="n"/>
      <c r="DF168" s="24" t="n"/>
      <c r="DG168" s="24" t="n"/>
      <c r="DH168" s="24" t="n"/>
      <c r="DI168" s="24" t="n"/>
      <c r="DJ168" s="24" t="inlineStr">
        <is>
          <t>0.579832</t>
        </is>
      </c>
      <c r="DK168" s="24" t="n"/>
      <c r="DL168" s="24" t="n"/>
      <c r="DM168" s="24" t="n"/>
      <c r="DN168" s="24" t="n"/>
      <c r="DO168" s="24" t="n"/>
      <c r="DP168" s="24" t="n"/>
      <c r="DQ168" s="24" t="inlineStr">
        <is>
          <t>{"artifact_hash": "3d78eb9204283cd02633977f396600b2f7f10e83436604a2a1af07d678a19bd9", "away_team": "Saitama Seibu Lions", "draw_settlement_value": 0.5, "event_id": "114515", "event_start_utc": "2026-09-19T09:00:00Z", "features": {"away_elo": 1534.920211, "base_tie_rate": 0.02405581, "home_advantage": 35.0, "home_elo": 1485.173694}, "historical_source_observation_times_verified": false, "home_team": "Chiba Lotte Marines", "inference_inputs": {"away_id": "L", "base_tie_rate": 0.02405581, "book_state": {"_games_played": null, "_last_active": null, "decay_rate": 0.0, "home_advantage": 35.0, "k": 8.0, "margin_weight": 0.0, "ratings": {"L": 1534.920211, "M": 1485.173694}},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"2026-09-19T05:45:00.192808+00:00", "outcome_probabilities": {"away": 0.5086710996894644, "draw": 0.02405581, "home": 0.46727309031053554}, "replay_scope": "Exact Elo and tie model; logged value is expected contract settlement, not outright win probability.", "schema": "international-elo-replay-v1", "settlement_values": {"away": 0.520699, "home": 0.479301}, "snapshot_hash": "81f40950eb80d57c5ea4a9bc4c0afb8740ec2cf7c39e392201ca81c77b23b7a0", "sport": "NPB"}</t>
        </is>
      </c>
    </row>
    <row r="169" ht="36" customHeight="1">
      <c r="A169" s="24" t="inlineStr">
        <is>
          <t>a8d9d2190fc748f5</t>
        </is>
      </c>
      <c r="B169" s="24" t="inlineStr">
        <is>
          <t>2026-09-19T22:47:02.380459Z</t>
        </is>
      </c>
      <c r="C169" s="24" t="inlineStr">
        <is>
          <t>2026-09-20T05:00:00Z</t>
        </is>
      </c>
      <c r="D169" s="24" t="inlineStr">
        <is>
          <t>115742</t>
        </is>
      </c>
      <c r="E169" s="24" t="inlineStr">
        <is>
          <t>NPB</t>
        </is>
      </c>
      <c r="F169" s="24" t="inlineStr">
        <is>
          <t>Orix Buffaloes</t>
        </is>
      </c>
      <c r="G169" s="24" t="inlineStr">
        <is>
          <t>Nippon Ham Fighters</t>
        </is>
      </c>
      <c r="H169" s="24" t="inlineStr">
        <is>
          <t>moneyline</t>
        </is>
      </c>
      <c r="I169" s="24" t="inlineStr">
        <is>
          <t>home</t>
        </is>
      </c>
      <c r="J169" s="25" t="n"/>
      <c r="K169" s="24" t="inlineStr">
        <is>
          <t>polymarket_us</t>
        </is>
      </c>
      <c r="L169" s="26" t="n">
        <v>-203</v>
      </c>
      <c r="M169" s="27" t="n">
        <v>1.492611</v>
      </c>
      <c r="N169" s="28" t="n">
        <v>0.669967</v>
      </c>
      <c r="O169" s="28" t="n">
        <v>0.655119</v>
      </c>
      <c r="P169" s="28" t="n"/>
      <c r="Q169" s="28" t="n">
        <v>-0.014848</v>
      </c>
      <c r="R169" s="26" t="n">
        <v>13</v>
      </c>
      <c r="S169" s="29" t="n">
        <v>1</v>
      </c>
      <c r="T169" s="24" t="inlineStr">
        <is>
          <t>npb-tie-aware-elo-v2</t>
        </is>
      </c>
      <c r="U169" s="24" t="inlineStr">
        <is>
          <t>settled</t>
        </is>
      </c>
      <c r="V169" s="24" t="inlineStr">
        <is>
          <t>loss</t>
        </is>
      </c>
      <c r="W169" s="26" t="n">
        <v>9</v>
      </c>
      <c r="X169" s="26" t="n">
        <v>6</v>
      </c>
      <c r="Y169" s="25" t="n"/>
      <c r="Z169" s="26" t="n"/>
      <c r="AA169" s="28" t="n"/>
      <c r="AB169" s="28" t="n"/>
      <c r="AC169" s="30" t="n">
        <v>-1</v>
      </c>
      <c r="AD169" s="24" t="inlineStr">
        <is>
          <t>2026-09-20T22:18:11.533035Z</t>
        </is>
      </c>
      <c r="AE169" s="31" t="inlineStr">
        <is>
          <t>Tie-aware Elo baseline; executable ask 0.6700 (market_slug=aec-npb-nhf-obr-2026-09-20). Tie probability=0.0240.</t>
        </is>
      </c>
      <c r="AF169" s="31" t="inlineStr">
        <is>
          <t>Config-promoted international baseball baseline; gates enforced at log time.</t>
        </is>
      </c>
      <c r="AG169" s="24" t="inlineStr">
        <is>
          <t>review_required</t>
        </is>
      </c>
      <c r="AH169" s="24" t="n"/>
      <c r="AI169" s="31" t="n"/>
      <c r="AJ169" s="31" t="n"/>
      <c r="AK169" s="24" t="inlineStr">
        <is>
          <t>paper_call</t>
        </is>
      </c>
      <c r="AL169" s="26" t="n">
        <v>4</v>
      </c>
      <c r="AM169" s="24" t="inlineStr">
        <is>
          <t>RESEARCH_OBSERVATION</t>
        </is>
      </c>
      <c r="AN169" s="24" t="inlineStr">
        <is>
          <t>CALL</t>
        </is>
      </c>
      <c r="AO169" s="24" t="inlineStr">
        <is>
          <t>PAPER_CALL_LOW_EDGE</t>
        </is>
      </c>
      <c r="AP169" s="24" t="inlineStr">
        <is>
          <t>Orix Buffaloes</t>
        </is>
      </c>
      <c r="AQ169" s="24" t="inlineStr">
        <is>
          <t>Orix Buffaloes</t>
        </is>
      </c>
      <c r="AR169" s="24" t="inlineStr">
        <is>
          <t>Orix Buffaloes</t>
        </is>
      </c>
      <c r="AS169" s="24" t="inlineStr">
        <is>
          <t>Nippon Ham Fighters</t>
        </is>
      </c>
      <c r="AT169" s="24" t="inlineStr">
        <is>
          <t>Nippon Ham Fighters</t>
        </is>
      </c>
      <c r="AU169" s="24" t="inlineStr">
        <is>
          <t>Nippon Ham Fighters</t>
        </is>
      </c>
      <c r="AV169" s="24" t="n"/>
      <c r="AW169" s="24" t="n"/>
      <c r="AX169" s="24" t="inlineStr">
        <is>
          <t>statistical_model</t>
        </is>
      </c>
      <c r="AY169" s="24" t="n"/>
      <c r="AZ169" s="24" t="inlineStr">
        <is>
          <t>shadow_qualified</t>
        </is>
      </c>
      <c r="BA169" s="24" t="inlineStr">
        <is>
          <t>9ea21947002a893284455332c6336d3a32271cb0e9469bc7ecb49250ead8ebef</t>
        </is>
      </c>
      <c r="BB169" s="24" t="inlineStr">
        <is>
          <t>tie_aware_elo</t>
        </is>
      </c>
      <c r="BC169" s="24" t="inlineStr">
        <is>
          <t>npb-tie-aware-elo-v2</t>
        </is>
      </c>
      <c r="BD169" s="24" t="inlineStr">
        <is>
          <t>9ea21947002a893284455332c6336d3a32271cb0e9469bc7ecb49250ead8ebef</t>
        </is>
      </c>
      <c r="BE169" s="24" t="inlineStr">
        <is>
          <t>1</t>
        </is>
      </c>
      <c r="BF169" s="24" t="inlineStr">
        <is>
          <t>1</t>
        </is>
      </c>
      <c r="BG169" s="24" t="inlineStr">
        <is>
          <t>npb-tie-aware-elo-v2</t>
        </is>
      </c>
      <c r="BH169" s="24" t="inlineStr">
        <is>
          <t>2026-09-19T22:46:58.041759Z</t>
        </is>
      </c>
      <c r="BI169" s="24" t="inlineStr">
        <is>
          <t>["same_event","same_team_same_day","same_league_same_day"]</t>
        </is>
      </c>
      <c r="BJ169" s="25" t="n"/>
      <c r="BK169" s="26" t="n">
        <v>-203</v>
      </c>
      <c r="BL169" s="27" t="n">
        <v>1.492611</v>
      </c>
      <c r="BM169" s="28" t="n">
        <v>0.669967</v>
      </c>
      <c r="BN169" s="28" t="n"/>
      <c r="BO169" s="28" t="n"/>
      <c r="BP169" s="25" t="n"/>
      <c r="BQ169" s="27" t="n"/>
      <c r="BR169" s="28" t="n"/>
      <c r="BS169" s="28" t="n"/>
      <c r="BT169" s="28" t="n"/>
      <c r="BU169" s="25" t="n"/>
      <c r="BV169" s="29" t="n"/>
      <c r="BW169" s="24" t="n"/>
      <c r="BX169" s="30" t="n"/>
      <c r="BY169" s="27" t="n"/>
      <c r="BZ169" s="24" t="n"/>
      <c r="CA169" s="31" t="n"/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  <c r="CL169" s="24" t="n"/>
      <c r="CM169" s="24" t="n"/>
      <c r="CN169" s="24" t="n"/>
      <c r="CO169" s="24" t="n"/>
      <c r="CP169" s="24" t="n"/>
      <c r="CQ169" s="24" t="n"/>
      <c r="CR169" s="24" t="n"/>
      <c r="CS169" s="24" t="inlineStr">
        <is>
          <t>False</t>
        </is>
      </c>
      <c r="CT169" s="24" t="n"/>
      <c r="CU169" s="24" t="n"/>
      <c r="CV169" s="24" t="n"/>
      <c r="CW169" s="24" t="n"/>
      <c r="CX169" s="24" t="n"/>
      <c r="CY169" s="24" t="n"/>
      <c r="CZ169" s="24" t="n"/>
      <c r="DA169" s="24" t="n"/>
      <c r="DB169" s="24" t="n"/>
      <c r="DC169" s="24" t="n"/>
      <c r="DD169" s="24" t="n"/>
      <c r="DE169" s="24" t="n"/>
      <c r="DF169" s="24" t="n"/>
      <c r="DG169" s="24" t="n"/>
      <c r="DH169" s="24" t="n"/>
      <c r="DI169" s="24" t="n"/>
      <c r="DJ169" s="24" t="inlineStr">
        <is>
          <t>0.669967</t>
        </is>
      </c>
      <c r="DK169" s="24" t="n"/>
      <c r="DL169" s="24" t="n"/>
      <c r="DM169" s="24" t="n"/>
      <c r="DN169" s="24" t="n"/>
      <c r="DO169" s="24" t="n"/>
      <c r="DP169" s="24" t="n"/>
      <c r="DQ169" s="24" t="inlineStr">
        <is>
          <t>{"artifact_hash": "9ea21947002a893284455332c6336d3a32271cb0e9469bc7ecb49250ead8ebef", "away_team": "Orix Buffaloes", "draw_settlement_value": 0.5, "event_id": "115742", "event_start_utc": "2026-09-20T05:00:00Z", "features": {"away_elo": 1480.515623, "base_tie_rate": 0.02402114, "home_advantage": 35.0, "home_elo": 1559.919164}, "historical_source_observation_times_verified": false, "home_team": "Nippon Ham Fighters", "inference_inputs": {"away_id": "B", "base_tie_rate": 0.02402114, "book_state": {"_games_played": null, "_last_active": null, "decay_rate": 0.0, "home_advantage": 35.0, "k": 8.0, "margin_weight": 0.0, "ratings": {"B": 1480.515623, "F": 1559.919164}}, "code_sha256": {"features/elo_ratings.py": "8525faf022a6343c452286dbfeb17dbb043744c6bdabbe448b6b371216da439b", "international_baseball.py": "f345eb917316d2e897f62c1cdd0f73153115c65da54c30c6137ad76bb7b27869"}, "home_id": "F", "tie_method": "flat"}, "market_type": "moneyline", "model_version": "npb-tie-aware-elo-v2", "observed_at_utc": "2026-09-19T22:46:49.603977+00:00", "outcome_probabilities": {"away": 0.3328704971275901, "draw": 0.02402114, "home": 0.6431083628724099}, "replay_scope": "Exact Elo and tie model; logged value is expected contract settlement, not outright win probability.", "schema": "international-elo-replay-v1", "settlement_values": {"away": 0.344881, "home": 0.655119}, "snapshot_hash": "e9869a601e9002a8889c45eda686d8bee779a74dcca8c2f0a7597fc72dc3b503", "sport": "NPB"}</t>
        </is>
      </c>
    </row>
    <row r="170" ht="36" customHeight="1">
      <c r="A170" s="24" t="inlineStr">
        <is>
          <t>d88bdaaf4652440a</t>
        </is>
      </c>
      <c r="B170" s="24" t="inlineStr">
        <is>
          <t>2026-09-20T05:02:56.097588Z</t>
        </is>
      </c>
      <c r="C170" s="24" t="inlineStr">
        <is>
          <t>2026-09-20T09:00:00Z</t>
        </is>
      </c>
      <c r="D170" s="24" t="inlineStr">
        <is>
          <t>115812</t>
        </is>
      </c>
      <c r="E170" s="24" t="inlineStr">
        <is>
          <t>NPB</t>
        </is>
      </c>
      <c r="F170" s="24" t="inlineStr">
        <is>
          <t>Saitama Seibu Lions</t>
        </is>
      </c>
      <c r="G170" s="24" t="inlineStr">
        <is>
          <t>Chiba Lotte Marines</t>
        </is>
      </c>
      <c r="H170" s="24" t="inlineStr">
        <is>
          <t>moneyline</t>
        </is>
      </c>
      <c r="I170" s="24" t="inlineStr">
        <is>
          <t>away</t>
        </is>
      </c>
      <c r="J170" s="25" t="n"/>
      <c r="K170" s="24" t="inlineStr">
        <is>
          <t>polymarket_us</t>
        </is>
      </c>
      <c r="L170" s="26" t="n">
        <v>-122</v>
      </c>
      <c r="M170" s="27" t="n">
        <v>1.819672</v>
      </c>
      <c r="N170" s="28" t="n">
        <v>0.54955</v>
      </c>
      <c r="O170" s="28" t="n">
        <v>0.531428</v>
      </c>
      <c r="P170" s="28" t="n"/>
      <c r="Q170" s="28" t="n">
        <v>-0.018122</v>
      </c>
      <c r="R170" s="26" t="n">
        <v>11</v>
      </c>
      <c r="S170" s="29" t="n">
        <v>1</v>
      </c>
      <c r="T170" s="24" t="inlineStr">
        <is>
          <t>npb-tie-aware-elo-v2</t>
        </is>
      </c>
      <c r="U170" s="24" t="inlineStr">
        <is>
          <t>settled</t>
        </is>
      </c>
      <c r="V170" s="24" t="inlineStr">
        <is>
          <t>push</t>
        </is>
      </c>
      <c r="W170" s="26" t="n"/>
      <c r="X170" s="26" t="n"/>
      <c r="Y170" s="25" t="n"/>
      <c r="Z170" s="26" t="n"/>
      <c r="AA170" s="28" t="n"/>
      <c r="AB170" s="28" t="n"/>
      <c r="AC170" s="30" t="n">
        <v>0</v>
      </c>
      <c r="AD170" s="24" t="inlineStr">
        <is>
          <t>2026-10-06T22:59:42.214913Z</t>
        </is>
      </c>
      <c r="AE170" s="31" t="inlineStr">
        <is>
          <t>Tie-aware Elo baseline; executable ask 0.5500 (market_slug=aec-npb-clm-ssl-2026-09-20). Tie probability=0.0240.</t>
        </is>
      </c>
      <c r="AF170" s="31" t="inlineStr">
        <is>
          <t>Config-promoted international baseball baseline; gates enforced at log time.</t>
        </is>
      </c>
      <c r="AG170" s="24" t="inlineStr">
        <is>
          <t>not_applicable</t>
        </is>
      </c>
      <c r="AH170" s="24" t="n"/>
      <c r="AI170" s="31" t="n"/>
      <c r="AJ170" s="31" t="n"/>
      <c r="AK170" s="24" t="inlineStr">
        <is>
          <t>paper_call</t>
        </is>
      </c>
      <c r="AL170" s="26" t="n">
        <v>4</v>
      </c>
      <c r="AM170" s="24" t="inlineStr">
        <is>
          <t>RESEARCH_OBSERVATION</t>
        </is>
      </c>
      <c r="AN170" s="24" t="inlineStr">
        <is>
          <t>CALL</t>
        </is>
      </c>
      <c r="AO170" s="24" t="inlineStr">
        <is>
          <t>PAPER_CALL_LOW_EDGE</t>
        </is>
      </c>
      <c r="AP170" s="24" t="inlineStr">
        <is>
          <t>Saitama Seibu Lions</t>
        </is>
      </c>
      <c r="AQ170" s="24" t="inlineStr">
        <is>
          <t>Saitama Seibu Lions</t>
        </is>
      </c>
      <c r="AR170" s="24" t="inlineStr">
        <is>
          <t>Saitama Seibu Lions</t>
        </is>
      </c>
      <c r="AS170" s="24" t="inlineStr">
        <is>
          <t>Chiba Lotte Marines</t>
        </is>
      </c>
      <c r="AT170" s="24" t="inlineStr">
        <is>
          <t>Chiba Lotte Marines</t>
        </is>
      </c>
      <c r="AU170" s="24" t="inlineStr">
        <is>
          <t>Chiba Lotte Marines</t>
        </is>
      </c>
      <c r="AV170" s="24" t="n"/>
      <c r="AW170" s="24" t="n"/>
      <c r="AX170" s="24" t="inlineStr">
        <is>
          <t>statistical_model</t>
        </is>
      </c>
      <c r="AY170" s="24" t="n"/>
      <c r="AZ170" s="24" t="inlineStr">
        <is>
          <t>shadow_qualified</t>
        </is>
      </c>
      <c r="BA170" s="24" t="inlineStr">
        <is>
          <t>b5bf98485c732421bdf3cf0b5a295b6e50bfbf20fc0ba4b99038f7c3769bab00</t>
        </is>
      </c>
      <c r="BB170" s="24" t="inlineStr">
        <is>
          <t>tie_aware_elo</t>
        </is>
      </c>
      <c r="BC170" s="24" t="inlineStr">
        <is>
          <t>npb-tie-aware-elo-v2</t>
        </is>
      </c>
      <c r="BD170" s="24" t="inlineStr">
        <is>
          <t>b5bf98485c732421bdf3cf0b5a295b6e50bfbf20fc0ba4b99038f7c3769bab00</t>
        </is>
      </c>
      <c r="BE170" s="24" t="inlineStr">
        <is>
          <t>1</t>
        </is>
      </c>
      <c r="BF170" s="24" t="inlineStr">
        <is>
          <t>1</t>
        </is>
      </c>
      <c r="BG170" s="24" t="inlineStr">
        <is>
          <t>npb-tie-aware-elo-v2</t>
        </is>
      </c>
      <c r="BH170" s="24" t="inlineStr">
        <is>
          <t>2026-09-20T05:02:47.657499Z</t>
        </is>
      </c>
      <c r="BI170" s="24" t="inlineStr">
        <is>
          <t>["same_event","same_team_same_day","same_league_same_day"]</t>
        </is>
      </c>
      <c r="BJ170" s="25" t="n"/>
      <c r="BK170" s="26" t="n">
        <v>-122</v>
      </c>
      <c r="BL170" s="27" t="n">
        <v>1.819672</v>
      </c>
      <c r="BM170" s="28" t="n">
        <v>0.54955</v>
      </c>
      <c r="BN170" s="28" t="n"/>
      <c r="BO170" s="28" t="n"/>
      <c r="BP170" s="25" t="n"/>
      <c r="BQ170" s="27" t="n"/>
      <c r="BR170" s="28" t="n"/>
      <c r="BS170" s="28" t="n"/>
      <c r="BT170" s="28" t="n"/>
      <c r="BU170" s="25" t="n"/>
      <c r="BV170" s="29" t="n"/>
      <c r="BW170" s="24" t="inlineStr">
        <is>
          <t>NPB game scheduled on 2026-09-20 cancelled/postponed (no final score posted after &gt;7 days)</t>
        </is>
      </c>
      <c r="BX170" s="30" t="n"/>
      <c r="BY170" s="27" t="n"/>
      <c r="BZ170" s="24" t="n"/>
      <c r="CA170" s="31" t="n"/>
      <c r="CB170" s="24" t="n"/>
      <c r="CC170" s="24" t="n"/>
      <c r="CD170" s="24" t="n"/>
      <c r="CE170" s="24" t="n"/>
      <c r="CF170" s="24" t="n"/>
      <c r="CG170" s="24" t="n"/>
      <c r="CH170" s="24" t="n"/>
      <c r="CI170" s="24" t="n"/>
      <c r="CJ170" s="24" t="n"/>
      <c r="CK170" s="24" t="n"/>
      <c r="CL170" s="24" t="n"/>
      <c r="CM170" s="24" t="n"/>
      <c r="CN170" s="24" t="n"/>
      <c r="CO170" s="24" t="n"/>
      <c r="CP170" s="24" t="n"/>
      <c r="CQ170" s="24" t="n"/>
      <c r="CR170" s="24" t="n"/>
      <c r="CS170" s="24" t="inlineStr">
        <is>
          <t>False</t>
        </is>
      </c>
      <c r="CT170" s="24" t="n"/>
      <c r="CU170" s="24" t="n"/>
      <c r="CV170" s="24" t="n"/>
      <c r="CW170" s="24" t="n"/>
      <c r="CX170" s="24" t="n"/>
      <c r="CY170" s="24" t="n"/>
      <c r="CZ170" s="24" t="n"/>
      <c r="DA170" s="24" t="n"/>
      <c r="DB170" s="24" t="n"/>
      <c r="DC170" s="24" t="n"/>
      <c r="DD170" s="24" t="n"/>
      <c r="DE170" s="24" t="n"/>
      <c r="DF170" s="24" t="n"/>
      <c r="DG170" s="24" t="n"/>
      <c r="DH170" s="24" t="n"/>
      <c r="DI170" s="24" t="n"/>
      <c r="DJ170" s="24" t="inlineStr">
        <is>
          <t>0.54955</t>
        </is>
      </c>
      <c r="DK170" s="24" t="n"/>
      <c r="DL170" s="24" t="n"/>
      <c r="DM170" s="24" t="n"/>
      <c r="DN170" s="24" t="n"/>
      <c r="DO170" s="24" t="n"/>
      <c r="DP170" s="24" t="n"/>
      <c r="DQ170" s="24" t="inlineStr">
        <is>
          <t>{"artifact_hash": "b5bf98485c732421bdf3cf0b5a295b6e50bfbf20fc0ba4b99038f7c3769bab00", "away_team": "Saitama Seibu Lions", "draw_settlement_value": 0.5, "event_id": "115812", "event_start_utc": "2026-09-20T09:00:00Z", "features": {"away_elo": 1538.750537, "base_tie_rate": 0.02402114, "home_advantage": 35.0, "home_elo": 1481.343367}, "historical_source_observation_times_verified": false, "home_team": "Chiba Lotte Marines", "inference_inputs": {"away_id": "L", "base_tie_rate": 0.02402114, "book_state": {"_games_played": null, "_last_active": null, "decay_rate": 0.0, "home_advantage": 35.0, "k": 8.0, "margin_weight": 0.0, "ratings": {"L": 1538.750537, "M": 1481.343367}},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"2026-09-20T05:02:47.603811+00:00", "outcome_probabilities": {"away": 0.5194177800822406, "draw": 0.02402114, "home": 0.4565610799177594}, "replay_scope": "Exact Elo and tie model; logged value is expected contract settlement, not outright win probability.", "schema": "international-elo-replay-v1", "settlement_values": {"away": 0.531428, "home": 0.468572}, "snapshot_hash": "2140de66ac074575025ed156ffa5f18242afd2d868bff2dbfb4a72f2fba9e01f", "sport": "NPB"}</t>
        </is>
      </c>
    </row>
    <row r="171" ht="36" customHeight="1">
      <c r="A171" s="24" t="inlineStr">
        <is>
          <t>683b31319efd430e</t>
        </is>
      </c>
      <c r="B171" s="24" t="inlineStr">
        <is>
          <t>2026-09-20T23:09:33.694137Z</t>
        </is>
      </c>
      <c r="C171" s="24" t="inlineStr">
        <is>
          <t>2026-09-21T04:00:00Z</t>
        </is>
      </c>
      <c r="D171" s="24" t="inlineStr">
        <is>
          <t>116555</t>
        </is>
      </c>
      <c r="E171" s="24" t="inlineStr">
        <is>
          <t>NPB</t>
        </is>
      </c>
      <c r="F171" s="24" t="inlineStr">
        <is>
          <t>Fukuoka SoftBank Hawks</t>
        </is>
      </c>
      <c r="G171" s="24" t="inlineStr">
        <is>
          <t>Tohoku Rakuten Golden Eagles</t>
        </is>
      </c>
      <c r="H171" s="24" t="inlineStr">
        <is>
          <t>moneyline</t>
        </is>
      </c>
      <c r="I171" s="24" t="inlineStr">
        <is>
          <t>away</t>
        </is>
      </c>
      <c r="J171" s="25" t="n"/>
      <c r="K171" s="24" t="inlineStr">
        <is>
          <t>polymarket_us</t>
        </is>
      </c>
      <c r="L171" s="26" t="n">
        <v>-150</v>
      </c>
      <c r="M171" s="27" t="n">
        <v>1.666667</v>
      </c>
      <c r="N171" s="28" t="n">
        <v>0.6</v>
      </c>
      <c r="O171" s="28" t="n">
        <v>0.586602</v>
      </c>
      <c r="P171" s="28" t="n"/>
      <c r="Q171" s="28" t="n">
        <v>-0.013398</v>
      </c>
      <c r="R171" s="26" t="n">
        <v>13</v>
      </c>
      <c r="S171" s="29" t="n">
        <v>1</v>
      </c>
      <c r="T171" s="24" t="inlineStr">
        <is>
          <t>npb-tie-aware-elo-v2</t>
        </is>
      </c>
      <c r="U171" s="24" t="inlineStr">
        <is>
          <t>settled</t>
        </is>
      </c>
      <c r="V171" s="24" t="inlineStr">
        <is>
          <t>push</t>
        </is>
      </c>
      <c r="W171" s="26" t="n"/>
      <c r="X171" s="26" t="n"/>
      <c r="Y171" s="25" t="n"/>
      <c r="Z171" s="26" t="n"/>
      <c r="AA171" s="28" t="n"/>
      <c r="AB171" s="28" t="n"/>
      <c r="AC171" s="30" t="n">
        <v>0</v>
      </c>
      <c r="AD171" s="24" t="inlineStr">
        <is>
          <t>2026-10-06T22:59:45.404797Z</t>
        </is>
      </c>
      <c r="AE171" s="31" t="inlineStr">
        <is>
          <t>Tie-aware Elo baseline; executable ask 0.6000 (market_slug=aec-npb-trge-fsh-2026-09-21). Tie probability=0.0285.</t>
        </is>
      </c>
      <c r="AF171" s="31" t="inlineStr">
        <is>
          <t>Config-promoted international baseball baseline; gates enforced at log time.</t>
        </is>
      </c>
      <c r="AG171" s="24" t="inlineStr">
        <is>
          <t>not_applicable</t>
        </is>
      </c>
      <c r="AH171" s="24" t="n"/>
      <c r="AI171" s="31" t="n"/>
      <c r="AJ171" s="31" t="n"/>
      <c r="AK171" s="24" t="inlineStr">
        <is>
          <t>paper_call</t>
        </is>
      </c>
      <c r="AL171" s="26" t="n">
        <v>4</v>
      </c>
      <c r="AM171" s="24" t="inlineStr">
        <is>
          <t>RESEARCH_OBSERVATION</t>
        </is>
      </c>
      <c r="AN171" s="24" t="inlineStr">
        <is>
          <t>CALL</t>
        </is>
      </c>
      <c r="AO171" s="24" t="inlineStr">
        <is>
          <t>PAPER_CALL_LOW_EDGE</t>
        </is>
      </c>
      <c r="AP171" s="24" t="inlineStr">
        <is>
          <t>Fukuoka SoftBank Hawks</t>
        </is>
      </c>
      <c r="AQ171" s="24" t="inlineStr">
        <is>
          <t>Fukuoka SoftBank Hawks</t>
        </is>
      </c>
      <c r="AR171" s="24" t="inlineStr">
        <is>
          <t>Fukuoka SoftBank Hawks</t>
        </is>
      </c>
      <c r="AS171" s="24" t="inlineStr">
        <is>
          <t>Tohoku Rakuten Golden Eagles</t>
        </is>
      </c>
      <c r="AT171" s="24" t="inlineStr">
        <is>
          <t>Tohoku Rakuten Golden Eagles</t>
        </is>
      </c>
      <c r="AU171" s="24" t="inlineStr">
        <is>
          <t>Tohoku Rakuten Golden Eagles</t>
        </is>
      </c>
      <c r="AV171" s="24" t="n"/>
      <c r="AW171" s="24" t="n"/>
      <c r="AX171" s="24" t="inlineStr">
        <is>
          <t>statistical_model</t>
        </is>
      </c>
      <c r="AY171" s="24" t="n"/>
      <c r="AZ171" s="24" t="inlineStr">
        <is>
          <t>shadow_qualified</t>
        </is>
      </c>
      <c r="BA171" s="24" t="inlineStr">
        <is>
          <t>680d7a28b4f2b56700e7a914961c1b21b338d5f5cdbefc1f7e88a82e01b3308b</t>
        </is>
      </c>
      <c r="BB171" s="24" t="inlineStr">
        <is>
          <t>tie_aware_elo</t>
        </is>
      </c>
      <c r="BC171" s="24" t="inlineStr">
        <is>
          <t>npb-tie-aware-elo-v2</t>
        </is>
      </c>
      <c r="BD171" s="24" t="inlineStr">
        <is>
          <t>680d7a28b4f2b56700e7a914961c1b21b338d5f5cdbefc1f7e88a82e01b3308b</t>
        </is>
      </c>
      <c r="BE171" s="24" t="inlineStr">
        <is>
          <t>1</t>
        </is>
      </c>
      <c r="BF171" s="24" t="inlineStr">
        <is>
          <t>1</t>
        </is>
      </c>
      <c r="BG171" s="24" t="inlineStr">
        <is>
          <t>npb-tie-aware-elo-v2</t>
        </is>
      </c>
      <c r="BH171" s="24" t="inlineStr">
        <is>
          <t>2026-09-20T23:09:33.444560Z</t>
        </is>
      </c>
      <c r="BI171" s="24" t="inlineStr">
        <is>
          <t>["same_event","same_team_same_day","same_league_same_day"]</t>
        </is>
      </c>
      <c r="BJ171" s="25" t="n"/>
      <c r="BK171" s="26" t="n">
        <v>-150</v>
      </c>
      <c r="BL171" s="27" t="n">
        <v>1.666667</v>
      </c>
      <c r="BM171" s="28" t="n">
        <v>0.6</v>
      </c>
      <c r="BN171" s="28" t="n"/>
      <c r="BO171" s="28" t="n"/>
      <c r="BP171" s="25" t="n"/>
      <c r="BQ171" s="27" t="n"/>
      <c r="BR171" s="28" t="n"/>
      <c r="BS171" s="28" t="n"/>
      <c r="BT171" s="28" t="n"/>
      <c r="BU171" s="25" t="n"/>
      <c r="BV171" s="29" t="n"/>
      <c r="BW171" s="24" t="inlineStr">
        <is>
          <t>NPB game scheduled on 2026-09-21 cancelled/postponed (no final score posted after &gt;7 days)</t>
        </is>
      </c>
      <c r="BX171" s="30" t="n"/>
      <c r="BY171" s="27" t="n"/>
      <c r="BZ171" s="24" t="n"/>
      <c r="CA171" s="31" t="n"/>
      <c r="CB171" s="24" t="n"/>
      <c r="CC171" s="24" t="n"/>
      <c r="CD171" s="24" t="n"/>
      <c r="CE171" s="24" t="n"/>
      <c r="CF171" s="24" t="n"/>
      <c r="CG171" s="24" t="n"/>
      <c r="CH171" s="24" t="n"/>
      <c r="CI171" s="24" t="n"/>
      <c r="CJ171" s="24" t="n"/>
      <c r="CK171" s="24" t="n"/>
      <c r="CL171" s="24" t="n"/>
      <c r="CM171" s="24" t="n"/>
      <c r="CN171" s="24" t="n"/>
      <c r="CO171" s="24" t="n"/>
      <c r="CP171" s="24" t="n"/>
      <c r="CQ171" s="24" t="n"/>
      <c r="CR171" s="24" t="n"/>
      <c r="CS171" s="24" t="inlineStr">
        <is>
          <t>False</t>
        </is>
      </c>
      <c r="CT171" s="24" t="n"/>
      <c r="CU171" s="24" t="n"/>
      <c r="CV171" s="24" t="n"/>
      <c r="CW171" s="24" t="n"/>
      <c r="CX171" s="24" t="n"/>
      <c r="CY171" s="24" t="n"/>
      <c r="CZ171" s="24" t="n"/>
      <c r="DA171" s="24" t="n"/>
      <c r="DB171" s="24" t="n"/>
      <c r="DC171" s="24" t="n"/>
      <c r="DD171" s="24" t="n"/>
      <c r="DE171" s="24" t="n"/>
      <c r="DF171" s="24" t="n"/>
      <c r="DG171" s="24" t="n"/>
      <c r="DH171" s="24" t="n"/>
      <c r="DI171" s="24" t="n"/>
      <c r="DJ171" s="24" t="inlineStr">
        <is>
          <t>0.6</t>
        </is>
      </c>
      <c r="DK171" s="24" t="n"/>
      <c r="DL171" s="24" t="n"/>
      <c r="DM171" s="24" t="n"/>
      <c r="DN171" s="24" t="n"/>
      <c r="DO171" s="24" t="n"/>
      <c r="DP171" s="24" t="n"/>
      <c r="DQ171" s="24" t="inlineStr">
        <is>
          <t>{"artifact_hash": "680d7a28b4f2b56700e7a914961c1b21b338d5f5cdbefc1f7e88a82e01b3308b", "away_team": "Fukuoka SoftBank Hawks", "draw_settlement_value": 0.5, "event_id": "116555", "event_start_utc": "2026-09-21T04:00:00Z", "features": {"away_elo": 1568.63959, "base_tie_rate": 0.02399232, "home_advantage": 35.0, "home_elo": 1471.029175}, "historical_source_observation_times_verified": false, "home_team": "Tohoku Rakuten Golden Eagles", "inference_inputs": {"away_id": "H", "base_tie_rate": 0.02399232, "book_state": {"_games_played": null, "_last_active": null, "decay_rate": 0.001, "home_advantage": 35.0, "k": 8.0, "margin_weight": 0.0, "ratings": {"E": 1471.029175, "H": 1568.63959}}, "code_sha256": {"features/elo_ratings.py": "8525faf022a6343c452286dbfeb17dbb043744c6bdabbe448b6b371216da439b", "international_baseball.py": "f345eb917316d2e897f62c1cdd0f73153115c65da54c30c6137ad76bb7b27869"}, "home_id": "E", "tie_method": "elo_gap"}, "market_type": "moneyline", "model_version": "npb-tie-aware-elo-v2", "observed_at_utc": "2026-09-20T23:09:33.136125+00:00", "outcome_probabilities": {"away": 0.5723634385065066, "draw": 0.02847763443993599, "home": 0.3991589270535573}, "replay_scope": "Exact Elo and tie model; logged value is expected contract settlement, not outright win probability.", "schema": "international-elo-replay-v1", "settlement_values": {"away": 0.586602, "home": 0.413398}, "snapshot_hash": "0953bb5a0ff48952a3f9501a2096968a3ee4d9788ef3635c203e52ec57010e44", "sport": "NPB"}</t>
        </is>
      </c>
    </row>
    <row r="172" ht="36" customHeight="1">
      <c r="A172" s="24" t="inlineStr">
        <is>
          <t>e96b174efe7645e5</t>
        </is>
      </c>
      <c r="B172" s="24" t="inlineStr">
        <is>
          <t>2026-09-21T04:39:08.769317Z</t>
        </is>
      </c>
      <c r="C172" s="24" t="inlineStr">
        <is>
          <t>2026-09-21T05:00:00Z</t>
        </is>
      </c>
      <c r="D172" s="24" t="inlineStr">
        <is>
          <t>116567</t>
        </is>
      </c>
      <c r="E172" s="24" t="inlineStr">
        <is>
          <t>NPB</t>
        </is>
      </c>
      <c r="F172" s="24" t="inlineStr">
        <is>
          <t>Yokohama BayStars</t>
        </is>
      </c>
      <c r="G172" s="24" t="inlineStr">
        <is>
          <t>Hanshin Tigers</t>
        </is>
      </c>
      <c r="H172" s="24" t="inlineStr">
        <is>
          <t>moneyline</t>
        </is>
      </c>
      <c r="I172" s="24" t="inlineStr">
        <is>
          <t>home</t>
        </is>
      </c>
      <c r="J172" s="25" t="n"/>
      <c r="K172" s="24" t="inlineStr">
        <is>
          <t>polymarket_us</t>
        </is>
      </c>
      <c r="L172" s="26" t="n">
        <v>-104</v>
      </c>
      <c r="M172" s="27" t="n">
        <v>1.961538</v>
      </c>
      <c r="N172" s="28" t="n">
        <v>0.509804</v>
      </c>
      <c r="O172" s="28" t="n">
        <v>0.536099</v>
      </c>
      <c r="P172" s="28" t="n"/>
      <c r="Q172" s="28" t="n">
        <v>0.026295</v>
      </c>
      <c r="R172" s="26" t="n">
        <v>33</v>
      </c>
      <c r="S172" s="29" t="n">
        <v>1</v>
      </c>
      <c r="T172" s="24" t="inlineStr">
        <is>
          <t>npb-tie-aware-elo-v2</t>
        </is>
      </c>
      <c r="U172" s="24" t="inlineStr">
        <is>
          <t>settled</t>
        </is>
      </c>
      <c r="V172" s="24" t="inlineStr">
        <is>
          <t>win</t>
        </is>
      </c>
      <c r="W172" s="26" t="n">
        <v>2</v>
      </c>
      <c r="X172" s="26" t="n">
        <v>3</v>
      </c>
      <c r="Y172" s="25" t="n"/>
      <c r="Z172" s="26" t="n"/>
      <c r="AA172" s="28" t="n"/>
      <c r="AB172" s="28" t="n"/>
      <c r="AC172" s="30" t="n">
        <v>0.9615</v>
      </c>
      <c r="AD172" s="24" t="inlineStr">
        <is>
          <t>2026-09-21T22:01:47.703820Z</t>
        </is>
      </c>
      <c r="AE172" s="31" t="inlineStr">
        <is>
          <t>Tie-aware Elo baseline; executable ask 0.5100 (market_slug=aec-npb-hta-ybo-2026-09-21). Tie probability=0.0329.</t>
        </is>
      </c>
      <c r="AF172" s="31" t="inlineStr">
        <is>
          <t>Config-promoted international baseball baseline; gates enforced at log time.</t>
        </is>
      </c>
      <c r="AG172" s="24" t="inlineStr">
        <is>
          <t>not_applicable</t>
        </is>
      </c>
      <c r="AH172" s="24" t="n"/>
      <c r="AI172" s="31" t="n"/>
      <c r="AJ172" s="31" t="n"/>
      <c r="AK172" s="24" t="inlineStr">
        <is>
          <t>paper_call</t>
        </is>
      </c>
      <c r="AL172" s="26" t="n">
        <v>4</v>
      </c>
      <c r="AM172" s="24" t="inlineStr">
        <is>
          <t>RESEARCH_OBSERVATION</t>
        </is>
      </c>
      <c r="AN172" s="24" t="inlineStr">
        <is>
          <t>CALL</t>
        </is>
      </c>
      <c r="AO172" s="24" t="inlineStr">
        <is>
          <t>PAPER_CALL_LOW_EDGE</t>
        </is>
      </c>
      <c r="AP172" s="24" t="inlineStr">
        <is>
          <t>Yokohama BayStars</t>
        </is>
      </c>
      <c r="AQ172" s="24" t="inlineStr">
        <is>
          <t>Yokohama BayStars</t>
        </is>
      </c>
      <c r="AR172" s="24" t="inlineStr">
        <is>
          <t>Yokohama BayStars</t>
        </is>
      </c>
      <c r="AS172" s="24" t="inlineStr">
        <is>
          <t>Hanshin Tigers</t>
        </is>
      </c>
      <c r="AT172" s="24" t="inlineStr">
        <is>
          <t>Hanshin Tigers</t>
        </is>
      </c>
      <c r="AU172" s="24" t="inlineStr">
        <is>
          <t>Hanshin Tigers</t>
        </is>
      </c>
      <c r="AV172" s="24" t="n"/>
      <c r="AW172" s="24" t="n"/>
      <c r="AX172" s="24" t="inlineStr">
        <is>
          <t>statistical_model</t>
        </is>
      </c>
      <c r="AY172" s="24" t="n"/>
      <c r="AZ172" s="24" t="inlineStr">
        <is>
          <t>shadow_qualified</t>
        </is>
      </c>
      <c r="BA172" s="24" t="inlineStr">
        <is>
          <t>13fed96c30e2a691cfc44cd8106e822060d66a2f8e95ed703e095bc83b82ebef</t>
        </is>
      </c>
      <c r="BB172" s="24" t="inlineStr">
        <is>
          <t>tie_aware_elo</t>
        </is>
      </c>
      <c r="BC172" s="24" t="inlineStr">
        <is>
          <t>npb-tie-aware-elo-v2</t>
        </is>
      </c>
      <c r="BD172" s="24" t="inlineStr">
        <is>
          <t>13fed96c30e2a691cfc44cd8106e822060d66a2f8e95ed703e095bc83b82ebef</t>
        </is>
      </c>
      <c r="BE172" s="24" t="inlineStr">
        <is>
          <t>1</t>
        </is>
      </c>
      <c r="BF172" s="24" t="inlineStr">
        <is>
          <t>1</t>
        </is>
      </c>
      <c r="BG172" s="24" t="inlineStr">
        <is>
          <t>npb-tie-aware-elo-v2</t>
        </is>
      </c>
      <c r="BH172" s="24" t="inlineStr">
        <is>
          <t>2026-09-21T04:39:08.595419Z</t>
        </is>
      </c>
      <c r="BI172" s="24" t="inlineStr">
        <is>
          <t>["same_event","same_team_same_day","same_league_same_day"]</t>
        </is>
      </c>
      <c r="BJ172" s="25" t="n"/>
      <c r="BK172" s="26" t="n">
        <v>-104</v>
      </c>
      <c r="BL172" s="27" t="n">
        <v>1.961538</v>
      </c>
      <c r="BM172" s="28" t="n">
        <v>0.509804</v>
      </c>
      <c r="BN172" s="28" t="n"/>
      <c r="BO172" s="28" t="n"/>
      <c r="BP172" s="25" t="n"/>
      <c r="BQ172" s="27" t="n"/>
      <c r="BR172" s="28" t="n"/>
      <c r="BS172" s="28" t="n"/>
      <c r="BT172" s="28" t="n"/>
      <c r="BU172" s="25" t="n"/>
      <c r="BV172" s="29" t="n"/>
      <c r="BW172" s="24" t="n"/>
      <c r="BX172" s="30" t="n"/>
      <c r="BY172" s="27" t="n"/>
      <c r="BZ172" s="24" t="n"/>
      <c r="CA172" s="31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  <c r="CR172" s="24" t="n"/>
      <c r="CS172" s="24" t="inlineStr">
        <is>
          <t>True</t>
        </is>
      </c>
      <c r="CT172" s="24" t="n"/>
      <c r="CU172" s="24" t="n"/>
      <c r="CV172" s="24" t="n"/>
      <c r="CW172" s="24" t="n"/>
      <c r="CX172" s="24" t="n"/>
      <c r="CY172" s="24" t="n"/>
      <c r="CZ172" s="24" t="n"/>
      <c r="DA172" s="24" t="n"/>
      <c r="DB172" s="24" t="n"/>
      <c r="DC172" s="24" t="n"/>
      <c r="DD172" s="24" t="n"/>
      <c r="DE172" s="24" t="n"/>
      <c r="DF172" s="24" t="n"/>
      <c r="DG172" s="24" t="n"/>
      <c r="DH172" s="24" t="n"/>
      <c r="DI172" s="24" t="n"/>
      <c r="DJ172" s="24" t="inlineStr">
        <is>
          <t>0.509804</t>
        </is>
      </c>
      <c r="DK172" s="24" t="n"/>
      <c r="DL172" s="24" t="n"/>
      <c r="DM172" s="24" t="n"/>
      <c r="DN172" s="24" t="n"/>
      <c r="DO172" s="24" t="n"/>
      <c r="DP172" s="24" t="n"/>
      <c r="DQ172" s="24" t="inlineStr">
        <is>
          <t>{"artifact_hash": "13fed96c30e2a691cfc44cd8106e822060d66a2f8e95ed703e095bc83b82ebef", "away_team": "Yokohama BayStars", "draw_settlement_value": 0.5, "event_id": "116567", "event_start_utc": "2026-09-21T05:00:00Z", "features": {"away_elo": 1519.683046, "base_tie_rate": 0.02399232, "home_advantage": 35.0, "home_elo": 1510.667793}, "historical_source_observation_times_verified": false, "home_team": "Hanshin Tigers", "inference_inputs": {"away_id": "DB", "base_tie_rate": 0.02399232, "book_state": {"_games_played": null, "_last_active": null, "decay_rate": 0.001, "home_advantage": 35.0, "k": 8.0, "margin_weight": 0.0, "ratings": {"DB": 1519.683046, "T": 1510.667793}}, "code_sha256": {"features/elo_ratings.py": "8525faf022a6343c452286dbfeb17dbb043744c6bdabbe448b6b371216da439b", "international_baseball.py": "f345eb917316d2e897f62c1cdd0f73153115c65da54c30c6137ad76bb7b27869"}, "home_id": "T", "tie_method": "elo_gap"}, "market_type": "moneyline", "model_version": "npb-tie-aware-elo-v2", "observed_at_utc": "2026-09-21T04:39:08.538041+00:00", "outcome_probabilities": {"away": 0.44746579482233856, "draw": 0.032871308174284804, "home": 0.5196628970033766}, "replay_scope": "Exact Elo and tie model; logged value is expected contract settlement, not outright win probability.", "schema": "international-elo-replay-v1", "settlement_values": {"away": 0.463901, "home": 0.536099}, "snapshot_hash": "e964773a5a155f23fd2f0b81e30dc0413c6cb74dcc819be37d4155a1a6218bf4", "sport": "NPB"}</t>
        </is>
      </c>
    </row>
    <row r="173" ht="36" customHeight="1">
      <c r="A173" s="24" t="inlineStr">
        <is>
          <t>7c3fdba1754f4334</t>
        </is>
      </c>
      <c r="B173" s="24" t="inlineStr">
        <is>
          <t>2026-09-21T04:39:08.769317Z</t>
        </is>
      </c>
      <c r="C173" s="24" t="inlineStr">
        <is>
          <t>2026-09-21T05:00:00Z</t>
        </is>
      </c>
      <c r="D173" s="24" t="inlineStr">
        <is>
          <t>116568</t>
        </is>
      </c>
      <c r="E173" s="24" t="inlineStr">
        <is>
          <t>NPB</t>
        </is>
      </c>
      <c r="F173" s="24" t="inlineStr">
        <is>
          <t>Orix Buffaloes</t>
        </is>
      </c>
      <c r="G173" s="24" t="inlineStr">
        <is>
          <t>Nippon Ham Fighters</t>
        </is>
      </c>
      <c r="H173" s="24" t="inlineStr">
        <is>
          <t>moneyline</t>
        </is>
      </c>
      <c r="I173" s="24" t="inlineStr">
        <is>
          <t>home</t>
        </is>
      </c>
      <c r="J173" s="25" t="n"/>
      <c r="K173" s="24" t="inlineStr">
        <is>
          <t>polymarket_us</t>
        </is>
      </c>
      <c r="L173" s="26" t="n">
        <v>-213</v>
      </c>
      <c r="M173" s="27" t="n">
        <v>1.469484</v>
      </c>
      <c r="N173" s="28" t="n">
        <v>0.680511</v>
      </c>
      <c r="O173" s="28" t="n">
        <v>0.616704</v>
      </c>
      <c r="P173" s="28" t="n"/>
      <c r="Q173" s="28" t="n">
        <v>-0.063807</v>
      </c>
      <c r="R173" s="26" t="n">
        <v>0</v>
      </c>
      <c r="S173" s="29" t="n">
        <v>1</v>
      </c>
      <c r="T173" s="24" t="inlineStr">
        <is>
          <t>npb-tie-aware-elo-v2</t>
        </is>
      </c>
      <c r="U173" s="24" t="inlineStr">
        <is>
          <t>settled</t>
        </is>
      </c>
      <c r="V173" s="24" t="inlineStr">
        <is>
          <t>win</t>
        </is>
      </c>
      <c r="W173" s="26" t="n">
        <v>3</v>
      </c>
      <c r="X173" s="26" t="n">
        <v>5</v>
      </c>
      <c r="Y173" s="25" t="n"/>
      <c r="Z173" s="26" t="n"/>
      <c r="AA173" s="28" t="n"/>
      <c r="AB173" s="28" t="n"/>
      <c r="AC173" s="30" t="n">
        <v>0.4695</v>
      </c>
      <c r="AD173" s="24" t="inlineStr">
        <is>
          <t>2026-09-21T22:01:48.471112Z</t>
        </is>
      </c>
      <c r="AE173" s="31" t="inlineStr">
        <is>
          <t>Tie-aware Elo baseline; executable ask 0.6800 (market_slug=aec-npb-nhf-obr-2026-09-21). Tie probability=0.0258.</t>
        </is>
      </c>
      <c r="AF173" s="31" t="inlineStr">
        <is>
          <t>Config-promoted international baseball baseline; gates enforced at log time.</t>
        </is>
      </c>
      <c r="AG173" s="24" t="inlineStr">
        <is>
          <t>not_applicable</t>
        </is>
      </c>
      <c r="AH173" s="24" t="n"/>
      <c r="AI173" s="31" t="n"/>
      <c r="AJ173" s="31" t="n"/>
      <c r="AK173" s="24" t="inlineStr">
        <is>
          <t>paper_call</t>
        </is>
      </c>
      <c r="AL173" s="26" t="n">
        <v>4</v>
      </c>
      <c r="AM173" s="24" t="inlineStr">
        <is>
          <t>RESEARCH_OBSERVATION</t>
        </is>
      </c>
      <c r="AN173" s="24" t="inlineStr">
        <is>
          <t>CALL</t>
        </is>
      </c>
      <c r="AO173" s="24" t="inlineStr">
        <is>
          <t>PAPER_CALL_LOW_EDGE</t>
        </is>
      </c>
      <c r="AP173" s="24" t="inlineStr">
        <is>
          <t>Orix Buffaloes</t>
        </is>
      </c>
      <c r="AQ173" s="24" t="inlineStr">
        <is>
          <t>Orix Buffaloes</t>
        </is>
      </c>
      <c r="AR173" s="24" t="inlineStr">
        <is>
          <t>Orix Buffaloes</t>
        </is>
      </c>
      <c r="AS173" s="24" t="inlineStr">
        <is>
          <t>Nippon Ham Fighters</t>
        </is>
      </c>
      <c r="AT173" s="24" t="inlineStr">
        <is>
          <t>Nippon Ham Fighters</t>
        </is>
      </c>
      <c r="AU173" s="24" t="inlineStr">
        <is>
          <t>Nippon Ham Fighters</t>
        </is>
      </c>
      <c r="AV173" s="24" t="n"/>
      <c r="AW173" s="24" t="n"/>
      <c r="AX173" s="24" t="inlineStr">
        <is>
          <t>statistical_model</t>
        </is>
      </c>
      <c r="AY173" s="24" t="n"/>
      <c r="AZ173" s="24" t="inlineStr">
        <is>
          <t>shadow_qualified</t>
        </is>
      </c>
      <c r="BA173" s="24" t="inlineStr">
        <is>
          <t>13fed96c30e2a691cfc44cd8106e822060d66a2f8e95ed703e095bc83b82ebef</t>
        </is>
      </c>
      <c r="BB173" s="24" t="inlineStr">
        <is>
          <t>tie_aware_elo</t>
        </is>
      </c>
      <c r="BC173" s="24" t="inlineStr">
        <is>
          <t>npb-tie-aware-elo-v2</t>
        </is>
      </c>
      <c r="BD173" s="24" t="inlineStr">
        <is>
          <t>13fed96c30e2a691cfc44cd8106e822060d66a2f8e95ed703e095bc83b82ebef</t>
        </is>
      </c>
      <c r="BE173" s="24" t="inlineStr">
        <is>
          <t>1</t>
        </is>
      </c>
      <c r="BF173" s="24" t="inlineStr">
        <is>
          <t>1</t>
        </is>
      </c>
      <c r="BG173" s="24" t="inlineStr">
        <is>
          <t>npb-tie-aware-elo-v2</t>
        </is>
      </c>
      <c r="BH173" s="24" t="inlineStr">
        <is>
          <t>2026-09-21T04:39:08.653517Z</t>
        </is>
      </c>
      <c r="BI173" s="24" t="inlineStr">
        <is>
          <t>["same_event","same_team_same_day","same_league_same_day"]</t>
        </is>
      </c>
      <c r="BJ173" s="25" t="n"/>
      <c r="BK173" s="26" t="n">
        <v>-213</v>
      </c>
      <c r="BL173" s="27" t="n">
        <v>1.469484</v>
      </c>
      <c r="BM173" s="28" t="n">
        <v>0.680511</v>
      </c>
      <c r="BN173" s="28" t="n"/>
      <c r="BO173" s="28" t="n"/>
      <c r="BP173" s="25" t="n"/>
      <c r="BQ173" s="27" t="n"/>
      <c r="BR173" s="28" t="n"/>
      <c r="BS173" s="28" t="n"/>
      <c r="BT173" s="28" t="n"/>
      <c r="BU173" s="25" t="n"/>
      <c r="BV173" s="29" t="n"/>
      <c r="BW173" s="24" t="n"/>
      <c r="BX173" s="30" t="n"/>
      <c r="BY173" s="27" t="n"/>
      <c r="BZ173" s="24" t="n"/>
      <c r="CA173" s="31" t="n"/>
      <c r="CB173" s="24" t="n"/>
      <c r="CC173" s="24" t="n"/>
      <c r="CD173" s="24" t="n"/>
      <c r="CE173" s="24" t="n"/>
      <c r="CF173" s="24" t="n"/>
      <c r="CG173" s="24" t="n"/>
      <c r="CH173" s="24" t="n"/>
      <c r="CI173" s="24" t="n"/>
      <c r="CJ173" s="24" t="n"/>
      <c r="CK173" s="24" t="n"/>
      <c r="CL173" s="24" t="n"/>
      <c r="CM173" s="24" t="n"/>
      <c r="CN173" s="24" t="n"/>
      <c r="CO173" s="24" t="n"/>
      <c r="CP173" s="24" t="n"/>
      <c r="CQ173" s="24" t="n"/>
      <c r="CR173" s="24" t="n"/>
      <c r="CS173" s="24" t="inlineStr">
        <is>
          <t>False</t>
        </is>
      </c>
      <c r="CT173" s="24" t="n"/>
      <c r="CU173" s="24" t="n"/>
      <c r="CV173" s="24" t="n"/>
      <c r="CW173" s="24" t="n"/>
      <c r="CX173" s="24" t="n"/>
      <c r="CY173" s="24" t="n"/>
      <c r="CZ173" s="24" t="n"/>
      <c r="DA173" s="24" t="n"/>
      <c r="DB173" s="24" t="n"/>
      <c r="DC173" s="24" t="n"/>
      <c r="DD173" s="24" t="n"/>
      <c r="DE173" s="24" t="n"/>
      <c r="DF173" s="24" t="n"/>
      <c r="DG173" s="24" t="n"/>
      <c r="DH173" s="24" t="n"/>
      <c r="DI173" s="24" t="n"/>
      <c r="DJ173" s="24" t="inlineStr">
        <is>
          <t>0.680511</t>
        </is>
      </c>
      <c r="DK173" s="24" t="n"/>
      <c r="DL173" s="24" t="n"/>
      <c r="DM173" s="24" t="n"/>
      <c r="DN173" s="24" t="n"/>
      <c r="DO173" s="24" t="n"/>
      <c r="DP173" s="24" t="n"/>
      <c r="DQ173" s="24" t="inlineStr">
        <is>
          <t>{"artifact_hash": "13fed96c30e2a691cfc44cd8106e822060d66a2f8e95ed703e095bc83b82ebef", "away_team": "Orix Buffaloes", "draw_settlement_value": 0.5, "event_id": "116568", "event_start_utc": "2026-09-21T05:00:00Z", "features": {"away_elo": 1477.325996, "base_tie_rate": 0.02399232, "home_advantage": 35.0, "home_elo": 1527.217999}, "historical_source_observation_times_verified": false, "home_team": "Nippon Ham Fighters", "inference_inputs": {"away_id": "B", "base_tie_rate": 0.02399232, "book_state": {"_games_played": null, "_last_active": null, "decay_rate": 0.001, "home_advantage": 35.0, "k": 8.0, "margin_weight": 0.0, "ratings": {"B": 1477.325996, "F": 1527.217999}}, "code_sha256": {"features/elo_ratings.py": "8525faf022a6343c452286dbfeb17dbb043744c6bdabbe448b6b371216da439b", "international_baseball.py": "f345eb917316d2e897f62c1cdd0f73153115c65da54c30c6137ad76bb7b27869"}, "home_id": "F", "tie_method": "elo_gap"}, "market_type": "moneyline", "model_version": "npb-tie-aware-elo-v2", "observed_at_utc": "2026-09-21T04:39:08.538041+00:00", "outcome_probabilities": {"away": 0.3703940495061368, "draw": 0.025804699492915206, "home": 0.603801251000948}, "replay_scope": "Exact Elo and tie model; logged value is expected contract settlement, not outright win probability.", "schema": "international-elo-replay-v1", "settlement_values": {"away": 0.383296, "home": 0.616704}, "snapshot_hash": "1315d5bc11218bcc8479a9846b7972e0f165921f0dbc146594ca5ee0facc9f1e", "sport": "NPB"}</t>
        </is>
      </c>
    </row>
    <row r="174" ht="36" customHeight="1">
      <c r="A174" s="24" t="inlineStr">
        <is>
          <t>6324d36fce854043</t>
        </is>
      </c>
      <c r="B174" s="24" t="inlineStr">
        <is>
          <t>2026-09-21T04:39:08.769317Z</t>
        </is>
      </c>
      <c r="C174" s="24" t="inlineStr">
        <is>
          <t>2026-09-21T05:00:00Z</t>
        </is>
      </c>
      <c r="D174" s="24" t="inlineStr">
        <is>
          <t>116566</t>
        </is>
      </c>
      <c r="E174" s="24" t="inlineStr">
        <is>
          <t>NPB</t>
        </is>
      </c>
      <c r="F174" s="24" t="inlineStr">
        <is>
          <t>Hiroshima Carp</t>
        </is>
      </c>
      <c r="G174" s="24" t="inlineStr">
        <is>
          <t>Chunichi Dragons</t>
        </is>
      </c>
      <c r="H174" s="24" t="inlineStr">
        <is>
          <t>moneyline</t>
        </is>
      </c>
      <c r="I174" s="24" t="inlineStr">
        <is>
          <t>home</t>
        </is>
      </c>
      <c r="J174" s="25" t="n"/>
      <c r="K174" s="24" t="inlineStr">
        <is>
          <t>polymarket_us</t>
        </is>
      </c>
      <c r="L174" s="26" t="n">
        <v>-194</v>
      </c>
      <c r="M174" s="27" t="n">
        <v>1.515464</v>
      </c>
      <c r="N174" s="28" t="n">
        <v>0.659864</v>
      </c>
      <c r="O174" s="28" t="n">
        <v>0.572769</v>
      </c>
      <c r="P174" s="28" t="n"/>
      <c r="Q174" s="28" t="n">
        <v>-0.08709500000000001</v>
      </c>
      <c r="R174" s="26" t="n">
        <v>0</v>
      </c>
      <c r="S174" s="29" t="n">
        <v>1</v>
      </c>
      <c r="T174" s="24" t="inlineStr">
        <is>
          <t>npb-tie-aware-elo-v2</t>
        </is>
      </c>
      <c r="U174" s="24" t="inlineStr">
        <is>
          <t>settled</t>
        </is>
      </c>
      <c r="V174" s="24" t="inlineStr">
        <is>
          <t>win</t>
        </is>
      </c>
      <c r="W174" s="26" t="n">
        <v>0</v>
      </c>
      <c r="X174" s="26" t="n">
        <v>10</v>
      </c>
      <c r="Y174" s="25" t="n"/>
      <c r="Z174" s="26" t="n"/>
      <c r="AA174" s="28" t="n"/>
      <c r="AB174" s="28" t="n"/>
      <c r="AC174" s="30" t="n">
        <v>0.5155</v>
      </c>
      <c r="AD174" s="24" t="inlineStr">
        <is>
          <t>2026-09-21T22:01:48.875730Z</t>
        </is>
      </c>
      <c r="AE174" s="31" t="inlineStr">
        <is>
          <t>Tie-aware Elo baseline; executable ask 0.6600 (market_slug=aec-npb-cdh-hci-2026-09-21). Tie probability=0.0297.</t>
        </is>
      </c>
      <c r="AF174" s="31" t="inlineStr">
        <is>
          <t>Config-promoted international baseball baseline; gates enforced at log time.</t>
        </is>
      </c>
      <c r="AG174" s="24" t="inlineStr">
        <is>
          <t>not_applicable</t>
        </is>
      </c>
      <c r="AH174" s="24" t="n"/>
      <c r="AI174" s="31" t="n"/>
      <c r="AJ174" s="31" t="n"/>
      <c r="AK174" s="24" t="inlineStr">
        <is>
          <t>paper_call</t>
        </is>
      </c>
      <c r="AL174" s="26" t="n">
        <v>4</v>
      </c>
      <c r="AM174" s="24" t="inlineStr">
        <is>
          <t>RESEARCH_OBSERVATION</t>
        </is>
      </c>
      <c r="AN174" s="24" t="inlineStr">
        <is>
          <t>CALL</t>
        </is>
      </c>
      <c r="AO174" s="24" t="inlineStr">
        <is>
          <t>PAPER_CALL_LOW_EDGE</t>
        </is>
      </c>
      <c r="AP174" s="24" t="inlineStr">
        <is>
          <t>Hiroshima Carp</t>
        </is>
      </c>
      <c r="AQ174" s="24" t="inlineStr">
        <is>
          <t>Hiroshima Carp</t>
        </is>
      </c>
      <c r="AR174" s="24" t="inlineStr">
        <is>
          <t>Hiroshima Carp</t>
        </is>
      </c>
      <c r="AS174" s="24" t="inlineStr">
        <is>
          <t>Chunichi Dragons</t>
        </is>
      </c>
      <c r="AT174" s="24" t="inlineStr">
        <is>
          <t>Chunichi Dragons</t>
        </is>
      </c>
      <c r="AU174" s="24" t="inlineStr">
        <is>
          <t>Chunichi Dragons</t>
        </is>
      </c>
      <c r="AV174" s="24" t="n"/>
      <c r="AW174" s="24" t="n"/>
      <c r="AX174" s="24" t="inlineStr">
        <is>
          <t>statistical_model</t>
        </is>
      </c>
      <c r="AY174" s="24" t="n"/>
      <c r="AZ174" s="24" t="inlineStr">
        <is>
          <t>shadow_qualified</t>
        </is>
      </c>
      <c r="BA174" s="24" t="inlineStr">
        <is>
          <t>13fed96c30e2a691cfc44cd8106e822060d66a2f8e95ed703e095bc83b82ebef</t>
        </is>
      </c>
      <c r="BB174" s="24" t="inlineStr">
        <is>
          <t>tie_aware_elo</t>
        </is>
      </c>
      <c r="BC174" s="24" t="inlineStr">
        <is>
          <t>npb-tie-aware-elo-v2</t>
        </is>
      </c>
      <c r="BD174" s="24" t="inlineStr">
        <is>
          <t>13fed96c30e2a691cfc44cd8106e822060d66a2f8e95ed703e095bc83b82ebef</t>
        </is>
      </c>
      <c r="BE174" s="24" t="inlineStr">
        <is>
          <t>1</t>
        </is>
      </c>
      <c r="BF174" s="24" t="inlineStr">
        <is>
          <t>1</t>
        </is>
      </c>
      <c r="BG174" s="24" t="inlineStr">
        <is>
          <t>npb-tie-aware-elo-v2</t>
        </is>
      </c>
      <c r="BH174" s="24" t="inlineStr">
        <is>
          <t>2026-09-21T04:39:08.702943Z</t>
        </is>
      </c>
      <c r="BI174" s="24" t="inlineStr">
        <is>
          <t>["same_event","same_team_same_day","same_league_same_day"]</t>
        </is>
      </c>
      <c r="BJ174" s="25" t="n"/>
      <c r="BK174" s="26" t="n">
        <v>-194</v>
      </c>
      <c r="BL174" s="27" t="n">
        <v>1.515464</v>
      </c>
      <c r="BM174" s="28" t="n">
        <v>0.659864</v>
      </c>
      <c r="BN174" s="28" t="n"/>
      <c r="BO174" s="28" t="n"/>
      <c r="BP174" s="25" t="n"/>
      <c r="BQ174" s="27" t="n"/>
      <c r="BR174" s="28" t="n"/>
      <c r="BS174" s="28" t="n"/>
      <c r="BT174" s="28" t="n"/>
      <c r="BU174" s="25" t="n"/>
      <c r="BV174" s="29" t="n"/>
      <c r="BW174" s="24" t="n"/>
      <c r="BX174" s="30" t="n"/>
      <c r="BY174" s="27" t="n"/>
      <c r="BZ174" s="24" t="n"/>
      <c r="CA174" s="31" t="n"/>
      <c r="CB174" s="24" t="n"/>
      <c r="CC174" s="24" t="n"/>
      <c r="CD174" s="24" t="n"/>
      <c r="CE174" s="24" t="n"/>
      <c r="CF174" s="24" t="n"/>
      <c r="CG174" s="24" t="n"/>
      <c r="CH174" s="24" t="n"/>
      <c r="CI174" s="24" t="n"/>
      <c r="CJ174" s="24" t="n"/>
      <c r="CK174" s="24" t="n"/>
      <c r="CL174" s="24" t="n"/>
      <c r="CM174" s="24" t="n"/>
      <c r="CN174" s="24" t="n"/>
      <c r="CO174" s="24" t="n"/>
      <c r="CP174" s="24" t="n"/>
      <c r="CQ174" s="24" t="n"/>
      <c r="CR174" s="24" t="n"/>
      <c r="CS174" s="24" t="inlineStr">
        <is>
          <t>False</t>
        </is>
      </c>
      <c r="CT174" s="24" t="n"/>
      <c r="CU174" s="24" t="n"/>
      <c r="CV174" s="24" t="n"/>
      <c r="CW174" s="24" t="n"/>
      <c r="CX174" s="24" t="n"/>
      <c r="CY174" s="24" t="n"/>
      <c r="CZ174" s="24" t="n"/>
      <c r="DA174" s="24" t="n"/>
      <c r="DB174" s="24" t="n"/>
      <c r="DC174" s="24" t="n"/>
      <c r="DD174" s="24" t="n"/>
      <c r="DE174" s="24" t="n"/>
      <c r="DF174" s="24" t="n"/>
      <c r="DG174" s="24" t="n"/>
      <c r="DH174" s="24" t="n"/>
      <c r="DI174" s="24" t="n"/>
      <c r="DJ174" s="24" t="inlineStr">
        <is>
          <t>0.659864</t>
        </is>
      </c>
      <c r="DK174" s="24" t="n"/>
      <c r="DL174" s="24" t="n"/>
      <c r="DM174" s="24" t="n"/>
      <c r="DN174" s="24" t="n"/>
      <c r="DO174" s="24" t="n"/>
      <c r="DP174" s="24" t="n"/>
      <c r="DQ174" s="24" t="inlineStr">
        <is>
          <t>{"artifact_hash": "13fed96c30e2a691cfc44cd8106e822060d66a2f8e95ed703e095bc83b82ebef", "away_team": "Hiroshima Carp", "draw_settlement_value": 0.5, "event_id": "116566", "event_start_utc": "2026-09-21T05:00:00Z", "features": {"away_elo": 1458.787375, "base_tie_rate": 0.02399232, "home_advantage": 35.0, "home_elo": 1476.295863}, "historical_source_observation_times_verified": false, "home_team": "Chunichi Dragons", "inference_inputs": {"away_id": "C", "base_tie_rate": 0.02399232, "book_state": {"_games_played": null, "_last_active": null, "decay_rate": 0.001, "home_advantage": 35.0, "k": 8.0, "margin_weight": 0.0, "ratings": {"C": 1458.787375, "D": 1476.295863}}, "code_sha256": {"features/elo_ratings.py": "8525faf022a6343c452286dbfeb17dbb043744c6bdabbe448b6b371216da439b", "international_baseball.py": "f345eb917316d2e897f62c1cdd0f73153115c65da54c30c6137ad76bb7b27869"}, "home_id": "D", "tie_method": "elo_gap"}, "market_type": "moneyline", "model_version": "npb-tie-aware-elo-v2", "observed_at_utc": "2026-09-21T04:39:08.538041+00:00", "outcome_probabilities": {"away": 0.4123861731368235, "draw": 0.029689477765939207, "home": 0.5579243490972373}, "replay_scope": "Exact Elo and tie model; logged value is expected contract settlement, not outright win probability.", "schema": "international-elo-replay-v1", "settlement_values": {"away": 0.427231, "home": 0.572769}, "snapshot_hash": "c44652c3da1c92f77c21f928ae74c4d10e8790d230fd6fcc8d72abe7da89055f", "sport": "NPB"}</t>
        </is>
      </c>
    </row>
    <row r="175" ht="36" customHeight="1">
      <c r="A175" s="24" t="inlineStr">
        <is>
          <t>0bd8192361fc4a73</t>
        </is>
      </c>
      <c r="B175" s="24" t="inlineStr">
        <is>
          <t>2026-09-21T04:39:08.769317Z</t>
        </is>
      </c>
      <c r="C175" s="24" t="inlineStr">
        <is>
          <t>2026-09-21T09:00:00Z</t>
        </is>
      </c>
      <c r="D175" s="24" t="inlineStr">
        <is>
          <t>116720</t>
        </is>
      </c>
      <c r="E175" s="24" t="inlineStr">
        <is>
          <t>NPB</t>
        </is>
      </c>
      <c r="F175" s="24" t="inlineStr">
        <is>
          <t>Saitama Seibu Lions</t>
        </is>
      </c>
      <c r="G175" s="24" t="inlineStr">
        <is>
          <t>Chiba Lotte Marines</t>
        </is>
      </c>
      <c r="H175" s="24" t="inlineStr">
        <is>
          <t>moneyline</t>
        </is>
      </c>
      <c r="I175" s="24" t="inlineStr">
        <is>
          <t>away</t>
        </is>
      </c>
      <c r="J175" s="25" t="n"/>
      <c r="K175" s="24" t="inlineStr">
        <is>
          <t>polymarket_us</t>
        </is>
      </c>
      <c r="L175" s="26" t="n">
        <v>-122</v>
      </c>
      <c r="M175" s="27" t="n">
        <v>1.819672</v>
      </c>
      <c r="N175" s="28" t="n">
        <v>0.54955</v>
      </c>
      <c r="O175" s="28" t="n">
        <v>0.512957</v>
      </c>
      <c r="P175" s="28" t="n"/>
      <c r="Q175" s="28" t="n">
        <v>-0.036593</v>
      </c>
      <c r="R175" s="26" t="n">
        <v>2</v>
      </c>
      <c r="S175" s="29" t="n">
        <v>1</v>
      </c>
      <c r="T175" s="24" t="inlineStr">
        <is>
          <t>npb-tie-aware-elo-v2</t>
        </is>
      </c>
      <c r="U175" s="24" t="inlineStr">
        <is>
          <t>settled</t>
        </is>
      </c>
      <c r="V175" s="24" t="inlineStr">
        <is>
          <t>push</t>
        </is>
      </c>
      <c r="W175" s="26" t="n"/>
      <c r="X175" s="26" t="n"/>
      <c r="Y175" s="25" t="n"/>
      <c r="Z175" s="26" t="n"/>
      <c r="AA175" s="28" t="n"/>
      <c r="AB175" s="28" t="n"/>
      <c r="AC175" s="30" t="n">
        <v>0</v>
      </c>
      <c r="AD175" s="24" t="inlineStr">
        <is>
          <t>2026-10-06T22:59:48.518732Z</t>
        </is>
      </c>
      <c r="AE175" s="31" t="inlineStr">
        <is>
          <t>Tie-aware Elo baseline; executable ask 0.5500 (market_slug=aec-npb-clm-ssl-2026-09-21). Tie probability=0.0349.</t>
        </is>
      </c>
      <c r="AF175" s="31" t="inlineStr">
        <is>
          <t>Config-promoted international baseball baseline; gates enforced at log time.</t>
        </is>
      </c>
      <c r="AG175" s="24" t="inlineStr">
        <is>
          <t>not_applicable</t>
        </is>
      </c>
      <c r="AH175" s="24" t="n"/>
      <c r="AI175" s="31" t="n"/>
      <c r="AJ175" s="31" t="n"/>
      <c r="AK175" s="24" t="inlineStr">
        <is>
          <t>paper_call</t>
        </is>
      </c>
      <c r="AL175" s="26" t="n">
        <v>4</v>
      </c>
      <c r="AM175" s="24" t="inlineStr">
        <is>
          <t>RESEARCH_OBSERVATION</t>
        </is>
      </c>
      <c r="AN175" s="24" t="inlineStr">
        <is>
          <t>CALL</t>
        </is>
      </c>
      <c r="AO175" s="24" t="inlineStr">
        <is>
          <t>PAPER_CALL_LOW_EDGE</t>
        </is>
      </c>
      <c r="AP175" s="24" t="inlineStr">
        <is>
          <t>Saitama Seibu Lions</t>
        </is>
      </c>
      <c r="AQ175" s="24" t="inlineStr">
        <is>
          <t>Saitama Seibu Lions</t>
        </is>
      </c>
      <c r="AR175" s="24" t="inlineStr">
        <is>
          <t>Saitama Seibu Lions</t>
        </is>
      </c>
      <c r="AS175" s="24" t="inlineStr">
        <is>
          <t>Chiba Lotte Marines</t>
        </is>
      </c>
      <c r="AT175" s="24" t="inlineStr">
        <is>
          <t>Chiba Lotte Marines</t>
        </is>
      </c>
      <c r="AU175" s="24" t="inlineStr">
        <is>
          <t>Chiba Lotte Marines</t>
        </is>
      </c>
      <c r="AV175" s="24" t="n"/>
      <c r="AW175" s="24" t="n"/>
      <c r="AX175" s="24" t="inlineStr">
        <is>
          <t>statistical_model</t>
        </is>
      </c>
      <c r="AY175" s="24" t="n"/>
      <c r="AZ175" s="24" t="inlineStr">
        <is>
          <t>shadow_qualified</t>
        </is>
      </c>
      <c r="BA175" s="24" t="inlineStr">
        <is>
          <t>13fed96c30e2a691cfc44cd8106e822060d66a2f8e95ed703e095bc83b82ebef</t>
        </is>
      </c>
      <c r="BB175" s="24" t="inlineStr">
        <is>
          <t>tie_aware_elo</t>
        </is>
      </c>
      <c r="BC175" s="24" t="inlineStr">
        <is>
          <t>npb-tie-aware-elo-v2</t>
        </is>
      </c>
      <c r="BD175" s="24" t="inlineStr">
        <is>
          <t>13fed96c30e2a691cfc44cd8106e822060d66a2f8e95ed703e095bc83b82ebef</t>
        </is>
      </c>
      <c r="BE175" s="24" t="inlineStr">
        <is>
          <t>1</t>
        </is>
      </c>
      <c r="BF175" s="24" t="inlineStr">
        <is>
          <t>1</t>
        </is>
      </c>
      <c r="BG175" s="24" t="inlineStr">
        <is>
          <t>npb-tie-aware-elo-v2</t>
        </is>
      </c>
      <c r="BH175" s="24" t="inlineStr">
        <is>
          <t>2026-09-21T04:39:08.769262Z</t>
        </is>
      </c>
      <c r="BI175" s="24" t="inlineStr">
        <is>
          <t>["same_event","same_team_same_day","same_league_same_day"]</t>
        </is>
      </c>
      <c r="BJ175" s="25" t="n"/>
      <c r="BK175" s="26" t="n">
        <v>-122</v>
      </c>
      <c r="BL175" s="27" t="n">
        <v>1.819672</v>
      </c>
      <c r="BM175" s="28" t="n">
        <v>0.54955</v>
      </c>
      <c r="BN175" s="28" t="n"/>
      <c r="BO175" s="28" t="n"/>
      <c r="BP175" s="25" t="n"/>
      <c r="BQ175" s="27" t="n"/>
      <c r="BR175" s="28" t="n"/>
      <c r="BS175" s="28" t="n"/>
      <c r="BT175" s="28" t="n"/>
      <c r="BU175" s="25" t="n"/>
      <c r="BV175" s="29" t="n"/>
      <c r="BW175" s="24" t="inlineStr">
        <is>
          <t>NPB game scheduled on 2026-09-21 cancelled/postponed (no final score posted after &gt;7 days)</t>
        </is>
      </c>
      <c r="BX175" s="30" t="n"/>
      <c r="BY175" s="27" t="n"/>
      <c r="BZ175" s="24" t="n"/>
      <c r="CA175" s="31" t="n"/>
      <c r="CB175" s="24" t="n"/>
      <c r="CC175" s="24" t="n"/>
      <c r="CD175" s="24" t="n"/>
      <c r="CE175" s="24" t="n"/>
      <c r="CF175" s="24" t="n"/>
      <c r="CG175" s="24" t="n"/>
      <c r="CH175" s="24" t="n"/>
      <c r="CI175" s="24" t="n"/>
      <c r="CJ175" s="24" t="n"/>
      <c r="CK175" s="24" t="n"/>
      <c r="CL175" s="24" t="n"/>
      <c r="CM175" s="24" t="n"/>
      <c r="CN175" s="24" t="n"/>
      <c r="CO175" s="24" t="n"/>
      <c r="CP175" s="24" t="n"/>
      <c r="CQ175" s="24" t="n"/>
      <c r="CR175" s="24" t="n"/>
      <c r="CS175" s="24" t="inlineStr">
        <is>
          <t>False</t>
        </is>
      </c>
      <c r="CT175" s="24" t="n"/>
      <c r="CU175" s="24" t="n"/>
      <c r="CV175" s="24" t="n"/>
      <c r="CW175" s="24" t="n"/>
      <c r="CX175" s="24" t="n"/>
      <c r="CY175" s="24" t="n"/>
      <c r="CZ175" s="24" t="n"/>
      <c r="DA175" s="24" t="n"/>
      <c r="DB175" s="24" t="n"/>
      <c r="DC175" s="24" t="n"/>
      <c r="DD175" s="24" t="n"/>
      <c r="DE175" s="24" t="n"/>
      <c r="DF175" s="24" t="n"/>
      <c r="DG175" s="24" t="n"/>
      <c r="DH175" s="24" t="n"/>
      <c r="DI175" s="24" t="n"/>
      <c r="DJ175" s="24" t="inlineStr">
        <is>
          <t>0.54955</t>
        </is>
      </c>
      <c r="DK175" s="24" t="n"/>
      <c r="DL175" s="24" t="n"/>
      <c r="DM175" s="24" t="n"/>
      <c r="DN175" s="24" t="n"/>
      <c r="DO175" s="24" t="n"/>
      <c r="DP175" s="24" t="n"/>
      <c r="DQ175" s="24" t="inlineStr">
        <is>
          <t>{"artifact_hash": "13fed96c30e2a691cfc44cd8106e822060d66a2f8e95ed703e095bc83b82ebef", "away_team": "Saitama Seibu Lions", "draw_settlement_value": 0.5, "event_id": "116720", "event_start_utc": "2026-09-21T09:00:00Z", "features": {"away_elo": 1525.491619, "base_tie_rate": 0.02399232, "home_advantage": 35.0, "home_elo": 1481.160658}, "historical_source_observation_times_verified": false, "home_team": "Chiba Lotte Marines", "inference_inputs": {"away_id": "L", "base_tie_rate": 0.02399232, "book_state": {"_games_played": null, "_last_active": null, "decay_rate": 0.001, "home_advantage": 35.0, "k": 8.0, "margin_weight": 0.0, "ratings": {"L": 1525.491619, "M": 1481.160658}}, "code_sha256": {"features/elo_ratings.py": "8525faf022a6343c452286dbfeb17dbb043744c6bdabbe448b6b371216da439b", "international_baseball.py": "f345eb917316d2e897f62c1cdd0f73153115c65da54c30c6137ad76bb7b27869"}, "home_id": "M", "tie_method": "elo_gap"}, "market_type": "moneyline", "model_version": "npb-tie-aware-elo-v2", "observed_at_utc": "2026-09-21T04:39:08.538041+00:00", "outcome_probabilities": {"away": 0.4955224215919134, "draw": 0.03486912298890242, "home": 0.4696084554191842}, "replay_scope": "Exact Elo and tie model; logged value is expected contract settlement, not outright win probability.", "schema": "international-elo-replay-v1", "settlement_values": {"away": 0.512957, "home": 0.487043}, "snapshot_hash": "dd7c82d40414e47bafbe876c2cc27fa4265990d55762b5041eb26c388c71d8df", "sport": "NPB"}</t>
        </is>
      </c>
    </row>
    <row r="176" ht="36" customHeight="1">
      <c r="A176" s="24" t="inlineStr">
        <is>
          <t>fa13c7db362c43f3</t>
        </is>
      </c>
      <c r="B176" s="24" t="inlineStr">
        <is>
          <t>2026-09-22T04:50:47.527699Z</t>
        </is>
      </c>
      <c r="C176" s="24" t="inlineStr">
        <is>
          <t>2026-09-22T09:00:00Z</t>
        </is>
      </c>
      <c r="D176" s="24" t="inlineStr">
        <is>
          <t>117866</t>
        </is>
      </c>
      <c r="E176" s="24" t="inlineStr">
        <is>
          <t>NPB</t>
        </is>
      </c>
      <c r="F176" s="24" t="inlineStr">
        <is>
          <t>Tohoku Rakuten Golden Eagles</t>
        </is>
      </c>
      <c r="G176" s="24" t="inlineStr">
        <is>
          <t>Nippon Ham Fighters</t>
        </is>
      </c>
      <c r="H176" s="24" t="inlineStr">
        <is>
          <t>moneyline</t>
        </is>
      </c>
      <c r="I176" s="24" t="inlineStr">
        <is>
          <t>home</t>
        </is>
      </c>
      <c r="J176" s="25" t="n"/>
      <c r="K176" s="24" t="inlineStr">
        <is>
          <t>polymarket_us</t>
        </is>
      </c>
      <c r="L176" s="26" t="n">
        <v>-194</v>
      </c>
      <c r="M176" s="27" t="n">
        <v>1.515464</v>
      </c>
      <c r="N176" s="28" t="n">
        <v>0.659864</v>
      </c>
      <c r="O176" s="28" t="n">
        <v>0.673832</v>
      </c>
      <c r="P176" s="28" t="n"/>
      <c r="Q176" s="28" t="n">
        <v>0.013968</v>
      </c>
      <c r="R176" s="26" t="n">
        <v>27</v>
      </c>
      <c r="S176" s="29" t="n">
        <v>1</v>
      </c>
      <c r="T176" s="24" t="inlineStr">
        <is>
          <t>npb-tie-aware-elo-v2</t>
        </is>
      </c>
      <c r="U176" s="24" t="inlineStr">
        <is>
          <t>settled</t>
        </is>
      </c>
      <c r="V176" s="24" t="inlineStr">
        <is>
          <t>win</t>
        </is>
      </c>
      <c r="W176" s="26" t="n">
        <v>5</v>
      </c>
      <c r="X176" s="26" t="n">
        <v>6</v>
      </c>
      <c r="Y176" s="25" t="n"/>
      <c r="Z176" s="26" t="n">
        <v>-194</v>
      </c>
      <c r="AA176" s="28" t="n">
        <v>0.66</v>
      </c>
      <c r="AB176" s="28" t="n">
        <v>0.000136</v>
      </c>
      <c r="AC176" s="30" t="n">
        <v>0.5155</v>
      </c>
      <c r="AD176" s="24" t="inlineStr">
        <is>
          <t>2026-09-23T04:33:18.584203Z</t>
        </is>
      </c>
      <c r="AE176" s="31" t="inlineStr">
        <is>
          <t>Tie-aware Elo baseline; executable ask 0.6600 (market_slug=aec-npb-nhf-trge-2026-09-22). Tie probability=0.0240.</t>
        </is>
      </c>
      <c r="AF176" s="31" t="inlineStr">
        <is>
          <t>Config-promoted international baseball baseline; gates enforced at log time.</t>
        </is>
      </c>
      <c r="AG176" s="24" t="inlineStr">
        <is>
          <t>not_applicable</t>
        </is>
      </c>
      <c r="AH176" s="24" t="n"/>
      <c r="AI176" s="31" t="n"/>
      <c r="AJ176" s="31" t="n"/>
      <c r="AK176" s="24" t="inlineStr">
        <is>
          <t>paper_call</t>
        </is>
      </c>
      <c r="AL176" s="26" t="n">
        <v>4</v>
      </c>
      <c r="AM176" s="24" t="inlineStr">
        <is>
          <t>RESEARCH_OBSERVATION</t>
        </is>
      </c>
      <c r="AN176" s="24" t="inlineStr">
        <is>
          <t>CALL</t>
        </is>
      </c>
      <c r="AO176" s="24" t="inlineStr">
        <is>
          <t>PAPER_CALL_LOW_EDGE</t>
        </is>
      </c>
      <c r="AP176" s="24" t="inlineStr">
        <is>
          <t>Tohoku Rakuten Golden Eagles</t>
        </is>
      </c>
      <c r="AQ176" s="24" t="inlineStr">
        <is>
          <t>Tohoku Rakuten Golden Eagles</t>
        </is>
      </c>
      <c r="AR176" s="24" t="inlineStr">
        <is>
          <t>Tohoku Rakuten Golden Eagles</t>
        </is>
      </c>
      <c r="AS176" s="24" t="inlineStr">
        <is>
          <t>Nippon Ham Fighters</t>
        </is>
      </c>
      <c r="AT176" s="24" t="inlineStr">
        <is>
          <t>Nippon Ham Fighters</t>
        </is>
      </c>
      <c r="AU176" s="24" t="inlineStr">
        <is>
          <t>Nippon Ham Fighters</t>
        </is>
      </c>
      <c r="AV176" s="24" t="n"/>
      <c r="AW176" s="24" t="n"/>
      <c r="AX176" s="24" t="inlineStr">
        <is>
          <t>statistical_model</t>
        </is>
      </c>
      <c r="AY176" s="24" t="n"/>
      <c r="AZ176" s="24" t="inlineStr">
        <is>
          <t>shadow_qualified</t>
        </is>
      </c>
      <c r="BA176" s="24" t="inlineStr">
        <is>
          <t>63bf285155cafd44c6a8faec2d9b9559249fb77be0166629a627aaf77ac68266</t>
        </is>
      </c>
      <c r="BB176" s="24" t="inlineStr">
        <is>
          <t>tie_aware_elo</t>
        </is>
      </c>
      <c r="BC176" s="24" t="inlineStr">
        <is>
          <t>npb-tie-aware-elo-v2</t>
        </is>
      </c>
      <c r="BD176" s="24" t="inlineStr">
        <is>
          <t>63bf285155cafd44c6a8faec2d9b9559249fb77be0166629a627aaf77ac68266</t>
        </is>
      </c>
      <c r="BE176" s="24" t="inlineStr">
        <is>
          <t>1</t>
        </is>
      </c>
      <c r="BF176" s="24" t="inlineStr">
        <is>
          <t>1</t>
        </is>
      </c>
      <c r="BG176" s="24" t="inlineStr">
        <is>
          <t>npb-tie-aware-elo-v2</t>
        </is>
      </c>
      <c r="BH176" s="24" t="inlineStr">
        <is>
          <t>2026-09-22T04:50:46.794967Z</t>
        </is>
      </c>
      <c r="BI176" s="24" t="inlineStr">
        <is>
          <t>["same_event","same_team_same_day","same_league_same_day"]</t>
        </is>
      </c>
      <c r="BJ176" s="25" t="n"/>
      <c r="BK176" s="26" t="n">
        <v>-194</v>
      </c>
      <c r="BL176" s="27" t="n">
        <v>1.515464</v>
      </c>
      <c r="BM176" s="28" t="n">
        <v>0.659864</v>
      </c>
      <c r="BN176" s="28" t="n"/>
      <c r="BO176" s="28" t="n"/>
      <c r="BP176" s="25" t="n"/>
      <c r="BQ176" s="27" t="n">
        <v>1.515464</v>
      </c>
      <c r="BR176" s="28" t="n">
        <v>0.66</v>
      </c>
      <c r="BS176" s="28" t="n"/>
      <c r="BT176" s="28" t="n"/>
      <c r="BU176" s="25" t="n"/>
      <c r="BV176" s="29" t="n"/>
      <c r="BW176" s="24" t="n"/>
      <c r="BX176" s="30" t="n"/>
      <c r="BY176" s="27" t="n"/>
      <c r="BZ176" s="24" t="n"/>
      <c r="CA176" s="31" t="n"/>
      <c r="CB176" s="24" t="n"/>
      <c r="CC176" s="24" t="n"/>
      <c r="CD176" s="24" t="n"/>
      <c r="CE176" s="24" t="n"/>
      <c r="CF176" s="24" t="n"/>
      <c r="CG176" s="24" t="n"/>
      <c r="CH176" s="24" t="n"/>
      <c r="CI176" s="24" t="n"/>
      <c r="CJ176" s="24" t="n"/>
      <c r="CK176" s="24" t="n"/>
      <c r="CL176" s="24" t="n"/>
      <c r="CM176" s="24" t="n"/>
      <c r="CN176" s="24" t="n"/>
      <c r="CO176" s="24" t="n"/>
      <c r="CP176" s="24" t="n"/>
      <c r="CQ176" s="24" t="n"/>
      <c r="CR176" s="24" t="n"/>
      <c r="CS176" s="24" t="inlineStr">
        <is>
          <t>True</t>
        </is>
      </c>
      <c r="CT176" s="24" t="n"/>
      <c r="CU176" s="24" t="n"/>
      <c r="CV176" s="24" t="n"/>
      <c r="CW176" s="24" t="n"/>
      <c r="CX176" s="24" t="n"/>
      <c r="CY176" s="24" t="n"/>
      <c r="CZ176" s="24" t="n"/>
      <c r="DA176" s="24" t="n"/>
      <c r="DB176" s="24" t="n"/>
      <c r="DC176" s="24" t="n"/>
      <c r="DD176" s="24" t="n"/>
      <c r="DE176" s="24" t="n"/>
      <c r="DF176" s="24" t="n"/>
      <c r="DG176" s="24" t="n"/>
      <c r="DH176" s="24" t="n"/>
      <c r="DI176" s="24" t="n"/>
      <c r="DJ176" s="24" t="inlineStr">
        <is>
          <t>0.659864</t>
        </is>
      </c>
      <c r="DK176" s="24" t="n"/>
      <c r="DL176" s="24" t="n"/>
      <c r="DM176" s="24" t="n"/>
      <c r="DN176" s="24" t="n"/>
      <c r="DO176" s="24" t="n"/>
      <c r="DP176" s="24" t="n"/>
      <c r="DQ176" s="24" t="inlineStr">
        <is>
          <t>{"artifact_hash": "63bf285155cafd44c6a8faec2d9b9559249fb77be0166629a627aaf77ac68266", "away_team": "Tohoku Rakuten Golden Eagles", "draw_settlement_value": 0.5, "event_id": "117866", "event_start_utc": "2026-09-22T09:00:00Z", "features": {"away_elo": 1463.055977, "base_tie_rate": 0.02397507, "home_advantage": 35.0, "home_elo": 1557.48632}, "historical_source_observation_times_verified": false, "home_team": "Nippon Ham Fighters", "inference_inputs": {"away_id": "E", "base_tie_rate": 0.02397507, "book_state": {"_games_played": null, "_last_active": null, "decay_rate": 0.0, "home_advantage": 35.0, "k": 8.0, "margin_weight": 0.0, "ratings": {"E": 1463.055977, "F": 1557.48632}}, "code_sha256": {"features/elo_ratings.py": "8525faf022a6343c452286dbfeb17dbb043744c6bdabbe448b6b371216da439b", "international_baseball.py": "f345eb917316d2e897f62c1cdd0f73153115c65da54c30c6137ad76bb7b27869"}, "home_id": "F", "tie_method": "flat"}, "market_type": "moneyline", "model_version": "npb-tie-aware-elo-v2", "observed_at_utc": "2026-09-22T04:50:30.685745+00:00", "outcome_probabilities": {"away": 0.3141809092352482, "draw": 0.02397507, "home": 0.6618440207647518}, "replay_scope": "Exact Elo and tie model; logged value is expected contract settlement, not outright win probability.", "schema": "international-elo-replay-v1", "settlement_values": {"away": 0.326168, "home": 0.673832}, "snapshot_hash": "de5d87405774a6c4724c7d23f8300a5bfbee40221c9b5e269bd54f043534cc60", "sport": "NPB"}</t>
        </is>
      </c>
    </row>
    <row r="177" ht="36" customHeight="1">
      <c r="A177" s="24" t="inlineStr">
        <is>
          <t>adf955acfd354bbe</t>
        </is>
      </c>
      <c r="B177" s="24" t="inlineStr">
        <is>
          <t>2026-09-22T04:50:47.527699Z</t>
        </is>
      </c>
      <c r="C177" s="24" t="inlineStr">
        <is>
          <t>2026-09-22T09:00:00Z</t>
        </is>
      </c>
      <c r="D177" s="24" t="inlineStr">
        <is>
          <t>117867</t>
        </is>
      </c>
      <c r="E177" s="24" t="inlineStr">
        <is>
          <t>NPB</t>
        </is>
      </c>
      <c r="F177" s="24" t="inlineStr">
        <is>
          <t>Hanshin Tigers</t>
        </is>
      </c>
      <c r="G177" s="24" t="inlineStr">
        <is>
          <t>Tokyo Yakult Swallows</t>
        </is>
      </c>
      <c r="H177" s="24" t="inlineStr">
        <is>
          <t>moneyline</t>
        </is>
      </c>
      <c r="I177" s="24" t="inlineStr">
        <is>
          <t>away</t>
        </is>
      </c>
      <c r="J177" s="25" t="n"/>
      <c r="K177" s="24" t="inlineStr">
        <is>
          <t>polymarket_us</t>
        </is>
      </c>
      <c r="L177" s="26" t="n">
        <v>-233</v>
      </c>
      <c r="M177" s="27" t="n">
        <v>1.429185</v>
      </c>
      <c r="N177" s="28" t="n">
        <v>0.6997</v>
      </c>
      <c r="O177" s="28" t="n">
        <v>0.5837599999999999</v>
      </c>
      <c r="P177" s="28" t="n"/>
      <c r="Q177" s="28" t="n">
        <v>-0.11594</v>
      </c>
      <c r="R177" s="26" t="n">
        <v>0</v>
      </c>
      <c r="S177" s="29" t="n">
        <v>1</v>
      </c>
      <c r="T177" s="24" t="inlineStr">
        <is>
          <t>npb-tie-aware-elo-v2</t>
        </is>
      </c>
      <c r="U177" s="24" t="inlineStr">
        <is>
          <t>settled</t>
        </is>
      </c>
      <c r="V177" s="24" t="inlineStr">
        <is>
          <t>win</t>
        </is>
      </c>
      <c r="W177" s="26" t="n">
        <v>9</v>
      </c>
      <c r="X177" s="26" t="n">
        <v>7</v>
      </c>
      <c r="Y177" s="25" t="n"/>
      <c r="Z177" s="26" t="n"/>
      <c r="AA177" s="28" t="n"/>
      <c r="AB177" s="28" t="n"/>
      <c r="AC177" s="30" t="n">
        <v>0.4292</v>
      </c>
      <c r="AD177" s="24" t="inlineStr">
        <is>
          <t>2026-09-23T04:33:19.081957Z</t>
        </is>
      </c>
      <c r="AE177" s="31" t="inlineStr">
        <is>
          <t>Tie-aware Elo baseline; executable ask 0.7000 (market_slug=aec-npb-tys-hta-2026-09-22). Tie probability=0.0240.</t>
        </is>
      </c>
      <c r="AF177" s="31" t="inlineStr">
        <is>
          <t>Config-promoted international baseball baseline; gates enforced at log time.</t>
        </is>
      </c>
      <c r="AG177" s="24" t="inlineStr">
        <is>
          <t>not_applicable</t>
        </is>
      </c>
      <c r="AH177" s="24" t="n"/>
      <c r="AI177" s="31" t="n"/>
      <c r="AJ177" s="31" t="n"/>
      <c r="AK177" s="24" t="inlineStr">
        <is>
          <t>paper_call</t>
        </is>
      </c>
      <c r="AL177" s="26" t="n">
        <v>4</v>
      </c>
      <c r="AM177" s="24" t="inlineStr">
        <is>
          <t>RESEARCH_OBSERVATION</t>
        </is>
      </c>
      <c r="AN177" s="24" t="inlineStr">
        <is>
          <t>CALL</t>
        </is>
      </c>
      <c r="AO177" s="24" t="inlineStr">
        <is>
          <t>PAPER_CALL_LOW_EDGE</t>
        </is>
      </c>
      <c r="AP177" s="24" t="inlineStr">
        <is>
          <t>Hanshin Tigers</t>
        </is>
      </c>
      <c r="AQ177" s="24" t="inlineStr">
        <is>
          <t>Hanshin Tigers</t>
        </is>
      </c>
      <c r="AR177" s="24" t="inlineStr">
        <is>
          <t>Hanshin Tigers</t>
        </is>
      </c>
      <c r="AS177" s="24" t="inlineStr">
        <is>
          <t>Tokyo Yakult Swallows</t>
        </is>
      </c>
      <c r="AT177" s="24" t="inlineStr">
        <is>
          <t>Tokyo Yakult Swallows</t>
        </is>
      </c>
      <c r="AU177" s="24" t="inlineStr">
        <is>
          <t>Tokyo Yakult Swallows</t>
        </is>
      </c>
      <c r="AV177" s="24" t="n"/>
      <c r="AW177" s="24" t="n"/>
      <c r="AX177" s="24" t="inlineStr">
        <is>
          <t>statistical_model</t>
        </is>
      </c>
      <c r="AY177" s="24" t="n"/>
      <c r="AZ177" s="24" t="inlineStr">
        <is>
          <t>shadow_qualified</t>
        </is>
      </c>
      <c r="BA177" s="24" t="inlineStr">
        <is>
          <t>63bf285155cafd44c6a8faec2d9b9559249fb77be0166629a627aaf77ac68266</t>
        </is>
      </c>
      <c r="BB177" s="24" t="inlineStr">
        <is>
          <t>tie_aware_elo</t>
        </is>
      </c>
      <c r="BC177" s="24" t="inlineStr">
        <is>
          <t>npb-tie-aware-elo-v2</t>
        </is>
      </c>
      <c r="BD177" s="24" t="inlineStr">
        <is>
          <t>63bf285155cafd44c6a8faec2d9b9559249fb77be0166629a627aaf77ac68266</t>
        </is>
      </c>
      <c r="BE177" s="24" t="inlineStr">
        <is>
          <t>1</t>
        </is>
      </c>
      <c r="BF177" s="24" t="inlineStr">
        <is>
          <t>1</t>
        </is>
      </c>
      <c r="BG177" s="24" t="inlineStr">
        <is>
          <t>npb-tie-aware-elo-v2</t>
        </is>
      </c>
      <c r="BH177" s="24" t="inlineStr">
        <is>
          <t>2026-09-22T04:50:46.980258Z</t>
        </is>
      </c>
      <c r="BI177" s="24" t="inlineStr">
        <is>
          <t>["same_event","same_team_same_day","same_league_same_day"]</t>
        </is>
      </c>
      <c r="BJ177" s="25" t="n"/>
      <c r="BK177" s="26" t="n">
        <v>-233</v>
      </c>
      <c r="BL177" s="27" t="n">
        <v>1.429185</v>
      </c>
      <c r="BM177" s="28" t="n">
        <v>0.6997</v>
      </c>
      <c r="BN177" s="28" t="n"/>
      <c r="BO177" s="28" t="n"/>
      <c r="BP177" s="25" t="n"/>
      <c r="BQ177" s="27" t="n"/>
      <c r="BR177" s="28" t="n"/>
      <c r="BS177" s="28" t="n"/>
      <c r="BT177" s="28" t="n"/>
      <c r="BU177" s="25" t="n"/>
      <c r="BV177" s="29" t="n"/>
      <c r="BW177" s="24" t="n"/>
      <c r="BX177" s="30" t="n"/>
      <c r="BY177" s="27" t="n"/>
      <c r="BZ177" s="24" t="n"/>
      <c r="CA177" s="31" t="n"/>
      <c r="CB177" s="24" t="n"/>
      <c r="CC177" s="24" t="n"/>
      <c r="CD177" s="24" t="n"/>
      <c r="CE177" s="24" t="n"/>
      <c r="CF177" s="24" t="n"/>
      <c r="CG177" s="24" t="n"/>
      <c r="CH177" s="24" t="n"/>
      <c r="CI177" s="24" t="n"/>
      <c r="CJ177" s="24" t="n"/>
      <c r="CK177" s="24" t="n"/>
      <c r="CL177" s="24" t="n"/>
      <c r="CM177" s="24" t="n"/>
      <c r="CN177" s="24" t="n"/>
      <c r="CO177" s="24" t="n"/>
      <c r="CP177" s="24" t="n"/>
      <c r="CQ177" s="24" t="n"/>
      <c r="CR177" s="24" t="n"/>
      <c r="CS177" s="24" t="inlineStr">
        <is>
          <t>False</t>
        </is>
      </c>
      <c r="CT177" s="24" t="n"/>
      <c r="CU177" s="24" t="n"/>
      <c r="CV177" s="24" t="n"/>
      <c r="CW177" s="24" t="n"/>
      <c r="CX177" s="24" t="n"/>
      <c r="CY177" s="24" t="n"/>
      <c r="CZ177" s="24" t="n"/>
      <c r="DA177" s="24" t="n"/>
      <c r="DB177" s="24" t="n"/>
      <c r="DC177" s="24" t="n"/>
      <c r="DD177" s="24" t="n"/>
      <c r="DE177" s="24" t="n"/>
      <c r="DF177" s="24" t="n"/>
      <c r="DG177" s="24" t="n"/>
      <c r="DH177" s="24" t="n"/>
      <c r="DI177" s="24" t="n"/>
      <c r="DJ177" s="24" t="inlineStr">
        <is>
          <t>0.6997</t>
        </is>
      </c>
      <c r="DK177" s="24" t="n"/>
      <c r="DL177" s="24" t="n"/>
      <c r="DM177" s="24" t="n"/>
      <c r="DN177" s="24" t="n"/>
      <c r="DO177" s="24" t="n"/>
      <c r="DP177" s="24" t="n"/>
      <c r="DQ177" s="24" t="inlineStr">
        <is>
          <t>{"artifact_hash": "63bf285155cafd44c6a8faec2d9b9559249fb77be0166629a627aaf77ac68266", "away_team": "Hanshin Tigers", "draw_settlement_value": 0.5, "event_id": "117867", "event_start_utc": "2026-09-22T09:00:00Z", "features": {"away_elo": 1518.505072, "base_tie_rate": 0.02397507, "home_advantage": 35.0, "home_elo": 1423.276999}, "historical_source_observation_times_verified": false, "home_team": "Tokyo Yakult Swallows", "inference_inputs": {"away_id": "T", "base_tie_rate": 0.02397507, "book_state": {"_games_played": null, "_last_active": null, "decay_rate": 0.0, "home_advantage": 35.0, "k": 8.0, "margin_weight": 0.0, "ratings": {"S": 1423.276999, "T": 1518.505072}}, "code_sha256": {"features/elo_ratings.py": "8525faf022a6343c452286dbfeb17dbb043744c6bdabbe448b6b371216da439b", "international_baseball.py": "f345eb917316d2e897f62c1cdd0f73153115c65da54c30c6137ad76bb7b27869"}, "home_id": "S", "tie_method": "flat"}, "market_type": "moneyline", "model_version": "npb-tie-aware-elo-v2", "observed_at_utc": "2026-09-22T04:50:30.685745+00:00", "outcome_probabilities": {"away": 0.5717722589788155, "draw": 0.02397507, "home": 0.4042526710211845}, "replay_scope": "Exact Elo and tie model; logged value is expected contract settlement, not outright win probability.", "schema": "international-elo-replay-v1", "settlement_values": {"away": 0.58376, "home": 0.41624}, "snapshot_hash": "e66f707a79b31974c6a30637457198624ba14d7cefdb8c78fa4c346f01edc6d4", "sport": "NPB"}</t>
        </is>
      </c>
    </row>
    <row r="178" ht="36" customHeight="1">
      <c r="A178" s="24" t="inlineStr">
        <is>
          <t>b1cc1920a4b34370</t>
        </is>
      </c>
      <c r="B178" s="24" t="inlineStr">
        <is>
          <t>2026-09-22T04:50:47.527699Z</t>
        </is>
      </c>
      <c r="C178" s="24" t="inlineStr">
        <is>
          <t>2026-09-22T09:00:00Z</t>
        </is>
      </c>
      <c r="D178" s="24" t="inlineStr">
        <is>
          <t>117865</t>
        </is>
      </c>
      <c r="E178" s="24" t="inlineStr">
        <is>
          <t>NPB</t>
        </is>
      </c>
      <c r="F178" s="24" t="inlineStr">
        <is>
          <t>Orix Buffaloes</t>
        </is>
      </c>
      <c r="G178" s="24" t="inlineStr">
        <is>
          <t>Chiba Lotte Marines</t>
        </is>
      </c>
      <c r="H178" s="24" t="inlineStr">
        <is>
          <t>moneyline</t>
        </is>
      </c>
      <c r="I178" s="24" t="inlineStr">
        <is>
          <t>home</t>
        </is>
      </c>
      <c r="J178" s="25" t="n"/>
      <c r="K178" s="24" t="inlineStr">
        <is>
          <t>polymarket_us</t>
        </is>
      </c>
      <c r="L178" s="26" t="n">
        <v>-127</v>
      </c>
      <c r="M178" s="27" t="n">
        <v>1.787402</v>
      </c>
      <c r="N178" s="28" t="n">
        <v>0.5594710000000001</v>
      </c>
      <c r="O178" s="28" t="n">
        <v>0.546763</v>
      </c>
      <c r="P178" s="28" t="n"/>
      <c r="Q178" s="28" t="n">
        <v>-0.012708</v>
      </c>
      <c r="R178" s="26" t="n">
        <v>14</v>
      </c>
      <c r="S178" s="29" t="n">
        <v>1</v>
      </c>
      <c r="T178" s="24" t="inlineStr">
        <is>
          <t>npb-tie-aware-elo-v2</t>
        </is>
      </c>
      <c r="U178" s="24" t="inlineStr">
        <is>
          <t>settled</t>
        </is>
      </c>
      <c r="V178" s="24" t="inlineStr">
        <is>
          <t>loss</t>
        </is>
      </c>
      <c r="W178" s="26" t="n">
        <v>6</v>
      </c>
      <c r="X178" s="26" t="n">
        <v>4</v>
      </c>
      <c r="Y178" s="25" t="n"/>
      <c r="Z178" s="26" t="n"/>
      <c r="AA178" s="28" t="n"/>
      <c r="AB178" s="28" t="n"/>
      <c r="AC178" s="30" t="n">
        <v>-1</v>
      </c>
      <c r="AD178" s="24" t="inlineStr">
        <is>
          <t>2026-09-23T04:33:19.269157Z</t>
        </is>
      </c>
      <c r="AE178" s="31" t="inlineStr">
        <is>
          <t>Tie-aware Elo baseline; executable ask 0.5600 (market_slug=aec-npb-clm-obr-2026-09-22). Tie probability=0.0240.</t>
        </is>
      </c>
      <c r="AF178" s="31" t="inlineStr">
        <is>
          <t>Config-promoted international baseball baseline; gates enforced at log time.</t>
        </is>
      </c>
      <c r="AG178" s="24" t="inlineStr">
        <is>
          <t>review_required</t>
        </is>
      </c>
      <c r="AH178" s="24" t="n"/>
      <c r="AI178" s="31" t="n"/>
      <c r="AJ178" s="31" t="n"/>
      <c r="AK178" s="24" t="inlineStr">
        <is>
          <t>paper_call</t>
        </is>
      </c>
      <c r="AL178" s="26" t="n">
        <v>4</v>
      </c>
      <c r="AM178" s="24" t="inlineStr">
        <is>
          <t>RESEARCH_OBSERVATION</t>
        </is>
      </c>
      <c r="AN178" s="24" t="inlineStr">
        <is>
          <t>CALL</t>
        </is>
      </c>
      <c r="AO178" s="24" t="inlineStr">
        <is>
          <t>PAPER_CALL_LOW_EDGE</t>
        </is>
      </c>
      <c r="AP178" s="24" t="inlineStr">
        <is>
          <t>Orix Buffaloes</t>
        </is>
      </c>
      <c r="AQ178" s="24" t="inlineStr">
        <is>
          <t>Orix Buffaloes</t>
        </is>
      </c>
      <c r="AR178" s="24" t="inlineStr">
        <is>
          <t>Orix Buffaloes</t>
        </is>
      </c>
      <c r="AS178" s="24" t="inlineStr">
        <is>
          <t>Chiba Lotte Marines</t>
        </is>
      </c>
      <c r="AT178" s="24" t="inlineStr">
        <is>
          <t>Chiba Lotte Marines</t>
        </is>
      </c>
      <c r="AU178" s="24" t="inlineStr">
        <is>
          <t>Chiba Lotte Marines</t>
        </is>
      </c>
      <c r="AV178" s="24" t="n"/>
      <c r="AW178" s="24" t="n"/>
      <c r="AX178" s="24" t="inlineStr">
        <is>
          <t>statistical_model</t>
        </is>
      </c>
      <c r="AY178" s="24" t="n"/>
      <c r="AZ178" s="24" t="inlineStr">
        <is>
          <t>shadow_qualified</t>
        </is>
      </c>
      <c r="BA178" s="24" t="inlineStr">
        <is>
          <t>63bf285155cafd44c6a8faec2d9b9559249fb77be0166629a627aaf77ac68266</t>
        </is>
      </c>
      <c r="BB178" s="24" t="inlineStr">
        <is>
          <t>tie_aware_elo</t>
        </is>
      </c>
      <c r="BC178" s="24" t="inlineStr">
        <is>
          <t>npb-tie-aware-elo-v2</t>
        </is>
      </c>
      <c r="BD178" s="24" t="inlineStr">
        <is>
          <t>63bf285155cafd44c6a8faec2d9b9559249fb77be0166629a627aaf77ac68266</t>
        </is>
      </c>
      <c r="BE178" s="24" t="inlineStr">
        <is>
          <t>1</t>
        </is>
      </c>
      <c r="BF178" s="24" t="inlineStr">
        <is>
          <t>1</t>
        </is>
      </c>
      <c r="BG178" s="24" t="inlineStr">
        <is>
          <t>npb-tie-aware-elo-v2</t>
        </is>
      </c>
      <c r="BH178" s="24" t="inlineStr">
        <is>
          <t>2026-09-22T04:50:47.527634Z</t>
        </is>
      </c>
      <c r="BI178" s="24" t="inlineStr">
        <is>
          <t>["same_event","same_team_same_day","same_league_same_day"]</t>
        </is>
      </c>
      <c r="BJ178" s="25" t="n"/>
      <c r="BK178" s="26" t="n">
        <v>-127</v>
      </c>
      <c r="BL178" s="27" t="n">
        <v>1.787402</v>
      </c>
      <c r="BM178" s="28" t="n">
        <v>0.5594710000000001</v>
      </c>
      <c r="BN178" s="28" t="n"/>
      <c r="BO178" s="28" t="n"/>
      <c r="BP178" s="25" t="n"/>
      <c r="BQ178" s="27" t="n"/>
      <c r="BR178" s="28" t="n"/>
      <c r="BS178" s="28" t="n"/>
      <c r="BT178" s="28" t="n"/>
      <c r="BU178" s="25" t="n"/>
      <c r="BV178" s="29" t="n"/>
      <c r="BW178" s="24" t="n"/>
      <c r="BX178" s="30" t="n"/>
      <c r="BY178" s="27" t="n"/>
      <c r="BZ178" s="24" t="n"/>
      <c r="CA178" s="31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  <c r="CR178" s="24" t="n"/>
      <c r="CS178" s="24" t="inlineStr">
        <is>
          <t>False</t>
        </is>
      </c>
      <c r="CT178" s="24" t="n"/>
      <c r="CU178" s="24" t="n"/>
      <c r="CV178" s="24" t="n"/>
      <c r="CW178" s="24" t="n"/>
      <c r="CX178" s="24" t="n"/>
      <c r="CY178" s="24" t="n"/>
      <c r="CZ178" s="24" t="n"/>
      <c r="DA178" s="24" t="n"/>
      <c r="DB178" s="24" t="n"/>
      <c r="DC178" s="24" t="n"/>
      <c r="DD178" s="24" t="n"/>
      <c r="DE178" s="24" t="n"/>
      <c r="DF178" s="24" t="n"/>
      <c r="DG178" s="24" t="n"/>
      <c r="DH178" s="24" t="n"/>
      <c r="DI178" s="24" t="n"/>
      <c r="DJ178" s="24" t="inlineStr">
        <is>
          <t>0.559471</t>
        </is>
      </c>
      <c r="DK178" s="24" t="n"/>
      <c r="DL178" s="24" t="n"/>
      <c r="DM178" s="24" t="n"/>
      <c r="DN178" s="24" t="n"/>
      <c r="DO178" s="24" t="n"/>
      <c r="DP178" s="24" t="n"/>
      <c r="DQ178" s="24" t="inlineStr">
        <is>
          <t>{"artifact_hash": "63bf285155cafd44c6a8faec2d9b9559249fb77be0166629a627aaf77ac68266", "away_team": "Orix Buffaloes", "draw_settlement_value": 0.5, "event_id": "117865", "event_start_utc": "2026-09-22T09:00:00Z", "features": {"away_elo": 1482.948467, "base_tie_rate": 0.02397507, "home_advantage": 35.0, "home_elo": 1481.343367}, "historical_source_observation_times_verified": false, "home_team": "Chiba Lotte Marines", "inference_inputs": {"away_id": "B", "base_tie_rate": 0.02397507, "book_state": {"_games_played": null, "_last_active": null, "decay_rate": 0.0, "home_advantage": 35.0, "k": 8.0, "margin_weight": 0.0, "ratings": {"B": 1482.948467, "M": 1481.343367}},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"2026-09-22T04:50:30.685745+00:00", "outcome_probabilities": {"away": 0.44124948292083893, "draw": 0.02397507, "home": 0.534775447079161}, "replay_scope": "Exact Elo and tie model; logged value is expected contract settlement, not outright win probability.", "schema": "international-elo-replay-v1", "settlement_values": {"away": 0.453237, "home": 0.546763}, "snapshot_hash": "ad35f8259728f462c0c1a85effc1492b1e1e70e5914ed26b7b4c7b05988dd4ba", "sport": "NPB"}</t>
        </is>
      </c>
    </row>
    <row r="179" ht="36" customHeight="1">
      <c r="A179" s="24" t="inlineStr">
        <is>
          <t>8a229d23a5284a6c</t>
        </is>
      </c>
      <c r="B179" s="24" t="inlineStr">
        <is>
          <t>2026-09-23T04:43:38.557253Z</t>
        </is>
      </c>
      <c r="C179" s="24" t="inlineStr">
        <is>
          <t>2026-09-23T05:00:00Z</t>
        </is>
      </c>
      <c r="D179" s="24" t="inlineStr">
        <is>
          <t>118971</t>
        </is>
      </c>
      <c r="E179" s="24" t="inlineStr">
        <is>
          <t>NPB</t>
        </is>
      </c>
      <c r="F179" s="24" t="inlineStr">
        <is>
          <t>Saitama Seibu Lions</t>
        </is>
      </c>
      <c r="G179" s="24" t="inlineStr">
        <is>
          <t>Fukuoka SoftBank Hawks</t>
        </is>
      </c>
      <c r="H179" s="24" t="inlineStr">
        <is>
          <t>moneyline</t>
        </is>
      </c>
      <c r="I179" s="24" t="inlineStr">
        <is>
          <t>home</t>
        </is>
      </c>
      <c r="J179" s="25" t="n"/>
      <c r="K179" s="24" t="inlineStr">
        <is>
          <t>polymarket_us</t>
        </is>
      </c>
      <c r="L179" s="26" t="n">
        <v>-156</v>
      </c>
      <c r="M179" s="27" t="n">
        <v>1.641026</v>
      </c>
      <c r="N179" s="28" t="n">
        <v>0.609375</v>
      </c>
      <c r="O179" s="28" t="n">
        <v>0.654056</v>
      </c>
      <c r="P179" s="28" t="n"/>
      <c r="Q179" s="28" t="n">
        <v>0.044681</v>
      </c>
      <c r="R179" s="26" t="n">
        <v>42</v>
      </c>
      <c r="S179" s="29" t="n">
        <v>1</v>
      </c>
      <c r="T179" s="24" t="inlineStr">
        <is>
          <t>npb-tie-aware-elo-v2</t>
        </is>
      </c>
      <c r="U179" s="24" t="inlineStr">
        <is>
          <t>settled</t>
        </is>
      </c>
      <c r="V179" s="24" t="inlineStr">
        <is>
          <t>win</t>
        </is>
      </c>
      <c r="W179" s="26" t="n">
        <v>3</v>
      </c>
      <c r="X179" s="26" t="n">
        <v>10</v>
      </c>
      <c r="Y179" s="25" t="n"/>
      <c r="Z179" s="26" t="n"/>
      <c r="AA179" s="28" t="n"/>
      <c r="AB179" s="28" t="n"/>
      <c r="AC179" s="30" t="n">
        <v>0.641</v>
      </c>
      <c r="AD179" s="24" t="inlineStr">
        <is>
          <t>2026-09-23T22:26:57.769845Z</t>
        </is>
      </c>
      <c r="AE179" s="31" t="inlineStr">
        <is>
          <t>Tie-aware Elo baseline; executable ask 0.6100 (market_slug=aec-npb-fsh-ssl-2026-09-23). Tie probability=0.0239.</t>
        </is>
      </c>
      <c r="AF179" s="31" t="inlineStr">
        <is>
          <t>Config-promoted international baseball baseline; gates enforced at log time.</t>
        </is>
      </c>
      <c r="AG179" s="24" t="inlineStr">
        <is>
          <t>not_applicable</t>
        </is>
      </c>
      <c r="AH179" s="24" t="n"/>
      <c r="AI179" s="31" t="n"/>
      <c r="AJ179" s="31" t="n"/>
      <c r="AK179" s="24" t="inlineStr">
        <is>
          <t>model_qualified</t>
        </is>
      </c>
      <c r="AL179" s="26" t="n">
        <v>4</v>
      </c>
      <c r="AM179" s="24" t="inlineStr">
        <is>
          <t>QUALIFIED_SHADOW_CALL</t>
        </is>
      </c>
      <c r="AN179" s="24" t="inlineStr">
        <is>
          <t>CALL</t>
        </is>
      </c>
      <c r="AO179" s="24" t="inlineStr">
        <is>
          <t>QUALIFIED</t>
        </is>
      </c>
      <c r="AP179" s="24" t="inlineStr">
        <is>
          <t>Saitama Seibu Lions</t>
        </is>
      </c>
      <c r="AQ179" s="24" t="inlineStr">
        <is>
          <t>Saitama Seibu Lions</t>
        </is>
      </c>
      <c r="AR179" s="24" t="inlineStr">
        <is>
          <t>Saitama Seibu Lions</t>
        </is>
      </c>
      <c r="AS179" s="24" t="inlineStr">
        <is>
          <t>Fukuoka SoftBank Hawks</t>
        </is>
      </c>
      <c r="AT179" s="24" t="inlineStr">
        <is>
          <t>Fukuoka SoftBank Hawks</t>
        </is>
      </c>
      <c r="AU179" s="24" t="inlineStr">
        <is>
          <t>Fukuoka SoftBank Hawks</t>
        </is>
      </c>
      <c r="AV179" s="24" t="n"/>
      <c r="AW179" s="24" t="n"/>
      <c r="AX179" s="24" t="inlineStr">
        <is>
          <t>statistical_model</t>
        </is>
      </c>
      <c r="AY179" s="24" t="n"/>
      <c r="AZ179" s="24" t="inlineStr">
        <is>
          <t>shadow_qualified</t>
        </is>
      </c>
      <c r="BA179" s="24" t="inlineStr">
        <is>
          <t>e910133b9d2031b7b471f552b7f7dce97014a2295738ae399802b0aea5699a6f</t>
        </is>
      </c>
      <c r="BB179" s="24" t="inlineStr">
        <is>
          <t>tie_aware_elo</t>
        </is>
      </c>
      <c r="BC179" s="24" t="inlineStr">
        <is>
          <t>npb-tie-aware-elo-v2</t>
        </is>
      </c>
      <c r="BD179" s="24" t="inlineStr">
        <is>
          <t>e910133b9d2031b7b471f552b7f7dce97014a2295738ae399802b0aea5699a6f</t>
        </is>
      </c>
      <c r="BE179" s="24" t="inlineStr">
        <is>
          <t>1</t>
        </is>
      </c>
      <c r="BF179" s="24" t="inlineStr">
        <is>
          <t>1</t>
        </is>
      </c>
      <c r="BG179" s="24" t="inlineStr">
        <is>
          <t>npb-tie-aware-elo-v2</t>
        </is>
      </c>
      <c r="BH179" s="24" t="inlineStr">
        <is>
          <t>2026-09-23T04:43:27.597859Z</t>
        </is>
      </c>
      <c r="BI179" s="24" t="inlineStr">
        <is>
          <t>["same_event","same_team_same_day","same_league_same_day"]</t>
        </is>
      </c>
      <c r="BJ179" s="25" t="n"/>
      <c r="BK179" s="26" t="n">
        <v>-156</v>
      </c>
      <c r="BL179" s="27" t="n">
        <v>1.641026</v>
      </c>
      <c r="BM179" s="28" t="n">
        <v>0.609375</v>
      </c>
      <c r="BN179" s="28" t="n"/>
      <c r="BO179" s="28" t="n"/>
      <c r="BP179" s="25" t="n"/>
      <c r="BQ179" s="27" t="n"/>
      <c r="BR179" s="28" t="n"/>
      <c r="BS179" s="28" t="n"/>
      <c r="BT179" s="28" t="n"/>
      <c r="BU179" s="25" t="n"/>
      <c r="BV179" s="29" t="n"/>
      <c r="BW179" s="24" t="n"/>
      <c r="BX179" s="30" t="n"/>
      <c r="BY179" s="27" t="n"/>
      <c r="BZ179" s="24" t="n"/>
      <c r="CA179" s="31" t="n"/>
      <c r="CB179" s="24" t="n"/>
      <c r="CC179" s="24" t="n"/>
      <c r="CD179" s="24" t="n"/>
      <c r="CE179" s="24" t="n"/>
      <c r="CF179" s="24" t="n"/>
      <c r="CG179" s="24" t="n"/>
      <c r="CH179" s="24" t="n"/>
      <c r="CI179" s="24" t="n"/>
      <c r="CJ179" s="24" t="n"/>
      <c r="CK179" s="24" t="n"/>
      <c r="CL179" s="24" t="n"/>
      <c r="CM179" s="24" t="n"/>
      <c r="CN179" s="24" t="n"/>
      <c r="CO179" s="24" t="n"/>
      <c r="CP179" s="24" t="n"/>
      <c r="CQ179" s="24" t="n"/>
      <c r="CR179" s="24" t="n"/>
      <c r="CS179" s="24" t="inlineStr">
        <is>
          <t>True</t>
        </is>
      </c>
      <c r="CT179" s="24" t="n"/>
      <c r="CU179" s="24" t="n"/>
      <c r="CV179" s="24" t="n"/>
      <c r="CW179" s="24" t="n"/>
      <c r="CX179" s="24" t="n"/>
      <c r="CY179" s="24" t="n"/>
      <c r="CZ179" s="24" t="n"/>
      <c r="DA179" s="24" t="n"/>
      <c r="DB179" s="24" t="n"/>
      <c r="DC179" s="24" t="n"/>
      <c r="DD179" s="24" t="n"/>
      <c r="DE179" s="24" t="n"/>
      <c r="DF179" s="24" t="n"/>
      <c r="DG179" s="24" t="n"/>
      <c r="DH179" s="24" t="n"/>
      <c r="DI179" s="24" t="n"/>
      <c r="DJ179" s="24" t="inlineStr">
        <is>
          <t>0.609375</t>
        </is>
      </c>
      <c r="DK179" s="24" t="n"/>
      <c r="DL179" s="24" t="n"/>
      <c r="DM179" s="24" t="n"/>
      <c r="DN179" s="24" t="n"/>
      <c r="DO179" s="24" t="n"/>
      <c r="DP179" s="24" t="n"/>
      <c r="DQ179" s="24" t="inlineStr">
        <is>
          <t>{"artifact_hash": "e910133b9d2031b7b471f552b7f7dce97014a2295738ae399802b0aea5699a6f", "away_team": "Saitama Seibu Lions", "draw_settlement_value": 0.5, "event_id": "118971", "event_start_utc": "2026-09-23T05:00:00Z", "features": {"away_elo": 1535.954963, "base_tie_rate": 0.02394063, "home_advantage": 35.0, "home_elo": 1614.506867}, "historical_source_observation_times_verified": false, "home_team": "Fukuoka SoftBank Hawks", "inference_inputs": {"away_id": "L", "base_tie_rate": 0.02394063, "book_state": {"_games_played": null, "_last_active": null, "decay_rate": 0.0, "home_advantage": 35.0, "k": 8.0, "margin_weight": 0.0, "ratings": {"H": 1614.506867, "L": 1535.954963}}, "code_sha256": {"features/elo_ratings.py": "8525faf022a6343c452286dbfeb17dbb043744c6bdabbe448b6b371216da439b", "international_baseball.py": "f345eb917316d2e897f62c1cdd0f73153115c65da54c30c6137ad76bb7b27869"}, "home_id": "H", "tie_method": "flat"}, "market_type": "moneyline", "model_version": "npb-tie-aware-elo-v2", "observed_at_utc": "2026-09-23T04:43:19.257123+00:00", "outcome_probabilities": {"away": 0.33397418031040393, "draw": 0.02394063, "home": 0.642085189689596}, "replay_scope": "Exact Elo and tie model; logged value is expected contract settlement, not outright win probability.", "schema": "international-elo-replay-v1", "settlement_values": {"away": 0.345944, "home": 0.654056}, "snapshot_hash": "b0cf721775e3a38136b5990a28827f1401d9fa0e11b87fbd73e03b64df48f95e", "sport": "NPB"}</t>
        </is>
      </c>
    </row>
    <row r="180" ht="36" customHeight="1">
      <c r="A180" s="24" t="inlineStr">
        <is>
          <t>b230f1de4bb146f8</t>
        </is>
      </c>
      <c r="B180" s="24" t="inlineStr">
        <is>
          <t>2026-09-23T04:43:38.557253Z</t>
        </is>
      </c>
      <c r="C180" s="24" t="inlineStr">
        <is>
          <t>2026-09-23T09:00:00Z</t>
        </is>
      </c>
      <c r="D180" s="24" t="inlineStr">
        <is>
          <t>119094</t>
        </is>
      </c>
      <c r="E180" s="24" t="inlineStr">
        <is>
          <t>NPB</t>
        </is>
      </c>
      <c r="F180" s="24" t="inlineStr">
        <is>
          <t>Chunichi Dragons</t>
        </is>
      </c>
      <c r="G180" s="24" t="inlineStr">
        <is>
          <t>Yokohama BayStars</t>
        </is>
      </c>
      <c r="H180" s="24" t="inlineStr">
        <is>
          <t>moneyline</t>
        </is>
      </c>
      <c r="I180" s="24" t="inlineStr">
        <is>
          <t>home</t>
        </is>
      </c>
      <c r="J180" s="25" t="n"/>
      <c r="K180" s="24" t="inlineStr">
        <is>
          <t>polymarket_us</t>
        </is>
      </c>
      <c r="L180" s="26" t="n">
        <v>-170</v>
      </c>
      <c r="M180" s="27" t="n">
        <v>1.588235</v>
      </c>
      <c r="N180" s="28" t="n">
        <v>0.62963</v>
      </c>
      <c r="O180" s="28" t="n">
        <v>0.619584</v>
      </c>
      <c r="P180" s="28" t="n"/>
      <c r="Q180" s="28" t="n">
        <v>-0.010046</v>
      </c>
      <c r="R180" s="26" t="n">
        <v>15</v>
      </c>
      <c r="S180" s="29" t="n">
        <v>1</v>
      </c>
      <c r="T180" s="24" t="inlineStr">
        <is>
          <t>npb-tie-aware-elo-v2</t>
        </is>
      </c>
      <c r="U180" s="24" t="inlineStr">
        <is>
          <t>settled</t>
        </is>
      </c>
      <c r="V180" s="24" t="inlineStr">
        <is>
          <t>win</t>
        </is>
      </c>
      <c r="W180" s="26" t="n">
        <v>3</v>
      </c>
      <c r="X180" s="26" t="n">
        <v>4</v>
      </c>
      <c r="Y180" s="25" t="n"/>
      <c r="Z180" s="26" t="n"/>
      <c r="AA180" s="28" t="n"/>
      <c r="AB180" s="28" t="n"/>
      <c r="AC180" s="30" t="n">
        <v>0.5881999999999999</v>
      </c>
      <c r="AD180" s="24" t="inlineStr">
        <is>
          <t>2026-09-23T22:26:58.355957Z</t>
        </is>
      </c>
      <c r="AE180" s="31" t="inlineStr">
        <is>
          <t>Tie-aware Elo baseline; executable ask 0.6300 (market_slug=aec-npb-ybo-cdh-2026-09-23). Tie probability=0.0239.</t>
        </is>
      </c>
      <c r="AF180" s="31" t="inlineStr">
        <is>
          <t>Config-promoted international baseball baseline; gates enforced at log time.</t>
        </is>
      </c>
      <c r="AG180" s="24" t="inlineStr">
        <is>
          <t>not_applicable</t>
        </is>
      </c>
      <c r="AH180" s="24" t="n"/>
      <c r="AI180" s="31" t="n"/>
      <c r="AJ180" s="31" t="n"/>
      <c r="AK180" s="24" t="inlineStr">
        <is>
          <t>paper_call</t>
        </is>
      </c>
      <c r="AL180" s="26" t="n">
        <v>4</v>
      </c>
      <c r="AM180" s="24" t="inlineStr">
        <is>
          <t>RESEARCH_OBSERVATION</t>
        </is>
      </c>
      <c r="AN180" s="24" t="inlineStr">
        <is>
          <t>CALL</t>
        </is>
      </c>
      <c r="AO180" s="24" t="inlineStr">
        <is>
          <t>PAPER_CALL_LOW_EDGE</t>
        </is>
      </c>
      <c r="AP180" s="24" t="inlineStr">
        <is>
          <t>Chunichi Dragons</t>
        </is>
      </c>
      <c r="AQ180" s="24" t="inlineStr">
        <is>
          <t>Chunichi Dragons</t>
        </is>
      </c>
      <c r="AR180" s="24" t="inlineStr">
        <is>
          <t>Chunichi Dragons</t>
        </is>
      </c>
      <c r="AS180" s="24" t="inlineStr">
        <is>
          <t>Yokohama BayStars</t>
        </is>
      </c>
      <c r="AT180" s="24" t="inlineStr">
        <is>
          <t>Yokohama BayStars</t>
        </is>
      </c>
      <c r="AU180" s="24" t="inlineStr">
        <is>
          <t>Yokohama BayStars</t>
        </is>
      </c>
      <c r="AV180" s="24" t="n"/>
      <c r="AW180" s="24" t="n"/>
      <c r="AX180" s="24" t="inlineStr">
        <is>
          <t>statistical_model</t>
        </is>
      </c>
      <c r="AY180" s="24" t="n"/>
      <c r="AZ180" s="24" t="inlineStr">
        <is>
          <t>shadow_qualified</t>
        </is>
      </c>
      <c r="BA180" s="24" t="inlineStr">
        <is>
          <t>e910133b9d2031b7b471f552b7f7dce97014a2295738ae399802b0aea5699a6f</t>
        </is>
      </c>
      <c r="BB180" s="24" t="inlineStr">
        <is>
          <t>tie_aware_elo</t>
        </is>
      </c>
      <c r="BC180" s="24" t="inlineStr">
        <is>
          <t>npb-tie-aware-elo-v2</t>
        </is>
      </c>
      <c r="BD180" s="24" t="inlineStr">
        <is>
          <t>e910133b9d2031b7b471f552b7f7dce97014a2295738ae399802b0aea5699a6f</t>
        </is>
      </c>
      <c r="BE180" s="24" t="inlineStr">
        <is>
          <t>1</t>
        </is>
      </c>
      <c r="BF180" s="24" t="inlineStr">
        <is>
          <t>1</t>
        </is>
      </c>
      <c r="BG180" s="24" t="inlineStr">
        <is>
          <t>npb-tie-aware-elo-v2</t>
        </is>
      </c>
      <c r="BH180" s="24" t="inlineStr">
        <is>
          <t>2026-09-23T04:43:38.456315Z</t>
        </is>
      </c>
      <c r="BI180" s="24" t="inlineStr">
        <is>
          <t>["same_event","same_team_same_day","same_league_same_day"]</t>
        </is>
      </c>
      <c r="BJ180" s="25" t="n"/>
      <c r="BK180" s="26" t="n">
        <v>-170</v>
      </c>
      <c r="BL180" s="27" t="n">
        <v>1.588235</v>
      </c>
      <c r="BM180" s="28" t="n">
        <v>0.62963</v>
      </c>
      <c r="BN180" s="28" t="n"/>
      <c r="BO180" s="28" t="n"/>
      <c r="BP180" s="25" t="n"/>
      <c r="BQ180" s="27" t="n"/>
      <c r="BR180" s="28" t="n"/>
      <c r="BS180" s="28" t="n"/>
      <c r="BT180" s="28" t="n"/>
      <c r="BU180" s="25" t="n"/>
      <c r="BV180" s="29" t="n"/>
      <c r="BW180" s="24" t="n"/>
      <c r="BX180" s="30" t="n"/>
      <c r="BY180" s="27" t="n"/>
      <c r="BZ180" s="24" t="n"/>
      <c r="CA180" s="31" t="n"/>
      <c r="CB180" s="24" t="n"/>
      <c r="CC180" s="24" t="n"/>
      <c r="CD180" s="24" t="n"/>
      <c r="CE180" s="24" t="n"/>
      <c r="CF180" s="24" t="n"/>
      <c r="CG180" s="24" t="n"/>
      <c r="CH180" s="24" t="n"/>
      <c r="CI180" s="24" t="n"/>
      <c r="CJ180" s="24" t="n"/>
      <c r="CK180" s="24" t="n"/>
      <c r="CL180" s="24" t="n"/>
      <c r="CM180" s="24" t="n"/>
      <c r="CN180" s="24" t="n"/>
      <c r="CO180" s="24" t="n"/>
      <c r="CP180" s="24" t="n"/>
      <c r="CQ180" s="24" t="n"/>
      <c r="CR180" s="24" t="n"/>
      <c r="CS180" s="24" t="inlineStr">
        <is>
          <t>False</t>
        </is>
      </c>
      <c r="CT180" s="24" t="n"/>
      <c r="CU180" s="24" t="n"/>
      <c r="CV180" s="24" t="n"/>
      <c r="CW180" s="24" t="n"/>
      <c r="CX180" s="24" t="n"/>
      <c r="CY180" s="24" t="n"/>
      <c r="CZ180" s="24" t="n"/>
      <c r="DA180" s="24" t="n"/>
      <c r="DB180" s="24" t="n"/>
      <c r="DC180" s="24" t="n"/>
      <c r="DD180" s="24" t="n"/>
      <c r="DE180" s="24" t="n"/>
      <c r="DF180" s="24" t="n"/>
      <c r="DG180" s="24" t="n"/>
      <c r="DH180" s="24" t="n"/>
      <c r="DI180" s="24" t="n"/>
      <c r="DJ180" s="24" t="inlineStr">
        <is>
          <t>0.62963</t>
        </is>
      </c>
      <c r="DK180" s="24" t="n"/>
      <c r="DL180" s="24" t="n"/>
      <c r="DM180" s="24" t="n"/>
      <c r="DN180" s="24" t="n"/>
      <c r="DO180" s="24" t="n"/>
      <c r="DP180" s="24" t="n"/>
      <c r="DQ180" s="24" t="inlineStr">
        <is>
          <t>{"artifact_hash": "e910133b9d2031b7b471f552b7f7dce97014a2295738ae399802b0aea5699a6f", "away_team": "Chunichi Dragons", "draw_settlement_value": 0.5, "event_id": "119094", "event_start_utc": "2026-09-23T09:00:00Z", "features": {"away_elo": 1460.341721, "base_tie_rate": 0.02394063, "home_advantage": 35.0, "home_elo": 1512.243061}, "historical_source_observation_times_verified": false, "home_team": "Yokohama BayStars", "inference_inputs": {"away_id": "D", "base_tie_rate": 0.02394063, "book_state": {"_games_played": null, "_last_active": null, "decay_rate": 0.0, "home_advantage": 35.0, "k": 8.0, "margin_weight": 0.0, "ratings": {"D": 1460.341721, "DB": 1512.243061}}, "code_sha256": {"features/elo_ratings.py": "8525faf022a6343c452286dbfeb17dbb043744c6bdabbe448b6b371216da439b", "international_baseball.py": "f345eb917316d2e897f62c1cdd0f73153115c65da54c30c6137ad76bb7b27869"}, "home_id": "DB", "tie_method": "flat"}, "market_type": "moneyline", "model_version": "npb-tie-aware-elo-v2", "observed_at_utc": "2026-09-23T04:43:19.257123+00:00", "outcome_probabilities": {"away": 0.3684460663115128, "draw": 0.02394063, "home": 0.6076133036884872}, "replay_scope": "Exact Elo and tie model; logged value is expected contract settlement, not outright win probability.", "schema": "international-elo-replay-v1", "settlement_values": {"away": 0.380416, "home": 0.619584}, "snapshot_hash": "1ff75256643a107c829d74a2a37d7995768f92a66ad31f5a09ef4de5abdcba99", "sport": "NPB"}</t>
        </is>
      </c>
    </row>
    <row r="181" ht="36" customHeight="1">
      <c r="A181" s="24" t="inlineStr">
        <is>
          <t>78b87720a96a40f6</t>
        </is>
      </c>
      <c r="B181" s="24" t="inlineStr">
        <is>
          <t>2026-09-23T04:43:38.557253Z</t>
        </is>
      </c>
      <c r="C181" s="24" t="inlineStr">
        <is>
          <t>2026-09-23T09:00:00Z</t>
        </is>
      </c>
      <c r="D181" s="24" t="inlineStr">
        <is>
          <t>119095</t>
        </is>
      </c>
      <c r="E181" s="24" t="inlineStr">
        <is>
          <t>NPB</t>
        </is>
      </c>
      <c r="F181" s="24" t="inlineStr">
        <is>
          <t>Tohoku Rakuten Golden Eagles</t>
        </is>
      </c>
      <c r="G181" s="24" t="inlineStr">
        <is>
          <t>Nippon Ham Fighters</t>
        </is>
      </c>
      <c r="H181" s="24" t="inlineStr">
        <is>
          <t>moneyline</t>
        </is>
      </c>
      <c r="I181" s="24" t="inlineStr">
        <is>
          <t>home</t>
        </is>
      </c>
      <c r="J181" s="25" t="n"/>
      <c r="K181" s="24" t="inlineStr">
        <is>
          <t>polymarket_us</t>
        </is>
      </c>
      <c r="L181" s="26" t="n">
        <v>-133</v>
      </c>
      <c r="M181" s="27" t="n">
        <v>1.75188</v>
      </c>
      <c r="N181" s="28" t="n">
        <v>0.570815</v>
      </c>
      <c r="O181" s="28" t="n">
        <v>0.680121</v>
      </c>
      <c r="P181" s="28" t="n"/>
      <c r="Q181" s="28" t="n">
        <v>0.109306</v>
      </c>
      <c r="R181" s="26" t="n">
        <v>75</v>
      </c>
      <c r="S181" s="29" t="n">
        <v>1.5</v>
      </c>
      <c r="T181" s="24" t="inlineStr">
        <is>
          <t>npb-tie-aware-elo-v2</t>
        </is>
      </c>
      <c r="U181" s="24" t="inlineStr">
        <is>
          <t>settled</t>
        </is>
      </c>
      <c r="V181" s="24" t="inlineStr">
        <is>
          <t>loss</t>
        </is>
      </c>
      <c r="W181" s="26" t="n">
        <v>5</v>
      </c>
      <c r="X181" s="26" t="n">
        <v>3</v>
      </c>
      <c r="Y181" s="25" t="n"/>
      <c r="Z181" s="26" t="n"/>
      <c r="AA181" s="28" t="n"/>
      <c r="AB181" s="28" t="n"/>
      <c r="AC181" s="30" t="n">
        <v>-1.5</v>
      </c>
      <c r="AD181" s="24" t="inlineStr">
        <is>
          <t>2026-09-23T22:26:58.793535Z</t>
        </is>
      </c>
      <c r="AE181" s="31" t="inlineStr">
        <is>
          <t>Tie-aware Elo baseline; executable ask 0.5700 (market_slug=aec-npb-nhf-trge-2026-09-23). Tie probability=0.0239.</t>
        </is>
      </c>
      <c r="AF181" s="31" t="inlineStr">
        <is>
          <t>Config-promoted international baseball baseline; gates enforced at log time.</t>
        </is>
      </c>
      <c r="AG181" s="24" t="inlineStr">
        <is>
          <t>review_required</t>
        </is>
      </c>
      <c r="AH181" s="24" t="n"/>
      <c r="AI181" s="31" t="n"/>
      <c r="AJ181" s="31" t="n"/>
      <c r="AK181" s="24" t="inlineStr">
        <is>
          <t>model_qualified</t>
        </is>
      </c>
      <c r="AL181" s="26" t="n">
        <v>4</v>
      </c>
      <c r="AM181" s="24" t="inlineStr">
        <is>
          <t>QUALIFIED_SHADOW_CALL</t>
        </is>
      </c>
      <c r="AN181" s="24" t="inlineStr">
        <is>
          <t>CALL</t>
        </is>
      </c>
      <c r="AO181" s="24" t="inlineStr">
        <is>
          <t>QUALIFIED</t>
        </is>
      </c>
      <c r="AP181" s="24" t="inlineStr">
        <is>
          <t>Tohoku Rakuten Golden Eagles</t>
        </is>
      </c>
      <c r="AQ181" s="24" t="inlineStr">
        <is>
          <t>Tohoku Rakuten Golden Eagles</t>
        </is>
      </c>
      <c r="AR181" s="24" t="inlineStr">
        <is>
          <t>Tohoku Rakuten Golden Eagles</t>
        </is>
      </c>
      <c r="AS181" s="24" t="inlineStr">
        <is>
          <t>Nippon Ham Fighters</t>
        </is>
      </c>
      <c r="AT181" s="24" t="inlineStr">
        <is>
          <t>Nippon Ham Fighters</t>
        </is>
      </c>
      <c r="AU181" s="24" t="inlineStr">
        <is>
          <t>Nippon Ham Fighters</t>
        </is>
      </c>
      <c r="AV181" s="24" t="n"/>
      <c r="AW181" s="24" t="n"/>
      <c r="AX181" s="24" t="inlineStr">
        <is>
          <t>statistical_model</t>
        </is>
      </c>
      <c r="AY181" s="24" t="n"/>
      <c r="AZ181" s="24" t="inlineStr">
        <is>
          <t>shadow_qualified</t>
        </is>
      </c>
      <c r="BA181" s="24" t="inlineStr">
        <is>
          <t>e910133b9d2031b7b471f552b7f7dce97014a2295738ae399802b0aea5699a6f</t>
        </is>
      </c>
      <c r="BB181" s="24" t="inlineStr">
        <is>
          <t>tie_aware_elo</t>
        </is>
      </c>
      <c r="BC181" s="24" t="inlineStr">
        <is>
          <t>npb-tie-aware-elo-v2</t>
        </is>
      </c>
      <c r="BD181" s="24" t="inlineStr">
        <is>
          <t>e910133b9d2031b7b471f552b7f7dce97014a2295738ae399802b0aea5699a6f</t>
        </is>
      </c>
      <c r="BE181" s="24" t="inlineStr">
        <is>
          <t>1</t>
        </is>
      </c>
      <c r="BF181" s="24" t="inlineStr">
        <is>
          <t>1</t>
        </is>
      </c>
      <c r="BG181" s="24" t="inlineStr">
        <is>
          <t>npb-tie-aware-elo-v2</t>
        </is>
      </c>
      <c r="BH181" s="24" t="inlineStr">
        <is>
          <t>2026-09-23T04:43:38.557198Z</t>
        </is>
      </c>
      <c r="BI181" s="24" t="inlineStr">
        <is>
          <t>["same_event","same_team_same_day","same_league_same_day"]</t>
        </is>
      </c>
      <c r="BJ181" s="25" t="n"/>
      <c r="BK181" s="26" t="n">
        <v>-133</v>
      </c>
      <c r="BL181" s="27" t="n">
        <v>1.75188</v>
      </c>
      <c r="BM181" s="28" t="n">
        <v>0.570815</v>
      </c>
      <c r="BN181" s="28" t="n"/>
      <c r="BO181" s="28" t="n"/>
      <c r="BP181" s="25" t="n"/>
      <c r="BQ181" s="27" t="n"/>
      <c r="BR181" s="28" t="n"/>
      <c r="BS181" s="28" t="n"/>
      <c r="BT181" s="28" t="n"/>
      <c r="BU181" s="25" t="n"/>
      <c r="BV181" s="29" t="n"/>
      <c r="BW181" s="24" t="n"/>
      <c r="BX181" s="30" t="n"/>
      <c r="BY181" s="27" t="n"/>
      <c r="BZ181" s="24" t="n"/>
      <c r="CA181" s="31" t="n"/>
      <c r="CB181" s="24" t="n"/>
      <c r="CC181" s="24" t="n"/>
      <c r="CD181" s="24" t="n"/>
      <c r="CE181" s="24" t="n"/>
      <c r="CF181" s="24" t="n"/>
      <c r="CG181" s="24" t="n"/>
      <c r="CH181" s="24" t="n"/>
      <c r="CI181" s="24" t="n"/>
      <c r="CJ181" s="24" t="n"/>
      <c r="CK181" s="24" t="n"/>
      <c r="CL181" s="24" t="n"/>
      <c r="CM181" s="24" t="n"/>
      <c r="CN181" s="24" t="n"/>
      <c r="CO181" s="24" t="n"/>
      <c r="CP181" s="24" t="n"/>
      <c r="CQ181" s="24" t="n"/>
      <c r="CR181" s="24" t="n"/>
      <c r="CS181" s="24" t="inlineStr">
        <is>
          <t>True</t>
        </is>
      </c>
      <c r="CT181" s="24" t="n"/>
      <c r="CU181" s="24" t="n"/>
      <c r="CV181" s="24" t="n"/>
      <c r="CW181" s="24" t="n"/>
      <c r="CX181" s="24" t="n"/>
      <c r="CY181" s="24" t="n"/>
      <c r="CZ181" s="24" t="n"/>
      <c r="DA181" s="24" t="n"/>
      <c r="DB181" s="24" t="n"/>
      <c r="DC181" s="24" t="n"/>
      <c r="DD181" s="24" t="n"/>
      <c r="DE181" s="24" t="n"/>
      <c r="DF181" s="24" t="n"/>
      <c r="DG181" s="24" t="n"/>
      <c r="DH181" s="24" t="n"/>
      <c r="DI181" s="24" t="n"/>
      <c r="DJ181" s="24" t="inlineStr">
        <is>
          <t>0.570815</t>
        </is>
      </c>
      <c r="DK181" s="24" t="n"/>
      <c r="DL181" s="24" t="n"/>
      <c r="DM181" s="24" t="n"/>
      <c r="DN181" s="24" t="n"/>
      <c r="DO181" s="24" t="n"/>
      <c r="DP181" s="24" t="n"/>
      <c r="DQ181" s="24" t="inlineStr">
        <is>
          <t>{"artifact_hash": "e910133b9d2031b7b471f552b7f7dce97014a2295738ae399802b0aea5699a6f", "away_team": "Tohoku Rakuten Golden Eagles", "draw_settlement_value": 0.5, "event_id": "119095", "event_start_utc": "2026-09-23T09:00:00Z", "features": {"away_elo": 1460.480789, "base_tie_rate": 0.02394063, "home_advantage": 35.0, "home_elo": 1560.061507}, "historical_source_observation_times_verified": false, "home_team": "Nippon Ham Fighters", "inference_inputs": {"away_id": "E", "base_tie_rate": 0.02394063, "book_state": {"_games_played": null, "_last_active": null, "decay_rate": 0.0, "home_advantage": 35.0, "k": 8.0, "margin_weight": 0.0, "ratings": {"E": 1460.480789, "F": 1560.061507}}, "code_sha256": {"features/elo_ratings.py": "8525faf022a6343c452286dbfeb17dbb043744c6bdabbe448b6b371216da439b", "international_baseball.py": "f345eb917316d2e897f62c1cdd0f73153115c65da54c30c6137ad76bb7b27869"}, "home_id": "F", "tie_method": "flat"}, "market_type": "moneyline", "model_version": "npb-tie-aware-elo-v2", "observed_at_utc": "2026-09-23T04:43:19.257123+00:00", "outcome_probabilities": {"away": 0.30790901697668344, "draw": 0.02394063, "home": 0.6681503530233166}, "replay_scope": "Exact Elo and tie model; logged value is expected contract settlement, not outright win probability.", "schema": "international-elo-replay-v1", "settlement_values": {"away": 0.319879, "home": 0.680121}, "snapshot_hash": "441954d46da324063b22d6807dd70de2b28920bed27e36715d1155bbb87a751f", "sport": "NPB"}</t>
        </is>
      </c>
    </row>
    <row r="182" ht="36" customHeight="1">
      <c r="A182" s="24" t="inlineStr">
        <is>
          <t>0f181f0e66844079</t>
        </is>
      </c>
      <c r="B182" s="24" t="inlineStr">
        <is>
          <t>2026-09-25T04:43:08.714598Z</t>
        </is>
      </c>
      <c r="C182" s="24" t="inlineStr">
        <is>
          <t>2026-09-25T09:00:00Z</t>
        </is>
      </c>
      <c r="D182" s="24" t="inlineStr">
        <is>
          <t>121736</t>
        </is>
      </c>
      <c r="E182" s="24" t="inlineStr">
        <is>
          <t>NPB</t>
        </is>
      </c>
      <c r="F182" s="24" t="inlineStr">
        <is>
          <t>Hanshin Tigers</t>
        </is>
      </c>
      <c r="G182" s="24" t="inlineStr">
        <is>
          <t>Yokohama BayStars</t>
        </is>
      </c>
      <c r="H182" s="24" t="inlineStr">
        <is>
          <t>moneyline</t>
        </is>
      </c>
      <c r="I182" s="24" t="inlineStr">
        <is>
          <t>home</t>
        </is>
      </c>
      <c r="J182" s="25" t="n"/>
      <c r="K182" s="24" t="inlineStr">
        <is>
          <t>polymarket_us</t>
        </is>
      </c>
      <c r="L182" s="26" t="n">
        <v>117</v>
      </c>
      <c r="M182" s="27" t="n">
        <v>2.17</v>
      </c>
      <c r="N182" s="28" t="n">
        <v>0.460829</v>
      </c>
      <c r="O182" s="28" t="n">
        <v>0.535344</v>
      </c>
      <c r="P182" s="28" t="n"/>
      <c r="Q182" s="28" t="n">
        <v>0.074515</v>
      </c>
      <c r="R182" s="26" t="n">
        <v>57</v>
      </c>
      <c r="S182" s="29" t="n">
        <v>1.25</v>
      </c>
      <c r="T182" s="24" t="inlineStr">
        <is>
          <t>npb-tie-aware-elo-v2</t>
        </is>
      </c>
      <c r="U182" s="24" t="inlineStr">
        <is>
          <t>settled</t>
        </is>
      </c>
      <c r="V182" s="24" t="inlineStr">
        <is>
          <t>win</t>
        </is>
      </c>
      <c r="W182" s="26" t="n">
        <v>1</v>
      </c>
      <c r="X182" s="26" t="n">
        <v>2</v>
      </c>
      <c r="Y182" s="25" t="n"/>
      <c r="Z182" s="26" t="n"/>
      <c r="AA182" s="28" t="n"/>
      <c r="AB182" s="28" t="n"/>
      <c r="AC182" s="30" t="n">
        <v>1.4625</v>
      </c>
      <c r="AD182" s="24" t="inlineStr">
        <is>
          <t>2026-09-25T22:01:46.978566Z</t>
        </is>
      </c>
      <c r="AE182" s="31" t="inlineStr">
        <is>
          <t>Tie-aware Elo baseline; executable ask 0.4600 (market_slug=aec-npb-ybo-hta-2026-09-25). Tie probability=0.0239.</t>
        </is>
      </c>
      <c r="AF182" s="31" t="inlineStr">
        <is>
          <t>Config-promoted international baseball baseline; gates enforced at log time.</t>
        </is>
      </c>
      <c r="AG182" s="24" t="inlineStr">
        <is>
          <t>not_applicable</t>
        </is>
      </c>
      <c r="AH182" s="24" t="n"/>
      <c r="AI182" s="31" t="n"/>
      <c r="AJ182" s="31" t="n"/>
      <c r="AK182" s="24" t="inlineStr">
        <is>
          <t>paper_call</t>
        </is>
      </c>
      <c r="AL182" s="26" t="n">
        <v>4</v>
      </c>
      <c r="AM182" s="24" t="inlineStr">
        <is>
          <t>RESEARCH_OBSERVATION</t>
        </is>
      </c>
      <c r="AN182" s="24" t="inlineStr">
        <is>
          <t>CALL</t>
        </is>
      </c>
      <c r="AO182" s="24" t="inlineStr">
        <is>
          <t>PAPER_CALL_LOW_EDGE</t>
        </is>
      </c>
      <c r="AP182" s="24" t="inlineStr">
        <is>
          <t>Hanshin Tigers</t>
        </is>
      </c>
      <c r="AQ182" s="24" t="inlineStr">
        <is>
          <t>Hanshin Tigers</t>
        </is>
      </c>
      <c r="AR182" s="24" t="inlineStr">
        <is>
          <t>Hanshin Tigers</t>
        </is>
      </c>
      <c r="AS182" s="24" t="inlineStr">
        <is>
          <t>Yokohama BayStars</t>
        </is>
      </c>
      <c r="AT182" s="24" t="inlineStr">
        <is>
          <t>Yokohama BayStars</t>
        </is>
      </c>
      <c r="AU182" s="24" t="inlineStr">
        <is>
          <t>Yokohama BayStars</t>
        </is>
      </c>
      <c r="AV182" s="24" t="n"/>
      <c r="AW182" s="24" t="n"/>
      <c r="AX182" s="24" t="inlineStr">
        <is>
          <t>statistical_model</t>
        </is>
      </c>
      <c r="AY182" s="24" t="n"/>
      <c r="AZ182" s="24" t="inlineStr">
        <is>
          <t>shadow_qualified</t>
        </is>
      </c>
      <c r="BA182" s="24" t="inlineStr">
        <is>
          <t>2f3102a092b9e3280ef0fd6954f35e4638bb1df763d298db96288bbbfee4ea46</t>
        </is>
      </c>
      <c r="BB182" s="24" t="inlineStr">
        <is>
          <t>tie_aware_elo</t>
        </is>
      </c>
      <c r="BC182" s="24" t="inlineStr">
        <is>
          <t>npb-tie-aware-elo-v2</t>
        </is>
      </c>
      <c r="BD182" s="24" t="inlineStr">
        <is>
          <t>2f3102a092b9e3280ef0fd6954f35e4638bb1df763d298db96288bbbfee4ea46</t>
        </is>
      </c>
      <c r="BE182" s="24" t="inlineStr">
        <is>
          <t>1</t>
        </is>
      </c>
      <c r="BF182" s="24" t="inlineStr">
        <is>
          <t>1</t>
        </is>
      </c>
      <c r="BG182" s="24" t="inlineStr">
        <is>
          <t>npb-tie-aware-elo-v2</t>
        </is>
      </c>
      <c r="BH182" s="24" t="inlineStr">
        <is>
          <t>2026-09-25T04:42:56.396193Z</t>
        </is>
      </c>
      <c r="BI182" s="24" t="inlineStr">
        <is>
          <t>["same_event","same_team_same_day","same_league_same_day"]</t>
        </is>
      </c>
      <c r="BJ182" s="25" t="n"/>
      <c r="BK182" s="26" t="n">
        <v>117</v>
      </c>
      <c r="BL182" s="27" t="n">
        <v>2.17</v>
      </c>
      <c r="BM182" s="28" t="n">
        <v>0.460829</v>
      </c>
      <c r="BN182" s="28" t="n"/>
      <c r="BO182" s="28" t="n"/>
      <c r="BP182" s="25" t="n"/>
      <c r="BQ182" s="27" t="n"/>
      <c r="BR182" s="28" t="n"/>
      <c r="BS182" s="28" t="n"/>
      <c r="BT182" s="28" t="n"/>
      <c r="BU182" s="25" t="n"/>
      <c r="BV182" s="29" t="n"/>
      <c r="BW182" s="24" t="n"/>
      <c r="BX182" s="30" t="n"/>
      <c r="BY182" s="27" t="n"/>
      <c r="BZ182" s="24" t="n"/>
      <c r="CA182" s="31" t="n"/>
      <c r="CB182" s="24" t="n"/>
      <c r="CC182" s="24" t="n"/>
      <c r="CD182" s="24" t="n"/>
      <c r="CE182" s="24" t="n"/>
      <c r="CF182" s="24" t="n"/>
      <c r="CG182" s="24" t="n"/>
      <c r="CH182" s="24" t="n"/>
      <c r="CI182" s="24" t="n"/>
      <c r="CJ182" s="24" t="n"/>
      <c r="CK182" s="24" t="n"/>
      <c r="CL182" s="24" t="n"/>
      <c r="CM182" s="24" t="n"/>
      <c r="CN182" s="24" t="n"/>
      <c r="CO182" s="24" t="n"/>
      <c r="CP182" s="24" t="n"/>
      <c r="CQ182" s="24" t="n"/>
      <c r="CR182" s="24" t="n"/>
      <c r="CS182" s="24" t="inlineStr">
        <is>
          <t>True</t>
        </is>
      </c>
      <c r="CT182" s="24" t="n"/>
      <c r="CU182" s="24" t="n"/>
      <c r="CV182" s="24" t="n"/>
      <c r="CW182" s="24" t="n"/>
      <c r="CX182" s="24" t="n"/>
      <c r="CY182" s="24" t="n"/>
      <c r="CZ182" s="24" t="n"/>
      <c r="DA182" s="24" t="n"/>
      <c r="DB182" s="24" t="n"/>
      <c r="DC182" s="24" t="n"/>
      <c r="DD182" s="24" t="n"/>
      <c r="DE182" s="24" t="n"/>
      <c r="DF182" s="24" t="n"/>
      <c r="DG182" s="24" t="n"/>
      <c r="DH182" s="24" t="n"/>
      <c r="DI182" s="24" t="n"/>
      <c r="DJ182" s="24" t="inlineStr">
        <is>
          <t>0.460829</t>
        </is>
      </c>
      <c r="DK182" s="24" t="n"/>
      <c r="DL182" s="24" t="n"/>
      <c r="DM182" s="24" t="n"/>
      <c r="DN182" s="24" t="n"/>
      <c r="DO182" s="24" t="n"/>
      <c r="DP182" s="24" t="n"/>
      <c r="DQ182" s="24" t="inlineStr">
        <is>
          <t>{"artifact_hash": "2f3102a092b9e3280ef0fd6954f35e4638bb1df763d298db96288bbbfee4ea46", "away_team": "Hanshin Tigers", "draw_settlement_value": 0.5, "event_id": "121736", "event_start_utc": "2026-09-25T09:00:00Z", "features": {"away_elo": 1525.058199, "base_tie_rate": 0.02389486, "home_advantage": 35.0, "home_elo": 1515.262927}, "historical_source_observation_times_verified": false, "home_team": "Yokohama BayStars", "inference_inputs": {"away_id": "T", "base_tie_rate": 0.02389486, "book_state": {"_games_played": null, "_last_active": null, "decay_rate": 0.0, "home_advantage": 35.0, "k": 8.0, "margin_weight": 0.0, "ratings": {"DB": 1515.262927, "T": 1525.058199}}, "code_sha256": {"features/elo_ratings.py": "8525faf022a6343c452286dbfeb17dbb043744c6bdabbe448b6b371216da439b", "international_baseball.py": "f345eb917316d2e897f62c1cdd0f73153115c65da54c30c6137ad76bb7b27869"}, "home_id": "DB", "tie_method": "flat"}, "market_type": "moneyline", "model_version": "npb-tie-aware-elo-v2", "observed_at_utc": "2026-09-25T04:42:50.794137+00:00", "outcome_probabilities": {"away": 0.45270875794231813, "draw": 0.02389486, "home": 0.5233963820576819}, "replay_scope": "Exact Elo and tie model; logged value is expected contract settlement, not outright win probability.", "schema": "international-elo-replay-v1", "settlement_values": {"away": 0.464656, "home": 0.535344}, "snapshot_hash": "438d6a546cbca9bdc29782b6332487d6fa7ad3625e07dcd81217a04e951558dd", "sport": "NPB"}</t>
        </is>
      </c>
    </row>
    <row r="183" ht="36" customHeight="1">
      <c r="A183" s="24" t="inlineStr">
        <is>
          <t>3bdfafbdf0154db9</t>
        </is>
      </c>
      <c r="B183" s="24" t="inlineStr">
        <is>
          <t>2026-09-25T04:43:08.714598Z</t>
        </is>
      </c>
      <c r="C183" s="24" t="inlineStr">
        <is>
          <t>2026-09-25T09:00:00Z</t>
        </is>
      </c>
      <c r="D183" s="24" t="inlineStr">
        <is>
          <t>125966</t>
        </is>
      </c>
      <c r="E183" s="24" t="inlineStr">
        <is>
          <t>NPB</t>
        </is>
      </c>
      <c r="F183" s="24" t="inlineStr">
        <is>
          <t>Chunichi Dragons</t>
        </is>
      </c>
      <c r="G183" s="24" t="inlineStr">
        <is>
          <t>Tokyo Yakult Swallows</t>
        </is>
      </c>
      <c r="H183" s="24" t="inlineStr">
        <is>
          <t>moneyline</t>
        </is>
      </c>
      <c r="I183" s="24" t="inlineStr">
        <is>
          <t>away</t>
        </is>
      </c>
      <c r="J183" s="25" t="n"/>
      <c r="K183" s="24" t="inlineStr">
        <is>
          <t>polymarket_us</t>
        </is>
      </c>
      <c r="L183" s="26" t="n">
        <v>-108</v>
      </c>
      <c r="M183" s="27" t="n">
        <v>1.925926</v>
      </c>
      <c r="N183" s="28" t="n">
        <v>0.519231</v>
      </c>
      <c r="O183" s="28" t="n">
        <v>0.507863</v>
      </c>
      <c r="P183" s="28" t="n"/>
      <c r="Q183" s="28" t="n">
        <v>-0.011368</v>
      </c>
      <c r="R183" s="26" t="n">
        <v>14</v>
      </c>
      <c r="S183" s="29" t="n">
        <v>1</v>
      </c>
      <c r="T183" s="24" t="inlineStr">
        <is>
          <t>npb-tie-aware-elo-v2</t>
        </is>
      </c>
      <c r="U183" s="24" t="inlineStr">
        <is>
          <t>settled</t>
        </is>
      </c>
      <c r="V183" s="24" t="inlineStr">
        <is>
          <t>loss</t>
        </is>
      </c>
      <c r="W183" s="26" t="n">
        <v>4</v>
      </c>
      <c r="X183" s="26" t="n">
        <v>5</v>
      </c>
      <c r="Y183" s="25" t="n"/>
      <c r="Z183" s="26" t="n"/>
      <c r="AA183" s="28" t="n"/>
      <c r="AB183" s="28" t="n"/>
      <c r="AC183" s="30" t="n">
        <v>-1</v>
      </c>
      <c r="AD183" s="24" t="inlineStr">
        <is>
          <t>2026-09-25T22:01:47.283904Z</t>
        </is>
      </c>
      <c r="AE183" s="31" t="inlineStr">
        <is>
          <t>Tie-aware Elo baseline; executable ask 0.5200 (market_slug=aec-npb-tys-cdh-2026-09-25). Tie probability=0.0239.</t>
        </is>
      </c>
      <c r="AF183" s="31" t="inlineStr">
        <is>
          <t>Config-promoted international baseball baseline; gates enforced at log time.</t>
        </is>
      </c>
      <c r="AG183" s="24" t="inlineStr">
        <is>
          <t>review_required</t>
        </is>
      </c>
      <c r="AH183" s="24" t="n"/>
      <c r="AI183" s="31" t="n"/>
      <c r="AJ183" s="31" t="n"/>
      <c r="AK183" s="24" t="inlineStr">
        <is>
          <t>paper_call</t>
        </is>
      </c>
      <c r="AL183" s="26" t="n">
        <v>4</v>
      </c>
      <c r="AM183" s="24" t="inlineStr">
        <is>
          <t>RESEARCH_OBSERVATION</t>
        </is>
      </c>
      <c r="AN183" s="24" t="inlineStr">
        <is>
          <t>CALL</t>
        </is>
      </c>
      <c r="AO183" s="24" t="inlineStr">
        <is>
          <t>PAPER_CALL_LOW_EDGE</t>
        </is>
      </c>
      <c r="AP183" s="24" t="inlineStr">
        <is>
          <t>Chunichi Dragons</t>
        </is>
      </c>
      <c r="AQ183" s="24" t="inlineStr">
        <is>
          <t>Chunichi Dragons</t>
        </is>
      </c>
      <c r="AR183" s="24" t="inlineStr">
        <is>
          <t>Chunichi Dragons</t>
        </is>
      </c>
      <c r="AS183" s="24" t="inlineStr">
        <is>
          <t>Tokyo Yakult Swallows</t>
        </is>
      </c>
      <c r="AT183" s="24" t="inlineStr">
        <is>
          <t>Tokyo Yakult Swallows</t>
        </is>
      </c>
      <c r="AU183" s="24" t="inlineStr">
        <is>
          <t>Tokyo Yakult Swallows</t>
        </is>
      </c>
      <c r="AV183" s="24" t="n"/>
      <c r="AW183" s="24" t="n"/>
      <c r="AX183" s="24" t="inlineStr">
        <is>
          <t>statistical_model</t>
        </is>
      </c>
      <c r="AY183" s="24" t="n"/>
      <c r="AZ183" s="24" t="inlineStr">
        <is>
          <t>shadow_qualified</t>
        </is>
      </c>
      <c r="BA183" s="24" t="inlineStr">
        <is>
          <t>2f3102a092b9e3280ef0fd6954f35e4638bb1df763d298db96288bbbfee4ea46</t>
        </is>
      </c>
      <c r="BB183" s="24" t="inlineStr">
        <is>
          <t>tie_aware_elo</t>
        </is>
      </c>
      <c r="BC183" s="24" t="inlineStr">
        <is>
          <t>npb-tie-aware-elo-v2</t>
        </is>
      </c>
      <c r="BD183" s="24" t="inlineStr">
        <is>
          <t>2f3102a092b9e3280ef0fd6954f35e4638bb1df763d298db96288bbbfee4ea46</t>
        </is>
      </c>
      <c r="BE183" s="24" t="inlineStr">
        <is>
          <t>1</t>
        </is>
      </c>
      <c r="BF183" s="24" t="inlineStr">
        <is>
          <t>1</t>
        </is>
      </c>
      <c r="BG183" s="24" t="inlineStr">
        <is>
          <t>npb-tie-aware-elo-v2</t>
        </is>
      </c>
      <c r="BH183" s="24" t="inlineStr">
        <is>
          <t>2026-09-25T04:43:08.714546Z</t>
        </is>
      </c>
      <c r="BI183" s="24" t="inlineStr">
        <is>
          <t>["same_event","same_team_same_day","same_league_same_day"]</t>
        </is>
      </c>
      <c r="BJ183" s="25" t="n"/>
      <c r="BK183" s="26" t="n">
        <v>-108</v>
      </c>
      <c r="BL183" s="27" t="n">
        <v>1.925926</v>
      </c>
      <c r="BM183" s="28" t="n">
        <v>0.519231</v>
      </c>
      <c r="BN183" s="28" t="n"/>
      <c r="BO183" s="28" t="n"/>
      <c r="BP183" s="25" t="n"/>
      <c r="BQ183" s="27" t="n"/>
      <c r="BR183" s="28" t="n"/>
      <c r="BS183" s="28" t="n"/>
      <c r="BT183" s="28" t="n"/>
      <c r="BU183" s="25" t="n"/>
      <c r="BV183" s="29" t="n"/>
      <c r="BW183" s="24" t="n"/>
      <c r="BX183" s="30" t="n"/>
      <c r="BY183" s="27" t="n"/>
      <c r="BZ183" s="24" t="n"/>
      <c r="CA183" s="31" t="n"/>
      <c r="CB183" s="24" t="n"/>
      <c r="CC183" s="24" t="n"/>
      <c r="CD183" s="24" t="n"/>
      <c r="CE183" s="24" t="n"/>
      <c r="CF183" s="24" t="n"/>
      <c r="CG183" s="24" t="n"/>
      <c r="CH183" s="24" t="n"/>
      <c r="CI183" s="24" t="n"/>
      <c r="CJ183" s="24" t="n"/>
      <c r="CK183" s="24" t="n"/>
      <c r="CL183" s="24" t="n"/>
      <c r="CM183" s="24" t="n"/>
      <c r="CN183" s="24" t="n"/>
      <c r="CO183" s="24" t="n"/>
      <c r="CP183" s="24" t="n"/>
      <c r="CQ183" s="24" t="n"/>
      <c r="CR183" s="24" t="n"/>
      <c r="CS183" s="24" t="inlineStr">
        <is>
          <t>False</t>
        </is>
      </c>
      <c r="CT183" s="24" t="n"/>
      <c r="CU183" s="24" t="n"/>
      <c r="CV183" s="24" t="n"/>
      <c r="CW183" s="24" t="n"/>
      <c r="CX183" s="24" t="n"/>
      <c r="CY183" s="24" t="n"/>
      <c r="CZ183" s="24" t="n"/>
      <c r="DA183" s="24" t="n"/>
      <c r="DB183" s="24" t="n"/>
      <c r="DC183" s="24" t="n"/>
      <c r="DD183" s="24" t="n"/>
      <c r="DE183" s="24" t="n"/>
      <c r="DF183" s="24" t="n"/>
      <c r="DG183" s="24" t="n"/>
      <c r="DH183" s="24" t="n"/>
      <c r="DI183" s="24" t="n"/>
      <c r="DJ183" s="24" t="inlineStr">
        <is>
          <t>0.519231</t>
        </is>
      </c>
      <c r="DK183" s="24" t="n"/>
      <c r="DL183" s="24" t="n"/>
      <c r="DM183" s="24" t="n"/>
      <c r="DN183" s="24" t="n"/>
      <c r="DO183" s="24" t="n"/>
      <c r="DP183" s="24" t="n"/>
      <c r="DQ183" s="24" t="inlineStr">
        <is>
          <t>{"artifact_hash": "2f3102a092b9e3280ef0fd6954f35e4638bb1df763d298db96288bbbfee4ea46", "away_team": "Chunichi Dragons", "draw_settlement_value": 0.5, "event_id": "125966", "event_start_utc": "2026-09-25T09:00:00Z", "features": {"away_elo": 1457.321855, "base_tie_rate": 0.02389486, "home_advantage": 35.0, "home_elo": 1416.723872}, "historical_source_observation_times_verified": false, "home_team": "Tokyo Yakult Swallows", "inference_inputs": {"away_id": "D", "base_tie_rate": 0.02389486, "book_state": {"_games_played": null, "_last_active": null, "decay_rate": 0.0, "home_advantage": 35.0, "k": 8.0, "margin_weight": 0.0, "ratings": {"D": 1457.321855, "S": 1416.723872}}, "code_sha256": {"features/elo_ratings.py": "8525faf022a6343c452286dbfeb17dbb043744c6bdabbe448b6b371216da439b", "international_baseball.py": "f345eb917316d2e897f62c1cdd0f73153115c65da54c30c6137ad76bb7b27869"}, "home_id": "S", "tie_method": "flat"}, "market_type": "moneyline", "model_version": "npb-tie-aware-elo-v2", "observed_at_utc": "2026-09-25T04:42:50.794137+00:00", "outcome_probabilities": {"away": 0.4959155342569574, "draw": 0.02389486, "home": 0.4801896057430427}, "replay_scope": "Exact Elo and tie model; logged value is expected contract settlement, not outright win probability.", "schema": "international-elo-replay-v1", "settlement_values": {"away": 0.507863, "home": 0.492137}, "snapshot_hash": "696bf82d1a4e9215ed5998a78cfd4c0f44b320a4c6751d9718c8242f13247d91", "sport": "NPB"}</t>
        </is>
      </c>
    </row>
    <row r="184" ht="36" customHeight="1">
      <c r="A184" s="24" t="inlineStr">
        <is>
          <t>74b5839699f547b1</t>
        </is>
      </c>
      <c r="B184" s="24" t="inlineStr">
        <is>
          <t>2026-09-25T22:09:17.189182Z</t>
        </is>
      </c>
      <c r="C184" s="24" t="inlineStr">
        <is>
          <t>2026-09-26T05:00:00Z</t>
        </is>
      </c>
      <c r="D184" s="24" t="inlineStr">
        <is>
          <t>123200</t>
        </is>
      </c>
      <c r="E184" s="24" t="inlineStr">
        <is>
          <t>NPB</t>
        </is>
      </c>
      <c r="F184" s="24" t="inlineStr">
        <is>
          <t>Nippon Ham Fighters</t>
        </is>
      </c>
      <c r="G184" s="24" t="inlineStr">
        <is>
          <t>Orix Buffaloes</t>
        </is>
      </c>
      <c r="H184" s="24" t="inlineStr">
        <is>
          <t>moneyline</t>
        </is>
      </c>
      <c r="I184" s="24" t="inlineStr">
        <is>
          <t>away</t>
        </is>
      </c>
      <c r="J184" s="25" t="n"/>
      <c r="K184" s="24" t="inlineStr">
        <is>
          <t>polymarket_us</t>
        </is>
      </c>
      <c r="L184" s="26" t="n">
        <v>-108</v>
      </c>
      <c r="M184" s="27" t="n">
        <v>1.925926</v>
      </c>
      <c r="N184" s="28" t="n">
        <v>0.519231</v>
      </c>
      <c r="O184" s="28" t="n">
        <v>0.535875</v>
      </c>
      <c r="P184" s="28" t="n"/>
      <c r="Q184" s="28" t="n">
        <v>0.016644</v>
      </c>
      <c r="R184" s="26" t="n">
        <v>28</v>
      </c>
      <c r="S184" s="29" t="n">
        <v>1</v>
      </c>
      <c r="T184" s="24" t="inlineStr">
        <is>
          <t>npb-tie-aware-elo-v2</t>
        </is>
      </c>
      <c r="U184" s="24" t="inlineStr">
        <is>
          <t>settled</t>
        </is>
      </c>
      <c r="V184" s="24" t="inlineStr">
        <is>
          <t>win</t>
        </is>
      </c>
      <c r="W184" s="26" t="n">
        <v>2</v>
      </c>
      <c r="X184" s="26" t="n">
        <v>0</v>
      </c>
      <c r="Y184" s="25" t="n"/>
      <c r="Z184" s="26" t="n"/>
      <c r="AA184" s="28" t="n"/>
      <c r="AB184" s="28" t="n"/>
      <c r="AC184" s="30" t="n">
        <v>0.9258999999999999</v>
      </c>
      <c r="AD184" s="24" t="inlineStr">
        <is>
          <t>2026-09-26T22:03:08.334219Z</t>
        </is>
      </c>
      <c r="AE184" s="31" t="inlineStr">
        <is>
          <t>Tie-aware Elo baseline; executable ask 0.5200 (market_slug=aec-npb-obr-nhf-2026-09-26). Tie probability=0.0239.</t>
        </is>
      </c>
      <c r="AF184" s="31" t="inlineStr">
        <is>
          <t>Config-promoted international baseball baseline; gates enforced at log time.</t>
        </is>
      </c>
      <c r="AG184" s="24" t="inlineStr">
        <is>
          <t>not_applicable</t>
        </is>
      </c>
      <c r="AH184" s="24" t="n"/>
      <c r="AI184" s="31" t="n"/>
      <c r="AJ184" s="31" t="n"/>
      <c r="AK184" s="24" t="inlineStr">
        <is>
          <t>paper_call</t>
        </is>
      </c>
      <c r="AL184" s="26" t="n">
        <v>4</v>
      </c>
      <c r="AM184" s="24" t="inlineStr">
        <is>
          <t>RESEARCH_OBSERVATION</t>
        </is>
      </c>
      <c r="AN184" s="24" t="inlineStr">
        <is>
          <t>CALL</t>
        </is>
      </c>
      <c r="AO184" s="24" t="inlineStr">
        <is>
          <t>PAPER_CALL_LOW_EDGE</t>
        </is>
      </c>
      <c r="AP184" s="24" t="inlineStr">
        <is>
          <t>Nippon Ham Fighters</t>
        </is>
      </c>
      <c r="AQ184" s="24" t="inlineStr">
        <is>
          <t>Nippon Ham Fighters</t>
        </is>
      </c>
      <c r="AR184" s="24" t="inlineStr">
        <is>
          <t>Nippon Ham Fighters</t>
        </is>
      </c>
      <c r="AS184" s="24" t="inlineStr">
        <is>
          <t>Orix Buffaloes</t>
        </is>
      </c>
      <c r="AT184" s="24" t="inlineStr">
        <is>
          <t>Orix Buffaloes</t>
        </is>
      </c>
      <c r="AU184" s="24" t="inlineStr">
        <is>
          <t>Orix Buffaloes</t>
        </is>
      </c>
      <c r="AV184" s="24" t="n"/>
      <c r="AW184" s="24" t="n"/>
      <c r="AX184" s="24" t="inlineStr">
        <is>
          <t>statistical_model</t>
        </is>
      </c>
      <c r="AY184" s="24" t="n"/>
      <c r="AZ184" s="24" t="inlineStr">
        <is>
          <t>shadow_qualified</t>
        </is>
      </c>
      <c r="BA184" s="24" t="inlineStr">
        <is>
          <t>a329b328b187a6dc36a8e4630f4d43155deb3fa2a9e29602202e3225961eabb8</t>
        </is>
      </c>
      <c r="BB184" s="24" t="inlineStr">
        <is>
          <t>tie_aware_elo</t>
        </is>
      </c>
      <c r="BC184" s="24" t="inlineStr">
        <is>
          <t>npb-tie-aware-elo-v2</t>
        </is>
      </c>
      <c r="BD184" s="24" t="inlineStr">
        <is>
          <t>a329b328b187a6dc36a8e4630f4d43155deb3fa2a9e29602202e3225961eabb8</t>
        </is>
      </c>
      <c r="BE184" s="24" t="inlineStr">
        <is>
          <t>1</t>
        </is>
      </c>
      <c r="BF184" s="24" t="inlineStr">
        <is>
          <t>1</t>
        </is>
      </c>
      <c r="BG184" s="24" t="inlineStr">
        <is>
          <t>npb-tie-aware-elo-v2</t>
        </is>
      </c>
      <c r="BH184" s="24" t="inlineStr">
        <is>
          <t>2026-09-25T22:09:04.543339Z</t>
        </is>
      </c>
      <c r="BI184" s="24" t="inlineStr">
        <is>
          <t>["same_event","same_team_same_day","same_league_same_day"]</t>
        </is>
      </c>
      <c r="BJ184" s="25" t="n"/>
      <c r="BK184" s="26" t="n">
        <v>-108</v>
      </c>
      <c r="BL184" s="27" t="n">
        <v>1.925926</v>
      </c>
      <c r="BM184" s="28" t="n">
        <v>0.519231</v>
      </c>
      <c r="BN184" s="28" t="n"/>
      <c r="BO184" s="28" t="n"/>
      <c r="BP184" s="25" t="n"/>
      <c r="BQ184" s="27" t="n"/>
      <c r="BR184" s="28" t="n"/>
      <c r="BS184" s="28" t="n"/>
      <c r="BT184" s="28" t="n"/>
      <c r="BU184" s="25" t="n"/>
      <c r="BV184" s="29" t="n"/>
      <c r="BW184" s="24" t="n"/>
      <c r="BX184" s="30" t="n"/>
      <c r="BY184" s="27" t="n"/>
      <c r="BZ184" s="24" t="n"/>
      <c r="CA184" s="31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  <c r="CP184" s="24" t="n"/>
      <c r="CQ184" s="24" t="n"/>
      <c r="CR184" s="24" t="n"/>
      <c r="CS184" s="24" t="inlineStr">
        <is>
          <t>True</t>
        </is>
      </c>
      <c r="CT184" s="24" t="n"/>
      <c r="CU184" s="24" t="n"/>
      <c r="CV184" s="24" t="n"/>
      <c r="CW184" s="24" t="n"/>
      <c r="CX184" s="24" t="n"/>
      <c r="CY184" s="24" t="n"/>
      <c r="CZ184" s="24" t="n"/>
      <c r="DA184" s="24" t="n"/>
      <c r="DB184" s="24" t="n"/>
      <c r="DC184" s="24" t="n"/>
      <c r="DD184" s="24" t="n"/>
      <c r="DE184" s="24" t="n"/>
      <c r="DF184" s="24" t="n"/>
      <c r="DG184" s="24" t="n"/>
      <c r="DH184" s="24" t="n"/>
      <c r="DI184" s="24" t="n"/>
      <c r="DJ184" s="24" t="inlineStr">
        <is>
          <t>0.519231</t>
        </is>
      </c>
      <c r="DK184" s="24" t="n"/>
      <c r="DL184" s="24" t="n"/>
      <c r="DM184" s="24" t="n"/>
      <c r="DN184" s="24" t="n"/>
      <c r="DO184" s="24" t="n"/>
      <c r="DP184" s="24" t="n"/>
      <c r="DQ184" s="24" t="inlineStr">
        <is>
          <t>{"artifact_hash": "a329b328b187a6dc36a8e4630f4d43155deb3fa2a9e29602202e3225961eabb8", "away_team": "Nippon Ham Fighters", "draw_settlement_value": 0.5, "event_id": "123200", "event_start_utc": "2026-09-26T05:00:00Z", "features": {"away_elo": 1549.219054, "base_tie_rate": 0.02386635, "home_advantage": 35.0, "home_elo": 1488.6352}, "historical_source_observation_times_verified": false, "home_team": "Orix Buffaloes", "inference_inputs": {"away_id": "F", "base_tie_rate": 0.02386635, "book_state": {"_games_played": null, "_last_active": null, "decay_rate": 0.0, "home_advantage": 35.0, "k": 8.0, "margin_weight": 0.0, "ratings": {"B": 1488.6352, "F": 1549.219054}}, "code_sha256": {"features/elo_ratings.py": "8525faf022a6343c452286dbfeb17dbb043744c6bdabbe448b6b371216da439b", "international_baseball.py": "f345eb917316d2e897f62c1cdd0f73153115c65da54c30c6137ad76bb7b27869"}, "home_id": "B", "tie_method": "flat"}, "market_type": "moneyline", "model_version": "npb-tie-aware-elo-v2", "observed_at_utc": "2026-09-25T22:09:02.815062+00:00", "outcome_probabilities": {"away": 0.5239414187766045, "draw": 0.02386635, "home": 0.4521922312233955}, "replay_scope": "Exact Elo and tie model; logged value is expected contract settlement, not outright win probability.", "schema": "international-elo-replay-v1", "settlement_values": {"away": 0.535875, "home": 0.464125}, "snapshot_hash": "faa75c83c5dbdbbd6beaffb59ada4c11f8e358465a094d023c882ba0136e94ac", "sport": "NPB"}</t>
        </is>
      </c>
    </row>
    <row r="185" ht="36" customHeight="1">
      <c r="A185" s="24" t="inlineStr">
        <is>
          <t>534e906ca7d34415</t>
        </is>
      </c>
      <c r="B185" s="24" t="inlineStr">
        <is>
          <t>2026-09-25T22:09:17.189182Z</t>
        </is>
      </c>
      <c r="C185" s="24" t="inlineStr">
        <is>
          <t>2026-09-26T05:00:00Z</t>
        </is>
      </c>
      <c r="D185" s="24" t="inlineStr">
        <is>
          <t>123198</t>
        </is>
      </c>
      <c r="E185" s="24" t="inlineStr">
        <is>
          <t>NPB</t>
        </is>
      </c>
      <c r="F185" s="24" t="inlineStr">
        <is>
          <t>Chiba Lotte Marines</t>
        </is>
      </c>
      <c r="G185" s="24" t="inlineStr">
        <is>
          <t>Saitama Seibu Lions</t>
        </is>
      </c>
      <c r="H185" s="24" t="inlineStr">
        <is>
          <t>moneyline</t>
        </is>
      </c>
      <c r="I185" s="24" t="inlineStr">
        <is>
          <t>home</t>
        </is>
      </c>
      <c r="J185" s="25" t="n"/>
      <c r="K185" s="24" t="inlineStr">
        <is>
          <t>polymarket_us</t>
        </is>
      </c>
      <c r="L185" s="26" t="n">
        <v>-133</v>
      </c>
      <c r="M185" s="27" t="n">
        <v>1.75188</v>
      </c>
      <c r="N185" s="28" t="n">
        <v>0.570815</v>
      </c>
      <c r="O185" s="28" t="n">
        <v>0.617601</v>
      </c>
      <c r="P185" s="28" t="n"/>
      <c r="Q185" s="28" t="n">
        <v>0.046786</v>
      </c>
      <c r="R185" s="26" t="n">
        <v>43</v>
      </c>
      <c r="S185" s="29" t="n">
        <v>1</v>
      </c>
      <c r="T185" s="24" t="inlineStr">
        <is>
          <t>npb-tie-aware-elo-v2</t>
        </is>
      </c>
      <c r="U185" s="24" t="inlineStr">
        <is>
          <t>settled</t>
        </is>
      </c>
      <c r="V185" s="24" t="inlineStr">
        <is>
          <t>win</t>
        </is>
      </c>
      <c r="W185" s="26" t="n">
        <v>4</v>
      </c>
      <c r="X185" s="26" t="n">
        <v>5</v>
      </c>
      <c r="Y185" s="25" t="n"/>
      <c r="Z185" s="26" t="n"/>
      <c r="AA185" s="28" t="n"/>
      <c r="AB185" s="28" t="n"/>
      <c r="AC185" s="30" t="n">
        <v>0.7519</v>
      </c>
      <c r="AD185" s="24" t="inlineStr">
        <is>
          <t>2026-09-26T22:03:08.552298Z</t>
        </is>
      </c>
      <c r="AE185" s="31" t="inlineStr">
        <is>
          <t>Tie-aware Elo baseline; executable ask 0.5700 (market_slug=aec-npb-ssl-clm-2026-09-26). Tie probability=0.0239.</t>
        </is>
      </c>
      <c r="AF185" s="31" t="inlineStr">
        <is>
          <t>Config-promoted international baseball baseline; gates enforced at log time.</t>
        </is>
      </c>
      <c r="AG185" s="24" t="inlineStr">
        <is>
          <t>not_applicable</t>
        </is>
      </c>
      <c r="AH185" s="24" t="n"/>
      <c r="AI185" s="31" t="n"/>
      <c r="AJ185" s="31" t="n"/>
      <c r="AK185" s="24" t="inlineStr">
        <is>
          <t>model_qualified</t>
        </is>
      </c>
      <c r="AL185" s="26" t="n">
        <v>4</v>
      </c>
      <c r="AM185" s="24" t="inlineStr">
        <is>
          <t>QUALIFIED_SHADOW_CALL</t>
        </is>
      </c>
      <c r="AN185" s="24" t="inlineStr">
        <is>
          <t>CALL</t>
        </is>
      </c>
      <c r="AO185" s="24" t="inlineStr">
        <is>
          <t>QUALIFIED</t>
        </is>
      </c>
      <c r="AP185" s="24" t="inlineStr">
        <is>
          <t>Chiba Lotte Marines</t>
        </is>
      </c>
      <c r="AQ185" s="24" t="inlineStr">
        <is>
          <t>Chiba Lotte Marines</t>
        </is>
      </c>
      <c r="AR185" s="24" t="inlineStr">
        <is>
          <t>Chiba Lotte Marines</t>
        </is>
      </c>
      <c r="AS185" s="24" t="inlineStr">
        <is>
          <t>Saitama Seibu Lions</t>
        </is>
      </c>
      <c r="AT185" s="24" t="inlineStr">
        <is>
          <t>Saitama Seibu Lions</t>
        </is>
      </c>
      <c r="AU185" s="24" t="inlineStr">
        <is>
          <t>Saitama Seibu Lions</t>
        </is>
      </c>
      <c r="AV185" s="24" t="n"/>
      <c r="AW185" s="24" t="n"/>
      <c r="AX185" s="24" t="inlineStr">
        <is>
          <t>statistical_model</t>
        </is>
      </c>
      <c r="AY185" s="24" t="n"/>
      <c r="AZ185" s="24" t="inlineStr">
        <is>
          <t>shadow_qualified</t>
        </is>
      </c>
      <c r="BA185" s="24" t="inlineStr">
        <is>
          <t>a329b328b187a6dc36a8e4630f4d43155deb3fa2a9e29602202e3225961eabb8</t>
        </is>
      </c>
      <c r="BB185" s="24" t="inlineStr">
        <is>
          <t>tie_aware_elo</t>
        </is>
      </c>
      <c r="BC185" s="24" t="inlineStr">
        <is>
          <t>npb-tie-aware-elo-v2</t>
        </is>
      </c>
      <c r="BD185" s="24" t="inlineStr">
        <is>
          <t>a329b328b187a6dc36a8e4630f4d43155deb3fa2a9e29602202e3225961eabb8</t>
        </is>
      </c>
      <c r="BE185" s="24" t="inlineStr">
        <is>
          <t>1</t>
        </is>
      </c>
      <c r="BF185" s="24" t="inlineStr">
        <is>
          <t>1</t>
        </is>
      </c>
      <c r="BG185" s="24" t="inlineStr">
        <is>
          <t>npb-tie-aware-elo-v2</t>
        </is>
      </c>
      <c r="BH185" s="24" t="inlineStr">
        <is>
          <t>2026-09-25T22:09:04.605423Z</t>
        </is>
      </c>
      <c r="BI185" s="24" t="inlineStr">
        <is>
          <t>["same_event","same_team_same_day","same_league_same_day"]</t>
        </is>
      </c>
      <c r="BJ185" s="25" t="n"/>
      <c r="BK185" s="26" t="n">
        <v>-133</v>
      </c>
      <c r="BL185" s="27" t="n">
        <v>1.75188</v>
      </c>
      <c r="BM185" s="28" t="n">
        <v>0.570815</v>
      </c>
      <c r="BN185" s="28" t="n"/>
      <c r="BO185" s="28" t="n"/>
      <c r="BP185" s="25" t="n"/>
      <c r="BQ185" s="27" t="n"/>
      <c r="BR185" s="28" t="n"/>
      <c r="BS185" s="28" t="n"/>
      <c r="BT185" s="28" t="n"/>
      <c r="BU185" s="25" t="n"/>
      <c r="BV185" s="29" t="n"/>
      <c r="BW185" s="24" t="n"/>
      <c r="BX185" s="30" t="n"/>
      <c r="BY185" s="27" t="n"/>
      <c r="BZ185" s="24" t="n"/>
      <c r="CA185" s="31" t="n"/>
      <c r="CB185" s="24" t="n"/>
      <c r="CC185" s="24" t="n"/>
      <c r="CD185" s="24" t="n"/>
      <c r="CE185" s="24" t="n"/>
      <c r="CF185" s="24" t="n"/>
      <c r="CG185" s="24" t="n"/>
      <c r="CH185" s="24" t="n"/>
      <c r="CI185" s="24" t="n"/>
      <c r="CJ185" s="24" t="n"/>
      <c r="CK185" s="24" t="n"/>
      <c r="CL185" s="24" t="n"/>
      <c r="CM185" s="24" t="n"/>
      <c r="CN185" s="24" t="n"/>
      <c r="CO185" s="24" t="n"/>
      <c r="CP185" s="24" t="n"/>
      <c r="CQ185" s="24" t="n"/>
      <c r="CR185" s="24" t="n"/>
      <c r="CS185" s="24" t="inlineStr">
        <is>
          <t>True</t>
        </is>
      </c>
      <c r="CT185" s="24" t="n"/>
      <c r="CU185" s="24" t="n"/>
      <c r="CV185" s="24" t="n"/>
      <c r="CW185" s="24" t="n"/>
      <c r="CX185" s="24" t="n"/>
      <c r="CY185" s="24" t="n"/>
      <c r="CZ185" s="24" t="n"/>
      <c r="DA185" s="24" t="n"/>
      <c r="DB185" s="24" t="n"/>
      <c r="DC185" s="24" t="n"/>
      <c r="DD185" s="24" t="n"/>
      <c r="DE185" s="24" t="n"/>
      <c r="DF185" s="24" t="n"/>
      <c r="DG185" s="24" t="n"/>
      <c r="DH185" s="24" t="n"/>
      <c r="DI185" s="24" t="n"/>
      <c r="DJ185" s="24" t="inlineStr">
        <is>
          <t>0.570815</t>
        </is>
      </c>
      <c r="DK185" s="24" t="n"/>
      <c r="DL185" s="24" t="n"/>
      <c r="DM185" s="24" t="n"/>
      <c r="DN185" s="24" t="n"/>
      <c r="DO185" s="24" t="n"/>
      <c r="DP185" s="24" t="n"/>
      <c r="DQ185" s="24" t="inlineStr">
        <is>
          <t>{"artifact_hash": "a329b328b187a6dc36a8e4630f4d43155deb3fa2a9e29602202e3225961eabb8", "away_team": "Chiba Lotte Marines", "draw_settlement_value": 0.5, "event_id": "123198", "event_start_utc": "2026-09-26T05:00:00Z", "features": {"away_elo": 1477.750044, "base_tie_rate": 0.02386635, "home_advantage": 35.0, "home_elo": 1528.144596}, "historical_source_observation_times_verified": false, "home_team": "Saitama Seibu Lions", "inference_inputs": {"away_id": "M", "base_tie_rate": 0.02386635, "book_state": {"_games_played": null, "_last_active": null, "decay_rate": 0.0, "home_advantage": 35.0, "k": 8.0, "margin_weight": 0.0, "ratings": {"L": 1528.144596, "M": 1477.750044}}, "code_sha256": {"features/elo_ratings.py": "8525faf022a6343c452286dbfeb17dbb043744c6bdabbe448b6b371216da439b", "international_baseball.py": "f345eb917316d2e897f62c1cdd0f73153115c65da54c30c6137ad76bb7b27869"}, "home_id": "L", "tie_method": "flat"}, "market_type": "moneyline", "model_version": "npb-tie-aware-elo-v2", "observed_at_utc": "2026-09-25T22:09:02.815062+00:00", "outcome_probabilities": {"away": 0.3704658102445489, "draw": 0.02386635, "home": 0.6056678397554511}, "replay_scope": "Exact Elo and tie model; logged value is expected contract settlement, not outright win probability.", "schema": "international-elo-replay-v1", "settlement_values": {"away": 0.382399, "home": 0.617601}, "snapshot_hash": "22322416e666aea9aa43c6acefdfd512a4ad19d66c7ade4040117031b5b7aeca", "sport": "NPB"}</t>
        </is>
      </c>
    </row>
    <row r="186" ht="36" customHeight="1">
      <c r="A186" s="24" t="inlineStr">
        <is>
          <t>5cd6cdccb5a24414</t>
        </is>
      </c>
      <c r="B186" s="24" t="inlineStr">
        <is>
          <t>2026-09-25T22:09:17.189182Z</t>
        </is>
      </c>
      <c r="C186" s="24" t="inlineStr">
        <is>
          <t>2026-09-26T09:00:00Z</t>
        </is>
      </c>
      <c r="D186" s="24" t="inlineStr">
        <is>
          <t>126456</t>
        </is>
      </c>
      <c r="E186" s="24" t="inlineStr">
        <is>
          <t>NPB</t>
        </is>
      </c>
      <c r="F186" s="24" t="inlineStr">
        <is>
          <t>Chunichi Dragons</t>
        </is>
      </c>
      <c r="G186" s="24" t="inlineStr">
        <is>
          <t>Tokyo Yakult Swallows</t>
        </is>
      </c>
      <c r="H186" s="24" t="inlineStr">
        <is>
          <t>moneyline</t>
        </is>
      </c>
      <c r="I186" s="24" t="inlineStr">
        <is>
          <t>home</t>
        </is>
      </c>
      <c r="J186" s="25" t="n"/>
      <c r="K186" s="24" t="inlineStr">
        <is>
          <t>polymarket_us</t>
        </is>
      </c>
      <c r="L186" s="26" t="n">
        <v>-104</v>
      </c>
      <c r="M186" s="27" t="n">
        <v>1.961538</v>
      </c>
      <c r="N186" s="28" t="n">
        <v>0.509804</v>
      </c>
      <c r="O186" s="28" t="n">
        <v>0.503555</v>
      </c>
      <c r="P186" s="28" t="n"/>
      <c r="Q186" s="28" t="n">
        <v>-0.006249</v>
      </c>
      <c r="R186" s="26" t="n">
        <v>17</v>
      </c>
      <c r="S186" s="29" t="n">
        <v>1</v>
      </c>
      <c r="T186" s="24" t="inlineStr">
        <is>
          <t>npb-tie-aware-elo-v2</t>
        </is>
      </c>
      <c r="U186" s="24" t="inlineStr">
        <is>
          <t>settled</t>
        </is>
      </c>
      <c r="V186" s="24" t="inlineStr">
        <is>
          <t>win</t>
        </is>
      </c>
      <c r="W186" s="26" t="n">
        <v>3</v>
      </c>
      <c r="X186" s="26" t="n">
        <v>5</v>
      </c>
      <c r="Y186" s="25" t="n"/>
      <c r="Z186" s="26" t="n"/>
      <c r="AA186" s="28" t="n"/>
      <c r="AB186" s="28" t="n"/>
      <c r="AC186" s="30" t="n">
        <v>0.9615</v>
      </c>
      <c r="AD186" s="24" t="inlineStr">
        <is>
          <t>2026-09-26T22:03:08.750656Z</t>
        </is>
      </c>
      <c r="AE186" s="31" t="inlineStr">
        <is>
          <t>Tie-aware Elo baseline; executable ask 0.5100 (market_slug=aec-npb-tys-cdh-2026-09-26). Tie probability=0.0239.</t>
        </is>
      </c>
      <c r="AF186" s="31" t="inlineStr">
        <is>
          <t>Config-promoted international baseball baseline; gates enforced at log time.</t>
        </is>
      </c>
      <c r="AG186" s="24" t="inlineStr">
        <is>
          <t>not_applicable</t>
        </is>
      </c>
      <c r="AH186" s="24" t="n"/>
      <c r="AI186" s="31" t="n"/>
      <c r="AJ186" s="31" t="n"/>
      <c r="AK186" s="24" t="inlineStr">
        <is>
          <t>paper_call</t>
        </is>
      </c>
      <c r="AL186" s="26" t="n">
        <v>4</v>
      </c>
      <c r="AM186" s="24" t="inlineStr">
        <is>
          <t>RESEARCH_OBSERVATION</t>
        </is>
      </c>
      <c r="AN186" s="24" t="inlineStr">
        <is>
          <t>CALL</t>
        </is>
      </c>
      <c r="AO186" s="24" t="inlineStr">
        <is>
          <t>PAPER_CALL_LOW_EDGE</t>
        </is>
      </c>
      <c r="AP186" s="24" t="inlineStr">
        <is>
          <t>Chunichi Dragons</t>
        </is>
      </c>
      <c r="AQ186" s="24" t="inlineStr">
        <is>
          <t>Chunichi Dragons</t>
        </is>
      </c>
      <c r="AR186" s="24" t="inlineStr">
        <is>
          <t>Chunichi Dragons</t>
        </is>
      </c>
      <c r="AS186" s="24" t="inlineStr">
        <is>
          <t>Tokyo Yakult Swallows</t>
        </is>
      </c>
      <c r="AT186" s="24" t="inlineStr">
        <is>
          <t>Tokyo Yakult Swallows</t>
        </is>
      </c>
      <c r="AU186" s="24" t="inlineStr">
        <is>
          <t>Tokyo Yakult Swallows</t>
        </is>
      </c>
      <c r="AV186" s="24" t="n"/>
      <c r="AW186" s="24" t="n"/>
      <c r="AX186" s="24" t="inlineStr">
        <is>
          <t>statistical_model</t>
        </is>
      </c>
      <c r="AY186" s="24" t="n"/>
      <c r="AZ186" s="24" t="inlineStr">
        <is>
          <t>shadow_qualified</t>
        </is>
      </c>
      <c r="BA186" s="24" t="inlineStr">
        <is>
          <t>a329b328b187a6dc36a8e4630f4d43155deb3fa2a9e29602202e3225961eabb8</t>
        </is>
      </c>
      <c r="BB186" s="24" t="inlineStr">
        <is>
          <t>tie_aware_elo</t>
        </is>
      </c>
      <c r="BC186" s="24" t="inlineStr">
        <is>
          <t>npb-tie-aware-elo-v2</t>
        </is>
      </c>
      <c r="BD186" s="24" t="inlineStr">
        <is>
          <t>a329b328b187a6dc36a8e4630f4d43155deb3fa2a9e29602202e3225961eabb8</t>
        </is>
      </c>
      <c r="BE186" s="24" t="inlineStr">
        <is>
          <t>1</t>
        </is>
      </c>
      <c r="BF186" s="24" t="inlineStr">
        <is>
          <t>1</t>
        </is>
      </c>
      <c r="BG186" s="24" t="inlineStr">
        <is>
          <t>npb-tie-aware-elo-v2</t>
        </is>
      </c>
      <c r="BH186" s="24" t="inlineStr">
        <is>
          <t>2026-09-25T22:09:17.189106Z</t>
        </is>
      </c>
      <c r="BI186" s="24" t="inlineStr">
        <is>
          <t>["same_event","same_team_same_day","same_league_same_day"]</t>
        </is>
      </c>
      <c r="BJ186" s="25" t="n"/>
      <c r="BK186" s="26" t="n">
        <v>-104</v>
      </c>
      <c r="BL186" s="27" t="n">
        <v>1.961538</v>
      </c>
      <c r="BM186" s="28" t="n">
        <v>0.509804</v>
      </c>
      <c r="BN186" s="28" t="n"/>
      <c r="BO186" s="28" t="n"/>
      <c r="BP186" s="25" t="n"/>
      <c r="BQ186" s="27" t="n"/>
      <c r="BR186" s="28" t="n"/>
      <c r="BS186" s="28" t="n"/>
      <c r="BT186" s="28" t="n"/>
      <c r="BU186" s="25" t="n"/>
      <c r="BV186" s="29" t="n"/>
      <c r="BW186" s="24" t="n"/>
      <c r="BX186" s="30" t="n"/>
      <c r="BY186" s="27" t="n"/>
      <c r="BZ186" s="24" t="n"/>
      <c r="CA186" s="31" t="n"/>
      <c r="CB186" s="24" t="n"/>
      <c r="CC186" s="24" t="n"/>
      <c r="CD186" s="24" t="n"/>
      <c r="CE186" s="24" t="n"/>
      <c r="CF186" s="24" t="n"/>
      <c r="CG186" s="24" t="n"/>
      <c r="CH186" s="24" t="n"/>
      <c r="CI186" s="24" t="n"/>
      <c r="CJ186" s="24" t="n"/>
      <c r="CK186" s="24" t="n"/>
      <c r="CL186" s="24" t="n"/>
      <c r="CM186" s="24" t="n"/>
      <c r="CN186" s="24" t="n"/>
      <c r="CO186" s="24" t="n"/>
      <c r="CP186" s="24" t="n"/>
      <c r="CQ186" s="24" t="n"/>
      <c r="CR186" s="24" t="n"/>
      <c r="CS186" s="24" t="inlineStr">
        <is>
          <t>False</t>
        </is>
      </c>
      <c r="CT186" s="24" t="n"/>
      <c r="CU186" s="24" t="n"/>
      <c r="CV186" s="24" t="n"/>
      <c r="CW186" s="24" t="n"/>
      <c r="CX186" s="24" t="n"/>
      <c r="CY186" s="24" t="n"/>
      <c r="CZ186" s="24" t="n"/>
      <c r="DA186" s="24" t="n"/>
      <c r="DB186" s="24" t="n"/>
      <c r="DC186" s="24" t="n"/>
      <c r="DD186" s="24" t="n"/>
      <c r="DE186" s="24" t="n"/>
      <c r="DF186" s="24" t="n"/>
      <c r="DG186" s="24" t="n"/>
      <c r="DH186" s="24" t="n"/>
      <c r="DI186" s="24" t="n"/>
      <c r="DJ186" s="24" t="inlineStr">
        <is>
          <t>0.509804</t>
        </is>
      </c>
      <c r="DK186" s="24" t="n"/>
      <c r="DL186" s="24" t="n"/>
      <c r="DM186" s="24" t="n"/>
      <c r="DN186" s="24" t="n"/>
      <c r="DO186" s="24" t="n"/>
      <c r="DP186" s="24" t="n"/>
      <c r="DQ186" s="24" t="inlineStr">
        <is>
          <t>{"artifact_hash": "a329b328b187a6dc36a8e4630f4d43155deb3fa2a9e29602202e3225961eabb8", "away_team": "Chunichi Dragons", "draw_settlement_value": 0.5, "event_id": "126456", "event_start_utc": "2026-09-26T09:00:00Z", "features": {"away_elo": 1453.257412, "base_tie_rate": 0.02386635, "home_advantage": 35.0, "home_elo": 1420.788316}, "historical_source_observation_times_verified": false, "home_team": "Tokyo Yakult Swallows", "inference_inputs": {"away_id": "D", "base_tie_rate": 0.02386635, "book_state": {"_games_played": null, "_last_active": null, "decay_rate": 0.0, "home_advantage": 35.0, "k": 8.0, "margin_weight": 0.0, "ratings": {"D": 1453.257412, "S": 1420.788316}}, "code_sha256": {"features/elo_ratings.py": "8525faf022a6343c452286dbfeb17dbb043744c6bdabbe448b6b371216da439b", "international_baseball.py": "f345eb917316d2e897f62c1cdd0f73153115c65da54c30c6137ad76bb7b27869"}, "home_id": "S", "tie_method": "flat"}, "market_type": "moneyline", "model_version": "npb-tie-aware-elo-v2", "observed_at_utc": "2026-09-25T22:09:02.815062+00:00", "outcome_probabilities": {"away": 0.4845115517857737, "draw": 0.02386635, "home": 0.49162209821422626}, "replay_scope": "Exact Elo and tie model; logged value is expected contract settlement, not outright win probability.", "schema": "international-elo-replay-v1", "settlement_values": {"away": 0.496445, "home": 0.503555}, "snapshot_hash": "e115c0d2ce6debca70728cbb6a834f6acd2aa4320c3d016b833f1a517ec4af9e", "sport": "NPB"}</t>
        </is>
      </c>
    </row>
    <row r="187" ht="36" customHeight="1">
      <c r="A187" s="24" t="inlineStr">
        <is>
          <t>5f721fc8fb2040ce</t>
        </is>
      </c>
      <c r="B187" s="24" t="inlineStr">
        <is>
          <t>2026-09-26T22:35:14.204822Z</t>
        </is>
      </c>
      <c r="C187" s="24" t="inlineStr">
        <is>
          <t>2026-09-27T05:00:00Z</t>
        </is>
      </c>
      <c r="D187" s="24" t="inlineStr">
        <is>
          <t>124722</t>
        </is>
      </c>
      <c r="E187" s="24" t="inlineStr">
        <is>
          <t>NPB</t>
        </is>
      </c>
      <c r="F187" s="24" t="inlineStr">
        <is>
          <t>Orix Buffaloes</t>
        </is>
      </c>
      <c r="G187" s="24" t="inlineStr">
        <is>
          <t>Fukuoka SoftBank Hawks</t>
        </is>
      </c>
      <c r="H187" s="24" t="inlineStr">
        <is>
          <t>moneyline</t>
        </is>
      </c>
      <c r="I187" s="24" t="inlineStr">
        <is>
          <t>home</t>
        </is>
      </c>
      <c r="J187" s="25" t="n"/>
      <c r="K187" s="24" t="inlineStr">
        <is>
          <t>polymarket_us</t>
        </is>
      </c>
      <c r="L187" s="26" t="n">
        <v>-285</v>
      </c>
      <c r="M187" s="27" t="n">
        <v>1.350877</v>
      </c>
      <c r="N187" s="28" t="n">
        <v>0.74026</v>
      </c>
      <c r="O187" s="28" t="n">
        <v>0.724042</v>
      </c>
      <c r="P187" s="28" t="n"/>
      <c r="Q187" s="28" t="n">
        <v>-0.016218</v>
      </c>
      <c r="R187" s="26" t="n">
        <v>12</v>
      </c>
      <c r="S187" s="29" t="n">
        <v>1</v>
      </c>
      <c r="T187" s="24" t="inlineStr">
        <is>
          <t>npb-tie-aware-elo-v2</t>
        </is>
      </c>
      <c r="U187" s="24" t="inlineStr">
        <is>
          <t>settled</t>
        </is>
      </c>
      <c r="V187" s="24" t="inlineStr">
        <is>
          <t>win</t>
        </is>
      </c>
      <c r="W187" s="26" t="n">
        <v>5</v>
      </c>
      <c r="X187" s="26" t="n">
        <v>12</v>
      </c>
      <c r="Y187" s="25" t="n"/>
      <c r="Z187" s="26" t="n"/>
      <c r="AA187" s="28" t="n"/>
      <c r="AB187" s="28" t="n"/>
      <c r="AC187" s="30" t="n">
        <v>0.3509</v>
      </c>
      <c r="AD187" s="24" t="inlineStr">
        <is>
          <t>2026-09-27T22:02:59.349501Z</t>
        </is>
      </c>
      <c r="AE187" s="31" t="inlineStr">
        <is>
          <t>Tie-aware Elo baseline; executable ask 0.7400 (market_slug=aec-npb-fsh-obr-2026-09-27). Tie probability=0.0238.</t>
        </is>
      </c>
      <c r="AF187" s="31" t="inlineStr">
        <is>
          <t>Config-promoted international baseball baseline; gates enforced at log time.</t>
        </is>
      </c>
      <c r="AG187" s="24" t="inlineStr">
        <is>
          <t>not_applicable</t>
        </is>
      </c>
      <c r="AH187" s="24" t="n"/>
      <c r="AI187" s="31" t="n"/>
      <c r="AJ187" s="31" t="n"/>
      <c r="AK187" s="24" t="inlineStr">
        <is>
          <t>paper_call</t>
        </is>
      </c>
      <c r="AL187" s="26" t="n">
        <v>4</v>
      </c>
      <c r="AM187" s="24" t="inlineStr">
        <is>
          <t>RESEARCH_OBSERVATION</t>
        </is>
      </c>
      <c r="AN187" s="24" t="inlineStr">
        <is>
          <t>CALL</t>
        </is>
      </c>
      <c r="AO187" s="24" t="inlineStr">
        <is>
          <t>PAPER_CALL_LOW_EDGE</t>
        </is>
      </c>
      <c r="AP187" s="24" t="inlineStr">
        <is>
          <t>Orix Buffaloes</t>
        </is>
      </c>
      <c r="AQ187" s="24" t="inlineStr">
        <is>
          <t>Orix Buffaloes</t>
        </is>
      </c>
      <c r="AR187" s="24" t="inlineStr">
        <is>
          <t>Orix Buffaloes</t>
        </is>
      </c>
      <c r="AS187" s="24" t="inlineStr">
        <is>
          <t>Fukuoka SoftBank Hawks</t>
        </is>
      </c>
      <c r="AT187" s="24" t="inlineStr">
        <is>
          <t>Fukuoka SoftBank Hawks</t>
        </is>
      </c>
      <c r="AU187" s="24" t="inlineStr">
        <is>
          <t>Fukuoka SoftBank Hawks</t>
        </is>
      </c>
      <c r="AV187" s="24" t="n"/>
      <c r="AW187" s="24" t="n"/>
      <c r="AX187" s="24" t="inlineStr">
        <is>
          <t>statistical_model</t>
        </is>
      </c>
      <c r="AY187" s="24" t="n"/>
      <c r="AZ187" s="24" t="inlineStr">
        <is>
          <t>shadow_qualified</t>
        </is>
      </c>
      <c r="BA187" s="24" t="inlineStr">
        <is>
          <t>b64379d8489a566c3505682e0ca012c95c4d8f7f8313d66669d84c2627b0673f</t>
        </is>
      </c>
      <c r="BB187" s="24" t="inlineStr">
        <is>
          <t>tie_aware_elo</t>
        </is>
      </c>
      <c r="BC187" s="24" t="inlineStr">
        <is>
          <t>npb-tie-aware-elo-v2</t>
        </is>
      </c>
      <c r="BD187" s="24" t="inlineStr">
        <is>
          <t>b64379d8489a566c3505682e0ca012c95c4d8f7f8313d66669d84c2627b0673f</t>
        </is>
      </c>
      <c r="BE187" s="24" t="inlineStr">
        <is>
          <t>1</t>
        </is>
      </c>
      <c r="BF187" s="24" t="inlineStr">
        <is>
          <t>1</t>
        </is>
      </c>
      <c r="BG187" s="24" t="inlineStr">
        <is>
          <t>npb-tie-aware-elo-v2</t>
        </is>
      </c>
      <c r="BH187" s="24" t="inlineStr">
        <is>
          <t>2026-09-26T22:35:01.773003Z</t>
        </is>
      </c>
      <c r="BI187" s="24" t="inlineStr">
        <is>
          <t>["same_event","same_team_same_day","same_league_same_day"]</t>
        </is>
      </c>
      <c r="BJ187" s="25" t="n"/>
      <c r="BK187" s="26" t="n">
        <v>-285</v>
      </c>
      <c r="BL187" s="27" t="n">
        <v>1.350877</v>
      </c>
      <c r="BM187" s="28" t="n">
        <v>0.74026</v>
      </c>
      <c r="BN187" s="28" t="n"/>
      <c r="BO187" s="28" t="n"/>
      <c r="BP187" s="25" t="n"/>
      <c r="BQ187" s="27" t="n"/>
      <c r="BR187" s="28" t="n"/>
      <c r="BS187" s="28" t="n"/>
      <c r="BT187" s="28" t="n"/>
      <c r="BU187" s="25" t="n"/>
      <c r="BV187" s="29" t="n"/>
      <c r="BW187" s="24" t="n"/>
      <c r="BX187" s="30" t="n"/>
      <c r="BY187" s="27" t="n"/>
      <c r="BZ187" s="24" t="n"/>
      <c r="CA187" s="31" t="n"/>
      <c r="CB187" s="24" t="n"/>
      <c r="CC187" s="24" t="n"/>
      <c r="CD187" s="24" t="n"/>
      <c r="CE187" s="24" t="n"/>
      <c r="CF187" s="24" t="n"/>
      <c r="CG187" s="24" t="n"/>
      <c r="CH187" s="24" t="n"/>
      <c r="CI187" s="24" t="n"/>
      <c r="CJ187" s="24" t="n"/>
      <c r="CK187" s="24" t="n"/>
      <c r="CL187" s="24" t="n"/>
      <c r="CM187" s="24" t="n"/>
      <c r="CN187" s="24" t="n"/>
      <c r="CO187" s="24" t="n"/>
      <c r="CP187" s="24" t="n"/>
      <c r="CQ187" s="24" t="n"/>
      <c r="CR187" s="24" t="n"/>
      <c r="CS187" s="24" t="inlineStr">
        <is>
          <t>False</t>
        </is>
      </c>
      <c r="CT187" s="24" t="n"/>
      <c r="CU187" s="24" t="n"/>
      <c r="CV187" s="24" t="n"/>
      <c r="CW187" s="24" t="n"/>
      <c r="CX187" s="24" t="n"/>
      <c r="CY187" s="24" t="n"/>
      <c r="CZ187" s="24" t="n"/>
      <c r="DA187" s="24" t="n"/>
      <c r="DB187" s="24" t="n"/>
      <c r="DC187" s="24" t="n"/>
      <c r="DD187" s="24" t="n"/>
      <c r="DE187" s="24" t="n"/>
      <c r="DF187" s="24" t="n"/>
      <c r="DG187" s="24" t="n"/>
      <c r="DH187" s="24" t="n"/>
      <c r="DI187" s="24" t="n"/>
      <c r="DJ187" s="24" t="inlineStr">
        <is>
          <t>0.74026</t>
        </is>
      </c>
      <c r="DK187" s="24" t="n"/>
      <c r="DL187" s="24" t="n"/>
      <c r="DM187" s="24" t="n"/>
      <c r="DN187" s="24" t="n"/>
      <c r="DO187" s="24" t="n"/>
      <c r="DP187" s="24" t="n"/>
      <c r="DQ187" s="24" t="inlineStr">
        <is>
          <t>{"artifact_hash": "b64379d8489a566c3505682e0ca012c95c4d8f7f8313d66669d84c2627b0673f", "away_team": "Orix Buffaloes", "draw_settlement_value": 0.5, "event_id": "124722", "event_start_utc": "2026-09-27T05:00:00Z", "features": {"away_elo": 1484.929214, "base_tie_rate": 0.0238379, "home_advantage": 35.0, "home_elo": 1622.284415}, "historical_source_observation_times_verified": false, "home_team": "Fukuoka SoftBank Hawks", "inference_inputs": {"away_id": "B", "base_tie_rate": 0.0238379, "book_state": {"_games_played": null, "_last_active": null, "decay_rate": 0.0, "home_advantage": 35.0, "k": 8.0, "margin_weight": 0.0, "ratings": {"B": 1484.929214, "H": 1622.284415}}, "code_sha256": {"features/elo_ratings.py": "8525faf022a6343c452286dbfeb17dbb043744c6bdabbe448b6b371216da439b", "international_baseball.py": "f345eb917316d2e897f62c1cdd0f73153115c65da54c30c6137ad76bb7b27869"}, "home_id": "H", "tie_method": "flat"}, "market_type": "moneyline", "model_version": "npb-tie-aware-elo-v2", "observed_at_utc": "2026-09-26T22:34:55.535436+00:00", "outcome_probabilities": {"away": 0.2640385529122782, "draw": 0.0238379, "home": 0.7121235470877219}, "replay_scope": "Exact Elo and tie model; logged value is expected contract settlement, not outright win probability.", "schema": "international-elo-replay-v1", "settlement_values": {"away": 0.275958, "home": 0.724042}, "snapshot_hash": "eb629f106dcfca9863792773d154dc6c63fca7e352f1a65587a964938a7f598d", "sport": "NPB"}</t>
        </is>
      </c>
    </row>
    <row r="188" ht="36" customHeight="1">
      <c r="A188" s="24" t="inlineStr">
        <is>
          <t>6597344d866d46dc</t>
        </is>
      </c>
      <c r="B188" s="24" t="inlineStr">
        <is>
          <t>2026-09-27T05:03:17.427995Z</t>
        </is>
      </c>
      <c r="C188" s="24" t="inlineStr">
        <is>
          <t>2026-09-27T09:00:00Z</t>
        </is>
      </c>
      <c r="D188" s="24" t="inlineStr">
        <is>
          <t>124862</t>
        </is>
      </c>
      <c r="E188" s="24" t="inlineStr">
        <is>
          <t>NPB</t>
        </is>
      </c>
      <c r="F188" s="24" t="inlineStr">
        <is>
          <t>Nippon Ham Fighters</t>
        </is>
      </c>
      <c r="G188" s="24" t="inlineStr">
        <is>
          <t>Chiba Lotte Marines</t>
        </is>
      </c>
      <c r="H188" s="24" t="inlineStr">
        <is>
          <t>moneyline</t>
        </is>
      </c>
      <c r="I188" s="24" t="inlineStr">
        <is>
          <t>away</t>
        </is>
      </c>
      <c r="J188" s="25" t="n"/>
      <c r="K188" s="24" t="inlineStr">
        <is>
          <t>polymarket_us</t>
        </is>
      </c>
      <c r="L188" s="26" t="n">
        <v>-104</v>
      </c>
      <c r="M188" s="27" t="n">
        <v>1.961538</v>
      </c>
      <c r="N188" s="28" t="n">
        <v>0.509804</v>
      </c>
      <c r="O188" s="28" t="n">
        <v>0.560392</v>
      </c>
      <c r="P188" s="28" t="n"/>
      <c r="Q188" s="28" t="n">
        <v>0.050588</v>
      </c>
      <c r="R188" s="26" t="n">
        <v>45</v>
      </c>
      <c r="S188" s="29" t="n">
        <v>1</v>
      </c>
      <c r="T188" s="24" t="inlineStr">
        <is>
          <t>npb-tie-aware-elo-v2</t>
        </is>
      </c>
      <c r="U188" s="24" t="inlineStr">
        <is>
          <t>settled</t>
        </is>
      </c>
      <c r="V188" s="24" t="inlineStr">
        <is>
          <t>loss</t>
        </is>
      </c>
      <c r="W188" s="26" t="n">
        <v>1</v>
      </c>
      <c r="X188" s="26" t="n">
        <v>6</v>
      </c>
      <c r="Y188" s="25" t="n"/>
      <c r="Z188" s="26" t="n">
        <v>-104</v>
      </c>
      <c r="AA188" s="28" t="n">
        <v>0.51</v>
      </c>
      <c r="AB188" s="28" t="n">
        <v>0.000196</v>
      </c>
      <c r="AC188" s="30" t="n">
        <v>-1</v>
      </c>
      <c r="AD188" s="24" t="inlineStr">
        <is>
          <t>2026-09-27T22:02:59.701477Z</t>
        </is>
      </c>
      <c r="AE188" s="31" t="inlineStr">
        <is>
          <t>Tie-aware Elo baseline; executable ask 0.5100 (market_slug=aec-npb-clm-nhf-2026-09-27). Tie probability=0.0238.</t>
        </is>
      </c>
      <c r="AF188" s="31" t="inlineStr">
        <is>
          <t>Config-promoted international baseball baseline; gates enforced at log time.</t>
        </is>
      </c>
      <c r="AG188" s="24" t="inlineStr">
        <is>
          <t>review_required</t>
        </is>
      </c>
      <c r="AH188" s="24" t="n"/>
      <c r="AI188" s="31" t="n"/>
      <c r="AJ188" s="31" t="n"/>
      <c r="AK188" s="24" t="inlineStr">
        <is>
          <t>paper_call</t>
        </is>
      </c>
      <c r="AL188" s="26" t="n">
        <v>4</v>
      </c>
      <c r="AM188" s="24" t="inlineStr">
        <is>
          <t>RESEARCH_OBSERVATION</t>
        </is>
      </c>
      <c r="AN188" s="24" t="inlineStr">
        <is>
          <t>CALL</t>
        </is>
      </c>
      <c r="AO188" s="24" t="inlineStr">
        <is>
          <t>PAPER_CALL_LOW_EDGE</t>
        </is>
      </c>
      <c r="AP188" s="24" t="inlineStr">
        <is>
          <t>Nippon Ham Fighters</t>
        </is>
      </c>
      <c r="AQ188" s="24" t="inlineStr">
        <is>
          <t>Nippon Ham Fighters</t>
        </is>
      </c>
      <c r="AR188" s="24" t="inlineStr">
        <is>
          <t>Nippon Ham Fighters</t>
        </is>
      </c>
      <c r="AS188" s="24" t="inlineStr">
        <is>
          <t>Chiba Lotte Marines</t>
        </is>
      </c>
      <c r="AT188" s="24" t="inlineStr">
        <is>
          <t>Chiba Lotte Marines</t>
        </is>
      </c>
      <c r="AU188" s="24" t="inlineStr">
        <is>
          <t>Chiba Lotte Marines</t>
        </is>
      </c>
      <c r="AV188" s="24" t="n"/>
      <c r="AW188" s="24" t="n"/>
      <c r="AX188" s="24" t="inlineStr">
        <is>
          <t>statistical_model</t>
        </is>
      </c>
      <c r="AY188" s="24" t="n"/>
      <c r="AZ188" s="24" t="inlineStr">
        <is>
          <t>shadow_qualified</t>
        </is>
      </c>
      <c r="BA188" s="24" t="inlineStr">
        <is>
          <t>385dd9af75a8fbd0ee5e82d8b59055181ed5f4c68889c54272c479ba8b810132</t>
        </is>
      </c>
      <c r="BB188" s="24" t="inlineStr">
        <is>
          <t>tie_aware_elo</t>
        </is>
      </c>
      <c r="BC188" s="24" t="inlineStr">
        <is>
          <t>npb-tie-aware-elo-v2</t>
        </is>
      </c>
      <c r="BD188" s="24" t="inlineStr">
        <is>
          <t>385dd9af75a8fbd0ee5e82d8b59055181ed5f4c68889c54272c479ba8b810132</t>
        </is>
      </c>
      <c r="BE188" s="24" t="inlineStr">
        <is>
          <t>1</t>
        </is>
      </c>
      <c r="BF188" s="24" t="inlineStr">
        <is>
          <t>1</t>
        </is>
      </c>
      <c r="BG188" s="24" t="inlineStr">
        <is>
          <t>npb-tie-aware-elo-v2</t>
        </is>
      </c>
      <c r="BH188" s="24" t="inlineStr">
        <is>
          <t>2026-09-27T05:03:13.226482Z</t>
        </is>
      </c>
      <c r="BI188" s="24" t="inlineStr">
        <is>
          <t>["same_event","same_team_same_day","same_league_same_day"]</t>
        </is>
      </c>
      <c r="BJ188" s="25" t="n"/>
      <c r="BK188" s="26" t="n">
        <v>-104</v>
      </c>
      <c r="BL188" s="27" t="n">
        <v>1.961538</v>
      </c>
      <c r="BM188" s="28" t="n">
        <v>0.509804</v>
      </c>
      <c r="BN188" s="28" t="n"/>
      <c r="BO188" s="28" t="n"/>
      <c r="BP188" s="25" t="n"/>
      <c r="BQ188" s="27" t="n">
        <v>1.961538</v>
      </c>
      <c r="BR188" s="28" t="n">
        <v>0.51</v>
      </c>
      <c r="BS188" s="28" t="n"/>
      <c r="BT188" s="28" t="n"/>
      <c r="BU188" s="25" t="n"/>
      <c r="BV188" s="29" t="n"/>
      <c r="BW188" s="24" t="n"/>
      <c r="BX188" s="30" t="n"/>
      <c r="BY188" s="27" t="n"/>
      <c r="BZ188" s="24" t="n"/>
      <c r="CA188" s="31" t="n"/>
      <c r="CB188" s="24" t="n"/>
      <c r="CC188" s="24" t="n"/>
      <c r="CD188" s="24" t="n"/>
      <c r="CE188" s="24" t="n"/>
      <c r="CF188" s="24" t="n"/>
      <c r="CG188" s="24" t="n"/>
      <c r="CH188" s="24" t="n"/>
      <c r="CI188" s="24" t="n"/>
      <c r="CJ188" s="24" t="n"/>
      <c r="CK188" s="24" t="n"/>
      <c r="CL188" s="24" t="n"/>
      <c r="CM188" s="24" t="n"/>
      <c r="CN188" s="24" t="n"/>
      <c r="CO188" s="24" t="n"/>
      <c r="CP188" s="24" t="n"/>
      <c r="CQ188" s="24" t="n"/>
      <c r="CR188" s="24" t="n"/>
      <c r="CS188" s="24" t="inlineStr">
        <is>
          <t>True</t>
        </is>
      </c>
      <c r="CT188" s="24" t="n"/>
      <c r="CU188" s="24" t="n"/>
      <c r="CV188" s="24" t="n"/>
      <c r="CW188" s="24" t="n"/>
      <c r="CX188" s="24" t="n"/>
      <c r="CY188" s="24" t="n"/>
      <c r="CZ188" s="24" t="n"/>
      <c r="DA188" s="24" t="n"/>
      <c r="DB188" s="24" t="n"/>
      <c r="DC188" s="24" t="n"/>
      <c r="DD188" s="24" t="n"/>
      <c r="DE188" s="24" t="n"/>
      <c r="DF188" s="24" t="n"/>
      <c r="DG188" s="24" t="n"/>
      <c r="DH188" s="24" t="n"/>
      <c r="DI188" s="24" t="n"/>
      <c r="DJ188" s="24" t="inlineStr">
        <is>
          <t>0.509804</t>
        </is>
      </c>
      <c r="DK188" s="24" t="n"/>
      <c r="DL188" s="24" t="n"/>
      <c r="DM188" s="24" t="n"/>
      <c r="DN188" s="24" t="n"/>
      <c r="DO188" s="24" t="n"/>
      <c r="DP188" s="24" t="n"/>
      <c r="DQ188" s="24" t="inlineStr">
        <is>
          <t>{"artifact_hash": "385dd9af75a8fbd0ee5e82d8b59055181ed5f4c68889c54272c479ba8b810132", "away_team": "Nippon Ham Fighters", "draw_settlement_value": 0.5, "event_id": "124862", "event_start_utc": "2026-09-27T09:00:00Z", "features": {"away_elo": 1552.925041, "base_tie_rate": 0.0238379, "home_advantage": 35.0, "home_elo": 1474.713855}, "historical_source_observation_times_verified": false, "home_team": "Chiba Lotte Marines", "inference_inputs": {"away_id": "F", "base_tie_rate": 0.0238379, "book_state": {"_games_played": null, "_last_active": null, "decay_rate": 0.0, "home_advantage": 35.0, "k": 8.0, "margin_weight": 0.0, "ratings": {"F": 1552.925041, "M": 1474.713855}},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"2026-09-27T05:03:08.501163+00:00", "outcome_probabilities": {"away": 0.5484734946053148, "draw": 0.0238379, "home": 0.42768860539468523}, "replay_scope": "Exact Elo and tie model; logged value is expected contract settlement, not outright win probability.", "schema": "international-elo-replay-v1", "settlement_values": {"away": 0.560392, "home": 0.439608}, "snapshot_hash": "21f65d69033961ff83e5d62a33a8b1450fe0e844363b475b358730d80fb02153", "sport": "NPB"}</t>
        </is>
      </c>
    </row>
    <row r="189" ht="36" customHeight="1">
      <c r="A189" s="24" t="inlineStr">
        <is>
          <t>339eb23a15444f41</t>
        </is>
      </c>
      <c r="B189" s="24" t="inlineStr">
        <is>
          <t>2026-09-28T04:41:38.859798Z</t>
        </is>
      </c>
      <c r="C189" s="24" t="inlineStr">
        <is>
          <t>2026-09-28T09:00:00Z</t>
        </is>
      </c>
      <c r="D189" s="24" t="inlineStr">
        <is>
          <t>126203</t>
        </is>
      </c>
      <c r="E189" s="24" t="inlineStr">
        <is>
          <t>NPB</t>
        </is>
      </c>
      <c r="F189" s="24" t="inlineStr">
        <is>
          <t>Tohoku Rakuten Golden Eagles</t>
        </is>
      </c>
      <c r="G189" s="24" t="inlineStr">
        <is>
          <t>Saitama Seibu Lions</t>
        </is>
      </c>
      <c r="H189" s="24" t="inlineStr">
        <is>
          <t>moneyline</t>
        </is>
      </c>
      <c r="I189" s="24" t="inlineStr">
        <is>
          <t>home</t>
        </is>
      </c>
      <c r="J189" s="25" t="n"/>
      <c r="K189" s="24" t="inlineStr">
        <is>
          <t>polymarket_us</t>
        </is>
      </c>
      <c r="L189" s="26" t="n">
        <v>-178</v>
      </c>
      <c r="M189" s="27" t="n">
        <v>1.561798</v>
      </c>
      <c r="N189" s="28" t="n">
        <v>0.640288</v>
      </c>
      <c r="O189" s="28" t="n">
        <v>0.640273</v>
      </c>
      <c r="P189" s="28" t="n"/>
      <c r="Q189" s="28" t="n">
        <v>-1.5e-05</v>
      </c>
      <c r="R189" s="26" t="n">
        <v>20</v>
      </c>
      <c r="S189" s="29" t="n">
        <v>1</v>
      </c>
      <c r="T189" s="24" t="inlineStr">
        <is>
          <t>npb-tie-aware-elo-v2</t>
        </is>
      </c>
      <c r="U189" s="24" t="inlineStr">
        <is>
          <t>settled</t>
        </is>
      </c>
      <c r="V189" s="24" t="inlineStr">
        <is>
          <t>loss</t>
        </is>
      </c>
      <c r="W189" s="26" t="n">
        <v>4</v>
      </c>
      <c r="X189" s="26" t="n">
        <v>2</v>
      </c>
      <c r="Y189" s="25" t="n"/>
      <c r="Z189" s="26" t="n">
        <v>-178</v>
      </c>
      <c r="AA189" s="28" t="n">
        <v>0.64</v>
      </c>
      <c r="AB189" s="28" t="n">
        <v>-0.000288</v>
      </c>
      <c r="AC189" s="30" t="n">
        <v>-1</v>
      </c>
      <c r="AD189" s="24" t="inlineStr">
        <is>
          <t>2026-09-28T22:01:54.034489Z</t>
        </is>
      </c>
      <c r="AE189" s="31" t="inlineStr">
        <is>
          <t>Tie-aware Elo baseline; executable ask 0.6400 (market_slug=aec-npb-ssl-trge-2026-09-28). Tie probability=0.0238.</t>
        </is>
      </c>
      <c r="AF189" s="31" t="inlineStr">
        <is>
          <t>Config-promoted international baseball baseline; gates enforced at log time.</t>
        </is>
      </c>
      <c r="AG189" s="24" t="inlineStr">
        <is>
          <t>review_required</t>
        </is>
      </c>
      <c r="AH189" s="24" t="n"/>
      <c r="AI189" s="31" t="n"/>
      <c r="AJ189" s="31" t="n"/>
      <c r="AK189" s="24" t="inlineStr">
        <is>
          <t>paper_call</t>
        </is>
      </c>
      <c r="AL189" s="26" t="n">
        <v>4</v>
      </c>
      <c r="AM189" s="24" t="inlineStr">
        <is>
          <t>RESEARCH_OBSERVATION</t>
        </is>
      </c>
      <c r="AN189" s="24" t="inlineStr">
        <is>
          <t>CALL</t>
        </is>
      </c>
      <c r="AO189" s="24" t="inlineStr">
        <is>
          <t>PAPER_CALL_LOW_EDGE</t>
        </is>
      </c>
      <c r="AP189" s="24" t="inlineStr">
        <is>
          <t>Tohoku Rakuten Golden Eagles</t>
        </is>
      </c>
      <c r="AQ189" s="24" t="inlineStr">
        <is>
          <t>Tohoku Rakuten Golden Eagles</t>
        </is>
      </c>
      <c r="AR189" s="24" t="inlineStr">
        <is>
          <t>Tohoku Rakuten Golden Eagles</t>
        </is>
      </c>
      <c r="AS189" s="24" t="inlineStr">
        <is>
          <t>Saitama Seibu Lions</t>
        </is>
      </c>
      <c r="AT189" s="24" t="inlineStr">
        <is>
          <t>Saitama Seibu Lions</t>
        </is>
      </c>
      <c r="AU189" s="24" t="inlineStr">
        <is>
          <t>Saitama Seibu Lions</t>
        </is>
      </c>
      <c r="AV189" s="24" t="n"/>
      <c r="AW189" s="24" t="n"/>
      <c r="AX189" s="24" t="inlineStr">
        <is>
          <t>statistical_model</t>
        </is>
      </c>
      <c r="AY189" s="24" t="n"/>
      <c r="AZ189" s="24" t="inlineStr">
        <is>
          <t>shadow_qualified</t>
        </is>
      </c>
      <c r="BA189" s="24" t="inlineStr">
        <is>
          <t>21d304bb8847d50b1b6a83ebe104a284c94c507e6bc905b72bb173ec40f17c2d</t>
        </is>
      </c>
      <c r="BB189" s="24" t="inlineStr">
        <is>
          <t>tie_aware_elo</t>
        </is>
      </c>
      <c r="BC189" s="24" t="inlineStr">
        <is>
          <t>npb-tie-aware-elo-v2</t>
        </is>
      </c>
      <c r="BD189" s="24" t="inlineStr">
        <is>
          <t>21d304bb8847d50b1b6a83ebe104a284c94c507e6bc905b72bb173ec40f17c2d</t>
        </is>
      </c>
      <c r="BE189" s="24" t="inlineStr">
        <is>
          <t>1</t>
        </is>
      </c>
      <c r="BF189" s="24" t="inlineStr">
        <is>
          <t>1</t>
        </is>
      </c>
      <c r="BG189" s="24" t="inlineStr">
        <is>
          <t>npb-tie-aware-elo-v2</t>
        </is>
      </c>
      <c r="BH189" s="24" t="inlineStr">
        <is>
          <t>2026-09-28T04:41:38.744336Z</t>
        </is>
      </c>
      <c r="BI189" s="24" t="inlineStr">
        <is>
          <t>["same_event","same_team_same_day","same_league_same_day"]</t>
        </is>
      </c>
      <c r="BJ189" s="25" t="n"/>
      <c r="BK189" s="26" t="n">
        <v>-178</v>
      </c>
      <c r="BL189" s="27" t="n">
        <v>1.561798</v>
      </c>
      <c r="BM189" s="28" t="n">
        <v>0.640288</v>
      </c>
      <c r="BN189" s="28" t="n"/>
      <c r="BO189" s="28" t="n"/>
      <c r="BP189" s="25" t="n"/>
      <c r="BQ189" s="27" t="n">
        <v>1.561798</v>
      </c>
      <c r="BR189" s="28" t="n">
        <v>0.64</v>
      </c>
      <c r="BS189" s="28" t="n"/>
      <c r="BT189" s="28" t="n"/>
      <c r="BU189" s="25" t="n"/>
      <c r="BV189" s="29" t="n"/>
      <c r="BW189" s="24" t="n"/>
      <c r="BX189" s="30" t="n"/>
      <c r="BY189" s="27" t="n"/>
      <c r="BZ189" s="24" t="n"/>
      <c r="CA189" s="31" t="n"/>
      <c r="CB189" s="24" t="n"/>
      <c r="CC189" s="24" t="n"/>
      <c r="CD189" s="24" t="n"/>
      <c r="CE189" s="24" t="n"/>
      <c r="CF189" s="24" t="n"/>
      <c r="CG189" s="24" t="n"/>
      <c r="CH189" s="24" t="n"/>
      <c r="CI189" s="24" t="n"/>
      <c r="CJ189" s="24" t="n"/>
      <c r="CK189" s="24" t="n"/>
      <c r="CL189" s="24" t="n"/>
      <c r="CM189" s="24" t="n"/>
      <c r="CN189" s="24" t="n"/>
      <c r="CO189" s="24" t="n"/>
      <c r="CP189" s="24" t="n"/>
      <c r="CQ189" s="24" t="n"/>
      <c r="CR189" s="24" t="n"/>
      <c r="CS189" s="24" t="inlineStr">
        <is>
          <t>False</t>
        </is>
      </c>
      <c r="CT189" s="24" t="n"/>
      <c r="CU189" s="24" t="n"/>
      <c r="CV189" s="24" t="n"/>
      <c r="CW189" s="24" t="n"/>
      <c r="CX189" s="24" t="n"/>
      <c r="CY189" s="24" t="n"/>
      <c r="CZ189" s="24" t="n"/>
      <c r="DA189" s="24" t="n"/>
      <c r="DB189" s="24" t="n"/>
      <c r="DC189" s="24" t="n"/>
      <c r="DD189" s="24" t="n"/>
      <c r="DE189" s="24" t="n"/>
      <c r="DF189" s="24" t="n"/>
      <c r="DG189" s="24" t="n"/>
      <c r="DH189" s="24" t="n"/>
      <c r="DI189" s="24" t="n"/>
      <c r="DJ189" s="24" t="inlineStr">
        <is>
          <t>0.640288</t>
        </is>
      </c>
      <c r="DK189" s="24" t="n"/>
      <c r="DL189" s="24" t="n"/>
      <c r="DM189" s="24" t="n"/>
      <c r="DN189" s="24" t="n"/>
      <c r="DO189" s="24" t="n"/>
      <c r="DP189" s="24" t="n"/>
      <c r="DQ189" s="24" t="inlineStr">
        <is>
          <t>{"artifact_hash": "21d304bb8847d50b1b6a83ebe104a284c94c507e6bc905b72bb173ec40f17c2d", "away_team": "Tohoku Rakuten Golden Eagles", "draw_settlement_value": 0.5, "event_id": "126203", "event_start_utc": "2026-09-28T09:00:00Z", "features": {"away_elo": 1466.350394, "base_tie_rate": 0.02380952, "home_advantage": 35.0, "home_elo": 1534.093043}, "historical_source_observation_times_verified": false, "home_team": "Saitama Seibu Lions", "inference_inputs": {"away_id": "E", "base_tie_rate": 0.02380952, "book_state": {"_games_played": null, "_last_active": null, "decay_rate": 0.0, "home_advantage": 35.0, "k": 8.0, "margin_weight": 0.0, "ratings": {"E": 1466.350394, "L": 1534.093043}}, "code_sha256": {"features/elo_ratings.py": "8525faf022a6343c452286dbfeb17dbb043744c6bdabbe448b6b371216da439b", "international_baseball.py": "f345eb917316d2e897f62c1cdd0f73153115c65da54c30c6137ad76bb7b27869"}, "home_id": "L", "tie_method": "flat"}, "market_type": "moneyline", "model_version": "npb-tie-aware-elo-v2", "observed_at_utc": "2026-09-28T04:41:38.694278+00:00", "outcome_probabilities": {"away": 0.34782237195489907, "draw": 0.02380952, "home": 0.6283681080451009}, "replay_scope": "Exact Elo and tie model; logged value is expected contract settlement, not outright win probability.", "schema": "international-elo-replay-v1", "settlement_values": {"away": 0.359727, "home": 0.640273}, "snapshot_hash": "3303922dd39ca44e77bcf1afa02b7c8dabddc209e0241f192d95454fefacf375", "sport": "NPB"}</t>
        </is>
      </c>
    </row>
    <row r="190" ht="36" customHeight="1">
      <c r="A190" s="24" t="inlineStr">
        <is>
          <t>d68fb70c0c454185</t>
        </is>
      </c>
      <c r="B190" s="24" t="inlineStr">
        <is>
          <t>2026-09-28T04:41:38.859798Z</t>
        </is>
      </c>
      <c r="C190" s="24" t="inlineStr">
        <is>
          <t>2026-09-28T09:00:00Z</t>
        </is>
      </c>
      <c r="D190" s="24" t="inlineStr">
        <is>
          <t>126204</t>
        </is>
      </c>
      <c r="E190" s="24" t="inlineStr">
        <is>
          <t>NPB</t>
        </is>
      </c>
      <c r="F190" s="24" t="inlineStr">
        <is>
          <t>Nippon Ham Fighters</t>
        </is>
      </c>
      <c r="G190" s="24" t="inlineStr">
        <is>
          <t>Chiba Lotte Marines</t>
        </is>
      </c>
      <c r="H190" s="24" t="inlineStr">
        <is>
          <t>moneyline</t>
        </is>
      </c>
      <c r="I190" s="24" t="inlineStr">
        <is>
          <t>away</t>
        </is>
      </c>
      <c r="J190" s="25" t="n"/>
      <c r="K190" s="24" t="inlineStr">
        <is>
          <t>polymarket_us</t>
        </is>
      </c>
      <c r="L190" s="26" t="n">
        <v>-104</v>
      </c>
      <c r="M190" s="27" t="n">
        <v>1.961538</v>
      </c>
      <c r="N190" s="28" t="n">
        <v>0.509804</v>
      </c>
      <c r="O190" s="28" t="n">
        <v>0.547921</v>
      </c>
      <c r="P190" s="28" t="n"/>
      <c r="Q190" s="28" t="n">
        <v>0.038117</v>
      </c>
      <c r="R190" s="26" t="n">
        <v>39</v>
      </c>
      <c r="S190" s="29" t="n">
        <v>1</v>
      </c>
      <c r="T190" s="24" t="inlineStr">
        <is>
          <t>npb-tie-aware-elo-v2</t>
        </is>
      </c>
      <c r="U190" s="24" t="inlineStr">
        <is>
          <t>settled</t>
        </is>
      </c>
      <c r="V190" s="24" t="inlineStr">
        <is>
          <t>win</t>
        </is>
      </c>
      <c r="W190" s="26" t="n">
        <v>8</v>
      </c>
      <c r="X190" s="26" t="n">
        <v>3</v>
      </c>
      <c r="Y190" s="25" t="n"/>
      <c r="Z190" s="26" t="n"/>
      <c r="AA190" s="28" t="n"/>
      <c r="AB190" s="28" t="n"/>
      <c r="AC190" s="30" t="n">
        <v>0.9615</v>
      </c>
      <c r="AD190" s="24" t="inlineStr">
        <is>
          <t>2026-09-28T22:01:54.374142Z</t>
        </is>
      </c>
      <c r="AE190" s="31" t="inlineStr">
        <is>
          <t>Tie-aware Elo baseline; executable ask 0.5100 (market_slug=aec-npb-clm-nhf-2026-09-28). Tie probability=0.0238.</t>
        </is>
      </c>
      <c r="AF190" s="31" t="inlineStr">
        <is>
          <t>Config-promoted international baseball baseline; gates enforced at log time.</t>
        </is>
      </c>
      <c r="AG190" s="24" t="inlineStr">
        <is>
          <t>not_applicable</t>
        </is>
      </c>
      <c r="AH190" s="24" t="n"/>
      <c r="AI190" s="31" t="n"/>
      <c r="AJ190" s="31" t="n"/>
      <c r="AK190" s="24" t="inlineStr">
        <is>
          <t>paper_call</t>
        </is>
      </c>
      <c r="AL190" s="26" t="n">
        <v>4</v>
      </c>
      <c r="AM190" s="24" t="inlineStr">
        <is>
          <t>RESEARCH_OBSERVATION</t>
        </is>
      </c>
      <c r="AN190" s="24" t="inlineStr">
        <is>
          <t>CALL</t>
        </is>
      </c>
      <c r="AO190" s="24" t="inlineStr">
        <is>
          <t>PAPER_CALL_LOW_EDGE</t>
        </is>
      </c>
      <c r="AP190" s="24" t="inlineStr">
        <is>
          <t>Nippon Ham Fighters</t>
        </is>
      </c>
      <c r="AQ190" s="24" t="inlineStr">
        <is>
          <t>Nippon Ham Fighters</t>
        </is>
      </c>
      <c r="AR190" s="24" t="inlineStr">
        <is>
          <t>Nippon Ham Fighters</t>
        </is>
      </c>
      <c r="AS190" s="24" t="inlineStr">
        <is>
          <t>Chiba Lotte Marines</t>
        </is>
      </c>
      <c r="AT190" s="24" t="inlineStr">
        <is>
          <t>Chiba Lotte Marines</t>
        </is>
      </c>
      <c r="AU190" s="24" t="inlineStr">
        <is>
          <t>Chiba Lotte Marines</t>
        </is>
      </c>
      <c r="AV190" s="24" t="n"/>
      <c r="AW190" s="24" t="n"/>
      <c r="AX190" s="24" t="inlineStr">
        <is>
          <t>statistical_model</t>
        </is>
      </c>
      <c r="AY190" s="24" t="n"/>
      <c r="AZ190" s="24" t="inlineStr">
        <is>
          <t>shadow_qualified</t>
        </is>
      </c>
      <c r="BA190" s="24" t="inlineStr">
        <is>
          <t>21d304bb8847d50b1b6a83ebe104a284c94c507e6bc905b72bb173ec40f17c2d</t>
        </is>
      </c>
      <c r="BB190" s="24" t="inlineStr">
        <is>
          <t>tie_aware_elo</t>
        </is>
      </c>
      <c r="BC190" s="24" t="inlineStr">
        <is>
          <t>npb-tie-aware-elo-v2</t>
        </is>
      </c>
      <c r="BD190" s="24" t="inlineStr">
        <is>
          <t>21d304bb8847d50b1b6a83ebe104a284c94c507e6bc905b72bb173ec40f17c2d</t>
        </is>
      </c>
      <c r="BE190" s="24" t="inlineStr">
        <is>
          <t>1</t>
        </is>
      </c>
      <c r="BF190" s="24" t="inlineStr">
        <is>
          <t>1</t>
        </is>
      </c>
      <c r="BG190" s="24" t="inlineStr">
        <is>
          <t>npb-tie-aware-elo-v2</t>
        </is>
      </c>
      <c r="BH190" s="24" t="inlineStr">
        <is>
          <t>2026-09-28T04:41:38.791052Z</t>
        </is>
      </c>
      <c r="BI190" s="24" t="inlineStr">
        <is>
          <t>["same_event","same_team_same_day","same_league_same_day"]</t>
        </is>
      </c>
      <c r="BJ190" s="25" t="n"/>
      <c r="BK190" s="26" t="n">
        <v>-104</v>
      </c>
      <c r="BL190" s="27" t="n">
        <v>1.961538</v>
      </c>
      <c r="BM190" s="28" t="n">
        <v>0.509804</v>
      </c>
      <c r="BN190" s="28" t="n"/>
      <c r="BO190" s="28" t="n"/>
      <c r="BP190" s="25" t="n"/>
      <c r="BQ190" s="27" t="n"/>
      <c r="BR190" s="28" t="n"/>
      <c r="BS190" s="28" t="n"/>
      <c r="BT190" s="28" t="n"/>
      <c r="BU190" s="25" t="n"/>
      <c r="BV190" s="29" t="n"/>
      <c r="BW190" s="24" t="n"/>
      <c r="BX190" s="30" t="n"/>
      <c r="BY190" s="27" t="n"/>
      <c r="BZ190" s="24" t="n"/>
      <c r="CA190" s="31" t="n"/>
      <c r="CB190" s="24" t="n"/>
      <c r="CC190" s="24" t="n"/>
      <c r="CD190" s="24" t="n"/>
      <c r="CE190" s="24" t="n"/>
      <c r="CF190" s="24" t="n"/>
      <c r="CG190" s="24" t="n"/>
      <c r="CH190" s="24" t="n"/>
      <c r="CI190" s="24" t="n"/>
      <c r="CJ190" s="24" t="n"/>
      <c r="CK190" s="24" t="n"/>
      <c r="CL190" s="24" t="n"/>
      <c r="CM190" s="24" t="n"/>
      <c r="CN190" s="24" t="n"/>
      <c r="CO190" s="24" t="n"/>
      <c r="CP190" s="24" t="n"/>
      <c r="CQ190" s="24" t="n"/>
      <c r="CR190" s="24" t="n"/>
      <c r="CS190" s="24" t="inlineStr">
        <is>
          <t>True</t>
        </is>
      </c>
      <c r="CT190" s="24" t="n"/>
      <c r="CU190" s="24" t="n"/>
      <c r="CV190" s="24" t="n"/>
      <c r="CW190" s="24" t="n"/>
      <c r="CX190" s="24" t="n"/>
      <c r="CY190" s="24" t="n"/>
      <c r="CZ190" s="24" t="n"/>
      <c r="DA190" s="24" t="n"/>
      <c r="DB190" s="24" t="n"/>
      <c r="DC190" s="24" t="n"/>
      <c r="DD190" s="24" t="n"/>
      <c r="DE190" s="24" t="n"/>
      <c r="DF190" s="24" t="n"/>
      <c r="DG190" s="24" t="n"/>
      <c r="DH190" s="24" t="n"/>
      <c r="DI190" s="24" t="n"/>
      <c r="DJ190" s="24" t="inlineStr">
        <is>
          <t>0.509804</t>
        </is>
      </c>
      <c r="DK190" s="24" t="n"/>
      <c r="DL190" s="24" t="n"/>
      <c r="DM190" s="24" t="n"/>
      <c r="DN190" s="24" t="n"/>
      <c r="DO190" s="24" t="n"/>
      <c r="DP190" s="24" t="n"/>
      <c r="DQ190" s="24" t="inlineStr">
        <is>
          <t>{"artifact_hash": "21d304bb8847d50b1b6a83ebe104a284c94c507e6bc905b72bb173ec40f17c2d", "away_team": "Nippon Ham Fighters", "draw_settlement_value": 0.5, "event_id": "126204", "event_start_utc": "2026-09-28T09:00:00Z", "features": {"away_elo": 1548.430103, "base_tie_rate": 0.02380952, "home_advantage": 35.0, "home_elo": 1479.208793}, "historical_source_observation_times_verified": false, "home_team": "Chiba Lotte Marines", "inference_inputs": {"away_id": "F", "base_tie_rate": 0.02380952, "book_state": {"_games_played": null, "_last_active": null, "decay_rate": 0.0, "home_advantage": 35.0, "k": 8.0, "margin_weight": 0.0, "ratings": {"F": 1548.430103, "M": 1479.208793}},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"2026-09-28T04:41:38.694278+00:00", "outcome_probabilities": {"away": 0.5360162122237957, "draw": 0.02380952, "home": 0.44017426777620433}, "replay_scope": "Exact Elo and tie model; logged value is expected contract settlement, not outright win probability.", "schema": "international-elo-replay-v1", "settlement_values": {"away": 0.547921, "home": 0.452079}, "snapshot_hash": "907c86f3ed17f84aa8f75599e017b4e370c13e4c05bd984887dc2e446f0fed48", "sport": "NPB"}</t>
        </is>
      </c>
    </row>
    <row r="191" ht="36" customHeight="1">
      <c r="A191" s="24" t="inlineStr">
        <is>
          <t>41f9be2e0f544d28</t>
        </is>
      </c>
      <c r="B191" s="24" t="inlineStr">
        <is>
          <t>2026-09-28T04:41:38.859798Z</t>
        </is>
      </c>
      <c r="C191" s="24" t="inlineStr">
        <is>
          <t>2026-09-28T09:00:00Z</t>
        </is>
      </c>
      <c r="D191" s="24" t="inlineStr">
        <is>
          <t>126205</t>
        </is>
      </c>
      <c r="E191" s="24" t="inlineStr">
        <is>
          <t>NPB</t>
        </is>
      </c>
      <c r="F191" s="24" t="inlineStr">
        <is>
          <t>Hiroshima Carp</t>
        </is>
      </c>
      <c r="G191" s="24" t="inlineStr">
        <is>
          <t>Yokohama BayStars</t>
        </is>
      </c>
      <c r="H191" s="24" t="inlineStr">
        <is>
          <t>moneyline</t>
        </is>
      </c>
      <c r="I191" s="24" t="inlineStr">
        <is>
          <t>home</t>
        </is>
      </c>
      <c r="J191" s="25" t="n"/>
      <c r="K191" s="24" t="inlineStr">
        <is>
          <t>polymarket_us</t>
        </is>
      </c>
      <c r="L191" s="26" t="n">
        <v>-270</v>
      </c>
      <c r="M191" s="27" t="n">
        <v>1.37037</v>
      </c>
      <c r="N191" s="28" t="n">
        <v>0.72973</v>
      </c>
      <c r="O191" s="28" t="n">
        <v>0.631421</v>
      </c>
      <c r="P191" s="28" t="n"/>
      <c r="Q191" s="28" t="n">
        <v>-0.09830899999999999</v>
      </c>
      <c r="R191" s="26" t="n">
        <v>0</v>
      </c>
      <c r="S191" s="29" t="n">
        <v>1</v>
      </c>
      <c r="T191" s="24" t="inlineStr">
        <is>
          <t>npb-tie-aware-elo-v2</t>
        </is>
      </c>
      <c r="U191" s="24" t="inlineStr">
        <is>
          <t>settled</t>
        </is>
      </c>
      <c r="V191" s="24" t="inlineStr">
        <is>
          <t>loss</t>
        </is>
      </c>
      <c r="W191" s="26" t="n">
        <v>4</v>
      </c>
      <c r="X191" s="26" t="n">
        <v>3</v>
      </c>
      <c r="Y191" s="25" t="n"/>
      <c r="Z191" s="26" t="n">
        <v>-270</v>
      </c>
      <c r="AA191" s="28" t="n">
        <v>0.73</v>
      </c>
      <c r="AB191" s="28" t="n">
        <v>0.00027</v>
      </c>
      <c r="AC191" s="30" t="n">
        <v>-1</v>
      </c>
      <c r="AD191" s="24" t="inlineStr">
        <is>
          <t>2026-09-28T22:01:54.577437Z</t>
        </is>
      </c>
      <c r="AE191" s="31" t="inlineStr">
        <is>
          <t>Tie-aware Elo baseline; executable ask 0.7300 (market_slug=aec-npb-ybo-hci-2026-09-28). Tie probability=0.0238.</t>
        </is>
      </c>
      <c r="AF191" s="31" t="inlineStr">
        <is>
          <t>Config-promoted international baseball baseline; gates enforced at log time.</t>
        </is>
      </c>
      <c r="AG191" s="24" t="inlineStr">
        <is>
          <t>review_required</t>
        </is>
      </c>
      <c r="AH191" s="24" t="n"/>
      <c r="AI191" s="31" t="n"/>
      <c r="AJ191" s="31" t="n"/>
      <c r="AK191" s="24" t="inlineStr">
        <is>
          <t>paper_call</t>
        </is>
      </c>
      <c r="AL191" s="26" t="n">
        <v>4</v>
      </c>
      <c r="AM191" s="24" t="inlineStr">
        <is>
          <t>RESEARCH_OBSERVATION</t>
        </is>
      </c>
      <c r="AN191" s="24" t="inlineStr">
        <is>
          <t>CALL</t>
        </is>
      </c>
      <c r="AO191" s="24" t="inlineStr">
        <is>
          <t>PAPER_CALL_LOW_EDGE</t>
        </is>
      </c>
      <c r="AP191" s="24" t="inlineStr">
        <is>
          <t>Hiroshima Carp</t>
        </is>
      </c>
      <c r="AQ191" s="24" t="inlineStr">
        <is>
          <t>Hiroshima Carp</t>
        </is>
      </c>
      <c r="AR191" s="24" t="inlineStr">
        <is>
          <t>Hiroshima Carp</t>
        </is>
      </c>
      <c r="AS191" s="24" t="inlineStr">
        <is>
          <t>Yokohama BayStars</t>
        </is>
      </c>
      <c r="AT191" s="24" t="inlineStr">
        <is>
          <t>Yokohama BayStars</t>
        </is>
      </c>
      <c r="AU191" s="24" t="inlineStr">
        <is>
          <t>Yokohama BayStars</t>
        </is>
      </c>
      <c r="AV191" s="24" t="n"/>
      <c r="AW191" s="24" t="n"/>
      <c r="AX191" s="24" t="inlineStr">
        <is>
          <t>statistical_model</t>
        </is>
      </c>
      <c r="AY191" s="24" t="n"/>
      <c r="AZ191" s="24" t="inlineStr">
        <is>
          <t>shadow_qualified</t>
        </is>
      </c>
      <c r="BA191" s="24" t="inlineStr">
        <is>
          <t>21d304bb8847d50b1b6a83ebe104a284c94c507e6bc905b72bb173ec40f17c2d</t>
        </is>
      </c>
      <c r="BB191" s="24" t="inlineStr">
        <is>
          <t>tie_aware_elo</t>
        </is>
      </c>
      <c r="BC191" s="24" t="inlineStr">
        <is>
          <t>npb-tie-aware-elo-v2</t>
        </is>
      </c>
      <c r="BD191" s="24" t="inlineStr">
        <is>
          <t>21d304bb8847d50b1b6a83ebe104a284c94c507e6bc905b72bb173ec40f17c2d</t>
        </is>
      </c>
      <c r="BE191" s="24" t="inlineStr">
        <is>
          <t>1</t>
        </is>
      </c>
      <c r="BF191" s="24" t="inlineStr">
        <is>
          <t>1</t>
        </is>
      </c>
      <c r="BG191" s="24" t="inlineStr">
        <is>
          <t>npb-tie-aware-elo-v2</t>
        </is>
      </c>
      <c r="BH191" s="24" t="inlineStr">
        <is>
          <t>2026-09-28T04:41:38.859750Z</t>
        </is>
      </c>
      <c r="BI191" s="24" t="inlineStr">
        <is>
          <t>["same_event","same_team_same_day","same_league_same_day"]</t>
        </is>
      </c>
      <c r="BJ191" s="25" t="n"/>
      <c r="BK191" s="26" t="n">
        <v>-270</v>
      </c>
      <c r="BL191" s="27" t="n">
        <v>1.37037</v>
      </c>
      <c r="BM191" s="28" t="n">
        <v>0.72973</v>
      </c>
      <c r="BN191" s="28" t="n"/>
      <c r="BO191" s="28" t="n"/>
      <c r="BP191" s="25" t="n"/>
      <c r="BQ191" s="27" t="n">
        <v>1.37037</v>
      </c>
      <c r="BR191" s="28" t="n">
        <v>0.73</v>
      </c>
      <c r="BS191" s="28" t="n"/>
      <c r="BT191" s="28" t="n"/>
      <c r="BU191" s="25" t="n"/>
      <c r="BV191" s="29" t="n"/>
      <c r="BW191" s="24" t="n"/>
      <c r="BX191" s="30" t="n"/>
      <c r="BY191" s="27" t="n"/>
      <c r="BZ191" s="24" t="n"/>
      <c r="CA191" s="31" t="n"/>
      <c r="CB191" s="24" t="n"/>
      <c r="CC191" s="24" t="n"/>
      <c r="CD191" s="24" t="n"/>
      <c r="CE191" s="24" t="n"/>
      <c r="CF191" s="24" t="n"/>
      <c r="CG191" s="24" t="n"/>
      <c r="CH191" s="24" t="n"/>
      <c r="CI191" s="24" t="n"/>
      <c r="CJ191" s="24" t="n"/>
      <c r="CK191" s="24" t="n"/>
      <c r="CL191" s="24" t="n"/>
      <c r="CM191" s="24" t="n"/>
      <c r="CN191" s="24" t="n"/>
      <c r="CO191" s="24" t="n"/>
      <c r="CP191" s="24" t="n"/>
      <c r="CQ191" s="24" t="n"/>
      <c r="CR191" s="24" t="n"/>
      <c r="CS191" s="24" t="inlineStr">
        <is>
          <t>False</t>
        </is>
      </c>
      <c r="CT191" s="24" t="n"/>
      <c r="CU191" s="24" t="n"/>
      <c r="CV191" s="24" t="n"/>
      <c r="CW191" s="24" t="n"/>
      <c r="CX191" s="24" t="n"/>
      <c r="CY191" s="24" t="n"/>
      <c r="CZ191" s="24" t="n"/>
      <c r="DA191" s="24" t="n"/>
      <c r="DB191" s="24" t="n"/>
      <c r="DC191" s="24" t="n"/>
      <c r="DD191" s="24" t="n"/>
      <c r="DE191" s="24" t="n"/>
      <c r="DF191" s="24" t="n"/>
      <c r="DG191" s="24" t="n"/>
      <c r="DH191" s="24" t="n"/>
      <c r="DI191" s="24" t="n"/>
      <c r="DJ191" s="24" t="inlineStr">
        <is>
          <t>0.72973</t>
        </is>
      </c>
      <c r="DK191" s="24" t="n"/>
      <c r="DL191" s="24" t="n"/>
      <c r="DM191" s="24" t="n"/>
      <c r="DN191" s="24" t="n"/>
      <c r="DO191" s="24" t="n"/>
      <c r="DP191" s="24" t="n"/>
      <c r="DQ191" s="24" t="inlineStr">
        <is>
          <t>{"artifact_hash": "21d304bb8847d50b1b6a83ebe104a284c94c507e6bc905b72bb173ec40f17c2d", "away_team": "Hiroshima Carp", "draw_settlement_value": 0.5, "event_id": "126205", "event_start_utc": "2026-09-28T09:00:00Z", "features": {"away_elo": 1448.499596, "base_tie_rate": 0.02380952, "home_advantage": 35.0, "home_elo": 1509.411874}, "historical_source_observation_times_verified": false, "home_team": "Yokohama BayStars", "inference_inputs": {"away_id": "C", "base_tie_rate": 0.02380952, "book_state": {"_games_played": null, "_last_active": null, "decay_rate": 0.0, "home_advantage": 35.0, "k": 8.0, "margin_weight": 0.0, "ratings": {"C": 1448.499596, "DB": 1509.411874}}, "code_sha256": {"features/elo_ratings.py": "8525faf022a6343c452286dbfeb17dbb043744c6bdabbe448b6b371216da439b", "international_baseball.py": "f345eb917316d2e897f62c1cdd0f73153115c65da54c30c6137ad76bb7b27869"}, "home_id": "DB", "tie_method": "flat"}, "market_type": "moneyline", "model_version": "npb-tie-aware-elo-v2", "observed_at_utc": "2026-09-28T04:41:38.694278+00:00", "outcome_probabilities": {"away": 0.35667437339385116, "draw": 0.02380952, "home": 0.6195161066061488}, "replay_scope": "Exact Elo and tie model; logged value is expected contract settlement, not outright win probability.", "schema": "international-elo-replay-v1", "settlement_values": {"away": 0.368579, "home": 0.631421}, "snapshot_hash": "ed87a57d074b4ca08139262c3837975512cdd04e3655050386aac249743e23d2", "sport": "NPB"}</t>
        </is>
      </c>
    </row>
    <row r="192" ht="36" customHeight="1">
      <c r="A192" s="24" t="inlineStr">
        <is>
          <t>c9ef456dfaaa4e11</t>
        </is>
      </c>
      <c r="B192" s="24" t="inlineStr">
        <is>
          <t>2026-09-29T04:39:50.380871Z</t>
        </is>
      </c>
      <c r="C192" s="24" t="inlineStr">
        <is>
          <t>2026-09-29T09:00:00Z</t>
        </is>
      </c>
      <c r="D192" s="24" t="inlineStr">
        <is>
          <t>127966</t>
        </is>
      </c>
      <c r="E192" s="24" t="inlineStr">
        <is>
          <t>NPB</t>
        </is>
      </c>
      <c r="F192" s="24" t="inlineStr">
        <is>
          <t>Chiba Lotte Marines</t>
        </is>
      </c>
      <c r="G192" s="24" t="inlineStr">
        <is>
          <t>Tohoku Rakuten Golden Eagles</t>
        </is>
      </c>
      <c r="H192" s="24" t="inlineStr">
        <is>
          <t>moneyline</t>
        </is>
      </c>
      <c r="I192" s="24" t="inlineStr">
        <is>
          <t>home</t>
        </is>
      </c>
      <c r="J192" s="25" t="n"/>
      <c r="K192" s="24" t="inlineStr">
        <is>
          <t>polymarket_us</t>
        </is>
      </c>
      <c r="L192" s="26" t="n">
        <v>-138</v>
      </c>
      <c r="M192" s="27" t="n">
        <v>1.724638</v>
      </c>
      <c r="N192" s="28" t="n">
        <v>0.579832</v>
      </c>
      <c r="O192" s="28" t="n">
        <v>0.5432940000000001</v>
      </c>
      <c r="P192" s="28" t="n"/>
      <c r="Q192" s="28" t="n">
        <v>-0.036538</v>
      </c>
      <c r="R192" s="26" t="n">
        <v>2</v>
      </c>
      <c r="S192" s="29" t="n">
        <v>1</v>
      </c>
      <c r="T192" s="24" t="inlineStr">
        <is>
          <t>npb-tie-aware-elo-v2</t>
        </is>
      </c>
      <c r="U192" s="24" t="inlineStr">
        <is>
          <t>settled</t>
        </is>
      </c>
      <c r="V192" s="24" t="inlineStr">
        <is>
          <t>loss</t>
        </is>
      </c>
      <c r="W192" s="26" t="n">
        <v>6</v>
      </c>
      <c r="X192" s="26" t="n">
        <v>3</v>
      </c>
      <c r="Y192" s="25" t="n"/>
      <c r="Z192" s="26" t="n"/>
      <c r="AA192" s="28" t="n"/>
      <c r="AB192" s="28" t="n"/>
      <c r="AC192" s="30" t="n">
        <v>-1</v>
      </c>
      <c r="AD192" s="24" t="inlineStr">
        <is>
          <t>2026-09-29T22:02:17.424663Z</t>
        </is>
      </c>
      <c r="AE192" s="31" t="inlineStr">
        <is>
          <t>Tie-aware Elo baseline; executable ask 0.5800 (market_slug=aec-npb-trge-clm-2026-09-29). Tie probability=0.0238.</t>
        </is>
      </c>
      <c r="AF192" s="31" t="inlineStr">
        <is>
          <t>Config-promoted international baseball baseline; gates enforced at log time.</t>
        </is>
      </c>
      <c r="AG192" s="24" t="inlineStr">
        <is>
          <t>review_required</t>
        </is>
      </c>
      <c r="AH192" s="24" t="n"/>
      <c r="AI192" s="31" t="n"/>
      <c r="AJ192" s="31" t="n"/>
      <c r="AK192" s="24" t="inlineStr">
        <is>
          <t>paper_call</t>
        </is>
      </c>
      <c r="AL192" s="26" t="n">
        <v>4</v>
      </c>
      <c r="AM192" s="24" t="inlineStr">
        <is>
          <t>RESEARCH_OBSERVATION</t>
        </is>
      </c>
      <c r="AN192" s="24" t="inlineStr">
        <is>
          <t>CALL</t>
        </is>
      </c>
      <c r="AO192" s="24" t="inlineStr">
        <is>
          <t>PAPER_CALL_LOW_EDGE</t>
        </is>
      </c>
      <c r="AP192" s="24" t="inlineStr">
        <is>
          <t>Chiba Lotte Marines</t>
        </is>
      </c>
      <c r="AQ192" s="24" t="inlineStr">
        <is>
          <t>Chiba Lotte Marines</t>
        </is>
      </c>
      <c r="AR192" s="24" t="inlineStr">
        <is>
          <t>Chiba Lotte Marines</t>
        </is>
      </c>
      <c r="AS192" s="24" t="inlineStr">
        <is>
          <t>Tohoku Rakuten Golden Eagles</t>
        </is>
      </c>
      <c r="AT192" s="24" t="inlineStr">
        <is>
          <t>Tohoku Rakuten Golden Eagles</t>
        </is>
      </c>
      <c r="AU192" s="24" t="inlineStr">
        <is>
          <t>Tohoku Rakuten Golden Eagles</t>
        </is>
      </c>
      <c r="AV192" s="24" t="n"/>
      <c r="AW192" s="24" t="n"/>
      <c r="AX192" s="24" t="inlineStr">
        <is>
          <t>statistical_model</t>
        </is>
      </c>
      <c r="AY192" s="24" t="n"/>
      <c r="AZ192" s="24" t="inlineStr">
        <is>
          <t>shadow_qualified</t>
        </is>
      </c>
      <c r="BA192" s="24" t="inlineStr">
        <is>
          <t>67ad234bfc20770752e03667fad31059df7bfc020453b66cd8378fad4258ad29</t>
        </is>
      </c>
      <c r="BB192" s="24" t="inlineStr">
        <is>
          <t>tie_aware_elo</t>
        </is>
      </c>
      <c r="BC192" s="24" t="inlineStr">
        <is>
          <t>npb-tie-aware-elo-v2</t>
        </is>
      </c>
      <c r="BD192" s="24" t="inlineStr">
        <is>
          <t>67ad234bfc20770752e03667fad31059df7bfc020453b66cd8378fad4258ad29</t>
        </is>
      </c>
      <c r="BE192" s="24" t="inlineStr">
        <is>
          <t>1</t>
        </is>
      </c>
      <c r="BF192" s="24" t="inlineStr">
        <is>
          <t>1</t>
        </is>
      </c>
      <c r="BG192" s="24" t="inlineStr">
        <is>
          <t>npb-tie-aware-elo-v2</t>
        </is>
      </c>
      <c r="BH192" s="24" t="inlineStr">
        <is>
          <t>2026-09-29T04:39:50.182594Z</t>
        </is>
      </c>
      <c r="BI192" s="24" t="inlineStr">
        <is>
          <t>["same_event","same_team_same_day","same_league_same_day"]</t>
        </is>
      </c>
      <c r="BJ192" s="25" t="n"/>
      <c r="BK192" s="26" t="n">
        <v>-138</v>
      </c>
      <c r="BL192" s="27" t="n">
        <v>1.724638</v>
      </c>
      <c r="BM192" s="28" t="n">
        <v>0.579832</v>
      </c>
      <c r="BN192" s="28" t="n"/>
      <c r="BO192" s="28" t="n"/>
      <c r="BP192" s="25" t="n"/>
      <c r="BQ192" s="27" t="n"/>
      <c r="BR192" s="28" t="n"/>
      <c r="BS192" s="28" t="n"/>
      <c r="BT192" s="28" t="n"/>
      <c r="BU192" s="25" t="n"/>
      <c r="BV192" s="29" t="n"/>
      <c r="BW192" s="24" t="n"/>
      <c r="BX192" s="30" t="n"/>
      <c r="BY192" s="27" t="n"/>
      <c r="BZ192" s="24" t="n"/>
      <c r="CA192" s="31" t="n"/>
      <c r="CB192" s="24" t="n"/>
      <c r="CC192" s="24" t="n"/>
      <c r="CD192" s="24" t="n"/>
      <c r="CE192" s="24" t="n"/>
      <c r="CF192" s="24" t="n"/>
      <c r="CG192" s="24" t="n"/>
      <c r="CH192" s="24" t="n"/>
      <c r="CI192" s="24" t="n"/>
      <c r="CJ192" s="24" t="n"/>
      <c r="CK192" s="24" t="n"/>
      <c r="CL192" s="24" t="n"/>
      <c r="CM192" s="24" t="n"/>
      <c r="CN192" s="24" t="n"/>
      <c r="CO192" s="24" t="n"/>
      <c r="CP192" s="24" t="n"/>
      <c r="CQ192" s="24" t="n"/>
      <c r="CR192" s="24" t="n"/>
      <c r="CS192" s="24" t="inlineStr">
        <is>
          <t>False</t>
        </is>
      </c>
      <c r="CT192" s="24" t="n"/>
      <c r="CU192" s="24" t="n"/>
      <c r="CV192" s="24" t="n"/>
      <c r="CW192" s="24" t="n"/>
      <c r="CX192" s="24" t="n"/>
      <c r="CY192" s="24" t="n"/>
      <c r="CZ192" s="24" t="n"/>
      <c r="DA192" s="24" t="n"/>
      <c r="DB192" s="24" t="n"/>
      <c r="DC192" s="24" t="n"/>
      <c r="DD192" s="24" t="n"/>
      <c r="DE192" s="24" t="n"/>
      <c r="DF192" s="24" t="n"/>
      <c r="DG192" s="24" t="n"/>
      <c r="DH192" s="24" t="n"/>
      <c r="DI192" s="24" t="n"/>
      <c r="DJ192" s="24" t="inlineStr">
        <is>
          <t>0.579832</t>
        </is>
      </c>
      <c r="DK192" s="24" t="n"/>
      <c r="DL192" s="24" t="n"/>
      <c r="DM192" s="24" t="n"/>
      <c r="DN192" s="24" t="n"/>
      <c r="DO192" s="24" t="n"/>
      <c r="DP192" s="24" t="n"/>
      <c r="DQ192" s="24" t="inlineStr">
        <is>
          <t>{"artifact_hash": "67ad234bfc20770752e03667fad31059df7bfc020453b66cd8378fad4258ad29", "away_team": "Chiba Lotte Marines", "draw_settlement_value": 0.5, "event_id": "127966", "event_start_utc": "2026-09-29T09:00:00Z", "features": {"away_elo": 1475.601511, "base_tie_rate": 0.02379253, "home_advantage": 35.0, "home_elo": 1471.499947}, "historical_source_observation_times_verified": false, "home_team": "Tohoku Rakuten Golden Eagles", "inference_inputs": {"away_id": "M", "base_tie_rate": 0.02379253, "book_state": {"_games_played": null, "_last_active": null, "decay_rate": 0.0, "home_advantage": 35.0, "k": 8.0, "margin_weight": 0.0, "ratings": {"E": 1471.499947, "M": 1475.601511}}, "code_sha256": {"features/elo_ratings.py": "8525faf022a6343c452286dbfeb17dbb043744c6bdabbe448b6b371216da439b", "international_baseball.py": "f345eb917316d2e897f62c1cdd0f73153115c65da54c30c6137ad76bb7b27869"}, "home_id": "E", "tie_method": "flat"}, "market_type": "moneyline", "model_version": "npb-tie-aware-elo-v2", "observed_at_utc": "2026-09-29T04:39:41.557980+00:00", "outcome_probabilities": {"away": 0.4448093589031541, "draw": 0.02379253, "home": 0.5313981110968459}, "replay_scope": "Exact Elo and tie model; logged value is expected contract settlement, not outright win probability.", "schema": "international-elo-replay-v1", "settlement_values": {"away": 0.456706, "home": 0.543294}, "snapshot_hash": "b719af41120f344934b28b9a8ab1f725e6efb32de471bb55b407e62bdaaefd1b", "sport": "NPB"}</t>
        </is>
      </c>
    </row>
    <row r="193" ht="36" customHeight="1">
      <c r="A193" s="24" t="inlineStr">
        <is>
          <t>24463baba0cd4a52</t>
        </is>
      </c>
      <c r="B193" s="24" t="inlineStr">
        <is>
          <t>2026-09-29T04:39:50.380871Z</t>
        </is>
      </c>
      <c r="C193" s="24" t="inlineStr">
        <is>
          <t>2026-09-29T09:00:00Z</t>
        </is>
      </c>
      <c r="D193" s="24" t="inlineStr">
        <is>
          <t>127967</t>
        </is>
      </c>
      <c r="E193" s="24" t="inlineStr">
        <is>
          <t>NPB</t>
        </is>
      </c>
      <c r="F193" s="24" t="inlineStr">
        <is>
          <t>Orix Buffaloes</t>
        </is>
      </c>
      <c r="G193" s="24" t="inlineStr">
        <is>
          <t>Saitama Seibu Lions</t>
        </is>
      </c>
      <c r="H193" s="24" t="inlineStr">
        <is>
          <t>moneyline</t>
        </is>
      </c>
      <c r="I193" s="24" t="inlineStr">
        <is>
          <t>home</t>
        </is>
      </c>
      <c r="J193" s="25" t="n"/>
      <c r="K193" s="24" t="inlineStr">
        <is>
          <t>polymarket_us</t>
        </is>
      </c>
      <c r="L193" s="26" t="n">
        <v>-186</v>
      </c>
      <c r="M193" s="27" t="n">
        <v>1.537634</v>
      </c>
      <c r="N193" s="28" t="n">
        <v>0.65035</v>
      </c>
      <c r="O193" s="28" t="n">
        <v>0.6120139999999999</v>
      </c>
      <c r="P193" s="28" t="n"/>
      <c r="Q193" s="28" t="n">
        <v>-0.038336</v>
      </c>
      <c r="R193" s="26" t="n">
        <v>1</v>
      </c>
      <c r="S193" s="29" t="n">
        <v>1</v>
      </c>
      <c r="T193" s="24" t="inlineStr">
        <is>
          <t>npb-tie-aware-elo-v2</t>
        </is>
      </c>
      <c r="U193" s="24" t="inlineStr">
        <is>
          <t>settled</t>
        </is>
      </c>
      <c r="V193" s="24" t="inlineStr">
        <is>
          <t>win</t>
        </is>
      </c>
      <c r="W193" s="26" t="n">
        <v>1</v>
      </c>
      <c r="X193" s="26" t="n">
        <v>2</v>
      </c>
      <c r="Y193" s="25" t="n"/>
      <c r="Z193" s="26" t="n"/>
      <c r="AA193" s="28" t="n"/>
      <c r="AB193" s="28" t="n"/>
      <c r="AC193" s="30" t="n">
        <v>0.5376</v>
      </c>
      <c r="AD193" s="24" t="inlineStr">
        <is>
          <t>2026-09-29T22:02:17.691649Z</t>
        </is>
      </c>
      <c r="AE193" s="31" t="inlineStr">
        <is>
          <t>Tie-aware Elo baseline; executable ask 0.6500 (market_slug=aec-npb-ssl-obr-2026-09-29). Tie probability=0.0238.</t>
        </is>
      </c>
      <c r="AF193" s="31" t="inlineStr">
        <is>
          <t>Config-promoted international baseball baseline; gates enforced at log time.</t>
        </is>
      </c>
      <c r="AG193" s="24" t="inlineStr">
        <is>
          <t>not_applicable</t>
        </is>
      </c>
      <c r="AH193" s="24" t="n"/>
      <c r="AI193" s="31" t="n"/>
      <c r="AJ193" s="31" t="n"/>
      <c r="AK193" s="24" t="inlineStr">
        <is>
          <t>paper_call</t>
        </is>
      </c>
      <c r="AL193" s="26" t="n">
        <v>4</v>
      </c>
      <c r="AM193" s="24" t="inlineStr">
        <is>
          <t>RESEARCH_OBSERVATION</t>
        </is>
      </c>
      <c r="AN193" s="24" t="inlineStr">
        <is>
          <t>CALL</t>
        </is>
      </c>
      <c r="AO193" s="24" t="inlineStr">
        <is>
          <t>PAPER_CALL_LOW_EDGE</t>
        </is>
      </c>
      <c r="AP193" s="24" t="inlineStr">
        <is>
          <t>Orix Buffaloes</t>
        </is>
      </c>
      <c r="AQ193" s="24" t="inlineStr">
        <is>
          <t>Orix Buffaloes</t>
        </is>
      </c>
      <c r="AR193" s="24" t="inlineStr">
        <is>
          <t>Orix Buffaloes</t>
        </is>
      </c>
      <c r="AS193" s="24" t="inlineStr">
        <is>
          <t>Saitama Seibu Lions</t>
        </is>
      </c>
      <c r="AT193" s="24" t="inlineStr">
        <is>
          <t>Saitama Seibu Lions</t>
        </is>
      </c>
      <c r="AU193" s="24" t="inlineStr">
        <is>
          <t>Saitama Seibu Lions</t>
        </is>
      </c>
      <c r="AV193" s="24" t="n"/>
      <c r="AW193" s="24" t="n"/>
      <c r="AX193" s="24" t="inlineStr">
        <is>
          <t>statistical_model</t>
        </is>
      </c>
      <c r="AY193" s="24" t="n"/>
      <c r="AZ193" s="24" t="inlineStr">
        <is>
          <t>shadow_qualified</t>
        </is>
      </c>
      <c r="BA193" s="24" t="inlineStr">
        <is>
          <t>67ad234bfc20770752e03667fad31059df7bfc020453b66cd8378fad4258ad29</t>
        </is>
      </c>
      <c r="BB193" s="24" t="inlineStr">
        <is>
          <t>tie_aware_elo</t>
        </is>
      </c>
      <c r="BC193" s="24" t="inlineStr">
        <is>
          <t>npb-tie-aware-elo-v2</t>
        </is>
      </c>
      <c r="BD193" s="24" t="inlineStr">
        <is>
          <t>67ad234bfc20770752e03667fad31059df7bfc020453b66cd8378fad4258ad29</t>
        </is>
      </c>
      <c r="BE193" s="24" t="inlineStr">
        <is>
          <t>1</t>
        </is>
      </c>
      <c r="BF193" s="24" t="inlineStr">
        <is>
          <t>1</t>
        </is>
      </c>
      <c r="BG193" s="24" t="inlineStr">
        <is>
          <t>npb-tie-aware-elo-v2</t>
        </is>
      </c>
      <c r="BH193" s="24" t="inlineStr">
        <is>
          <t>2026-09-29T04:39:50.287903Z</t>
        </is>
      </c>
      <c r="BI193" s="24" t="inlineStr">
        <is>
          <t>["same_event","same_team_same_day","same_league_same_day"]</t>
        </is>
      </c>
      <c r="BJ193" s="25" t="n"/>
      <c r="BK193" s="26" t="n">
        <v>-186</v>
      </c>
      <c r="BL193" s="27" t="n">
        <v>1.537634</v>
      </c>
      <c r="BM193" s="28" t="n">
        <v>0.65035</v>
      </c>
      <c r="BN193" s="28" t="n"/>
      <c r="BO193" s="28" t="n"/>
      <c r="BP193" s="25" t="n"/>
      <c r="BQ193" s="27" t="n"/>
      <c r="BR193" s="28" t="n"/>
      <c r="BS193" s="28" t="n"/>
      <c r="BT193" s="28" t="n"/>
      <c r="BU193" s="25" t="n"/>
      <c r="BV193" s="29" t="n"/>
      <c r="BW193" s="24" t="n"/>
      <c r="BX193" s="30" t="n"/>
      <c r="BY193" s="27" t="n"/>
      <c r="BZ193" s="24" t="n"/>
      <c r="CA193" s="31" t="n"/>
      <c r="CB193" s="24" t="n"/>
      <c r="CC193" s="24" t="n"/>
      <c r="CD193" s="24" t="n"/>
      <c r="CE193" s="24" t="n"/>
      <c r="CF193" s="24" t="n"/>
      <c r="CG193" s="24" t="n"/>
      <c r="CH193" s="24" t="n"/>
      <c r="CI193" s="24" t="n"/>
      <c r="CJ193" s="24" t="n"/>
      <c r="CK193" s="24" t="n"/>
      <c r="CL193" s="24" t="n"/>
      <c r="CM193" s="24" t="n"/>
      <c r="CN193" s="24" t="n"/>
      <c r="CO193" s="24" t="n"/>
      <c r="CP193" s="24" t="n"/>
      <c r="CQ193" s="24" t="n"/>
      <c r="CR193" s="24" t="n"/>
      <c r="CS193" s="24" t="inlineStr">
        <is>
          <t>False</t>
        </is>
      </c>
      <c r="CT193" s="24" t="n"/>
      <c r="CU193" s="24" t="n"/>
      <c r="CV193" s="24" t="n"/>
      <c r="CW193" s="24" t="n"/>
      <c r="CX193" s="24" t="n"/>
      <c r="CY193" s="24" t="n"/>
      <c r="CZ193" s="24" t="n"/>
      <c r="DA193" s="24" t="n"/>
      <c r="DB193" s="24" t="n"/>
      <c r="DC193" s="24" t="n"/>
      <c r="DD193" s="24" t="n"/>
      <c r="DE193" s="24" t="n"/>
      <c r="DF193" s="24" t="n"/>
      <c r="DG193" s="24" t="n"/>
      <c r="DH193" s="24" t="n"/>
      <c r="DI193" s="24" t="n"/>
      <c r="DJ193" s="24" t="inlineStr">
        <is>
          <t>0.65035</t>
        </is>
      </c>
      <c r="DK193" s="24" t="n"/>
      <c r="DL193" s="24" t="n"/>
      <c r="DM193" s="24" t="n"/>
      <c r="DN193" s="24" t="n"/>
      <c r="DO193" s="24" t="n"/>
      <c r="DP193" s="24" t="n"/>
      <c r="DQ193" s="24" t="inlineStr">
        <is>
          <t>{"artifact_hash": "67ad234bfc20770752e03667fad31059df7bfc020453b66cd8378fad4258ad29", "away_team": "Orix Buffaloes", "draw_settlement_value": 0.5, "event_id": "127967", "event_start_utc": "2026-09-29T09:00:00Z", "features": {"away_elo": 1482.765323, "base_tie_rate": 0.02379253, "home_advantage": 35.0, "home_elo": 1528.943489}, "historical_source_observation_times_verified": false, "home_team": "Saitama Seibu Lions", "inference_inputs": {"away_id": "B", "base_tie_rate": 0.02379253, "book_state": {"_games_played": null, "_last_active": null, "decay_rate": 0.0, "home_advantage": 35.0, "k": 8.0, "margin_weight": 0.0, "ratings": {"B": 1482.765323, "L": 1528.943489}}, "code_sha256": {"features/elo_ratings.py": "8525faf022a6343c452286dbfeb17dbb043744c6bdabbe448b6b371216da439b", "international_baseball.py": "f345eb917316d2e897f62c1cdd0f73153115c65da54c30c6137ad76bb7b27869"}, "home_id": "L", "tie_method": "flat"}, "market_type": "moneyline", "model_version": "npb-tie-aware-elo-v2", "observed_at_utc": "2026-09-29T04:39:41.557980+00:00", "outcome_probabilities": {"away": 0.3760895042323527, "draw": 0.02379253, "home": 0.6001179657676473}, "replay_scope": "Exact Elo and tie model; logged value is expected contract settlement, not outright win probability.", "schema": "international-elo-replay-v1", "settlement_values": {"away": 0.387986, "home": 0.612014}, "snapshot_hash": "027f85af97e9afbf6cda4ef9b36bfdecf41fe96d3a0d913d8df9d9addfca4f41", "sport": "NPB"}</t>
        </is>
      </c>
    </row>
    <row r="194" ht="36" customHeight="1">
      <c r="A194" s="24" t="inlineStr">
        <is>
          <t>385c0d98e3864e1c</t>
        </is>
      </c>
      <c r="B194" s="24" t="inlineStr">
        <is>
          <t>2026-09-29T04:39:50.380871Z</t>
        </is>
      </c>
      <c r="C194" s="24" t="inlineStr">
        <is>
          <t>2026-09-29T09:00:00Z</t>
        </is>
      </c>
      <c r="D194" s="24" t="inlineStr">
        <is>
          <t>127968</t>
        </is>
      </c>
      <c r="E194" s="24" t="inlineStr">
        <is>
          <t>NPB</t>
        </is>
      </c>
      <c r="F194" s="24" t="inlineStr">
        <is>
          <t>Hiroshima Carp</t>
        </is>
      </c>
      <c r="G194" s="24" t="inlineStr">
        <is>
          <t>Yomiuri Giants</t>
        </is>
      </c>
      <c r="H194" s="24" t="inlineStr">
        <is>
          <t>moneyline</t>
        </is>
      </c>
      <c r="I194" s="24" t="inlineStr">
        <is>
          <t>home</t>
        </is>
      </c>
      <c r="J194" s="25" t="n"/>
      <c r="K194" s="24" t="inlineStr">
        <is>
          <t>polymarket_us</t>
        </is>
      </c>
      <c r="L194" s="26" t="n">
        <v>-127</v>
      </c>
      <c r="M194" s="27" t="n">
        <v>1.787402</v>
      </c>
      <c r="N194" s="28" t="n">
        <v>0.5594710000000001</v>
      </c>
      <c r="O194" s="28" t="n">
        <v>0.6251910000000001</v>
      </c>
      <c r="P194" s="28" t="n"/>
      <c r="Q194" s="28" t="n">
        <v>0.06572</v>
      </c>
      <c r="R194" s="26" t="n">
        <v>53</v>
      </c>
      <c r="S194" s="29" t="n">
        <v>1</v>
      </c>
      <c r="T194" s="24" t="inlineStr">
        <is>
          <t>npb-tie-aware-elo-v2</t>
        </is>
      </c>
      <c r="U194" s="24" t="inlineStr">
        <is>
          <t>settled</t>
        </is>
      </c>
      <c r="V194" s="24" t="inlineStr">
        <is>
          <t>win</t>
        </is>
      </c>
      <c r="W194" s="26" t="n">
        <v>1</v>
      </c>
      <c r="X194" s="26" t="n">
        <v>3</v>
      </c>
      <c r="Y194" s="25" t="n"/>
      <c r="Z194" s="26" t="n"/>
      <c r="AA194" s="28" t="n"/>
      <c r="AB194" s="28" t="n"/>
      <c r="AC194" s="30" t="n">
        <v>0.7874</v>
      </c>
      <c r="AD194" s="24" t="inlineStr">
        <is>
          <t>2026-09-29T22:02:17.967686Z</t>
        </is>
      </c>
      <c r="AE194" s="31" t="inlineStr">
        <is>
          <t>Tie-aware Elo baseline; executable ask 0.5600 (market_slug=aec-npb-ygo-hci-2026-09-29). Tie probability=0.0238.</t>
        </is>
      </c>
      <c r="AF194" s="31" t="inlineStr">
        <is>
          <t>Config-promoted international baseball baseline; gates enforced at log time.</t>
        </is>
      </c>
      <c r="AG194" s="24" t="inlineStr">
        <is>
          <t>not_applicable</t>
        </is>
      </c>
      <c r="AH194" s="24" t="n"/>
      <c r="AI194" s="31" t="n"/>
      <c r="AJ194" s="31" t="n"/>
      <c r="AK194" s="24" t="inlineStr">
        <is>
          <t>model_qualified</t>
        </is>
      </c>
      <c r="AL194" s="26" t="n">
        <v>4</v>
      </c>
      <c r="AM194" s="24" t="inlineStr">
        <is>
          <t>QUALIFIED_SHADOW_CALL</t>
        </is>
      </c>
      <c r="AN194" s="24" t="inlineStr">
        <is>
          <t>CALL</t>
        </is>
      </c>
      <c r="AO194" s="24" t="inlineStr">
        <is>
          <t>QUALIFIED</t>
        </is>
      </c>
      <c r="AP194" s="24" t="inlineStr">
        <is>
          <t>Hiroshima Carp</t>
        </is>
      </c>
      <c r="AQ194" s="24" t="inlineStr">
        <is>
          <t>Hiroshima Carp</t>
        </is>
      </c>
      <c r="AR194" s="24" t="inlineStr">
        <is>
          <t>Hiroshima Carp</t>
        </is>
      </c>
      <c r="AS194" s="24" t="inlineStr">
        <is>
          <t>Yomiuri Giants</t>
        </is>
      </c>
      <c r="AT194" s="24" t="inlineStr">
        <is>
          <t>Yomiuri Giants</t>
        </is>
      </c>
      <c r="AU194" s="24" t="inlineStr">
        <is>
          <t>Yomiuri Giants</t>
        </is>
      </c>
      <c r="AV194" s="24" t="n"/>
      <c r="AW194" s="24" t="n"/>
      <c r="AX194" s="24" t="inlineStr">
        <is>
          <t>statistical_model</t>
        </is>
      </c>
      <c r="AY194" s="24" t="n"/>
      <c r="AZ194" s="24" t="inlineStr">
        <is>
          <t>shadow_qualified</t>
        </is>
      </c>
      <c r="BA194" s="24" t="inlineStr">
        <is>
          <t>67ad234bfc20770752e03667fad31059df7bfc020453b66cd8378fad4258ad29</t>
        </is>
      </c>
      <c r="BB194" s="24" t="inlineStr">
        <is>
          <t>tie_aware_elo</t>
        </is>
      </c>
      <c r="BC194" s="24" t="inlineStr">
        <is>
          <t>npb-tie-aware-elo-v2</t>
        </is>
      </c>
      <c r="BD194" s="24" t="inlineStr">
        <is>
          <t>67ad234bfc20770752e03667fad31059df7bfc020453b66cd8378fad4258ad29</t>
        </is>
      </c>
      <c r="BE194" s="24" t="inlineStr">
        <is>
          <t>1</t>
        </is>
      </c>
      <c r="BF194" s="24" t="inlineStr">
        <is>
          <t>1</t>
        </is>
      </c>
      <c r="BG194" s="24" t="inlineStr">
        <is>
          <t>npb-tie-aware-elo-v2</t>
        </is>
      </c>
      <c r="BH194" s="24" t="inlineStr">
        <is>
          <t>2026-09-29T04:39:50.380829Z</t>
        </is>
      </c>
      <c r="BI194" s="24" t="inlineStr">
        <is>
          <t>["same_event","same_team_same_day","same_league_same_day"]</t>
        </is>
      </c>
      <c r="BJ194" s="25" t="n"/>
      <c r="BK194" s="26" t="n">
        <v>-127</v>
      </c>
      <c r="BL194" s="27" t="n">
        <v>1.787402</v>
      </c>
      <c r="BM194" s="28" t="n">
        <v>0.5594710000000001</v>
      </c>
      <c r="BN194" s="28" t="n"/>
      <c r="BO194" s="28" t="n"/>
      <c r="BP194" s="25" t="n"/>
      <c r="BQ194" s="27" t="n"/>
      <c r="BR194" s="28" t="n"/>
      <c r="BS194" s="28" t="n"/>
      <c r="BT194" s="28" t="n"/>
      <c r="BU194" s="25" t="n"/>
      <c r="BV194" s="29" t="n"/>
      <c r="BW194" s="24" t="n"/>
      <c r="BX194" s="30" t="n"/>
      <c r="BY194" s="27" t="n"/>
      <c r="BZ194" s="24" t="n"/>
      <c r="CA194" s="31" t="n"/>
      <c r="CB194" s="24" t="n"/>
      <c r="CC194" s="24" t="n"/>
      <c r="CD194" s="24" t="n"/>
      <c r="CE194" s="24" t="n"/>
      <c r="CF194" s="24" t="n"/>
      <c r="CG194" s="24" t="n"/>
      <c r="CH194" s="24" t="n"/>
      <c r="CI194" s="24" t="n"/>
      <c r="CJ194" s="24" t="n"/>
      <c r="CK194" s="24" t="n"/>
      <c r="CL194" s="24" t="n"/>
      <c r="CM194" s="24" t="n"/>
      <c r="CN194" s="24" t="n"/>
      <c r="CO194" s="24" t="n"/>
      <c r="CP194" s="24" t="n"/>
      <c r="CQ194" s="24" t="n"/>
      <c r="CR194" s="24" t="n"/>
      <c r="CS194" s="24" t="inlineStr">
        <is>
          <t>True</t>
        </is>
      </c>
      <c r="CT194" s="24" t="n"/>
      <c r="CU194" s="24" t="n"/>
      <c r="CV194" s="24" t="n"/>
      <c r="CW194" s="24" t="n"/>
      <c r="CX194" s="24" t="n"/>
      <c r="CY194" s="24" t="n"/>
      <c r="CZ194" s="24" t="n"/>
      <c r="DA194" s="24" t="n"/>
      <c r="DB194" s="24" t="n"/>
      <c r="DC194" s="24" t="n"/>
      <c r="DD194" s="24" t="n"/>
      <c r="DE194" s="24" t="n"/>
      <c r="DF194" s="24" t="n"/>
      <c r="DG194" s="24" t="n"/>
      <c r="DH194" s="24" t="n"/>
      <c r="DI194" s="24" t="n"/>
      <c r="DJ194" s="24" t="inlineStr">
        <is>
          <t>0.559471</t>
        </is>
      </c>
      <c r="DK194" s="24" t="n"/>
      <c r="DL194" s="24" t="n"/>
      <c r="DM194" s="24" t="n"/>
      <c r="DN194" s="24" t="n"/>
      <c r="DO194" s="24" t="n"/>
      <c r="DP194" s="24" t="n"/>
      <c r="DQ194" s="24" t="inlineStr">
        <is>
          <t>{"artifact_hash": "67ad234bfc20770752e03667fad31059df7bfc020453b66cd8378fad4258ad29", "away_team": "Hiroshima Carp", "draw_settlement_value": 0.5, "event_id": "127968", "event_start_utc": "2026-09-29T09:00:00Z", "features": {"away_elo": 1453.576606, "base_tie_rate": 0.02379253, "home_advantage": 35.0, "home_elo": 1509.723423}, "historical_source_observation_times_verified": false, "home_team": "Yomiuri Giants", "inference_inputs": {"away_id": "C", "base_tie_rate": 0.02379253, "book_state": {"_games_played": null, "_last_active": null, "decay_rate": 0.0, "home_advantage": 35.0, "k": 8.0, "margin_weight": 0.0, "ratings": {"C": 1453.576606, "G": 1509.723423}}, "code_sha256": {"features/elo_ratings.py": "8525faf022a6343c452286dbfeb17dbb043744c6bdabbe448b6b371216da439b", "international_baseball.py": "f345eb917316d2e897f62c1cdd0f73153115c65da54c30c6137ad76bb7b27869"}, "home_id": "G", "tie_method": "flat"}, "market_type": "moneyline", "model_version": "npb-tie-aware-elo-v2", "observed_at_utc": "2026-09-29T04:39:41.557980+00:00", "outcome_probabilities": {"away": 0.3629127274143139, "draw": 0.02379253, "home": 0.6132947425856861}, "replay_scope": "Exact Elo and tie model; logged value is expected contract settlement, not outright win probability.", "schema": "international-elo-replay-v1", "settlement_values": {"away": 0.374809, "home": 0.625191}, "snapshot_hash": "e06e9371898ce9e9fd1c8223089584135b2bce1a56bf2b7142e8c90b82c8641b", "sport": "NPB"}</t>
        </is>
      </c>
    </row>
    <row r="195" ht="36" customHeight="1">
      <c r="A195" s="24" t="inlineStr">
        <is>
          <t>bfc2e7623ce9451b</t>
        </is>
      </c>
      <c r="B195" s="24" t="inlineStr">
        <is>
          <t>2026-09-30T04:39:26.296497Z</t>
        </is>
      </c>
      <c r="C195" s="24" t="inlineStr">
        <is>
          <t>2026-09-30T09:00:00Z</t>
        </is>
      </c>
      <c r="D195" s="24" t="inlineStr">
        <is>
          <t>129754</t>
        </is>
      </c>
      <c r="E195" s="24" t="inlineStr">
        <is>
          <t>NPB</t>
        </is>
      </c>
      <c r="F195" s="24" t="inlineStr">
        <is>
          <t>Tokyo Yakult Swallows</t>
        </is>
      </c>
      <c r="G195" s="24" t="inlineStr">
        <is>
          <t>Hanshin Tigers</t>
        </is>
      </c>
      <c r="H195" s="24" t="inlineStr">
        <is>
          <t>moneyline</t>
        </is>
      </c>
      <c r="I195" s="24" t="inlineStr">
        <is>
          <t>home</t>
        </is>
      </c>
      <c r="J195" s="25" t="n"/>
      <c r="K195" s="24" t="inlineStr">
        <is>
          <t>polymarket_us</t>
        </is>
      </c>
      <c r="L195" s="26" t="n">
        <v>-285</v>
      </c>
      <c r="M195" s="27" t="n">
        <v>1.350877</v>
      </c>
      <c r="N195" s="28" t="n">
        <v>0.74026</v>
      </c>
      <c r="O195" s="28" t="n">
        <v>0.685082</v>
      </c>
      <c r="P195" s="28" t="n"/>
      <c r="Q195" s="28" t="n">
        <v>-0.055178</v>
      </c>
      <c r="R195" s="26" t="n">
        <v>0</v>
      </c>
      <c r="S195" s="29" t="n">
        <v>1</v>
      </c>
      <c r="T195" s="24" t="inlineStr">
        <is>
          <t>npb-tie-aware-elo-v2</t>
        </is>
      </c>
      <c r="U195" s="24" t="inlineStr">
        <is>
          <t>settled</t>
        </is>
      </c>
      <c r="V195" s="24" t="inlineStr">
        <is>
          <t>win</t>
        </is>
      </c>
      <c r="W195" s="26" t="n">
        <v>0</v>
      </c>
      <c r="X195" s="26" t="n">
        <v>5</v>
      </c>
      <c r="Y195" s="25" t="n"/>
      <c r="Z195" s="26" t="n"/>
      <c r="AA195" s="28" t="n"/>
      <c r="AB195" s="28" t="n"/>
      <c r="AC195" s="30" t="n">
        <v>0.3509</v>
      </c>
      <c r="AD195" s="24" t="inlineStr">
        <is>
          <t>2026-09-30T22:01:10.369833Z</t>
        </is>
      </c>
      <c r="AE195" s="31" t="inlineStr">
        <is>
          <t>Tie-aware Elo baseline; executable ask 0.7400 (market_slug=aec-npb-hta-tys-2026-09-30). Tie probability=0.0238.</t>
        </is>
      </c>
      <c r="AF195" s="31" t="inlineStr">
        <is>
          <t>Config-promoted international baseball baseline; gates enforced at log time.</t>
        </is>
      </c>
      <c r="AG195" s="24" t="inlineStr">
        <is>
          <t>not_applicable</t>
        </is>
      </c>
      <c r="AH195" s="24" t="n"/>
      <c r="AI195" s="31" t="n"/>
      <c r="AJ195" s="31" t="n"/>
      <c r="AK195" s="24" t="inlineStr">
        <is>
          <t>paper_call</t>
        </is>
      </c>
      <c r="AL195" s="26" t="n">
        <v>4</v>
      </c>
      <c r="AM195" s="24" t="inlineStr">
        <is>
          <t>RESEARCH_OBSERVATION</t>
        </is>
      </c>
      <c r="AN195" s="24" t="inlineStr">
        <is>
          <t>CALL</t>
        </is>
      </c>
      <c r="AO195" s="24" t="inlineStr">
        <is>
          <t>PAPER_CALL_LOW_EDGE</t>
        </is>
      </c>
      <c r="AP195" s="24" t="inlineStr">
        <is>
          <t>Tokyo Yakult Swallows</t>
        </is>
      </c>
      <c r="AQ195" s="24" t="inlineStr">
        <is>
          <t>Tokyo Yakult Swallows</t>
        </is>
      </c>
      <c r="AR195" s="24" t="inlineStr">
        <is>
          <t>Tokyo Yakult Swallows</t>
        </is>
      </c>
      <c r="AS195" s="24" t="inlineStr">
        <is>
          <t>Hanshin Tigers</t>
        </is>
      </c>
      <c r="AT195" s="24" t="inlineStr">
        <is>
          <t>Hanshin Tigers</t>
        </is>
      </c>
      <c r="AU195" s="24" t="inlineStr">
        <is>
          <t>Hanshin Tigers</t>
        </is>
      </c>
      <c r="AV195" s="24" t="n"/>
      <c r="AW195" s="24" t="n"/>
      <c r="AX195" s="24" t="inlineStr">
        <is>
          <t>statistical_model</t>
        </is>
      </c>
      <c r="AY195" s="24" t="n"/>
      <c r="AZ195" s="24" t="inlineStr">
        <is>
          <t>shadow_qualified</t>
        </is>
      </c>
      <c r="BA195" s="24" t="inlineStr">
        <is>
          <t>50b700ecdc749d3cb531e223e101c64c957f2e56eaf46652617e6fb12bfed3df</t>
        </is>
      </c>
      <c r="BB195" s="24" t="inlineStr">
        <is>
          <t>tie_aware_elo</t>
        </is>
      </c>
      <c r="BC195" s="24" t="inlineStr">
        <is>
          <t>npb-tie-aware-elo-v2</t>
        </is>
      </c>
      <c r="BD195" s="24" t="inlineStr">
        <is>
          <t>50b700ecdc749d3cb531e223e101c64c957f2e56eaf46652617e6fb12bfed3df</t>
        </is>
      </c>
      <c r="BE195" s="24" t="inlineStr">
        <is>
          <t>1</t>
        </is>
      </c>
      <c r="BF195" s="24" t="inlineStr">
        <is>
          <t>1</t>
        </is>
      </c>
      <c r="BG195" s="24" t="inlineStr">
        <is>
          <t>npb-tie-aware-elo-v2</t>
        </is>
      </c>
      <c r="BH195" s="24" t="inlineStr">
        <is>
          <t>2026-09-30T04:39:22.005186Z</t>
        </is>
      </c>
      <c r="BI195" s="24" t="inlineStr">
        <is>
          <t>["same_event","same_team_same_day","same_league_same_day"]</t>
        </is>
      </c>
      <c r="BJ195" s="25" t="n"/>
      <c r="BK195" s="26" t="n">
        <v>-285</v>
      </c>
      <c r="BL195" s="27" t="n">
        <v>1.350877</v>
      </c>
      <c r="BM195" s="28" t="n">
        <v>0.74026</v>
      </c>
      <c r="BN195" s="28" t="n"/>
      <c r="BO195" s="28" t="n"/>
      <c r="BP195" s="25" t="n"/>
      <c r="BQ195" s="27" t="n"/>
      <c r="BR195" s="28" t="n"/>
      <c r="BS195" s="28" t="n"/>
      <c r="BT195" s="28" t="n"/>
      <c r="BU195" s="25" t="n"/>
      <c r="BV195" s="29" t="n"/>
      <c r="BW195" s="24" t="n"/>
      <c r="BX195" s="30" t="n"/>
      <c r="BY195" s="27" t="n"/>
      <c r="BZ195" s="24" t="n"/>
      <c r="CA195" s="31" t="n"/>
      <c r="CB195" s="24" t="n"/>
      <c r="CC195" s="24" t="n"/>
      <c r="CD195" s="24" t="n"/>
      <c r="CE195" s="24" t="n"/>
      <c r="CF195" s="24" t="n"/>
      <c r="CG195" s="24" t="n"/>
      <c r="CH195" s="24" t="n"/>
      <c r="CI195" s="24" t="n"/>
      <c r="CJ195" s="24" t="n"/>
      <c r="CK195" s="24" t="n"/>
      <c r="CL195" s="24" t="n"/>
      <c r="CM195" s="24" t="n"/>
      <c r="CN195" s="24" t="n"/>
      <c r="CO195" s="24" t="n"/>
      <c r="CP195" s="24" t="n"/>
      <c r="CQ195" s="24" t="n"/>
      <c r="CR195" s="24" t="n"/>
      <c r="CS195" s="24" t="inlineStr">
        <is>
          <t>False</t>
        </is>
      </c>
      <c r="CT195" s="24" t="n"/>
      <c r="CU195" s="24" t="n"/>
      <c r="CV195" s="24" t="n"/>
      <c r="CW195" s="24" t="n"/>
      <c r="CX195" s="24" t="n"/>
      <c r="CY195" s="24" t="n"/>
      <c r="CZ195" s="24" t="n"/>
      <c r="DA195" s="24" t="n"/>
      <c r="DB195" s="24" t="n"/>
      <c r="DC195" s="24" t="n"/>
      <c r="DD195" s="24" t="n"/>
      <c r="DE195" s="24" t="n"/>
      <c r="DF195" s="24" t="n"/>
      <c r="DG195" s="24" t="n"/>
      <c r="DH195" s="24" t="n"/>
      <c r="DI195" s="24" t="n"/>
      <c r="DJ195" s="24" t="inlineStr">
        <is>
          <t>0.74026</t>
        </is>
      </c>
      <c r="DK195" s="24" t="n"/>
      <c r="DL195" s="24" t="n"/>
      <c r="DM195" s="24" t="n"/>
      <c r="DN195" s="24" t="n"/>
      <c r="DO195" s="24" t="n"/>
      <c r="DP195" s="24" t="n"/>
      <c r="DQ195" s="24" t="inlineStr">
        <is>
          <t>{"artifact_hash": "50b700ecdc749d3cb531e223e101c64c957f2e56eaf46652617e6fb12bfed3df", "away_team": "Tokyo Yakult Swallows", "draw_settlement_value": 0.5, "event_id": "129754", "event_start_utc": "2026-09-30T09:00:00Z", "features": {"away_elo": 1422.060212, "base_tie_rate": 0.02377556, "home_advantage": 35.0, "home_elo": 1525.722384}, "historical_source_observation_times_verified": false, "home_team": "Hanshin Tigers", "inference_inputs": {"away_id": "S", "base_tie_rate": 0.02377556, "book_state": {"_games_played": null, "_last_active": null, "decay_rate": 0.0, "home_advantage": 35.0, "k": 8.0, "margin_weight": 0.0, "ratings": {"S": 1422.060212, "T": 1525.722384}}, "code_sha256": {"features/elo_ratings.py": "8525faf022a6343c452286dbfeb17dbb043744c6bdabbe448b6b371216da439b", "international_baseball.py": "f345eb917316d2e897f62c1cdd0f73153115c65da54c30c6137ad76bb7b27869"}, "home_id": "T", "tie_method": "flat"}, "market_type": "moneyline", "model_version": "npb-tie-aware-elo-v2", "observed_at_utc": "2026-09-30T04:39:21.923770+00:00", "outcome_probabilities": {"away": 0.303029742383916, "draw": 0.02377556, "home": 0.673194697616084}, "replay_scope": "Exact Elo and tie model; logged value is expected contract settlement, not outright win probability.", "schema": "international-elo-replay-v1", "settlement_values": {"away": 0.314918, "home": 0.685082}, "snapshot_hash": "30559d6ae38ac83afd752712967faecd1d236115b43ab9d2bc6fb2b00aa4634a", "sport": "NPB"}</t>
        </is>
      </c>
    </row>
    <row r="196" ht="36" customHeight="1">
      <c r="A196" s="24" t="inlineStr">
        <is>
          <t>20f4b24a76c442cd</t>
        </is>
      </c>
      <c r="B196" s="24" t="inlineStr">
        <is>
          <t>2026-10-01T04:40:17.877153Z</t>
        </is>
      </c>
      <c r="C196" s="24" t="inlineStr">
        <is>
          <t>2026-10-01T09:00:00Z</t>
        </is>
      </c>
      <c r="D196" s="24" t="inlineStr">
        <is>
          <t>131364</t>
        </is>
      </c>
      <c r="E196" s="24" t="inlineStr">
        <is>
          <t>NPB</t>
        </is>
      </c>
      <c r="F196" s="24" t="inlineStr">
        <is>
          <t>Yomiuri Giants</t>
        </is>
      </c>
      <c r="G196" s="24" t="inlineStr">
        <is>
          <t>Hanshin Tigers</t>
        </is>
      </c>
      <c r="H196" s="24" t="inlineStr">
        <is>
          <t>moneyline</t>
        </is>
      </c>
      <c r="I196" s="24" t="inlineStr">
        <is>
          <t>home</t>
        </is>
      </c>
      <c r="J196" s="25" t="n"/>
      <c r="K196" s="24" t="inlineStr">
        <is>
          <t>polymarket_us</t>
        </is>
      </c>
      <c r="L196" s="26" t="n">
        <v>-170</v>
      </c>
      <c r="M196" s="27" t="n">
        <v>1.588235</v>
      </c>
      <c r="N196" s="28" t="n">
        <v>0.62963</v>
      </c>
      <c r="O196" s="28" t="n">
        <v>0.570464</v>
      </c>
      <c r="P196" s="28" t="n"/>
      <c r="Q196" s="28" t="n">
        <v>-0.059166</v>
      </c>
      <c r="R196" s="26" t="n">
        <v>0</v>
      </c>
      <c r="S196" s="29" t="n">
        <v>1</v>
      </c>
      <c r="T196" s="24" t="inlineStr">
        <is>
          <t>npb-tie-aware-elo-v2</t>
        </is>
      </c>
      <c r="U196" s="24" t="inlineStr">
        <is>
          <t>settled</t>
        </is>
      </c>
      <c r="V196" s="24" t="inlineStr">
        <is>
          <t>push</t>
        </is>
      </c>
      <c r="W196" s="26" t="n">
        <v>2</v>
      </c>
      <c r="X196" s="26" t="n">
        <v>2</v>
      </c>
      <c r="Y196" s="25" t="n"/>
      <c r="Z196" s="26" t="n">
        <v>-170</v>
      </c>
      <c r="AA196" s="28" t="n">
        <v>0.63</v>
      </c>
      <c r="AB196" s="28" t="n">
        <v>0.00037</v>
      </c>
      <c r="AC196" s="30" t="n">
        <v>-0.2059</v>
      </c>
      <c r="AD196" s="24" t="inlineStr">
        <is>
          <t>2026-10-06T23:04:12.154946Z</t>
        </is>
      </c>
      <c r="AE196" s="31" t="inlineStr">
        <is>
          <t>Tie-aware Elo baseline; executable ask 0.6300 (market_slug=aec-npb-hta-ygo-2026-10-01). Tie probability=0.0238.</t>
        </is>
      </c>
      <c r="AF196" s="31" t="inlineStr">
        <is>
          <t>Config-promoted international baseball baseline; gates enforced at log time.</t>
        </is>
      </c>
      <c r="AG196" s="24" t="inlineStr">
        <is>
          <t>not_applicable</t>
        </is>
      </c>
      <c r="AH196" s="24" t="n"/>
      <c r="AI196" s="31" t="n"/>
      <c r="AJ196" s="31" t="n"/>
      <c r="AK196" s="24" t="inlineStr">
        <is>
          <t>paper_call</t>
        </is>
      </c>
      <c r="AL196" s="26" t="n">
        <v>4</v>
      </c>
      <c r="AM196" s="24" t="inlineStr">
        <is>
          <t>RESEARCH_OBSERVATION</t>
        </is>
      </c>
      <c r="AN196" s="24" t="inlineStr">
        <is>
          <t>CALL</t>
        </is>
      </c>
      <c r="AO196" s="24" t="inlineStr">
        <is>
          <t>PAPER_CALL_LOW_EDGE</t>
        </is>
      </c>
      <c r="AP196" s="24" t="inlineStr">
        <is>
          <t>Yomiuri Giants</t>
        </is>
      </c>
      <c r="AQ196" s="24" t="inlineStr">
        <is>
          <t>Yomiuri Giants</t>
        </is>
      </c>
      <c r="AR196" s="24" t="inlineStr">
        <is>
          <t>Yomiuri Giants</t>
        </is>
      </c>
      <c r="AS196" s="24" t="inlineStr">
        <is>
          <t>Hanshin Tigers</t>
        </is>
      </c>
      <c r="AT196" s="24" t="inlineStr">
        <is>
          <t>Hanshin Tigers</t>
        </is>
      </c>
      <c r="AU196" s="24" t="inlineStr">
        <is>
          <t>Hanshin Tigers</t>
        </is>
      </c>
      <c r="AV196" s="24" t="n"/>
      <c r="AW196" s="24" t="n"/>
      <c r="AX196" s="24" t="inlineStr">
        <is>
          <t>statistical_model</t>
        </is>
      </c>
      <c r="AY196" s="24" t="n"/>
      <c r="AZ196" s="24" t="inlineStr">
        <is>
          <t>shadow_qualified</t>
        </is>
      </c>
      <c r="BA196" s="24" t="inlineStr">
        <is>
          <t>cd3f105a82830e984a49320186213d5b4cebffa917f7f57418ef4f0ba5d83b92</t>
        </is>
      </c>
      <c r="BB196" s="24" t="inlineStr">
        <is>
          <t>tie_aware_elo</t>
        </is>
      </c>
      <c r="BC196" s="24" t="inlineStr">
        <is>
          <t>npb-tie-aware-elo-v2</t>
        </is>
      </c>
      <c r="BD196" s="24" t="inlineStr">
        <is>
          <t>cd3f105a82830e984a49320186213d5b4cebffa917f7f57418ef4f0ba5d83b92</t>
        </is>
      </c>
      <c r="BE196" s="24" t="inlineStr">
        <is>
          <t>1</t>
        </is>
      </c>
      <c r="BF196" s="24" t="inlineStr">
        <is>
          <t>1</t>
        </is>
      </c>
      <c r="BG196" s="24" t="inlineStr">
        <is>
          <t>npb-tie-aware-elo-v2</t>
        </is>
      </c>
      <c r="BH196" s="24" t="inlineStr">
        <is>
          <t>2026-10-01T04:40:09.475339Z</t>
        </is>
      </c>
      <c r="BI196" s="24" t="inlineStr">
        <is>
          <t>["same_event","same_team_same_day","same_league_same_day"]</t>
        </is>
      </c>
      <c r="BJ196" s="25" t="n"/>
      <c r="BK196" s="26" t="n">
        <v>-170</v>
      </c>
      <c r="BL196" s="27" t="n">
        <v>1.588235</v>
      </c>
      <c r="BM196" s="28" t="n">
        <v>0.62963</v>
      </c>
      <c r="BN196" s="28" t="n"/>
      <c r="BO196" s="28" t="n"/>
      <c r="BP196" s="25" t="n"/>
      <c r="BQ196" s="27" t="n">
        <v>1.588235</v>
      </c>
      <c r="BR196" s="28" t="n">
        <v>0.63</v>
      </c>
      <c r="BS196" s="28" t="n"/>
      <c r="BT196" s="28" t="n"/>
      <c r="BU196" s="25" t="n"/>
      <c r="BV196" s="29" t="n"/>
      <c r="BW196" s="24" t="n"/>
      <c r="BX196" s="30" t="n"/>
      <c r="BY196" s="27" t="n"/>
      <c r="BZ196" s="24" t="n"/>
      <c r="CA196" s="31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4" t="n"/>
      <c r="CO196" s="24" t="n"/>
      <c r="CP196" s="24" t="n"/>
      <c r="CQ196" s="24" t="n"/>
      <c r="CR196" s="24" t="n"/>
      <c r="CS196" s="24" t="inlineStr">
        <is>
          <t>False</t>
        </is>
      </c>
      <c r="CT196" s="24" t="n"/>
      <c r="CU196" s="24" t="n"/>
      <c r="CV196" s="24" t="n"/>
      <c r="CW196" s="24" t="n"/>
      <c r="CX196" s="24" t="n"/>
      <c r="CY196" s="24" t="n"/>
      <c r="CZ196" s="24" t="n"/>
      <c r="DA196" s="24" t="n"/>
      <c r="DB196" s="24" t="n"/>
      <c r="DC196" s="24" t="n"/>
      <c r="DD196" s="24" t="n"/>
      <c r="DE196" s="24" t="n"/>
      <c r="DF196" s="24" t="n"/>
      <c r="DG196" s="24" t="n"/>
      <c r="DH196" s="24" t="n"/>
      <c r="DI196" s="24" t="n"/>
      <c r="DJ196" s="24" t="inlineStr">
        <is>
          <t>0.62963</t>
        </is>
      </c>
      <c r="DK196" s="24" t="n"/>
      <c r="DL196" s="24" t="n"/>
      <c r="DM196" s="24" t="n"/>
      <c r="DN196" s="24" t="n"/>
      <c r="DO196" s="24" t="n"/>
      <c r="DP196" s="24" t="n"/>
      <c r="DQ196" s="24" t="inlineStr">
        <is>
          <t>{"artifact_hash": "cd3f105a82830e984a49320186213d5b4cebffa917f7f57418ef4f0ba5d83b92", "away_team": "Yomiuri Giants", "draw_settlement_value": 0.5, "event_id": "131364", "event_start_utc": "2026-10-01T09:00:00Z", "features": {"away_elo": 1512.697485, "base_tie_rate": 0.02376426, "home_advantage": 35.0, "home_elo": 1528.205664}, "historical_source_observation_times_verified": false, "home_team": "Hanshin Tigers", "inference_inputs": {"away_id": "G", "base_tie_rate": 0.02376426, "book_state": {"_games_played": null, "_last_active": null, "decay_rate": 0.0, "home_advantage": 35.0, "k": 8.0, "margin_weight": 0.0, "ratings": {"G": 1512.697485, "T": 1528.205664}}, "code_sha256": {"features/elo_ratings.py": "8525faf022a6343c452286dbfeb17dbb043744c6bdabbe448b6b371216da439b", "international_baseball.py": "f345eb917316d2e897f62c1cdd0f73153115c65da54c30c6137ad76bb7b27869"}, "home_id": "T", "tie_method": "flat"}, "market_type": "moneyline", "model_version": "npb-tie-aware-elo-v2", "observed_at_utc": "2026-10-01T04:40:09.325832+00:00", "outcome_probabilities": {"away": 0.4176538029570908, "draw": 0.02376426, "home": 0.5585819370429091}, "replay_scope": "Exact Elo and tie model; logged value is expected contract settlement, not outright win probability.", "schema": "international-elo-replay-v1", "settlement_values": {"away": 0.429536, "home": 0.570464}, "snapshot_hash": "94204aad9d97e084c2e06845c33283dcd9e1c6b28ec604c263514c3551c47729", "sport": "NPB"}</t>
        </is>
      </c>
    </row>
    <row r="197" ht="36" customHeight="1">
      <c r="A197" s="24" t="inlineStr">
        <is>
          <t>c4a510e85b064a47</t>
        </is>
      </c>
      <c r="B197" s="24" t="inlineStr">
        <is>
          <t>2026-10-01T04:40:17.877153Z</t>
        </is>
      </c>
      <c r="C197" s="24" t="inlineStr">
        <is>
          <t>2026-10-01T09:00:00Z</t>
        </is>
      </c>
      <c r="D197" s="24" t="inlineStr">
        <is>
          <t>131365</t>
        </is>
      </c>
      <c r="E197" s="24" t="inlineStr">
        <is>
          <t>NPB</t>
        </is>
      </c>
      <c r="F197" s="24" t="inlineStr">
        <is>
          <t>Chunichi Dragons</t>
        </is>
      </c>
      <c r="G197" s="24" t="inlineStr">
        <is>
          <t>Hiroshima Carp</t>
        </is>
      </c>
      <c r="H197" s="24" t="inlineStr">
        <is>
          <t>moneyline</t>
        </is>
      </c>
      <c r="I197" s="24" t="inlineStr">
        <is>
          <t>home</t>
        </is>
      </c>
      <c r="J197" s="25" t="n"/>
      <c r="K197" s="24" t="inlineStr">
        <is>
          <t>polymarket_us</t>
        </is>
      </c>
      <c r="L197" s="26" t="n">
        <v>100</v>
      </c>
      <c r="M197" s="27" t="n">
        <v>2</v>
      </c>
      <c r="N197" s="28" t="n">
        <v>0.5</v>
      </c>
      <c r="O197" s="28" t="n">
        <v>0.550836</v>
      </c>
      <c r="P197" s="28" t="n"/>
      <c r="Q197" s="28" t="n">
        <v>0.050836</v>
      </c>
      <c r="R197" s="26" t="n">
        <v>45</v>
      </c>
      <c r="S197" s="29" t="n">
        <v>1</v>
      </c>
      <c r="T197" s="24" t="inlineStr">
        <is>
          <t>npb-tie-aware-elo-v2</t>
        </is>
      </c>
      <c r="U197" s="24" t="inlineStr">
        <is>
          <t>settled</t>
        </is>
      </c>
      <c r="V197" s="24" t="inlineStr">
        <is>
          <t>win</t>
        </is>
      </c>
      <c r="W197" s="26" t="n">
        <v>1</v>
      </c>
      <c r="X197" s="26" t="n">
        <v>5</v>
      </c>
      <c r="Y197" s="25" t="n"/>
      <c r="Z197" s="26" t="n">
        <v>100</v>
      </c>
      <c r="AA197" s="28" t="n">
        <v>0.5</v>
      </c>
      <c r="AB197" s="28" t="n">
        <v>0</v>
      </c>
      <c r="AC197" s="30" t="n">
        <v>1</v>
      </c>
      <c r="AD197" s="24" t="inlineStr">
        <is>
          <t>2026-10-06T23:04:13.692835Z</t>
        </is>
      </c>
      <c r="AE197" s="31" t="inlineStr">
        <is>
          <t>Tie-aware Elo baseline; executable ask 0.5000 (market_slug=aec-npb-hci-cdh-2026-10-01). Tie probability=0.0238.</t>
        </is>
      </c>
      <c r="AF197" s="31" t="inlineStr">
        <is>
          <t>Config-promoted international baseball baseline; gates enforced at log time.</t>
        </is>
      </c>
      <c r="AG197" s="24" t="inlineStr">
        <is>
          <t>not_applicable</t>
        </is>
      </c>
      <c r="AH197" s="24" t="n"/>
      <c r="AI197" s="31" t="n"/>
      <c r="AJ197" s="31" t="n"/>
      <c r="AK197" s="24" t="inlineStr">
        <is>
          <t>paper_call</t>
        </is>
      </c>
      <c r="AL197" s="26" t="n">
        <v>4</v>
      </c>
      <c r="AM197" s="24" t="inlineStr">
        <is>
          <t>RESEARCH_OBSERVATION</t>
        </is>
      </c>
      <c r="AN197" s="24" t="inlineStr">
        <is>
          <t>CALL</t>
        </is>
      </c>
      <c r="AO197" s="24" t="inlineStr">
        <is>
          <t>PAPER_CALL_LOW_EDGE</t>
        </is>
      </c>
      <c r="AP197" s="24" t="inlineStr">
        <is>
          <t>Chunichi Dragons</t>
        </is>
      </c>
      <c r="AQ197" s="24" t="inlineStr">
        <is>
          <t>Chunichi Dragons</t>
        </is>
      </c>
      <c r="AR197" s="24" t="inlineStr">
        <is>
          <t>Chunichi Dragons</t>
        </is>
      </c>
      <c r="AS197" s="24" t="inlineStr">
        <is>
          <t>Hiroshima Carp</t>
        </is>
      </c>
      <c r="AT197" s="24" t="inlineStr">
        <is>
          <t>Hiroshima Carp</t>
        </is>
      </c>
      <c r="AU197" s="24" t="inlineStr">
        <is>
          <t>Hiroshima Carp</t>
        </is>
      </c>
      <c r="AV197" s="24" t="n"/>
      <c r="AW197" s="24" t="n"/>
      <c r="AX197" s="24" t="inlineStr">
        <is>
          <t>statistical_model</t>
        </is>
      </c>
      <c r="AY197" s="24" t="n"/>
      <c r="AZ197" s="24" t="inlineStr">
        <is>
          <t>shadow_qualified</t>
        </is>
      </c>
      <c r="BA197" s="24" t="inlineStr">
        <is>
          <t>cd3f105a82830e984a49320186213d5b4cebffa917f7f57418ef4f0ba5d83b92</t>
        </is>
      </c>
      <c r="BB197" s="24" t="inlineStr">
        <is>
          <t>tie_aware_elo</t>
        </is>
      </c>
      <c r="BC197" s="24" t="inlineStr">
        <is>
          <t>npb-tie-aware-elo-v2</t>
        </is>
      </c>
      <c r="BD197" s="24" t="inlineStr">
        <is>
          <t>cd3f105a82830e984a49320186213d5b4cebffa917f7f57418ef4f0ba5d83b92</t>
        </is>
      </c>
      <c r="BE197" s="24" t="inlineStr">
        <is>
          <t>1</t>
        </is>
      </c>
      <c r="BF197" s="24" t="inlineStr">
        <is>
          <t>1</t>
        </is>
      </c>
      <c r="BG197" s="24" t="inlineStr">
        <is>
          <t>npb-tie-aware-elo-v2</t>
        </is>
      </c>
      <c r="BH197" s="24" t="inlineStr">
        <is>
          <t>2026-10-01T04:40:09.536299Z</t>
        </is>
      </c>
      <c r="BI197" s="24" t="inlineStr">
        <is>
          <t>["same_event","same_team_same_day","same_league_same_day"]</t>
        </is>
      </c>
      <c r="BJ197" s="25" t="n"/>
      <c r="BK197" s="26" t="n">
        <v>100</v>
      </c>
      <c r="BL197" s="27" t="n">
        <v>2</v>
      </c>
      <c r="BM197" s="28" t="n">
        <v>0.5</v>
      </c>
      <c r="BN197" s="28" t="n"/>
      <c r="BO197" s="28" t="n"/>
      <c r="BP197" s="25" t="n"/>
      <c r="BQ197" s="27" t="n">
        <v>2</v>
      </c>
      <c r="BR197" s="28" t="n">
        <v>0.5</v>
      </c>
      <c r="BS197" s="28" t="n"/>
      <c r="BT197" s="28" t="n"/>
      <c r="BU197" s="25" t="n"/>
      <c r="BV197" s="29" t="n"/>
      <c r="BW197" s="24" t="n"/>
      <c r="BX197" s="30" t="n"/>
      <c r="BY197" s="27" t="n"/>
      <c r="BZ197" s="24" t="n"/>
      <c r="CA197" s="31" t="n"/>
      <c r="CB197" s="24" t="n"/>
      <c r="CC197" s="24" t="n"/>
      <c r="CD197" s="24" t="n"/>
      <c r="CE197" s="24" t="n"/>
      <c r="CF197" s="24" t="n"/>
      <c r="CG197" s="24" t="n"/>
      <c r="CH197" s="24" t="n"/>
      <c r="CI197" s="24" t="n"/>
      <c r="CJ197" s="24" t="n"/>
      <c r="CK197" s="24" t="n"/>
      <c r="CL197" s="24" t="n"/>
      <c r="CM197" s="24" t="n"/>
      <c r="CN197" s="24" t="n"/>
      <c r="CO197" s="24" t="n"/>
      <c r="CP197" s="24" t="n"/>
      <c r="CQ197" s="24" t="n"/>
      <c r="CR197" s="24" t="n"/>
      <c r="CS197" s="24" t="inlineStr">
        <is>
          <t>True</t>
        </is>
      </c>
      <c r="CT197" s="24" t="n"/>
      <c r="CU197" s="24" t="n"/>
      <c r="CV197" s="24" t="n"/>
      <c r="CW197" s="24" t="n"/>
      <c r="CX197" s="24" t="n"/>
      <c r="CY197" s="24" t="n"/>
      <c r="CZ197" s="24" t="n"/>
      <c r="DA197" s="24" t="n"/>
      <c r="DB197" s="24" t="n"/>
      <c r="DC197" s="24" t="n"/>
      <c r="DD197" s="24" t="n"/>
      <c r="DE197" s="24" t="n"/>
      <c r="DF197" s="24" t="n"/>
      <c r="DG197" s="24" t="n"/>
      <c r="DH197" s="24" t="n"/>
      <c r="DI197" s="24" t="n"/>
      <c r="DJ197" s="24" t="inlineStr">
        <is>
          <t>0.5</t>
        </is>
      </c>
      <c r="DK197" s="24" t="n"/>
      <c r="DL197" s="24" t="n"/>
      <c r="DM197" s="24" t="n"/>
      <c r="DN197" s="24" t="n"/>
      <c r="DO197" s="24" t="n"/>
      <c r="DP197" s="24" t="n"/>
      <c r="DQ197" s="24" t="inlineStr">
        <is>
          <t>{"artifact_hash": "cd3f105a82830e984a49320186213d5b4cebffa917f7f57418ef4f0ba5d83b92", "away_team": "Chunichi Dragons", "draw_settlement_value": 0.5, "event_id": "131365", "event_start_utc": "2026-10-01T09:00:00Z", "features": {"away_elo": 1449.286549, "base_tie_rate": 0.02376426, "home_advantage": 35.0, "home_elo": 1450.602544}, "historical_source_observation_times_verified": false, "home_team": "Hiroshima Carp", "inference_inputs": {"away_id": "D", "base_tie_rate": 0.02376426, "book_state": {"_games_played": null, "_last_active": null, "decay_rate": 0.0, "home_advantage": 35.0, "k": 8.0, "margin_weight": 0.0, "ratings": {"C": 1450.602544, "D": 1449.286549}}, "code_sha256": {"features/elo_ratings.py": "8525faf022a6343c452286dbfeb17dbb043744c6bdabbe448b6b371216da439b", "international_baseball.py": "f345eb917316d2e897f62c1cdd0f73153115c65da54c30c6137ad76bb7b27869"}, "home_id": "C", "tie_method": "flat"}, "market_type": "moneyline", "model_version": "npb-tie-aware-elo-v2", "observed_at_utc": "2026-10-01T04:40:09.325832+00:00", "outcome_probabilities": {"away": 0.4372819454202782, "draw": 0.02376426, "home": 0.5389537945797218}, "replay_scope": "Exact Elo and tie model; logged value is expected contract settlement, not outright win probability.", "schema": "international-elo-replay-v1", "settlement_values": {"away": 0.449164, "home": 0.550836}, "snapshot_hash": "ad44f595c87f1ffb87057dedfcf89f45fc2143fcf398518fc481cbf652f9a846", "sport": "NPB"}</t>
        </is>
      </c>
    </row>
    <row r="198" ht="36" customHeight="1">
      <c r="A198" s="24" t="inlineStr">
        <is>
          <t>66d60c10a867452d</t>
        </is>
      </c>
      <c r="B198" s="24" t="inlineStr">
        <is>
          <t>2026-10-02T04:39:58.799959Z</t>
        </is>
      </c>
      <c r="C198" s="24" t="inlineStr">
        <is>
          <t>2026-10-02T09:00:00Z</t>
        </is>
      </c>
      <c r="D198" s="24" t="inlineStr">
        <is>
          <t>132984</t>
        </is>
      </c>
      <c r="E198" s="24" t="inlineStr">
        <is>
          <t>NPB</t>
        </is>
      </c>
      <c r="F198" s="24" t="inlineStr">
        <is>
          <t>Fukuoka SoftBank Hawks</t>
        </is>
      </c>
      <c r="G198" s="24" t="inlineStr">
        <is>
          <t>Chiba Lotte Marines</t>
        </is>
      </c>
      <c r="H198" s="24" t="inlineStr">
        <is>
          <t>moneyline</t>
        </is>
      </c>
      <c r="I198" s="24" t="inlineStr">
        <is>
          <t>away</t>
        </is>
      </c>
      <c r="J198" s="25" t="n"/>
      <c r="K198" s="24" t="inlineStr">
        <is>
          <t>polymarket_us</t>
        </is>
      </c>
      <c r="L198" s="26" t="n">
        <v>-203</v>
      </c>
      <c r="M198" s="27" t="n">
        <v>1.492611</v>
      </c>
      <c r="N198" s="28" t="n">
        <v>0.669967</v>
      </c>
      <c r="O198" s="28" t="n">
        <v>0.653685</v>
      </c>
      <c r="P198" s="28" t="n"/>
      <c r="Q198" s="28" t="n">
        <v>-0.016282</v>
      </c>
      <c r="R198" s="26" t="n">
        <v>12</v>
      </c>
      <c r="S198" s="29" t="n">
        <v>1</v>
      </c>
      <c r="T198" s="24" t="inlineStr">
        <is>
          <t>npb-tie-aware-elo-v2</t>
        </is>
      </c>
      <c r="U198" s="24" t="inlineStr">
        <is>
          <t>settled</t>
        </is>
      </c>
      <c r="V198" s="24" t="inlineStr">
        <is>
          <t>win</t>
        </is>
      </c>
      <c r="W198" s="26" t="n">
        <v>4</v>
      </c>
      <c r="X198" s="26" t="n">
        <v>3</v>
      </c>
      <c r="Y198" s="25" t="n"/>
      <c r="Z198" s="26" t="n"/>
      <c r="AA198" s="28" t="n"/>
      <c r="AB198" s="28" t="n"/>
      <c r="AC198" s="30" t="n">
        <v>0.4926</v>
      </c>
      <c r="AD198" s="24" t="inlineStr">
        <is>
          <t>2026-10-06T23:04:15.169021Z</t>
        </is>
      </c>
      <c r="AE198" s="31" t="inlineStr">
        <is>
          <t>Tie-aware Elo baseline; executable ask 0.6700 (market_slug=aec-npb-clm-fsh-2026-10-02). Tie probability=0.0238.</t>
        </is>
      </c>
      <c r="AF198" s="31" t="inlineStr">
        <is>
          <t>Config-promoted international baseball baseline; gates enforced at log time.</t>
        </is>
      </c>
      <c r="AG198" s="24" t="inlineStr">
        <is>
          <t>not_applicable</t>
        </is>
      </c>
      <c r="AH198" s="24" t="n"/>
      <c r="AI198" s="31" t="n"/>
      <c r="AJ198" s="31" t="n"/>
      <c r="AK198" s="24" t="inlineStr">
        <is>
          <t>paper_call</t>
        </is>
      </c>
      <c r="AL198" s="26" t="n">
        <v>4</v>
      </c>
      <c r="AM198" s="24" t="inlineStr">
        <is>
          <t>RESEARCH_OBSERVATION</t>
        </is>
      </c>
      <c r="AN198" s="24" t="inlineStr">
        <is>
          <t>CALL</t>
        </is>
      </c>
      <c r="AO198" s="24" t="inlineStr">
        <is>
          <t>PAPER_CALL_LOW_EDGE</t>
        </is>
      </c>
      <c r="AP198" s="24" t="inlineStr">
        <is>
          <t>Fukuoka SoftBank Hawks</t>
        </is>
      </c>
      <c r="AQ198" s="24" t="inlineStr">
        <is>
          <t>Fukuoka SoftBank Hawks</t>
        </is>
      </c>
      <c r="AR198" s="24" t="inlineStr">
        <is>
          <t>Fukuoka SoftBank Hawks</t>
        </is>
      </c>
      <c r="AS198" s="24" t="inlineStr">
        <is>
          <t>Chiba Lotte Marines</t>
        </is>
      </c>
      <c r="AT198" s="24" t="inlineStr">
        <is>
          <t>Chiba Lotte Marines</t>
        </is>
      </c>
      <c r="AU198" s="24" t="inlineStr">
        <is>
          <t>Chiba Lotte Marines</t>
        </is>
      </c>
      <c r="AV198" s="24" t="n"/>
      <c r="AW198" s="24" t="n"/>
      <c r="AX198" s="24" t="inlineStr">
        <is>
          <t>statistical_model</t>
        </is>
      </c>
      <c r="AY198" s="24" t="n"/>
      <c r="AZ198" s="24" t="inlineStr">
        <is>
          <t>shadow_qualified</t>
        </is>
      </c>
      <c r="BA198" s="24" t="inlineStr">
        <is>
          <t>fa9f47ded60166530cb9eb00074168c4fee68366c998034d7ab94eec1eadb6cc</t>
        </is>
      </c>
      <c r="BB198" s="24" t="inlineStr">
        <is>
          <t>tie_aware_elo</t>
        </is>
      </c>
      <c r="BC198" s="24" t="inlineStr">
        <is>
          <t>npb-tie-aware-elo-v2</t>
        </is>
      </c>
      <c r="BD198" s="24" t="inlineStr">
        <is>
          <t>fa9f47ded60166530cb9eb00074168c4fee68366c998034d7ab94eec1eadb6cc</t>
        </is>
      </c>
      <c r="BE198" s="24" t="inlineStr">
        <is>
          <t>1</t>
        </is>
      </c>
      <c r="BF198" s="24" t="inlineStr">
        <is>
          <t>1</t>
        </is>
      </c>
      <c r="BG198" s="24" t="inlineStr">
        <is>
          <t>npb-tie-aware-elo-v2</t>
        </is>
      </c>
      <c r="BH198" s="24" t="inlineStr">
        <is>
          <t>2026-10-02T04:39:58.731058Z</t>
        </is>
      </c>
      <c r="BI198" s="24" t="inlineStr">
        <is>
          <t>["same_event","same_team_same_day","same_league_same_day"]</t>
        </is>
      </c>
      <c r="BJ198" s="25" t="n"/>
      <c r="BK198" s="26" t="n">
        <v>-203</v>
      </c>
      <c r="BL198" s="27" t="n">
        <v>1.492611</v>
      </c>
      <c r="BM198" s="28" t="n">
        <v>0.669967</v>
      </c>
      <c r="BN198" s="28" t="n"/>
      <c r="BO198" s="28" t="n"/>
      <c r="BP198" s="25" t="n"/>
      <c r="BQ198" s="27" t="n"/>
      <c r="BR198" s="28" t="n"/>
      <c r="BS198" s="28" t="n"/>
      <c r="BT198" s="28" t="n"/>
      <c r="BU198" s="25" t="n"/>
      <c r="BV198" s="29" t="n"/>
      <c r="BW198" s="24" t="n"/>
      <c r="BX198" s="30" t="n"/>
      <c r="BY198" s="27" t="n"/>
      <c r="BZ198" s="24" t="n"/>
      <c r="CA198" s="31" t="n"/>
      <c r="CB198" s="24" t="n"/>
      <c r="CC198" s="24" t="n"/>
      <c r="CD198" s="24" t="n"/>
      <c r="CE198" s="24" t="n"/>
      <c r="CF198" s="24" t="n"/>
      <c r="CG198" s="24" t="n"/>
      <c r="CH198" s="24" t="n"/>
      <c r="CI198" s="24" t="n"/>
      <c r="CJ198" s="24" t="n"/>
      <c r="CK198" s="24" t="n"/>
      <c r="CL198" s="24" t="n"/>
      <c r="CM198" s="24" t="n"/>
      <c r="CN198" s="24" t="n"/>
      <c r="CO198" s="24" t="n"/>
      <c r="CP198" s="24" t="n"/>
      <c r="CQ198" s="24" t="n"/>
      <c r="CR198" s="24" t="n"/>
      <c r="CS198" s="24" t="inlineStr">
        <is>
          <t>False</t>
        </is>
      </c>
      <c r="CT198" s="24" t="n"/>
      <c r="CU198" s="24" t="n"/>
      <c r="CV198" s="24" t="n"/>
      <c r="CW198" s="24" t="n"/>
      <c r="CX198" s="24" t="n"/>
      <c r="CY198" s="24" t="n"/>
      <c r="CZ198" s="24" t="n"/>
      <c r="DA198" s="24" t="n"/>
      <c r="DB198" s="24" t="n"/>
      <c r="DC198" s="24" t="n"/>
      <c r="DD198" s="24" t="n"/>
      <c r="DE198" s="24" t="n"/>
      <c r="DF198" s="24" t="n"/>
      <c r="DG198" s="24" t="n"/>
      <c r="DH198" s="24" t="n"/>
      <c r="DI198" s="24" t="n"/>
      <c r="DJ198" s="24" t="inlineStr">
        <is>
          <t>0.669967</t>
        </is>
      </c>
      <c r="DK198" s="24" t="n"/>
      <c r="DL198" s="24" t="n"/>
      <c r="DM198" s="24" t="n"/>
      <c r="DN198" s="24" t="n"/>
      <c r="DO198" s="24" t="n"/>
      <c r="DP198" s="24" t="n"/>
      <c r="DQ198" s="24" t="inlineStr">
        <is>
          <t>{"artifact_hash": "fa9f47ded60166530cb9eb00074168c4fee68366c998034d7ab94eec1eadb6cc", "away_team": "Fukuoka SoftBank Hawks", "draw_settlement_value": 0.5, "event_id": "132984", "event_start_utc": "2026-10-02T09:00:00Z", "features": {"away_elo": 1624.448306, "base_tie_rate": 0.02376426, "home_advantage": 35.0, "home_elo": 1476.21142}, "historical_source_observation_times_verified": false, "home_team": "Chiba Lotte Marines", "inference_inputs": {"away_id": "H", "base_tie_rate": 0.02376426, "book_state": {"_games_played": null, "_last_active": null, "decay_rate": 0.0, "home_advantage": 35.0, "k": 8.0, "margin_weight": 0.0, "ratings": {"H": 1624.448306, "M": 1476.21142}},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"2026-10-02T04:39:58.521486+00:00", "outcome_probabilities": {"away": 0.6418026249764083, "draw": 0.02376426, "home": 0.3344331150235917}, "replay_scope": "Exact Elo and tie model; logged value is expected contract settlement, not outright win probability.", "schema": "international-elo-replay-v1", "settlement_values": {"away": 0.653685, "home": 0.346315}, "snapshot_hash": "088fc26ffbf79bfd0fa65e1b2fd14ee8fd0bac343a0a0c39ddfc134333c2e577", "sport": "NPB"}</t>
        </is>
      </c>
    </row>
    <row r="199" ht="36" customHeight="1">
      <c r="A199" s="24" t="inlineStr">
        <is>
          <t>c5c282dfdf08454c</t>
        </is>
      </c>
      <c r="B199" s="24" t="inlineStr">
        <is>
          <t>2026-10-02T04:39:58.799959Z</t>
        </is>
      </c>
      <c r="C199" s="24" t="inlineStr">
        <is>
          <t>2026-10-02T09:00:00Z</t>
        </is>
      </c>
      <c r="D199" s="24" t="inlineStr">
        <is>
          <t>132987</t>
        </is>
      </c>
      <c r="E199" s="24" t="inlineStr">
        <is>
          <t>NPB</t>
        </is>
      </c>
      <c r="F199" s="24" t="inlineStr">
        <is>
          <t>Yomiuri Giants</t>
        </is>
      </c>
      <c r="G199" s="24" t="inlineStr">
        <is>
          <t>Tokyo Yakult Swallows</t>
        </is>
      </c>
      <c r="H199" s="24" t="inlineStr">
        <is>
          <t>moneyline</t>
        </is>
      </c>
      <c r="I199" s="24" t="inlineStr">
        <is>
          <t>away</t>
        </is>
      </c>
      <c r="J199" s="25" t="n"/>
      <c r="K199" s="24" t="inlineStr">
        <is>
          <t>polymarket_us</t>
        </is>
      </c>
      <c r="L199" s="26" t="n">
        <v>-127</v>
      </c>
      <c r="M199" s="27" t="n">
        <v>1.787402</v>
      </c>
      <c r="N199" s="28" t="n">
        <v>0.5594710000000001</v>
      </c>
      <c r="O199" s="28" t="n">
        <v>0.580901</v>
      </c>
      <c r="P199" s="28" t="n"/>
      <c r="Q199" s="28" t="n">
        <v>0.02143</v>
      </c>
      <c r="R199" s="26" t="n">
        <v>31</v>
      </c>
      <c r="S199" s="29" t="n">
        <v>1</v>
      </c>
      <c r="T199" s="24" t="inlineStr">
        <is>
          <t>npb-tie-aware-elo-v2</t>
        </is>
      </c>
      <c r="U199" s="24" t="inlineStr">
        <is>
          <t>settled</t>
        </is>
      </c>
      <c r="V199" s="24" t="inlineStr">
        <is>
          <t>loss</t>
        </is>
      </c>
      <c r="W199" s="26" t="n">
        <v>1</v>
      </c>
      <c r="X199" s="26" t="n">
        <v>5</v>
      </c>
      <c r="Y199" s="25" t="n"/>
      <c r="Z199" s="26" t="n"/>
      <c r="AA199" s="28" t="n"/>
      <c r="AB199" s="28" t="n"/>
      <c r="AC199" s="30" t="n">
        <v>-1</v>
      </c>
      <c r="AD199" s="24" t="inlineStr">
        <is>
          <t>2026-10-06T23:04:16.744797Z</t>
        </is>
      </c>
      <c r="AE199" s="31" t="inlineStr">
        <is>
          <t>Tie-aware Elo baseline; executable ask 0.5600 (market_slug=aec-npb-tys-ygo-2026-10-02). Tie probability=0.0238.</t>
        </is>
      </c>
      <c r="AF199" s="31" t="inlineStr">
        <is>
          <t>Config-promoted international baseball baseline; gates enforced at log time.</t>
        </is>
      </c>
      <c r="AG199" s="24" t="inlineStr">
        <is>
          <t>review_required</t>
        </is>
      </c>
      <c r="AH199" s="24" t="n"/>
      <c r="AI199" s="31" t="n"/>
      <c r="AJ199" s="31" t="n"/>
      <c r="AK199" s="24" t="inlineStr">
        <is>
          <t>paper_call</t>
        </is>
      </c>
      <c r="AL199" s="26" t="n">
        <v>4</v>
      </c>
      <c r="AM199" s="24" t="inlineStr">
        <is>
          <t>RESEARCH_OBSERVATION</t>
        </is>
      </c>
      <c r="AN199" s="24" t="inlineStr">
        <is>
          <t>CALL</t>
        </is>
      </c>
      <c r="AO199" s="24" t="inlineStr">
        <is>
          <t>PAPER_CALL_LOW_EDGE</t>
        </is>
      </c>
      <c r="AP199" s="24" t="inlineStr">
        <is>
          <t>Yomiuri Giants</t>
        </is>
      </c>
      <c r="AQ199" s="24" t="inlineStr">
        <is>
          <t>Yomiuri Giants</t>
        </is>
      </c>
      <c r="AR199" s="24" t="inlineStr">
        <is>
          <t>Yomiuri Giants</t>
        </is>
      </c>
      <c r="AS199" s="24" t="inlineStr">
        <is>
          <t>Tokyo Yakult Swallows</t>
        </is>
      </c>
      <c r="AT199" s="24" t="inlineStr">
        <is>
          <t>Tokyo Yakult Swallows</t>
        </is>
      </c>
      <c r="AU199" s="24" t="inlineStr">
        <is>
          <t>Tokyo Yakult Swallows</t>
        </is>
      </c>
      <c r="AV199" s="24" t="n"/>
      <c r="AW199" s="24" t="n"/>
      <c r="AX199" s="24" t="inlineStr">
        <is>
          <t>statistical_model</t>
        </is>
      </c>
      <c r="AY199" s="24" t="n"/>
      <c r="AZ199" s="24" t="inlineStr">
        <is>
          <t>shadow_qualified</t>
        </is>
      </c>
      <c r="BA199" s="24" t="inlineStr">
        <is>
          <t>fa9f47ded60166530cb9eb00074168c4fee68366c998034d7ab94eec1eadb6cc</t>
        </is>
      </c>
      <c r="BB199" s="24" t="inlineStr">
        <is>
          <t>tie_aware_elo</t>
        </is>
      </c>
      <c r="BC199" s="24" t="inlineStr">
        <is>
          <t>npb-tie-aware-elo-v2</t>
        </is>
      </c>
      <c r="BD199" s="24" t="inlineStr">
        <is>
          <t>fa9f47ded60166530cb9eb00074168c4fee68366c998034d7ab94eec1eadb6cc</t>
        </is>
      </c>
      <c r="BE199" s="24" t="inlineStr">
        <is>
          <t>1</t>
        </is>
      </c>
      <c r="BF199" s="24" t="inlineStr">
        <is>
          <t>1</t>
        </is>
      </c>
      <c r="BG199" s="24" t="inlineStr">
        <is>
          <t>npb-tie-aware-elo-v2</t>
        </is>
      </c>
      <c r="BH199" s="24" t="inlineStr">
        <is>
          <t>2026-10-02T04:39:58.799924Z</t>
        </is>
      </c>
      <c r="BI199" s="24" t="inlineStr">
        <is>
          <t>["same_event","same_team_same_day","same_league_same_day"]</t>
        </is>
      </c>
      <c r="BJ199" s="25" t="n"/>
      <c r="BK199" s="26" t="n">
        <v>-127</v>
      </c>
      <c r="BL199" s="27" t="n">
        <v>1.787402</v>
      </c>
      <c r="BM199" s="28" t="n">
        <v>0.5594710000000001</v>
      </c>
      <c r="BN199" s="28" t="n"/>
      <c r="BO199" s="28" t="n"/>
      <c r="BP199" s="25" t="n"/>
      <c r="BQ199" s="27" t="n"/>
      <c r="BR199" s="28" t="n"/>
      <c r="BS199" s="28" t="n"/>
      <c r="BT199" s="28" t="n"/>
      <c r="BU199" s="25" t="n"/>
      <c r="BV199" s="29" t="n"/>
      <c r="BW199" s="24" t="n"/>
      <c r="BX199" s="30" t="n"/>
      <c r="BY199" s="27" t="n"/>
      <c r="BZ199" s="24" t="n"/>
      <c r="CA199" s="31" t="n"/>
      <c r="CB199" s="24" t="n"/>
      <c r="CC199" s="24" t="n"/>
      <c r="CD199" s="24" t="n"/>
      <c r="CE199" s="24" t="n"/>
      <c r="CF199" s="24" t="n"/>
      <c r="CG199" s="24" t="n"/>
      <c r="CH199" s="24" t="n"/>
      <c r="CI199" s="24" t="n"/>
      <c r="CJ199" s="24" t="n"/>
      <c r="CK199" s="24" t="n"/>
      <c r="CL199" s="24" t="n"/>
      <c r="CM199" s="24" t="n"/>
      <c r="CN199" s="24" t="n"/>
      <c r="CO199" s="24" t="n"/>
      <c r="CP199" s="24" t="n"/>
      <c r="CQ199" s="24" t="n"/>
      <c r="CR199" s="24" t="n"/>
      <c r="CS199" s="24" t="inlineStr">
        <is>
          <t>True</t>
        </is>
      </c>
      <c r="CT199" s="24" t="n"/>
      <c r="CU199" s="24" t="n"/>
      <c r="CV199" s="24" t="n"/>
      <c r="CW199" s="24" t="n"/>
      <c r="CX199" s="24" t="n"/>
      <c r="CY199" s="24" t="n"/>
      <c r="CZ199" s="24" t="n"/>
      <c r="DA199" s="24" t="n"/>
      <c r="DB199" s="24" t="n"/>
      <c r="DC199" s="24" t="n"/>
      <c r="DD199" s="24" t="n"/>
      <c r="DE199" s="24" t="n"/>
      <c r="DF199" s="24" t="n"/>
      <c r="DG199" s="24" t="n"/>
      <c r="DH199" s="24" t="n"/>
      <c r="DI199" s="24" t="n"/>
      <c r="DJ199" s="24" t="inlineStr">
        <is>
          <t>0.559471</t>
        </is>
      </c>
      <c r="DK199" s="24" t="n"/>
      <c r="DL199" s="24" t="n"/>
      <c r="DM199" s="24" t="n"/>
      <c r="DN199" s="24" t="n"/>
      <c r="DO199" s="24" t="n"/>
      <c r="DP199" s="24" t="n"/>
      <c r="DQ199" s="24" t="inlineStr">
        <is>
          <t>{"artifact_hash": "fa9f47ded60166530cb9eb00074168c4fee68366c998034d7ab94eec1eadb6cc", "away_team": "Yomiuri Giants", "draw_settlement_value": 0.5, "event_id": "132987", "event_start_utc": "2026-10-02T09:00:00Z", "features": {"away_elo": 1512.697485, "base_tie_rate": 0.02376426, "home_advantage": 35.0, "home_elo": 1419.576933}, "historical_source_observation_times_verified": false, "home_team": "Tokyo Yakult Swallows", "inference_inputs": {"away_id": "G", "base_tie_rate": 0.02376426, "book_state": {"_games_played": null, "_last_active": null, "decay_rate": 0.0, "home_advantage": 35.0, "k": 8.0, "margin_weight": 0.0, "ratings": {"G": 1512.697485, "S": 1419.576933}}, "code_sha256": {"features/elo_ratings.py": "8525faf022a6343c452286dbfeb17dbb043744c6bdabbe448b6b371216da439b", "international_baseball.py": "f345eb917316d2e897f62c1cdd0f73153115c65da54c30c6137ad76bb7b27869"}, "home_id": "S", "tie_method": "flat"}, "market_type": "moneyline", "model_version": "npb-tie-aware-elo-v2", "observed_at_utc": "2026-10-02T04:39:58.521486+00:00", "outcome_probabilities": {"away": 0.569019128291579, "draw": 0.02376426, "home": 0.4072166117084211}, "replay_scope": "Exact Elo and tie model; logged value is expected contract settlement, not outright win probability.", "schema": "international-elo-replay-v1", "settlement_values": {"away": 0.580901, "home": 0.419099}, "snapshot_hash": "b00923104d3cea5e28b1673a33037ad1e8c70975061cdf3f713acd2bbfdf9e94", "sport": "NPB"}</t>
        </is>
      </c>
    </row>
    <row r="200" ht="36" customHeight="1">
      <c r="A200" s="24" t="inlineStr">
        <is>
          <t>dd395b659f074584</t>
        </is>
      </c>
      <c r="B200" s="24" t="inlineStr">
        <is>
          <t>2026-10-02T22:06:54.478070Z</t>
        </is>
      </c>
      <c r="C200" s="24" t="inlineStr">
        <is>
          <t>2026-10-03T05:00:00Z</t>
        </is>
      </c>
      <c r="D200" s="24" t="inlineStr">
        <is>
          <t>134380</t>
        </is>
      </c>
      <c r="E200" s="24" t="inlineStr">
        <is>
          <t>NPB</t>
        </is>
      </c>
      <c r="F200" s="24" t="inlineStr">
        <is>
          <t>Hanshin Tigers</t>
        </is>
      </c>
      <c r="G200" s="24" t="inlineStr">
        <is>
          <t>Hiroshima Carp</t>
        </is>
      </c>
      <c r="H200" s="24" t="inlineStr">
        <is>
          <t>moneyline</t>
        </is>
      </c>
      <c r="I200" s="24" t="inlineStr">
        <is>
          <t>away</t>
        </is>
      </c>
      <c r="J200" s="25" t="n"/>
      <c r="K200" s="24" t="inlineStr">
        <is>
          <t>polymarket_us</t>
        </is>
      </c>
      <c r="L200" s="26" t="n">
        <v>-178</v>
      </c>
      <c r="M200" s="27" t="n">
        <v>1.561798</v>
      </c>
      <c r="N200" s="28" t="n">
        <v>0.640288</v>
      </c>
      <c r="O200" s="28" t="n">
        <v>0.5595560000000001</v>
      </c>
      <c r="P200" s="28" t="n"/>
      <c r="Q200" s="28" t="n">
        <v>-0.080732</v>
      </c>
      <c r="R200" s="26" t="n">
        <v>0</v>
      </c>
      <c r="S200" s="29" t="n">
        <v>1</v>
      </c>
      <c r="T200" s="24" t="inlineStr">
        <is>
          <t>npb-tie-aware-elo-v2</t>
        </is>
      </c>
      <c r="U200" s="24" t="inlineStr">
        <is>
          <t>settled</t>
        </is>
      </c>
      <c r="V200" s="24" t="inlineStr">
        <is>
          <t>loss</t>
        </is>
      </c>
      <c r="W200" s="26" t="n">
        <v>4</v>
      </c>
      <c r="X200" s="26" t="n">
        <v>6</v>
      </c>
      <c r="Y200" s="25" t="n"/>
      <c r="Z200" s="26" t="n"/>
      <c r="AA200" s="28" t="n"/>
      <c r="AB200" s="28" t="n"/>
      <c r="AC200" s="30" t="n">
        <v>-1</v>
      </c>
      <c r="AD200" s="24" t="inlineStr">
        <is>
          <t>2026-10-06T23:04:18.316422Z</t>
        </is>
      </c>
      <c r="AE200" s="31" t="inlineStr">
        <is>
          <t>Tie-aware Elo baseline; executable ask 0.6400 (market_slug=aec-npb-hci-hta-2026-10-03). Tie probability=0.0238.</t>
        </is>
      </c>
      <c r="AF200" s="31" t="inlineStr">
        <is>
          <t>Config-promoted international baseball baseline; gates enforced at log time.</t>
        </is>
      </c>
      <c r="AG200" s="24" t="inlineStr">
        <is>
          <t>review_required</t>
        </is>
      </c>
      <c r="AH200" s="24" t="n"/>
      <c r="AI200" s="31" t="n"/>
      <c r="AJ200" s="31" t="n"/>
      <c r="AK200" s="24" t="inlineStr">
        <is>
          <t>paper_call</t>
        </is>
      </c>
      <c r="AL200" s="26" t="n">
        <v>4</v>
      </c>
      <c r="AM200" s="24" t="inlineStr">
        <is>
          <t>RESEARCH_OBSERVATION</t>
        </is>
      </c>
      <c r="AN200" s="24" t="inlineStr">
        <is>
          <t>CALL</t>
        </is>
      </c>
      <c r="AO200" s="24" t="inlineStr">
        <is>
          <t>PAPER_CALL_LOW_EDGE</t>
        </is>
      </c>
      <c r="AP200" s="24" t="inlineStr">
        <is>
          <t>Hanshin Tigers</t>
        </is>
      </c>
      <c r="AQ200" s="24" t="inlineStr">
        <is>
          <t>Hanshin Tigers</t>
        </is>
      </c>
      <c r="AR200" s="24" t="inlineStr">
        <is>
          <t>Hanshin Tigers</t>
        </is>
      </c>
      <c r="AS200" s="24" t="inlineStr">
        <is>
          <t>Hiroshima Carp</t>
        </is>
      </c>
      <c r="AT200" s="24" t="inlineStr">
        <is>
          <t>Hiroshima Carp</t>
        </is>
      </c>
      <c r="AU200" s="24" t="inlineStr">
        <is>
          <t>Hiroshima Carp</t>
        </is>
      </c>
      <c r="AV200" s="24" t="n"/>
      <c r="AW200" s="24" t="n"/>
      <c r="AX200" s="24" t="inlineStr">
        <is>
          <t>statistical_model</t>
        </is>
      </c>
      <c r="AY200" s="24" t="n"/>
      <c r="AZ200" s="24" t="inlineStr">
        <is>
          <t>shadow_qualified</t>
        </is>
      </c>
      <c r="BA200" s="24" t="inlineStr">
        <is>
          <t>b86f5e6eb1ef9abc6d72a51950c4888be5aab37f963aeefbef469275c21707db</t>
        </is>
      </c>
      <c r="BB200" s="24" t="inlineStr">
        <is>
          <t>tie_aware_elo</t>
        </is>
      </c>
      <c r="BC200" s="24" t="inlineStr">
        <is>
          <t>npb-tie-aware-elo-v2</t>
        </is>
      </c>
      <c r="BD200" s="24" t="inlineStr">
        <is>
          <t>b86f5e6eb1ef9abc6d72a51950c4888be5aab37f963aeefbef469275c21707db</t>
        </is>
      </c>
      <c r="BE200" s="24" t="inlineStr">
        <is>
          <t>1</t>
        </is>
      </c>
      <c r="BF200" s="24" t="inlineStr">
        <is>
          <t>1</t>
        </is>
      </c>
      <c r="BG200" s="24" t="inlineStr">
        <is>
          <t>npb-tie-aware-elo-v2</t>
        </is>
      </c>
      <c r="BH200" s="24" t="inlineStr">
        <is>
          <t>2026-10-02T22:06:42.296109Z</t>
        </is>
      </c>
      <c r="BI200" s="24" t="inlineStr">
        <is>
          <t>["same_event","same_team_same_day","same_league_same_day"]</t>
        </is>
      </c>
      <c r="BJ200" s="25" t="n"/>
      <c r="BK200" s="26" t="n">
        <v>-178</v>
      </c>
      <c r="BL200" s="27" t="n">
        <v>1.561798</v>
      </c>
      <c r="BM200" s="28" t="n">
        <v>0.640288</v>
      </c>
      <c r="BN200" s="28" t="n"/>
      <c r="BO200" s="28" t="n"/>
      <c r="BP200" s="25" t="n"/>
      <c r="BQ200" s="27" t="n"/>
      <c r="BR200" s="28" t="n"/>
      <c r="BS200" s="28" t="n"/>
      <c r="BT200" s="28" t="n"/>
      <c r="BU200" s="25" t="n"/>
      <c r="BV200" s="29" t="n"/>
      <c r="BW200" s="24" t="n"/>
      <c r="BX200" s="30" t="n"/>
      <c r="BY200" s="27" t="n"/>
      <c r="BZ200" s="24" t="n"/>
      <c r="CA200" s="31" t="n"/>
      <c r="CB200" s="24" t="n"/>
      <c r="CC200" s="24" t="n"/>
      <c r="CD200" s="24" t="n"/>
      <c r="CE200" s="24" t="n"/>
      <c r="CF200" s="24" t="n"/>
      <c r="CG200" s="24" t="n"/>
      <c r="CH200" s="24" t="n"/>
      <c r="CI200" s="24" t="n"/>
      <c r="CJ200" s="24" t="n"/>
      <c r="CK200" s="24" t="n"/>
      <c r="CL200" s="24" t="n"/>
      <c r="CM200" s="24" t="n"/>
      <c r="CN200" s="24" t="n"/>
      <c r="CO200" s="24" t="n"/>
      <c r="CP200" s="24" t="n"/>
      <c r="CQ200" s="24" t="n"/>
      <c r="CR200" s="24" t="n"/>
      <c r="CS200" s="24" t="inlineStr">
        <is>
          <t>False</t>
        </is>
      </c>
      <c r="CT200" s="24" t="n"/>
      <c r="CU200" s="24" t="n"/>
      <c r="CV200" s="24" t="n"/>
      <c r="CW200" s="24" t="n"/>
      <c r="CX200" s="24" t="n"/>
      <c r="CY200" s="24" t="n"/>
      <c r="CZ200" s="24" t="n"/>
      <c r="DA200" s="24" t="n"/>
      <c r="DB200" s="24" t="n"/>
      <c r="DC200" s="24" t="n"/>
      <c r="DD200" s="24" t="n"/>
      <c r="DE200" s="24" t="n"/>
      <c r="DF200" s="24" t="n"/>
      <c r="DG200" s="24" t="n"/>
      <c r="DH200" s="24" t="n"/>
      <c r="DI200" s="24" t="n"/>
      <c r="DJ200" s="24" t="inlineStr">
        <is>
          <t>0.640288</t>
        </is>
      </c>
      <c r="DK200" s="24" t="n"/>
      <c r="DL200" s="24" t="n"/>
      <c r="DM200" s="24" t="n"/>
      <c r="DN200" s="24" t="n"/>
      <c r="DO200" s="24" t="n"/>
      <c r="DP200" s="24" t="n"/>
      <c r="DQ200" s="24" t="inlineStr">
        <is>
          <t>{"artifact_hash": "b86f5e6eb1ef9abc6d72a51950c4888be5aab37f963aeefbef469275c21707db", "away_team": "Hanshin Tigers", "draw_settlement_value": 0.5, "event_id": "134380", "event_start_utc": "2026-10-03T05:00:00Z", "features": {"away_elo": 1528.205664, "base_tie_rate": 0.02376426, "home_advantage": 35.0, "home_elo": 1450.602544}, "historical_source_observation_times_verified": false, "home_team": "Hiroshima Carp", "inference_inputs": {"away_id": "T", "base_tie_rate": 0.02376426, "book_state": {"_games_played": null, "_last_active": null, "decay_rate": 0.0, "home_advantage": 35.0, "k": 8.0, "margin_weight": 0.0, "ratings": {"C": 1450.602544, "T": 1528.205664}}, "code_sha256": {"features/elo_ratings.py": "8525faf022a6343c452286dbfeb17dbb043744c6bdabbe448b6b371216da439b", "international_baseball.py": "f345eb917316d2e897f62c1cdd0f73153115c65da54c30c6137ad76bb7b27869"}, "home_id": "C", "tie_method": "flat"}, "market_type": "moneyline", "model_version": "npb-tie-aware-elo-v2", "observed_at_utc": "2026-10-02T22:06:42.214377+00:00", "outcome_probabilities": {"away": 0.54767348664807, "draw": 0.02376426, "home": 0.42856225335193004}, "replay_scope": "Exact Elo and tie model; logged value is expected contract settlement, not outright win probability.", "schema": "international-elo-replay-v1", "settlement_values": {"away": 0.559556, "home": 0.440444}, "snapshot_hash": "3caec9dba88c58b972e28b6353a1e43ad9b1cb5b9635eb62def23b5354902a0a", "sport": "NPB"}</t>
        </is>
      </c>
    </row>
    <row r="201" ht="36" customHeight="1">
      <c r="A201" s="24" t="inlineStr">
        <is>
          <t>bc9b29f6b12a4d21</t>
        </is>
      </c>
      <c r="B201" s="24" t="inlineStr">
        <is>
          <t>2026-10-03T05:26:16.623117Z</t>
        </is>
      </c>
      <c r="C201" s="24" t="inlineStr">
        <is>
          <t>2026-10-03T09:00:00Z</t>
        </is>
      </c>
      <c r="D201" s="24" t="inlineStr">
        <is>
          <t>134604</t>
        </is>
      </c>
      <c r="E201" s="24" t="inlineStr">
        <is>
          <t>NPB</t>
        </is>
      </c>
      <c r="F201" s="24" t="inlineStr">
        <is>
          <t>Orix Buffaloes</t>
        </is>
      </c>
      <c r="G201" s="24" t="inlineStr">
        <is>
          <t>Tohoku Rakuten Golden Eagles</t>
        </is>
      </c>
      <c r="H201" s="24" t="inlineStr">
        <is>
          <t>moneyline</t>
        </is>
      </c>
      <c r="I201" s="24" t="inlineStr">
        <is>
          <t>home</t>
        </is>
      </c>
      <c r="J201" s="25" t="n"/>
      <c r="K201" s="24" t="inlineStr">
        <is>
          <t>polymarket_us</t>
        </is>
      </c>
      <c r="L201" s="26" t="n">
        <v>-108</v>
      </c>
      <c r="M201" s="27" t="n">
        <v>1.925926</v>
      </c>
      <c r="N201" s="28" t="n">
        <v>0.519231</v>
      </c>
      <c r="O201" s="28" t="n">
        <v>0.536749</v>
      </c>
      <c r="P201" s="28" t="n"/>
      <c r="Q201" s="28" t="n">
        <v>0.017518</v>
      </c>
      <c r="R201" s="26" t="n">
        <v>29</v>
      </c>
      <c r="S201" s="29" t="n">
        <v>1</v>
      </c>
      <c r="T201" s="24" t="inlineStr">
        <is>
          <t>npb-tie-aware-elo-v2</t>
        </is>
      </c>
      <c r="U201" s="24" t="inlineStr">
        <is>
          <t>settled</t>
        </is>
      </c>
      <c r="V201" s="24" t="inlineStr">
        <is>
          <t>win</t>
        </is>
      </c>
      <c r="W201" s="26" t="n">
        <v>0</v>
      </c>
      <c r="X201" s="26" t="n">
        <v>6</v>
      </c>
      <c r="Y201" s="25" t="n"/>
      <c r="Z201" s="26" t="n"/>
      <c r="AA201" s="28" t="n"/>
      <c r="AB201" s="28" t="n"/>
      <c r="AC201" s="30" t="n">
        <v>0.9258999999999999</v>
      </c>
      <c r="AD201" s="24" t="inlineStr">
        <is>
          <t>2026-10-06T23:04:19.870751Z</t>
        </is>
      </c>
      <c r="AE201" s="31" t="inlineStr">
        <is>
          <t>Tie-aware Elo baseline; executable ask 0.5200 (market_slug=aec-npb-trge-obr-2026-10-03). Tie probability=0.0238.</t>
        </is>
      </c>
      <c r="AF201" s="31" t="inlineStr">
        <is>
          <t>Config-promoted international baseball baseline; gates enforced at log time.</t>
        </is>
      </c>
      <c r="AG201" s="24" t="inlineStr">
        <is>
          <t>not_applicable</t>
        </is>
      </c>
      <c r="AH201" s="24" t="n"/>
      <c r="AI201" s="31" t="n"/>
      <c r="AJ201" s="31" t="n"/>
      <c r="AK201" s="24" t="inlineStr">
        <is>
          <t>paper_call</t>
        </is>
      </c>
      <c r="AL201" s="26" t="n">
        <v>4</v>
      </c>
      <c r="AM201" s="24" t="inlineStr">
        <is>
          <t>RESEARCH_OBSERVATION</t>
        </is>
      </c>
      <c r="AN201" s="24" t="inlineStr">
        <is>
          <t>CALL</t>
        </is>
      </c>
      <c r="AO201" s="24" t="inlineStr">
        <is>
          <t>PAPER_CALL_LOW_EDGE</t>
        </is>
      </c>
      <c r="AP201" s="24" t="inlineStr">
        <is>
          <t>Orix Buffaloes</t>
        </is>
      </c>
      <c r="AQ201" s="24" t="inlineStr">
        <is>
          <t>Orix Buffaloes</t>
        </is>
      </c>
      <c r="AR201" s="24" t="inlineStr">
        <is>
          <t>Orix Buffaloes</t>
        </is>
      </c>
      <c r="AS201" s="24" t="inlineStr">
        <is>
          <t>Tohoku Rakuten Golden Eagles</t>
        </is>
      </c>
      <c r="AT201" s="24" t="inlineStr">
        <is>
          <t>Tohoku Rakuten Golden Eagles</t>
        </is>
      </c>
      <c r="AU201" s="24" t="inlineStr">
        <is>
          <t>Tohoku Rakuten Golden Eagles</t>
        </is>
      </c>
      <c r="AV201" s="24" t="n"/>
      <c r="AW201" s="24" t="n"/>
      <c r="AX201" s="24" t="inlineStr">
        <is>
          <t>statistical_model</t>
        </is>
      </c>
      <c r="AY201" s="24" t="n"/>
      <c r="AZ201" s="24" t="inlineStr">
        <is>
          <t>shadow_qualified</t>
        </is>
      </c>
      <c r="BA201" s="24" t="inlineStr">
        <is>
          <t>89df1e7f4bf49fdbe6304b09f5bf61e53747cf70ccdaced419557594b6aa3252</t>
        </is>
      </c>
      <c r="BB201" s="24" t="inlineStr">
        <is>
          <t>tie_aware_elo</t>
        </is>
      </c>
      <c r="BC201" s="24" t="inlineStr">
        <is>
          <t>npb-tie-aware-elo-v2</t>
        </is>
      </c>
      <c r="BD201" s="24" t="inlineStr">
        <is>
          <t>89df1e7f4bf49fdbe6304b09f5bf61e53747cf70ccdaced419557594b6aa3252</t>
        </is>
      </c>
      <c r="BE201" s="24" t="inlineStr">
        <is>
          <t>1</t>
        </is>
      </c>
      <c r="BF201" s="24" t="inlineStr">
        <is>
          <t>1</t>
        </is>
      </c>
      <c r="BG201" s="24" t="inlineStr">
        <is>
          <t>npb-tie-aware-elo-v2</t>
        </is>
      </c>
      <c r="BH201" s="24" t="inlineStr">
        <is>
          <t>2026-10-03T05:26:08.157984Z</t>
        </is>
      </c>
      <c r="BI201" s="24" t="inlineStr">
        <is>
          <t>["same_event","same_team_same_day","same_league_same_day"]</t>
        </is>
      </c>
      <c r="BJ201" s="25" t="n"/>
      <c r="BK201" s="26" t="n">
        <v>-108</v>
      </c>
      <c r="BL201" s="27" t="n">
        <v>1.925926</v>
      </c>
      <c r="BM201" s="28" t="n">
        <v>0.519231</v>
      </c>
      <c r="BN201" s="28" t="n"/>
      <c r="BO201" s="28" t="n"/>
      <c r="BP201" s="25" t="n"/>
      <c r="BQ201" s="27" t="n"/>
      <c r="BR201" s="28" t="n"/>
      <c r="BS201" s="28" t="n"/>
      <c r="BT201" s="28" t="n"/>
      <c r="BU201" s="25" t="n"/>
      <c r="BV201" s="29" t="n"/>
      <c r="BW201" s="24" t="n"/>
      <c r="BX201" s="30" t="n"/>
      <c r="BY201" s="27" t="n"/>
      <c r="BZ201" s="24" t="n"/>
      <c r="CA201" s="31" t="n"/>
      <c r="CB201" s="24" t="n"/>
      <c r="CC201" s="24" t="n"/>
      <c r="CD201" s="24" t="n"/>
      <c r="CE201" s="24" t="n"/>
      <c r="CF201" s="24" t="n"/>
      <c r="CG201" s="24" t="n"/>
      <c r="CH201" s="24" t="n"/>
      <c r="CI201" s="24" t="n"/>
      <c r="CJ201" s="24" t="n"/>
      <c r="CK201" s="24" t="n"/>
      <c r="CL201" s="24" t="n"/>
      <c r="CM201" s="24" t="n"/>
      <c r="CN201" s="24" t="n"/>
      <c r="CO201" s="24" t="n"/>
      <c r="CP201" s="24" t="n"/>
      <c r="CQ201" s="24" t="n"/>
      <c r="CR201" s="24" t="n"/>
      <c r="CS201" s="24" t="inlineStr">
        <is>
          <t>True</t>
        </is>
      </c>
      <c r="CT201" s="24" t="n"/>
      <c r="CU201" s="24" t="n"/>
      <c r="CV201" s="24" t="n"/>
      <c r="CW201" s="24" t="n"/>
      <c r="CX201" s="24" t="n"/>
      <c r="CY201" s="24" t="n"/>
      <c r="CZ201" s="24" t="n"/>
      <c r="DA201" s="24" t="n"/>
      <c r="DB201" s="24" t="n"/>
      <c r="DC201" s="24" t="n"/>
      <c r="DD201" s="24" t="n"/>
      <c r="DE201" s="24" t="n"/>
      <c r="DF201" s="24" t="n"/>
      <c r="DG201" s="24" t="n"/>
      <c r="DH201" s="24" t="n"/>
      <c r="DI201" s="24" t="n"/>
      <c r="DJ201" s="24" t="inlineStr">
        <is>
          <t>0.519231</t>
        </is>
      </c>
      <c r="DK201" s="24" t="n"/>
      <c r="DL201" s="24" t="n"/>
      <c r="DM201" s="24" t="n"/>
      <c r="DN201" s="24" t="n"/>
      <c r="DO201" s="24" t="n"/>
      <c r="DP201" s="24" t="n"/>
      <c r="DQ201" s="24" t="inlineStr">
        <is>
          <t>{"artifact_hash": "89df1e7f4bf49fdbe6304b09f5bf61e53747cf70ccdaced419557594b6aa3252", "away_team": "Orix Buffaloes", "draw_settlement_value": 0.5, "event_id": "134604", "event_start_utc": "2026-10-03T09:00:00Z", "features": {"away_elo": 1479.683277, "base_tie_rate": 0.02376426, "home_advantage": 35.0, "home_elo": 1470.890039}, "historical_source_observation_times_verified": false, "home_team": "Tohoku Rakuten Golden Eagles", "inference_inputs": {"away_id": "B", "base_tie_rate": 0.02376426, "book_state": {"_games_played": null, "_last_active": null, "decay_rate": 0.0, "home_advantage": 35.0, "k": 8.0, "margin_weight": 0.0, "ratings": {"B": 1479.683277, "E": 1470.890039}}, "code_sha256": {"features/elo_ratings.py": "8525faf022a6343c452286dbfeb17dbb043744c6bdabbe448b6b371216da439b", "international_baseball.py": "f345eb917316d2e897f62c1cdd0f73153115c65da54c30c6137ad76bb7b27869"}, "home_id": "E", "tie_method": "flat"}, "market_type": "moneyline", "model_version": "npb-tie-aware-elo-v2", "observed_at_utc": "2026-10-03T05:26:08.071848+00:00", "outcome_probabilities": {"away": 0.4513692344769387, "draw": 0.02376426, "home": 0.5248665055230612}, "replay_scope": "Exact Elo and tie model; logged value is expected contract settlement, not outright win probability.", "schema": "international-elo-replay-v1", "settlement_values": {"away": 0.463251, "home": 0.536749}, "snapshot_hash": "2c13fad4c68dc8cf44b1fce4d6c5201028e405f6987727e207acd6033293e71f", "sport": "NPB"}</t>
        </is>
      </c>
    </row>
    <row r="202" ht="36" customHeight="1">
      <c r="A202" s="24" t="inlineStr">
        <is>
          <t>4809b465eead40ad</t>
        </is>
      </c>
      <c r="B202" s="24" t="inlineStr">
        <is>
          <t>2026-10-03T05:26:16.623117Z</t>
        </is>
      </c>
      <c r="C202" s="24" t="inlineStr">
        <is>
          <t>2026-10-03T09:00:00Z</t>
        </is>
      </c>
      <c r="D202" s="24" t="inlineStr">
        <is>
          <t>134605</t>
        </is>
      </c>
      <c r="E202" s="24" t="inlineStr">
        <is>
          <t>NPB</t>
        </is>
      </c>
      <c r="F202" s="24" t="inlineStr">
        <is>
          <t>Chunichi Dragons</t>
        </is>
      </c>
      <c r="G202" s="24" t="inlineStr">
        <is>
          <t>Tokyo Yakult Swallows</t>
        </is>
      </c>
      <c r="H202" s="24" t="inlineStr">
        <is>
          <t>moneyline</t>
        </is>
      </c>
      <c r="I202" s="24" t="inlineStr">
        <is>
          <t>home</t>
        </is>
      </c>
      <c r="J202" s="25" t="n"/>
      <c r="K202" s="24" t="inlineStr">
        <is>
          <t>polymarket_us</t>
        </is>
      </c>
      <c r="L202" s="26" t="n">
        <v>117</v>
      </c>
      <c r="M202" s="27" t="n">
        <v>2.17</v>
      </c>
      <c r="N202" s="28" t="n">
        <v>0.460829</v>
      </c>
      <c r="O202" s="28" t="n">
        <v>0.507432</v>
      </c>
      <c r="P202" s="28" t="n"/>
      <c r="Q202" s="28" t="n">
        <v>0.046603</v>
      </c>
      <c r="R202" s="26" t="n">
        <v>43</v>
      </c>
      <c r="S202" s="29" t="n">
        <v>1</v>
      </c>
      <c r="T202" s="24" t="inlineStr">
        <is>
          <t>npb-tie-aware-elo-v2</t>
        </is>
      </c>
      <c r="U202" s="24" t="inlineStr">
        <is>
          <t>settled</t>
        </is>
      </c>
      <c r="V202" s="24" t="inlineStr">
        <is>
          <t>loss</t>
        </is>
      </c>
      <c r="W202" s="26" t="n">
        <v>3</v>
      </c>
      <c r="X202" s="26" t="n">
        <v>1</v>
      </c>
      <c r="Y202" s="25" t="n"/>
      <c r="Z202" s="26" t="n"/>
      <c r="AA202" s="28" t="n"/>
      <c r="AB202" s="28" t="n"/>
      <c r="AC202" s="30" t="n">
        <v>-1</v>
      </c>
      <c r="AD202" s="24" t="inlineStr">
        <is>
          <t>2026-10-06T23:04:21.396595Z</t>
        </is>
      </c>
      <c r="AE202" s="31" t="inlineStr">
        <is>
          <t>Tie-aware Elo baseline; executable ask 0.4600 (market_slug=aec-npb-tys-cdh-2026-10-03). Tie probability=0.0238.</t>
        </is>
      </c>
      <c r="AF202" s="31" t="inlineStr">
        <is>
          <t>Config-promoted international baseball baseline; gates enforced at log time.</t>
        </is>
      </c>
      <c r="AG202" s="24" t="inlineStr">
        <is>
          <t>review_required</t>
        </is>
      </c>
      <c r="AH202" s="24" t="n"/>
      <c r="AI202" s="31" t="n"/>
      <c r="AJ202" s="31" t="n"/>
      <c r="AK202" s="24" t="inlineStr">
        <is>
          <t>paper_call</t>
        </is>
      </c>
      <c r="AL202" s="26" t="n">
        <v>4</v>
      </c>
      <c r="AM202" s="24" t="inlineStr">
        <is>
          <t>RESEARCH_OBSERVATION</t>
        </is>
      </c>
      <c r="AN202" s="24" t="inlineStr">
        <is>
          <t>CALL</t>
        </is>
      </c>
      <c r="AO202" s="24" t="inlineStr">
        <is>
          <t>PAPER_CALL_LOW_EDGE</t>
        </is>
      </c>
      <c r="AP202" s="24" t="inlineStr">
        <is>
          <t>Chunichi Dragons</t>
        </is>
      </c>
      <c r="AQ202" s="24" t="inlineStr">
        <is>
          <t>Chunichi Dragons</t>
        </is>
      </c>
      <c r="AR202" s="24" t="inlineStr">
        <is>
          <t>Chunichi Dragons</t>
        </is>
      </c>
      <c r="AS202" s="24" t="inlineStr">
        <is>
          <t>Tokyo Yakult Swallows</t>
        </is>
      </c>
      <c r="AT202" s="24" t="inlineStr">
        <is>
          <t>Tokyo Yakult Swallows</t>
        </is>
      </c>
      <c r="AU202" s="24" t="inlineStr">
        <is>
          <t>Tokyo Yakult Swallows</t>
        </is>
      </c>
      <c r="AV202" s="24" t="n"/>
      <c r="AW202" s="24" t="n"/>
      <c r="AX202" s="24" t="inlineStr">
        <is>
          <t>statistical_model</t>
        </is>
      </c>
      <c r="AY202" s="24" t="n"/>
      <c r="AZ202" s="24" t="inlineStr">
        <is>
          <t>shadow_qualified</t>
        </is>
      </c>
      <c r="BA202" s="24" t="inlineStr">
        <is>
          <t>89df1e7f4bf49fdbe6304b09f5bf61e53747cf70ccdaced419557594b6aa3252</t>
        </is>
      </c>
      <c r="BB202" s="24" t="inlineStr">
        <is>
          <t>tie_aware_elo</t>
        </is>
      </c>
      <c r="BC202" s="24" t="inlineStr">
        <is>
          <t>npb-tie-aware-elo-v2</t>
        </is>
      </c>
      <c r="BD202" s="24" t="inlineStr">
        <is>
          <t>89df1e7f4bf49fdbe6304b09f5bf61e53747cf70ccdaced419557594b6aa3252</t>
        </is>
      </c>
      <c r="BE202" s="24" t="inlineStr">
        <is>
          <t>1</t>
        </is>
      </c>
      <c r="BF202" s="24" t="inlineStr">
        <is>
          <t>1</t>
        </is>
      </c>
      <c r="BG202" s="24" t="inlineStr">
        <is>
          <t>npb-tie-aware-elo-v2</t>
        </is>
      </c>
      <c r="BH202" s="24" t="inlineStr">
        <is>
          <t>2026-10-03T05:26:08.213979Z</t>
        </is>
      </c>
      <c r="BI202" s="24" t="inlineStr">
        <is>
          <t>["same_event","same_team_same_day","same_league_same_day"]</t>
        </is>
      </c>
      <c r="BJ202" s="25" t="n"/>
      <c r="BK202" s="26" t="n">
        <v>117</v>
      </c>
      <c r="BL202" s="27" t="n">
        <v>2.17</v>
      </c>
      <c r="BM202" s="28" t="n">
        <v>0.460829</v>
      </c>
      <c r="BN202" s="28" t="n"/>
      <c r="BO202" s="28" t="n"/>
      <c r="BP202" s="25" t="n"/>
      <c r="BQ202" s="27" t="n"/>
      <c r="BR202" s="28" t="n"/>
      <c r="BS202" s="28" t="n"/>
      <c r="BT202" s="28" t="n"/>
      <c r="BU202" s="25" t="n"/>
      <c r="BV202" s="29" t="n"/>
      <c r="BW202" s="24" t="n"/>
      <c r="BX202" s="30" t="n"/>
      <c r="BY202" s="27" t="n"/>
      <c r="BZ202" s="24" t="n"/>
      <c r="CA202" s="31" t="n"/>
      <c r="CB202" s="24" t="n"/>
      <c r="CC202" s="24" t="n"/>
      <c r="CD202" s="24" t="n"/>
      <c r="CE202" s="24" t="n"/>
      <c r="CF202" s="24" t="n"/>
      <c r="CG202" s="24" t="n"/>
      <c r="CH202" s="24" t="n"/>
      <c r="CI202" s="24" t="n"/>
      <c r="CJ202" s="24" t="n"/>
      <c r="CK202" s="24" t="n"/>
      <c r="CL202" s="24" t="n"/>
      <c r="CM202" s="24" t="n"/>
      <c r="CN202" s="24" t="n"/>
      <c r="CO202" s="24" t="n"/>
      <c r="CP202" s="24" t="n"/>
      <c r="CQ202" s="24" t="n"/>
      <c r="CR202" s="24" t="n"/>
      <c r="CS202" s="24" t="inlineStr">
        <is>
          <t>True</t>
        </is>
      </c>
      <c r="CT202" s="24" t="n"/>
      <c r="CU202" s="24" t="n"/>
      <c r="CV202" s="24" t="n"/>
      <c r="CW202" s="24" t="n"/>
      <c r="CX202" s="24" t="n"/>
      <c r="CY202" s="24" t="n"/>
      <c r="CZ202" s="24" t="n"/>
      <c r="DA202" s="24" t="n"/>
      <c r="DB202" s="24" t="n"/>
      <c r="DC202" s="24" t="n"/>
      <c r="DD202" s="24" t="n"/>
      <c r="DE202" s="24" t="n"/>
      <c r="DF202" s="24" t="n"/>
      <c r="DG202" s="24" t="n"/>
      <c r="DH202" s="24" t="n"/>
      <c r="DI202" s="24" t="n"/>
      <c r="DJ202" s="24" t="inlineStr">
        <is>
          <t>0.460829</t>
        </is>
      </c>
      <c r="DK202" s="24" t="n"/>
      <c r="DL202" s="24" t="n"/>
      <c r="DM202" s="24" t="n"/>
      <c r="DN202" s="24" t="n"/>
      <c r="DO202" s="24" t="n"/>
      <c r="DP202" s="24" t="n"/>
      <c r="DQ202" s="24" t="inlineStr">
        <is>
          <t>{"artifact_hash": "89df1e7f4bf49fdbe6304b09f5bf61e53747cf70ccdaced419557594b6aa3252", "away_team": "Chunichi Dragons", "draw_settlement_value": 0.5, "event_id": "134605", "event_start_utc": "2026-10-03T09:00:00Z", "features": {"away_elo": 1449.286549, "base_tie_rate": 0.02376426, "home_advantage": 35.0, "home_elo": 1419.576933}, "historical_source_observation_times_verified": false, "home_team": "Tokyo Yakult Swallows", "inference_inputs": {"away_id": "D", "base_tie_rate": 0.02376426, "book_state": {"_games_played": null, "_last_active": null, "decay_rate": 0.0, "home_advantage": 35.0, "k": 8.0, "margin_weight": 0.0, "ratings": {"D": 1449.286549, "S": 1419.576933}}, "code_sha256": {"features/elo_ratings.py": "8525faf022a6343c452286dbfeb17dbb043744c6bdabbe448b6b371216da439b", "international_baseball.py": "f345eb917316d2e897f62c1cdd0f73153115c65da54c30c6137ad76bb7b27869"}, "home_id": "S", "tie_method": "flat"}, "market_type": "moneyline", "model_version": "npb-tie-aware-elo-v2", "observed_at_utc": "2026-10-03T05:26:08.071848+00:00", "outcome_probabilities": {"away": 0.4806858983887738, "draw": 0.02376426, "home": 0.4955498416112262}, "replay_scope": "Exact Elo and tie model; logged value is expected contract settlement, not outright win probability.", "schema": "international-elo-replay-v1", "settlement_values": {"away": 0.492568, "home": 0.507432}, "snapshot_hash": "de50a81976e6b5bb515bd76575a8870934b9d75f729781b67d4580fd618b25ba", "sport": "NPB"}</t>
        </is>
      </c>
    </row>
    <row r="203" ht="36" customHeight="1">
      <c r="A203" s="24" t="inlineStr">
        <is>
          <t>ab5423d5bd8a4d72</t>
        </is>
      </c>
      <c r="B203" s="24" t="inlineStr">
        <is>
          <t>2026-10-03T22:33:03.158702Z</t>
        </is>
      </c>
      <c r="C203" s="24" t="inlineStr">
        <is>
          <t>2026-10-04T09:00:00Z</t>
        </is>
      </c>
      <c r="D203" s="24" t="inlineStr">
        <is>
          <t>136445</t>
        </is>
      </c>
      <c r="E203" s="24" t="inlineStr">
        <is>
          <t>NPB</t>
        </is>
      </c>
      <c r="F203" s="24" t="inlineStr">
        <is>
          <t>Hiroshima Carp</t>
        </is>
      </c>
      <c r="G203" s="24" t="inlineStr">
        <is>
          <t>Tokyo Yakult Swallows</t>
        </is>
      </c>
      <c r="H203" s="24" t="inlineStr">
        <is>
          <t>moneyline</t>
        </is>
      </c>
      <c r="I203" s="24" t="inlineStr">
        <is>
          <t>home</t>
        </is>
      </c>
      <c r="J203" s="25" t="n"/>
      <c r="K203" s="24" t="inlineStr">
        <is>
          <t>polymarket_us</t>
        </is>
      </c>
      <c r="L203" s="26" t="n">
        <v>144</v>
      </c>
      <c r="M203" s="27" t="n">
        <v>2.44</v>
      </c>
      <c r="N203" s="28" t="n">
        <v>0.409836</v>
      </c>
      <c r="O203" s="28" t="n">
        <v>0.505583</v>
      </c>
      <c r="P203" s="28" t="n"/>
      <c r="Q203" s="28" t="n">
        <v>0.095747</v>
      </c>
      <c r="R203" s="26" t="n">
        <v>68</v>
      </c>
      <c r="S203" s="29" t="n">
        <v>1.25</v>
      </c>
      <c r="T203" s="24" t="inlineStr">
        <is>
          <t>npb-tie-aware-elo-v2</t>
        </is>
      </c>
      <c r="U203" s="24" t="inlineStr">
        <is>
          <t>settled</t>
        </is>
      </c>
      <c r="V203" s="24" t="inlineStr">
        <is>
          <t>loss</t>
        </is>
      </c>
      <c r="W203" s="26" t="n">
        <v>7</v>
      </c>
      <c r="X203" s="26" t="n">
        <v>4</v>
      </c>
      <c r="Y203" s="25" t="n"/>
      <c r="Z203" s="26" t="n"/>
      <c r="AA203" s="28" t="n"/>
      <c r="AB203" s="28" t="n"/>
      <c r="AC203" s="30" t="n">
        <v>-1.25</v>
      </c>
      <c r="AD203" s="24" t="inlineStr">
        <is>
          <t>2026-10-06T23:04:22.970105Z</t>
        </is>
      </c>
      <c r="AE203" s="31" t="inlineStr">
        <is>
          <t>Tie-aware Elo baseline; executable ask 0.4100 (market_slug=aec-npb-tys-hci-2026-10-04). Tie probability=0.0238.</t>
        </is>
      </c>
      <c r="AF203" s="31" t="inlineStr">
        <is>
          <t>Config-promoted international baseball baseline; gates enforced at log time.</t>
        </is>
      </c>
      <c r="AG203" s="24" t="inlineStr">
        <is>
          <t>review_required</t>
        </is>
      </c>
      <c r="AH203" s="24" t="n"/>
      <c r="AI203" s="31" t="n"/>
      <c r="AJ203" s="31" t="n"/>
      <c r="AK203" s="24" t="inlineStr">
        <is>
          <t>paper_call</t>
        </is>
      </c>
      <c r="AL203" s="26" t="n">
        <v>4</v>
      </c>
      <c r="AM203" s="24" t="inlineStr">
        <is>
          <t>RESEARCH_OBSERVATION</t>
        </is>
      </c>
      <c r="AN203" s="24" t="inlineStr">
        <is>
          <t>CALL</t>
        </is>
      </c>
      <c r="AO203" s="24" t="inlineStr">
        <is>
          <t>PAPER_CALL_LOW_EDGE</t>
        </is>
      </c>
      <c r="AP203" s="24" t="inlineStr">
        <is>
          <t>Hiroshima Carp</t>
        </is>
      </c>
      <c r="AQ203" s="24" t="inlineStr">
        <is>
          <t>Hiroshima Carp</t>
        </is>
      </c>
      <c r="AR203" s="24" t="inlineStr">
        <is>
          <t>Hiroshima Carp</t>
        </is>
      </c>
      <c r="AS203" s="24" t="inlineStr">
        <is>
          <t>Tokyo Yakult Swallows</t>
        </is>
      </c>
      <c r="AT203" s="24" t="inlineStr">
        <is>
          <t>Tokyo Yakult Swallows</t>
        </is>
      </c>
      <c r="AU203" s="24" t="inlineStr">
        <is>
          <t>Tokyo Yakult Swallows</t>
        </is>
      </c>
      <c r="AV203" s="24" t="n"/>
      <c r="AW203" s="24" t="n"/>
      <c r="AX203" s="24" t="inlineStr">
        <is>
          <t>statistical_model</t>
        </is>
      </c>
      <c r="AY203" s="24" t="n"/>
      <c r="AZ203" s="24" t="inlineStr">
        <is>
          <t>shadow_qualified</t>
        </is>
      </c>
      <c r="BA203" s="24" t="inlineStr">
        <is>
          <t>2a12dcd4d95aaa7cbbed3be165653408d4c24923ac2847e735a95137a1c70628</t>
        </is>
      </c>
      <c r="BB203" s="24" t="inlineStr">
        <is>
          <t>tie_aware_elo</t>
        </is>
      </c>
      <c r="BC203" s="24" t="inlineStr">
        <is>
          <t>npb-tie-aware-elo-v2</t>
        </is>
      </c>
      <c r="BD203" s="24" t="inlineStr">
        <is>
          <t>2a12dcd4d95aaa7cbbed3be165653408d4c24923ac2847e735a95137a1c70628</t>
        </is>
      </c>
      <c r="BE203" s="24" t="inlineStr">
        <is>
          <t>1</t>
        </is>
      </c>
      <c r="BF203" s="24" t="inlineStr">
        <is>
          <t>1</t>
        </is>
      </c>
      <c r="BG203" s="24" t="inlineStr">
        <is>
          <t>npb-tie-aware-elo-v2</t>
        </is>
      </c>
      <c r="BH203" s="24" t="inlineStr">
        <is>
          <t>2026-10-03T22:32:58.659948Z</t>
        </is>
      </c>
      <c r="BI203" s="24" t="inlineStr">
        <is>
          <t>["same_event","same_team_same_day","same_league_same_day"]</t>
        </is>
      </c>
      <c r="BJ203" s="25" t="n"/>
      <c r="BK203" s="26" t="n">
        <v>144</v>
      </c>
      <c r="BL203" s="27" t="n">
        <v>2.44</v>
      </c>
      <c r="BM203" s="28" t="n">
        <v>0.409836</v>
      </c>
      <c r="BN203" s="28" t="n"/>
      <c r="BO203" s="28" t="n"/>
      <c r="BP203" s="25" t="n"/>
      <c r="BQ203" s="27" t="n"/>
      <c r="BR203" s="28" t="n"/>
      <c r="BS203" s="28" t="n"/>
      <c r="BT203" s="28" t="n"/>
      <c r="BU203" s="25" t="n"/>
      <c r="BV203" s="29" t="n"/>
      <c r="BW203" s="24" t="n"/>
      <c r="BX203" s="30" t="n"/>
      <c r="BY203" s="27" t="n"/>
      <c r="BZ203" s="24" t="n"/>
      <c r="CA203" s="31" t="n"/>
      <c r="CB203" s="24" t="n"/>
      <c r="CC203" s="24" t="n"/>
      <c r="CD203" s="24" t="n"/>
      <c r="CE203" s="24" t="n"/>
      <c r="CF203" s="24" t="n"/>
      <c r="CG203" s="24" t="n"/>
      <c r="CH203" s="24" t="n"/>
      <c r="CI203" s="24" t="n"/>
      <c r="CJ203" s="24" t="n"/>
      <c r="CK203" s="24" t="n"/>
      <c r="CL203" s="24" t="n"/>
      <c r="CM203" s="24" t="n"/>
      <c r="CN203" s="24" t="n"/>
      <c r="CO203" s="24" t="n"/>
      <c r="CP203" s="24" t="n"/>
      <c r="CQ203" s="24" t="n"/>
      <c r="CR203" s="24" t="n"/>
      <c r="CS203" s="24" t="inlineStr">
        <is>
          <t>True</t>
        </is>
      </c>
      <c r="CT203" s="24" t="n"/>
      <c r="CU203" s="24" t="n"/>
      <c r="CV203" s="24" t="n"/>
      <c r="CW203" s="24" t="n"/>
      <c r="CX203" s="24" t="n"/>
      <c r="CY203" s="24" t="n"/>
      <c r="CZ203" s="24" t="n"/>
      <c r="DA203" s="24" t="n"/>
      <c r="DB203" s="24" t="n"/>
      <c r="DC203" s="24" t="n"/>
      <c r="DD203" s="24" t="n"/>
      <c r="DE203" s="24" t="n"/>
      <c r="DF203" s="24" t="n"/>
      <c r="DG203" s="24" t="n"/>
      <c r="DH203" s="24" t="n"/>
      <c r="DI203" s="24" t="n"/>
      <c r="DJ203" s="24" t="inlineStr">
        <is>
          <t>0.409836</t>
        </is>
      </c>
      <c r="DK203" s="24" t="n"/>
      <c r="DL203" s="24" t="n"/>
      <c r="DM203" s="24" t="n"/>
      <c r="DN203" s="24" t="n"/>
      <c r="DO203" s="24" t="n"/>
      <c r="DP203" s="24" t="n"/>
      <c r="DQ203" s="24" t="inlineStr">
        <is>
          <t>{"artifact_hash": "2a12dcd4d95aaa7cbbed3be165653408d4c24923ac2847e735a95137a1c70628", "away_team": "Hiroshima Carp", "draw_settlement_value": 0.5, "event_id": "136445", "event_start_utc": "2026-10-04T09:00:00Z", "features": {"away_elo": 1450.602544, "base_tie_rate": 0.02376426, "home_advantage": 35.0, "home_elo": 1419.576933}, "historical_source_observation_times_verified": false, "home_team": "Tokyo Yakult Swallows", "inference_inputs": {"away_id": "C", "base_tie_rate": 0.02376426, "book_state": {"_games_played": null, "_last_active": null, "decay_rate": 0.0, "home_advantage": 35.0, "k": 8.0, "margin_weight": 0.0, "ratings": {"C": 1450.602544, "S": 1419.576933}}, "code_sha256": {"features/elo_ratings.py": "8525faf022a6343c452286dbfeb17dbb043744c6bdabbe448b6b371216da439b", "international_baseball.py": "f345eb917316d2e897f62c1cdd0f73153115c65da54c30c6137ad76bb7b27869"}, "home_id": "S", "tie_method": "flat"}, "market_type": "moneyline", "model_version": "npb-tie-aware-elo-v2", "observed_at_utc": "2026-10-03T22:32:58.590154+00:00", "outcome_probabilities": {"away": 0.4825344301916807, "draw": 0.02376426, "home": 0.49370130980831933}, "replay_scope": "Exact Elo and tie model; logged value is expected contract settlement, not outright win probability.", "schema": "international-elo-replay-v1", "settlement_values": {"away": 0.494417, "home": 0.505583}, "snapshot_hash": "4fe9b9b7533ab3699a79f74d35d28b8ace1ebe155b55d542b85c00bef4864632", "sport": "NPB"}</t>
        </is>
      </c>
    </row>
    <row r="204" ht="36" customHeight="1">
      <c r="A204" s="24" t="inlineStr">
        <is>
          <t>1fa6ac16643d46f5</t>
        </is>
      </c>
      <c r="B204" s="24" t="inlineStr">
        <is>
          <t>2026-10-03T22:33:03.158702Z</t>
        </is>
      </c>
      <c r="C204" s="24" t="inlineStr">
        <is>
          <t>2026-10-04T09:00:00Z</t>
        </is>
      </c>
      <c r="D204" s="24" t="inlineStr">
        <is>
          <t>136446</t>
        </is>
      </c>
      <c r="E204" s="24" t="inlineStr">
        <is>
          <t>NPB</t>
        </is>
      </c>
      <c r="F204" s="24" t="inlineStr">
        <is>
          <t>Tohoku Rakuten Golden Eagles</t>
        </is>
      </c>
      <c r="G204" s="24" t="inlineStr">
        <is>
          <t>Chiba Lotte Marines</t>
        </is>
      </c>
      <c r="H204" s="24" t="inlineStr">
        <is>
          <t>moneyline</t>
        </is>
      </c>
      <c r="I204" s="24" t="inlineStr">
        <is>
          <t>home</t>
        </is>
      </c>
      <c r="J204" s="25" t="n"/>
      <c r="K204" s="24" t="inlineStr">
        <is>
          <t>polymarket_us</t>
        </is>
      </c>
      <c r="L204" s="26" t="n">
        <v>104</v>
      </c>
      <c r="M204" s="27" t="n">
        <v>2.04</v>
      </c>
      <c r="N204" s="28" t="n">
        <v>0.490196</v>
      </c>
      <c r="O204" s="28" t="n">
        <v>0.556395</v>
      </c>
      <c r="P204" s="28" t="n"/>
      <c r="Q204" s="28" t="n">
        <v>0.06619899999999999</v>
      </c>
      <c r="R204" s="26" t="n">
        <v>53</v>
      </c>
      <c r="S204" s="29" t="n">
        <v>1</v>
      </c>
      <c r="T204" s="24" t="inlineStr">
        <is>
          <t>npb-tie-aware-elo-v2</t>
        </is>
      </c>
      <c r="U204" s="24" t="inlineStr">
        <is>
          <t>settled</t>
        </is>
      </c>
      <c r="V204" s="24" t="inlineStr">
        <is>
          <t>win</t>
        </is>
      </c>
      <c r="W204" s="26" t="n">
        <v>2</v>
      </c>
      <c r="X204" s="26" t="n">
        <v>3</v>
      </c>
      <c r="Y204" s="25" t="n"/>
      <c r="Z204" s="26" t="n"/>
      <c r="AA204" s="28" t="n"/>
      <c r="AB204" s="28" t="n"/>
      <c r="AC204" s="30" t="n">
        <v>1.04</v>
      </c>
      <c r="AD204" s="24" t="inlineStr">
        <is>
          <t>2026-10-06T23:04:24.577992Z</t>
        </is>
      </c>
      <c r="AE204" s="31" t="inlineStr">
        <is>
          <t>Tie-aware Elo baseline; executable ask 0.4900 (market_slug=aec-npb-clm-trge-2026-10-04). Tie probability=0.0238.</t>
        </is>
      </c>
      <c r="AF204" s="31" t="inlineStr">
        <is>
          <t>Config-promoted international baseball baseline; gates enforced at log time.</t>
        </is>
      </c>
      <c r="AG204" s="24" t="inlineStr">
        <is>
          <t>not_applicable</t>
        </is>
      </c>
      <c r="AH204" s="24" t="n"/>
      <c r="AI204" s="31" t="n"/>
      <c r="AJ204" s="31" t="n"/>
      <c r="AK204" s="24" t="inlineStr">
        <is>
          <t>paper_call</t>
        </is>
      </c>
      <c r="AL204" s="26" t="n">
        <v>4</v>
      </c>
      <c r="AM204" s="24" t="inlineStr">
        <is>
          <t>RESEARCH_OBSERVATION</t>
        </is>
      </c>
      <c r="AN204" s="24" t="inlineStr">
        <is>
          <t>CALL</t>
        </is>
      </c>
      <c r="AO204" s="24" t="inlineStr">
        <is>
          <t>PAPER_CALL_LOW_EDGE</t>
        </is>
      </c>
      <c r="AP204" s="24" t="inlineStr">
        <is>
          <t>Tohoku Rakuten Golden Eagles</t>
        </is>
      </c>
      <c r="AQ204" s="24" t="inlineStr">
        <is>
          <t>Tohoku Rakuten Golden Eagles</t>
        </is>
      </c>
      <c r="AR204" s="24" t="inlineStr">
        <is>
          <t>Tohoku Rakuten Golden Eagles</t>
        </is>
      </c>
      <c r="AS204" s="24" t="inlineStr">
        <is>
          <t>Chiba Lotte Marines</t>
        </is>
      </c>
      <c r="AT204" s="24" t="inlineStr">
        <is>
          <t>Chiba Lotte Marines</t>
        </is>
      </c>
      <c r="AU204" s="24" t="inlineStr">
        <is>
          <t>Chiba Lotte Marines</t>
        </is>
      </c>
      <c r="AV204" s="24" t="n"/>
      <c r="AW204" s="24" t="n"/>
      <c r="AX204" s="24" t="inlineStr">
        <is>
          <t>statistical_model</t>
        </is>
      </c>
      <c r="AY204" s="24" t="n"/>
      <c r="AZ204" s="24" t="inlineStr">
        <is>
          <t>shadow_qualified</t>
        </is>
      </c>
      <c r="BA204" s="24" t="inlineStr">
        <is>
          <t>2a12dcd4d95aaa7cbbed3be165653408d4c24923ac2847e735a95137a1c70628</t>
        </is>
      </c>
      <c r="BB204" s="24" t="inlineStr">
        <is>
          <t>tie_aware_elo</t>
        </is>
      </c>
      <c r="BC204" s="24" t="inlineStr">
        <is>
          <t>npb-tie-aware-elo-v2</t>
        </is>
      </c>
      <c r="BD204" s="24" t="inlineStr">
        <is>
          <t>2a12dcd4d95aaa7cbbed3be165653408d4c24923ac2847e735a95137a1c70628</t>
        </is>
      </c>
      <c r="BE204" s="24" t="inlineStr">
        <is>
          <t>1</t>
        </is>
      </c>
      <c r="BF204" s="24" t="inlineStr">
        <is>
          <t>1</t>
        </is>
      </c>
      <c r="BG204" s="24" t="inlineStr">
        <is>
          <t>npb-tie-aware-elo-v2</t>
        </is>
      </c>
      <c r="BH204" s="24" t="inlineStr">
        <is>
          <t>2026-10-03T22:32:58.900600Z</t>
        </is>
      </c>
      <c r="BI204" s="24" t="inlineStr">
        <is>
          <t>["same_event","same_team_same_day","same_league_same_day"]</t>
        </is>
      </c>
      <c r="BJ204" s="25" t="n"/>
      <c r="BK204" s="26" t="n">
        <v>104</v>
      </c>
      <c r="BL204" s="27" t="n">
        <v>2.04</v>
      </c>
      <c r="BM204" s="28" t="n">
        <v>0.490196</v>
      </c>
      <c r="BN204" s="28" t="n"/>
      <c r="BO204" s="28" t="n"/>
      <c r="BP204" s="25" t="n"/>
      <c r="BQ204" s="27" t="n"/>
      <c r="BR204" s="28" t="n"/>
      <c r="BS204" s="28" t="n"/>
      <c r="BT204" s="28" t="n"/>
      <c r="BU204" s="25" t="n"/>
      <c r="BV204" s="29" t="n"/>
      <c r="BW204" s="24" t="n"/>
      <c r="BX204" s="30" t="n"/>
      <c r="BY204" s="27" t="n"/>
      <c r="BZ204" s="24" t="n"/>
      <c r="CA204" s="31" t="n"/>
      <c r="CB204" s="24" t="n"/>
      <c r="CC204" s="24" t="n"/>
      <c r="CD204" s="24" t="n"/>
      <c r="CE204" s="24" t="n"/>
      <c r="CF204" s="24" t="n"/>
      <c r="CG204" s="24" t="n"/>
      <c r="CH204" s="24" t="n"/>
      <c r="CI204" s="24" t="n"/>
      <c r="CJ204" s="24" t="n"/>
      <c r="CK204" s="24" t="n"/>
      <c r="CL204" s="24" t="n"/>
      <c r="CM204" s="24" t="n"/>
      <c r="CN204" s="24" t="n"/>
      <c r="CO204" s="24" t="n"/>
      <c r="CP204" s="24" t="n"/>
      <c r="CQ204" s="24" t="n"/>
      <c r="CR204" s="24" t="n"/>
      <c r="CS204" s="24" t="inlineStr">
        <is>
          <t>True</t>
        </is>
      </c>
      <c r="CT204" s="24" t="n"/>
      <c r="CU204" s="24" t="n"/>
      <c r="CV204" s="24" t="n"/>
      <c r="CW204" s="24" t="n"/>
      <c r="CX204" s="24" t="n"/>
      <c r="CY204" s="24" t="n"/>
      <c r="CZ204" s="24" t="n"/>
      <c r="DA204" s="24" t="n"/>
      <c r="DB204" s="24" t="n"/>
      <c r="DC204" s="24" t="n"/>
      <c r="DD204" s="24" t="n"/>
      <c r="DE204" s="24" t="n"/>
      <c r="DF204" s="24" t="n"/>
      <c r="DG204" s="24" t="n"/>
      <c r="DH204" s="24" t="n"/>
      <c r="DI204" s="24" t="n"/>
      <c r="DJ204" s="24" t="inlineStr">
        <is>
          <t>0.490196</t>
        </is>
      </c>
      <c r="DK204" s="24" t="n"/>
      <c r="DL204" s="24" t="n"/>
      <c r="DM204" s="24" t="n"/>
      <c r="DN204" s="24" t="n"/>
      <c r="DO204" s="24" t="n"/>
      <c r="DP204" s="24" t="n"/>
      <c r="DQ204" s="24" t="inlineStr">
        <is>
          <t>{"artifact_hash": "2a12dcd4d95aaa7cbbed3be165653408d4c24923ac2847e735a95137a1c70628", "away_team": "Tohoku Rakuten Golden Eagles", "draw_settlement_value": 0.5, "event_id": "136446", "event_start_utc": "2026-10-04T09:00:00Z", "features": {"away_elo": 1470.890039, "base_tie_rate": 0.02376426, "home_advantage": 35.0, "home_elo": 1476.21142}, "historical_source_observation_times_verified": false, "home_team": "Chiba Lotte Marines", "inference_inputs": {"away_id": "E", "base_tie_rate": 0.02376426, "book_state": {"_games_played": null, "_last_active": null, "decay_rate": 0.0, "home_advantage": 35.0, "k": 8.0, "margin_weight": 0.0, "ratings": {"E": 1470.890039, "M": 1476.21142}},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"2026-10-03T22:32:58.590154+00:00", "outcome_probabilities": {"away": 0.43172267101307465, "draw": 0.02376426, "home": 0.5445130689869254}, "replay_scope": "Exact Elo and tie model; logged value is expected contract settlement, not outright win probability.", "schema": "international-elo-replay-v1", "settlement_values": {"away": 0.443605, "home": 0.556395}, "snapshot_hash": "02324378347907b9c4e484bad57edf52ea7d92a529afe414864b832a5d53bd32", "sport": "NPB"}</t>
        </is>
      </c>
    </row>
    <row r="205" ht="36" customHeight="1">
      <c r="A205" s="24" t="inlineStr">
        <is>
          <t>1cb2055aa0414d73</t>
        </is>
      </c>
      <c r="B205" s="24" t="inlineStr">
        <is>
          <t>2026-10-04T20:30:32.887613Z</t>
        </is>
      </c>
      <c r="C205" s="24" t="inlineStr">
        <is>
          <t>2026-10-05T09:00:00Z</t>
        </is>
      </c>
      <c r="D205" s="24" t="inlineStr">
        <is>
          <t>137951</t>
        </is>
      </c>
      <c r="E205" s="24" t="inlineStr">
        <is>
          <t>NPB</t>
        </is>
      </c>
      <c r="F205" s="24" t="inlineStr">
        <is>
          <t>Saitama Seibu Lions</t>
        </is>
      </c>
      <c r="G205" s="24" t="inlineStr">
        <is>
          <t>Chiba Lotte Marines</t>
        </is>
      </c>
      <c r="H205" s="24" t="inlineStr">
        <is>
          <t>moneyline</t>
        </is>
      </c>
      <c r="I205" s="24" t="inlineStr">
        <is>
          <t>away</t>
        </is>
      </c>
      <c r="J205" s="25" t="n"/>
      <c r="K205" s="24" t="inlineStr">
        <is>
          <t>polymarket_us</t>
        </is>
      </c>
      <c r="L205" s="26" t="n">
        <v>-108</v>
      </c>
      <c r="M205" s="27" t="n">
        <v>1.925926</v>
      </c>
      <c r="N205" s="28" t="n">
        <v>0.519231</v>
      </c>
      <c r="O205" s="28" t="n">
        <v>0.529207</v>
      </c>
      <c r="P205" s="28" t="n"/>
      <c r="Q205" s="28" t="n">
        <v>0.009976</v>
      </c>
      <c r="R205" s="26" t="n">
        <v>25</v>
      </c>
      <c r="S205" s="29" t="n">
        <v>1</v>
      </c>
      <c r="T205" s="24" t="inlineStr">
        <is>
          <t>npb-tie-aware-elo-v2</t>
        </is>
      </c>
      <c r="U205" s="24" t="inlineStr">
        <is>
          <t>settled</t>
        </is>
      </c>
      <c r="V205" s="24" t="inlineStr">
        <is>
          <t>win</t>
        </is>
      </c>
      <c r="W205" s="26" t="n">
        <v>7</v>
      </c>
      <c r="X205" s="26" t="n">
        <v>1</v>
      </c>
      <c r="Y205" s="25" t="n"/>
      <c r="Z205" s="26" t="n"/>
      <c r="AA205" s="28" t="n"/>
      <c r="AB205" s="28" t="n"/>
      <c r="AC205" s="30" t="n">
        <v>0.9258999999999999</v>
      </c>
      <c r="AD205" s="24" t="inlineStr">
        <is>
          <t>2026-10-06T23:04:26.220789Z</t>
        </is>
      </c>
      <c r="AE205" s="31" t="inlineStr">
        <is>
          <t>Tie-aware Elo baseline; executable ask 0.5200 (market_slug=aec-npb-clm-ssl-2026-10-05). Tie probability=0.0238.</t>
        </is>
      </c>
      <c r="AF205" s="31" t="inlineStr">
        <is>
          <t>Config-promoted international baseball baseline; gates enforced at log time.</t>
        </is>
      </c>
      <c r="AG205" s="24" t="inlineStr">
        <is>
          <t>not_applicable</t>
        </is>
      </c>
      <c r="AH205" s="24" t="n"/>
      <c r="AI205" s="31" t="n"/>
      <c r="AJ205" s="31" t="n"/>
      <c r="AK205" s="24" t="inlineStr">
        <is>
          <t>paper_call</t>
        </is>
      </c>
      <c r="AL205" s="26" t="n">
        <v>4</v>
      </c>
      <c r="AM205" s="24" t="inlineStr">
        <is>
          <t>RESEARCH_OBSERVATION</t>
        </is>
      </c>
      <c r="AN205" s="24" t="inlineStr">
        <is>
          <t>CALL</t>
        </is>
      </c>
      <c r="AO205" s="24" t="inlineStr">
        <is>
          <t>PAPER_CALL_LOW_EDGE</t>
        </is>
      </c>
      <c r="AP205" s="24" t="inlineStr">
        <is>
          <t>Saitama Seibu Lions</t>
        </is>
      </c>
      <c r="AQ205" s="24" t="inlineStr">
        <is>
          <t>Saitama Seibu Lions</t>
        </is>
      </c>
      <c r="AR205" s="24" t="inlineStr">
        <is>
          <t>Saitama Seibu Lions</t>
        </is>
      </c>
      <c r="AS205" s="24" t="inlineStr">
        <is>
          <t>Chiba Lotte Marines</t>
        </is>
      </c>
      <c r="AT205" s="24" t="inlineStr">
        <is>
          <t>Chiba Lotte Marines</t>
        </is>
      </c>
      <c r="AU205" s="24" t="inlineStr">
        <is>
          <t>Chiba Lotte Marines</t>
        </is>
      </c>
      <c r="AV205" s="24" t="n"/>
      <c r="AW205" s="24" t="n"/>
      <c r="AX205" s="24" t="inlineStr">
        <is>
          <t>statistical_model</t>
        </is>
      </c>
      <c r="AY205" s="24" t="n"/>
      <c r="AZ205" s="24" t="inlineStr">
        <is>
          <t>shadow_qualified</t>
        </is>
      </c>
      <c r="BA205" s="24" t="inlineStr">
        <is>
          <t>a3835b1d57fac361401bc6e5cf5201fc0c183028fd0ea6df36bc13c32d99105a</t>
        </is>
      </c>
      <c r="BB205" s="24" t="inlineStr">
        <is>
          <t>tie_aware_elo</t>
        </is>
      </c>
      <c r="BC205" s="24" t="inlineStr">
        <is>
          <t>npb-tie-aware-elo-v2</t>
        </is>
      </c>
      <c r="BD205" s="24" t="inlineStr">
        <is>
          <t>a3835b1d57fac361401bc6e5cf5201fc0c183028fd0ea6df36bc13c32d99105a</t>
        </is>
      </c>
      <c r="BE205" s="24" t="inlineStr">
        <is>
          <t>1</t>
        </is>
      </c>
      <c r="BF205" s="24" t="inlineStr">
        <is>
          <t>1</t>
        </is>
      </c>
      <c r="BG205" s="24" t="inlineStr">
        <is>
          <t>npb-tie-aware-elo-v2</t>
        </is>
      </c>
      <c r="BH205" s="24" t="inlineStr">
        <is>
          <t>2026-10-04T20:30:32.778332Z</t>
        </is>
      </c>
      <c r="BI205" s="24" t="inlineStr">
        <is>
          <t>["same_event","same_team_same_day","same_league_same_day"]</t>
        </is>
      </c>
      <c r="BJ205" s="25" t="n"/>
      <c r="BK205" s="26" t="n">
        <v>-108</v>
      </c>
      <c r="BL205" s="27" t="n">
        <v>1.925926</v>
      </c>
      <c r="BM205" s="28" t="n">
        <v>0.519231</v>
      </c>
      <c r="BN205" s="28" t="n"/>
      <c r="BO205" s="28" t="n"/>
      <c r="BP205" s="25" t="n"/>
      <c r="BQ205" s="27" t="n"/>
      <c r="BR205" s="28" t="n"/>
      <c r="BS205" s="28" t="n"/>
      <c r="BT205" s="28" t="n"/>
      <c r="BU205" s="25" t="n"/>
      <c r="BV205" s="29" t="n"/>
      <c r="BW205" s="24" t="n"/>
      <c r="BX205" s="30" t="n"/>
      <c r="BY205" s="27" t="n"/>
      <c r="BZ205" s="24" t="n"/>
      <c r="CA205" s="31" t="n"/>
      <c r="CB205" s="24" t="n"/>
      <c r="CC205" s="24" t="n"/>
      <c r="CD205" s="24" t="n"/>
      <c r="CE205" s="24" t="n"/>
      <c r="CF205" s="24" t="n"/>
      <c r="CG205" s="24" t="n"/>
      <c r="CH205" s="24" t="n"/>
      <c r="CI205" s="24" t="n"/>
      <c r="CJ205" s="24" t="n"/>
      <c r="CK205" s="24" t="n"/>
      <c r="CL205" s="24" t="n"/>
      <c r="CM205" s="24" t="n"/>
      <c r="CN205" s="24" t="n"/>
      <c r="CO205" s="24" t="n"/>
      <c r="CP205" s="24" t="n"/>
      <c r="CQ205" s="24" t="n"/>
      <c r="CR205" s="24" t="n"/>
      <c r="CS205" s="24" t="inlineStr">
        <is>
          <t>True</t>
        </is>
      </c>
      <c r="CT205" s="24" t="n"/>
      <c r="CU205" s="24" t="n"/>
      <c r="CV205" s="24" t="n"/>
      <c r="CW205" s="24" t="n"/>
      <c r="CX205" s="24" t="n"/>
      <c r="CY205" s="24" t="n"/>
      <c r="CZ205" s="24" t="n"/>
      <c r="DA205" s="24" t="n"/>
      <c r="DB205" s="24" t="n"/>
      <c r="DC205" s="24" t="n"/>
      <c r="DD205" s="24" t="n"/>
      <c r="DE205" s="24" t="n"/>
      <c r="DF205" s="24" t="n"/>
      <c r="DG205" s="24" t="n"/>
      <c r="DH205" s="24" t="n"/>
      <c r="DI205" s="24" t="n"/>
      <c r="DJ205" s="24" t="n"/>
      <c r="DK205" s="24" t="n"/>
      <c r="DL205" s="24" t="n"/>
      <c r="DM205" s="24" t="n"/>
      <c r="DN205" s="24" t="n"/>
      <c r="DO205" s="24" t="n"/>
      <c r="DP205" s="24" t="n"/>
      <c r="DQ205" s="24" t="inlineStr">
        <is>
          <t>{"artifact_hash": "a3835b1d57fac361401bc6e5cf5201fc0c183028fd0ea6df36bc13c32d99105a", "away_team": "Saitama Seibu Lions", "draw_settlement_value": 0.5, "event_id": "137951", "event_start_utc": "2026-10-05T09:00:00Z", "features": {"away_elo": 1532.025535, "base_tie_rate": 0.02376426, "home_advantage": 35.0, "home_elo": 1476.21142}, "historical_source_observation_times_verified": false, "home_team": "Chiba Lotte Marines", "inference_inputs": {"away_id": "L", "base_tie_rate": 0.02376426, "book_state": {"_games_played": null, "_last_active": null, "decay_rate": 0.0, "home_advantage": 35.0, "k": 8.0, "margin_weight": 0.0, "ratings": {"L": 1532.025535, "M": 1476.21142}},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"2026-10-04T20:30:32.664413+00:00", "outcome_probabilities": {"away": 0.51732502396051, "draw": 0.02376426, "home": 0.45891071603949}, "replay_scope": "Exact Elo and tie model; logged value is expected contract settlement, not outright win probability.", "schema": "international-elo-replay-v1", "settlement_values": {"away": 0.529207, "home": 0.470793}, "snapshot_hash": "74aad6b0b4037575efb09f90c1f2309bb9788cb70291bff0c9767cf2e471f2dd", "sport": "NPB"}</t>
        </is>
      </c>
    </row>
    <row r="206" ht="36" customHeight="1">
      <c r="A206" s="24" t="inlineStr">
        <is>
          <t>da0b6e45921b4652</t>
        </is>
      </c>
      <c r="B206" s="24" t="inlineStr">
        <is>
          <t>2026-10-04T20:30:32.887613Z</t>
        </is>
      </c>
      <c r="C206" s="24" t="inlineStr">
        <is>
          <t>2026-10-05T09:00:00Z</t>
        </is>
      </c>
      <c r="D206" s="24" t="inlineStr">
        <is>
          <t>139054</t>
        </is>
      </c>
      <c r="E206" s="24" t="inlineStr">
        <is>
          <t>NPB</t>
        </is>
      </c>
      <c r="F206" s="24" t="inlineStr">
        <is>
          <t>Fukuoka SoftBank Hawks</t>
        </is>
      </c>
      <c r="G206" s="24" t="inlineStr">
        <is>
          <t>Tohoku Rakuten Golden Eagles</t>
        </is>
      </c>
      <c r="H206" s="24" t="inlineStr">
        <is>
          <t>moneyline</t>
        </is>
      </c>
      <c r="I206" s="24" t="inlineStr">
        <is>
          <t>away</t>
        </is>
      </c>
      <c r="J206" s="25" t="n"/>
      <c r="K206" s="24" t="inlineStr">
        <is>
          <t>polymarket_us</t>
        </is>
      </c>
      <c r="L206" s="26" t="n">
        <v>-144</v>
      </c>
      <c r="M206" s="27" t="n">
        <v>1.694444</v>
      </c>
      <c r="N206" s="28" t="n">
        <v>0.590164</v>
      </c>
      <c r="O206" s="28" t="n">
        <v>0.6603869999999999</v>
      </c>
      <c r="P206" s="28" t="n"/>
      <c r="Q206" s="28" t="n">
        <v>0.07022299999999999</v>
      </c>
      <c r="R206" s="26" t="n">
        <v>55</v>
      </c>
      <c r="S206" s="29" t="n">
        <v>1.25</v>
      </c>
      <c r="T206" s="24" t="inlineStr">
        <is>
          <t>npb-tie-aware-elo-v2</t>
        </is>
      </c>
      <c r="U206" s="24" t="inlineStr">
        <is>
          <t>settled</t>
        </is>
      </c>
      <c r="V206" s="24" t="inlineStr">
        <is>
          <t>loss</t>
        </is>
      </c>
      <c r="W206" s="26" t="n">
        <v>1</v>
      </c>
      <c r="X206" s="26" t="n">
        <v>3</v>
      </c>
      <c r="Y206" s="25" t="n"/>
      <c r="Z206" s="26" t="n"/>
      <c r="AA206" s="28" t="n"/>
      <c r="AB206" s="28" t="n"/>
      <c r="AC206" s="30" t="n">
        <v>-1.25</v>
      </c>
      <c r="AD206" s="24" t="inlineStr">
        <is>
          <t>2026-10-06T23:04:27.778952Z</t>
        </is>
      </c>
      <c r="AE206" s="31" t="inlineStr">
        <is>
          <t>Tie-aware Elo baseline; executable ask 0.5900 (market_slug=aec-npb-trge-fsh-2026-10-05). Tie probability=0.0238.</t>
        </is>
      </c>
      <c r="AF206" s="31" t="inlineStr">
        <is>
          <t>Config-promoted international baseball baseline; gates enforced at log time.</t>
        </is>
      </c>
      <c r="AG206" s="24" t="inlineStr">
        <is>
          <t>review_required</t>
        </is>
      </c>
      <c r="AH206" s="24" t="n"/>
      <c r="AI206" s="31" t="n"/>
      <c r="AJ206" s="31" t="n"/>
      <c r="AK206" s="24" t="inlineStr">
        <is>
          <t>model_qualified</t>
        </is>
      </c>
      <c r="AL206" s="26" t="n">
        <v>4</v>
      </c>
      <c r="AM206" s="24" t="inlineStr">
        <is>
          <t>QUALIFIED_SHADOW_CALL</t>
        </is>
      </c>
      <c r="AN206" s="24" t="inlineStr">
        <is>
          <t>CALL</t>
        </is>
      </c>
      <c r="AO206" s="24" t="inlineStr">
        <is>
          <t>QUALIFIED</t>
        </is>
      </c>
      <c r="AP206" s="24" t="inlineStr">
        <is>
          <t>Fukuoka SoftBank Hawks</t>
        </is>
      </c>
      <c r="AQ206" s="24" t="inlineStr">
        <is>
          <t>Fukuoka SoftBank Hawks</t>
        </is>
      </c>
      <c r="AR206" s="24" t="inlineStr">
        <is>
          <t>Fukuoka SoftBank Hawks</t>
        </is>
      </c>
      <c r="AS206" s="24" t="inlineStr">
        <is>
          <t>Tohoku Rakuten Golden Eagles</t>
        </is>
      </c>
      <c r="AT206" s="24" t="inlineStr">
        <is>
          <t>Tohoku Rakuten Golden Eagles</t>
        </is>
      </c>
      <c r="AU206" s="24" t="inlineStr">
        <is>
          <t>Tohoku Rakuten Golden Eagles</t>
        </is>
      </c>
      <c r="AV206" s="24" t="n"/>
      <c r="AW206" s="24" t="n"/>
      <c r="AX206" s="24" t="inlineStr">
        <is>
          <t>statistical_model</t>
        </is>
      </c>
      <c r="AY206" s="24" t="n"/>
      <c r="AZ206" s="24" t="inlineStr">
        <is>
          <t>shadow_qualified</t>
        </is>
      </c>
      <c r="BA206" s="24" t="inlineStr">
        <is>
          <t>a3835b1d57fac361401bc6e5cf5201fc0c183028fd0ea6df36bc13c32d99105a</t>
        </is>
      </c>
      <c r="BB206" s="24" t="inlineStr">
        <is>
          <t>tie_aware_elo</t>
        </is>
      </c>
      <c r="BC206" s="24" t="inlineStr">
        <is>
          <t>npb-tie-aware-elo-v2</t>
        </is>
      </c>
      <c r="BD206" s="24" t="inlineStr">
        <is>
          <t>a3835b1d57fac361401bc6e5cf5201fc0c183028fd0ea6df36bc13c32d99105a</t>
        </is>
      </c>
      <c r="BE206" s="24" t="inlineStr">
        <is>
          <t>1</t>
        </is>
      </c>
      <c r="BF206" s="24" t="inlineStr">
        <is>
          <t>1</t>
        </is>
      </c>
      <c r="BG206" s="24" t="inlineStr">
        <is>
          <t>npb-tie-aware-elo-v2</t>
        </is>
      </c>
      <c r="BH206" s="24" t="inlineStr">
        <is>
          <t>2026-10-04T20:30:32.887613Z</t>
        </is>
      </c>
      <c r="BI206" s="24" t="inlineStr">
        <is>
          <t>["same_event","same_team_same_day","same_league_same_day"]</t>
        </is>
      </c>
      <c r="BJ206" s="25" t="n"/>
      <c r="BK206" s="26" t="n">
        <v>-144</v>
      </c>
      <c r="BL206" s="27" t="n">
        <v>1.694444</v>
      </c>
      <c r="BM206" s="28" t="n">
        <v>0.590164</v>
      </c>
      <c r="BN206" s="28" t="n"/>
      <c r="BO206" s="28" t="n"/>
      <c r="BP206" s="25" t="n"/>
      <c r="BQ206" s="27" t="n"/>
      <c r="BR206" s="28" t="n"/>
      <c r="BS206" s="28" t="n"/>
      <c r="BT206" s="28" t="n"/>
      <c r="BU206" s="25" t="n"/>
      <c r="BV206" s="29" t="n"/>
      <c r="BW206" s="24" t="n"/>
      <c r="BX206" s="30" t="n"/>
      <c r="BY206" s="27" t="n"/>
      <c r="BZ206" s="24" t="n"/>
      <c r="CA206" s="31" t="n"/>
      <c r="CB206" s="24" t="n"/>
      <c r="CC206" s="24" t="n"/>
      <c r="CD206" s="24" t="n"/>
      <c r="CE206" s="24" t="n"/>
      <c r="CF206" s="24" t="n"/>
      <c r="CG206" s="24" t="n"/>
      <c r="CH206" s="24" t="n"/>
      <c r="CI206" s="24" t="n"/>
      <c r="CJ206" s="24" t="n"/>
      <c r="CK206" s="24" t="n"/>
      <c r="CL206" s="24" t="n"/>
      <c r="CM206" s="24" t="n"/>
      <c r="CN206" s="24" t="n"/>
      <c r="CO206" s="24" t="n"/>
      <c r="CP206" s="24" t="n"/>
      <c r="CQ206" s="24" t="n"/>
      <c r="CR206" s="24" t="n"/>
      <c r="CS206" s="24" t="inlineStr">
        <is>
          <t>True</t>
        </is>
      </c>
      <c r="CT206" s="24" t="n"/>
      <c r="CU206" s="24" t="n"/>
      <c r="CV206" s="24" t="n"/>
      <c r="CW206" s="24" t="n"/>
      <c r="CX206" s="24" t="n"/>
      <c r="CY206" s="24" t="n"/>
      <c r="CZ206" s="24" t="n"/>
      <c r="DA206" s="24" t="n"/>
      <c r="DB206" s="24" t="n"/>
      <c r="DC206" s="24" t="n"/>
      <c r="DD206" s="24" t="n"/>
      <c r="DE206" s="24" t="n"/>
      <c r="DF206" s="24" t="n"/>
      <c r="DG206" s="24" t="n"/>
      <c r="DH206" s="24" t="n"/>
      <c r="DI206" s="24" t="n"/>
      <c r="DJ206" s="24" t="n"/>
      <c r="DK206" s="24" t="n"/>
      <c r="DL206" s="24" t="n"/>
      <c r="DM206" s="24" t="n"/>
      <c r="DN206" s="24" t="n"/>
      <c r="DO206" s="24" t="n"/>
      <c r="DP206" s="24" t="n"/>
      <c r="DQ206" s="24" t="inlineStr">
        <is>
          <t>{"artifact_hash": "a3835b1d57fac361401bc6e5cf5201fc0c183028fd0ea6df36bc13c32d99105a", "away_team": "Fukuoka SoftBank Hawks", "draw_settlement_value": 0.5, "event_id": "139054", "event_start_utc": "2026-10-05T09:00:00Z", "features": {"away_elo": 1624.448306, "base_tie_rate": 0.02376426, "home_advantage": 35.0, "home_elo": 1470.890039}, "historical_source_observation_times_verified": false, "home_team": "Tohoku Rakuten Golden Eagles", "inference_inputs": {"away_id": "H", "base_tie_rate": 0.02376426, "book_state": {"_games_played": null, "_last_active": null, "decay_rate": 0.0, "home_advantage": 35.0, "k": 8.0, "margin_weight": 0.0, "ratings": {"E": 1470.890039, "H": 1624.448306}}, "code_sha256": {"features/elo_ratings.py": "8525faf022a6343c452286dbfeb17dbb043744c6bdabbe448b6b371216da439b", "international_baseball.py": "f345eb917316d2e897f62c1cdd0f73153115c65da54c30c6137ad76bb7b27869"}, "home_id": "E", "tie_method": "flat"}, "market_type": "moneyline", "model_version": "npb-tie-aware-elo-v2", "observed_at_utc": "2026-10-04T20:30:32.664413+00:00", "outcome_probabilities": {"away": 0.6485047579952964, "draw": 0.02376426, "home": 0.3277309820047036}, "replay_scope": "Exact Elo and tie model; logged value is expected contract settlement, not outright win probability.", "schema": "international-elo-replay-v1", "settlement_values": {"away": 0.660387, "home": 0.339613}, "snapshot_hash": "d1365b59239f23b65142fbd597769be6e15c273861c0b551cf604ed7f5312cd5", "sport": "NPB"}</t>
        </is>
      </c>
    </row>
    <row r="207" ht="36" customHeight="1">
      <c r="A207" s="24" t="inlineStr">
        <is>
          <t>f03c1293587c4e36</t>
        </is>
      </c>
      <c r="B207" s="24" t="inlineStr">
        <is>
          <t>2026-10-05T22:24:21.830809Z</t>
        </is>
      </c>
      <c r="C207" s="24" t="inlineStr">
        <is>
          <t>2026-10-06T09:00:00Z</t>
        </is>
      </c>
      <c r="D207" s="24" t="inlineStr">
        <is>
          <t>140436</t>
        </is>
      </c>
      <c r="E207" s="24" t="inlineStr">
        <is>
          <t>NPB</t>
        </is>
      </c>
      <c r="F207" s="24" t="inlineStr">
        <is>
          <t>Saitama Seibu Lions</t>
        </is>
      </c>
      <c r="G207" s="24" t="inlineStr">
        <is>
          <t>Chiba Lotte Marines</t>
        </is>
      </c>
      <c r="H207" s="24" t="inlineStr">
        <is>
          <t>moneyline</t>
        </is>
      </c>
      <c r="I207" s="24" t="inlineStr">
        <is>
          <t>away</t>
        </is>
      </c>
      <c r="J207" s="25" t="n"/>
      <c r="K207" s="24" t="inlineStr">
        <is>
          <t>polymarket_us</t>
        </is>
      </c>
      <c r="L207" s="26" t="n">
        <v>-122</v>
      </c>
      <c r="M207" s="27" t="n">
        <v>1.819672</v>
      </c>
      <c r="N207" s="28" t="n">
        <v>0.54955</v>
      </c>
      <c r="O207" s="28" t="n">
        <v>0.529207</v>
      </c>
      <c r="P207" s="28" t="n"/>
      <c r="Q207" s="28" t="n">
        <v>-0.020343</v>
      </c>
      <c r="R207" s="26" t="n">
        <v>10</v>
      </c>
      <c r="S207" s="29" t="n">
        <v>1</v>
      </c>
      <c r="T207" s="24" t="inlineStr">
        <is>
          <t>npb-tie-aware-elo-v2</t>
        </is>
      </c>
      <c r="U207" s="24" t="inlineStr">
        <is>
          <t>settled</t>
        </is>
      </c>
      <c r="V207" s="24" t="inlineStr">
        <is>
          <t>win</t>
        </is>
      </c>
      <c r="W207" s="26" t="n">
        <v>3</v>
      </c>
      <c r="X207" s="26" t="n">
        <v>0</v>
      </c>
      <c r="Y207" s="25" t="n"/>
      <c r="Z207" s="26" t="n"/>
      <c r="AA207" s="28" t="n"/>
      <c r="AB207" s="28" t="n"/>
      <c r="AC207" s="30" t="n">
        <v>0.8197</v>
      </c>
      <c r="AD207" s="24" t="inlineStr">
        <is>
          <t>2026-10-06T23:04:29.390858Z</t>
        </is>
      </c>
      <c r="AE207" s="31" t="inlineStr">
        <is>
          <t>Tie-aware Elo baseline; executable ask 0.5500 (market_slug=aec-npb-clm-ssl-2026-10-06). Tie probability=0.0238.</t>
        </is>
      </c>
      <c r="AF207" s="31" t="inlineStr">
        <is>
          <t>Config-promoted international baseball baseline; gates enforced at log time.</t>
        </is>
      </c>
      <c r="AG207" s="24" t="inlineStr">
        <is>
          <t>not_applicable</t>
        </is>
      </c>
      <c r="AH207" s="24" t="n"/>
      <c r="AI207" s="31" t="n"/>
      <c r="AJ207" s="31" t="n"/>
      <c r="AK207" s="24" t="inlineStr">
        <is>
          <t>paper_call</t>
        </is>
      </c>
      <c r="AL207" s="26" t="n">
        <v>4</v>
      </c>
      <c r="AM207" s="24" t="inlineStr">
        <is>
          <t>RESEARCH_OBSERVATION</t>
        </is>
      </c>
      <c r="AN207" s="24" t="inlineStr">
        <is>
          <t>CALL</t>
        </is>
      </c>
      <c r="AO207" s="24" t="inlineStr">
        <is>
          <t>PAPER_CALL_LOW_EDGE</t>
        </is>
      </c>
      <c r="AP207" s="24" t="inlineStr">
        <is>
          <t>Saitama Seibu Lions</t>
        </is>
      </c>
      <c r="AQ207" s="24" t="inlineStr">
        <is>
          <t>Saitama Seibu Lions</t>
        </is>
      </c>
      <c r="AR207" s="24" t="inlineStr">
        <is>
          <t>Saitama Seibu Lions</t>
        </is>
      </c>
      <c r="AS207" s="24" t="inlineStr">
        <is>
          <t>Chiba Lotte Marines</t>
        </is>
      </c>
      <c r="AT207" s="24" t="inlineStr">
        <is>
          <t>Chiba Lotte Marines</t>
        </is>
      </c>
      <c r="AU207" s="24" t="inlineStr">
        <is>
          <t>Chiba Lotte Marines</t>
        </is>
      </c>
      <c r="AV207" s="24" t="n"/>
      <c r="AW207" s="24" t="n"/>
      <c r="AX207" s="24" t="inlineStr">
        <is>
          <t>statistical_model</t>
        </is>
      </c>
      <c r="AY207" s="24" t="n"/>
      <c r="AZ207" s="24" t="inlineStr">
        <is>
          <t>shadow_qualified</t>
        </is>
      </c>
      <c r="BA207" s="24" t="inlineStr">
        <is>
          <t>e2444ca56787db09f0514ea9be2dbe7439691abaacd9da2d45b7cdd93b99f6ca</t>
        </is>
      </c>
      <c r="BB207" s="24" t="inlineStr">
        <is>
          <t>tie_aware_elo</t>
        </is>
      </c>
      <c r="BC207" s="24" t="inlineStr">
        <is>
          <t>npb-tie-aware-elo-v2</t>
        </is>
      </c>
      <c r="BD207" s="24" t="inlineStr">
        <is>
          <t>e2444ca56787db09f0514ea9be2dbe7439691abaacd9da2d45b7cdd93b99f6ca</t>
        </is>
      </c>
      <c r="BE207" s="24" t="inlineStr">
        <is>
          <t>1</t>
        </is>
      </c>
      <c r="BF207" s="24" t="inlineStr">
        <is>
          <t>1</t>
        </is>
      </c>
      <c r="BG207" s="24" t="inlineStr">
        <is>
          <t>npb-tie-aware-elo-v2</t>
        </is>
      </c>
      <c r="BH207" s="24" t="inlineStr">
        <is>
          <t>2026-10-05T22:24:21.762092Z</t>
        </is>
      </c>
      <c r="BI207" s="24" t="inlineStr">
        <is>
          <t>["same_event","same_team_same_day","same_league_same_day"]</t>
        </is>
      </c>
      <c r="BJ207" s="25" t="n"/>
      <c r="BK207" s="26" t="n">
        <v>-122</v>
      </c>
      <c r="BL207" s="27" t="n">
        <v>1.819672</v>
      </c>
      <c r="BM207" s="28" t="n">
        <v>0.54955</v>
      </c>
      <c r="BN207" s="28" t="n"/>
      <c r="BO207" s="28" t="n"/>
      <c r="BP207" s="25" t="n"/>
      <c r="BQ207" s="27" t="n"/>
      <c r="BR207" s="28" t="n"/>
      <c r="BS207" s="28" t="n"/>
      <c r="BT207" s="28" t="n"/>
      <c r="BU207" s="25" t="n"/>
      <c r="BV207" s="29" t="n"/>
      <c r="BW207" s="24" t="n"/>
      <c r="BX207" s="30" t="n"/>
      <c r="BY207" s="27" t="n"/>
      <c r="BZ207" s="24" t="n"/>
      <c r="CA207" s="31" t="n"/>
      <c r="CB207" s="24" t="n"/>
      <c r="CC207" s="24" t="n"/>
      <c r="CD207" s="24" t="n"/>
      <c r="CE207" s="24" t="n"/>
      <c r="CF207" s="24" t="n"/>
      <c r="CG207" s="24" t="n"/>
      <c r="CH207" s="24" t="n"/>
      <c r="CI207" s="24" t="n"/>
      <c r="CJ207" s="24" t="n"/>
      <c r="CK207" s="24" t="n"/>
      <c r="CL207" s="24" t="n"/>
      <c r="CM207" s="24" t="n"/>
      <c r="CN207" s="24" t="n"/>
      <c r="CO207" s="24" t="n"/>
      <c r="CP207" s="24" t="n"/>
      <c r="CQ207" s="24" t="n"/>
      <c r="CR207" s="24" t="n"/>
      <c r="CS207" s="24" t="inlineStr">
        <is>
          <t>False</t>
        </is>
      </c>
      <c r="CT207" s="24" t="n"/>
      <c r="CU207" s="24" t="n"/>
      <c r="CV207" s="24" t="n"/>
      <c r="CW207" s="24" t="n"/>
      <c r="CX207" s="24" t="n"/>
      <c r="CY207" s="24" t="n"/>
      <c r="CZ207" s="24" t="n"/>
      <c r="DA207" s="24" t="n"/>
      <c r="DB207" s="24" t="n"/>
      <c r="DC207" s="24" t="n"/>
      <c r="DD207" s="24" t="n"/>
      <c r="DE207" s="24" t="n"/>
      <c r="DF207" s="24" t="n"/>
      <c r="DG207" s="24" t="n"/>
      <c r="DH207" s="24" t="n"/>
      <c r="DI207" s="24" t="n"/>
      <c r="DJ207" s="24" t="n"/>
      <c r="DK207" s="24" t="n"/>
      <c r="DL207" s="24" t="n"/>
      <c r="DM207" s="24" t="n"/>
      <c r="DN207" s="24" t="n"/>
      <c r="DO207" s="24" t="n"/>
      <c r="DP207" s="24" t="n"/>
      <c r="DQ207" s="24" t="inlineStr">
        <is>
          <t>{"artifact_hash": "e2444ca56787db09f0514ea9be2dbe7439691abaacd9da2d45b7cdd93b99f6ca", "away_team": "Saitama Seibu Lions", "draw_settlement_value": 0.5, "event_id": "140436", "event_start_utc": "2026-10-06T09:00:00Z", "features": {"away_elo": 1532.025535, "base_tie_rate": 0.02376426, "home_advantage": 35.0, "home_elo": 1476.21142}, "historical_source_observation_times_verified": false, "home_team": "Chiba Lotte Marines", "inference_inputs": {"away_id": "L", "base_tie_rate": 0.02376426, "book_state": {"_games_played": null, "_last_active": null, "decay_rate": 0.0, "home_advantage": 35.0, "k": 8.0, "margin_weight": 0.0, "ratings": {"L": 1532.025535, "M": 1476.21142}},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"2026-10-05T22:24:21.640041+00:00", "outcome_probabilities": {"away": 0.51732502396051, "draw": 0.02376426, "home": 0.45891071603949}, "replay_scope": "Exact Elo and tie model; logged value is expected contract settlement, not outright win probability.", "schema": "international-elo-replay-v1", "settlement_values": {"away": 0.529207, "home": 0.470793}, "snapshot_hash": "110a7df26d9ed17bdf7bd26839c149c8c19c759b4ca08a07fe741d676ea08fce", "sport": "NPB"}</t>
        </is>
      </c>
    </row>
    <row r="208" ht="36" customHeight="1">
      <c r="A208" s="24" t="inlineStr">
        <is>
          <t>960c2f9cba714318</t>
        </is>
      </c>
      <c r="B208" s="24" t="inlineStr">
        <is>
          <t>2026-10-05T22:24:21.830809Z</t>
        </is>
      </c>
      <c r="C208" s="24" t="inlineStr">
        <is>
          <t>2026-10-06T09:00:00Z</t>
        </is>
      </c>
      <c r="D208" s="24" t="inlineStr">
        <is>
          <t>140984</t>
        </is>
      </c>
      <c r="E208" s="24" t="inlineStr">
        <is>
          <t>NPB</t>
        </is>
      </c>
      <c r="F208" s="24" t="inlineStr">
        <is>
          <t>Hiroshima Carp</t>
        </is>
      </c>
      <c r="G208" s="24" t="inlineStr">
        <is>
          <t>Hanshin Tigers</t>
        </is>
      </c>
      <c r="H208" s="24" t="inlineStr">
        <is>
          <t>moneyline</t>
        </is>
      </c>
      <c r="I208" s="24" t="inlineStr">
        <is>
          <t>home</t>
        </is>
      </c>
      <c r="J208" s="25" t="n"/>
      <c r="K208" s="24" t="inlineStr">
        <is>
          <t>polymarket_us</t>
        </is>
      </c>
      <c r="L208" s="26" t="n">
        <v>-178</v>
      </c>
      <c r="M208" s="27" t="n">
        <v>1.561798</v>
      </c>
      <c r="N208" s="28" t="n">
        <v>0.640288</v>
      </c>
      <c r="O208" s="28" t="n">
        <v>0.652882</v>
      </c>
      <c r="P208" s="28" t="n"/>
      <c r="Q208" s="28" t="n">
        <v>0.012594</v>
      </c>
      <c r="R208" s="26" t="n">
        <v>26</v>
      </c>
      <c r="S208" s="29" t="n">
        <v>1</v>
      </c>
      <c r="T208" s="24" t="inlineStr">
        <is>
          <t>npb-tie-aware-elo-v2</t>
        </is>
      </c>
      <c r="U208" s="24" t="inlineStr">
        <is>
          <t>settled</t>
        </is>
      </c>
      <c r="V208" s="24" t="inlineStr">
        <is>
          <t>win</t>
        </is>
      </c>
      <c r="W208" s="26" t="n">
        <v>1</v>
      </c>
      <c r="X208" s="26" t="n">
        <v>2</v>
      </c>
      <c r="Y208" s="25" t="n"/>
      <c r="Z208" s="26" t="n"/>
      <c r="AA208" s="28" t="n"/>
      <c r="AB208" s="28" t="n"/>
      <c r="AC208" s="30" t="n">
        <v>0.5618</v>
      </c>
      <c r="AD208" s="24" t="inlineStr">
        <is>
          <t>2026-10-06T23:04:30.895501Z</t>
        </is>
      </c>
      <c r="AE208" s="31" t="inlineStr">
        <is>
          <t>Tie-aware Elo baseline; executable ask 0.6400 (market_slug=aec-npb-hta-hci-2026-10-06). Tie probability=0.0238.</t>
        </is>
      </c>
      <c r="AF208" s="31" t="inlineStr">
        <is>
          <t>Config-promoted international baseball baseline; gates enforced at log time.</t>
        </is>
      </c>
      <c r="AG208" s="24" t="inlineStr">
        <is>
          <t>not_applicable</t>
        </is>
      </c>
      <c r="AH208" s="24" t="n"/>
      <c r="AI208" s="31" t="n"/>
      <c r="AJ208" s="31" t="n"/>
      <c r="AK208" s="24" t="inlineStr">
        <is>
          <t>paper_call</t>
        </is>
      </c>
      <c r="AL208" s="26" t="n">
        <v>4</v>
      </c>
      <c r="AM208" s="24" t="inlineStr">
        <is>
          <t>RESEARCH_OBSERVATION</t>
        </is>
      </c>
      <c r="AN208" s="24" t="inlineStr">
        <is>
          <t>CALL</t>
        </is>
      </c>
      <c r="AO208" s="24" t="inlineStr">
        <is>
          <t>PAPER_CALL_LOW_EDGE</t>
        </is>
      </c>
      <c r="AP208" s="24" t="inlineStr">
        <is>
          <t>Hiroshima Carp</t>
        </is>
      </c>
      <c r="AQ208" s="24" t="inlineStr">
        <is>
          <t>Hiroshima Carp</t>
        </is>
      </c>
      <c r="AR208" s="24" t="inlineStr">
        <is>
          <t>Hiroshima Carp</t>
        </is>
      </c>
      <c r="AS208" s="24" t="inlineStr">
        <is>
          <t>Hanshin Tigers</t>
        </is>
      </c>
      <c r="AT208" s="24" t="inlineStr">
        <is>
          <t>Hanshin Tigers</t>
        </is>
      </c>
      <c r="AU208" s="24" t="inlineStr">
        <is>
          <t>Hanshin Tigers</t>
        </is>
      </c>
      <c r="AV208" s="24" t="n"/>
      <c r="AW208" s="24" t="n"/>
      <c r="AX208" s="24" t="inlineStr">
        <is>
          <t>statistical_model</t>
        </is>
      </c>
      <c r="AY208" s="24" t="n"/>
      <c r="AZ208" s="24" t="inlineStr">
        <is>
          <t>shadow_qualified</t>
        </is>
      </c>
      <c r="BA208" s="24" t="inlineStr">
        <is>
          <t>e2444ca56787db09f0514ea9be2dbe7439691abaacd9da2d45b7cdd93b99f6ca</t>
        </is>
      </c>
      <c r="BB208" s="24" t="inlineStr">
        <is>
          <t>tie_aware_elo</t>
        </is>
      </c>
      <c r="BC208" s="24" t="inlineStr">
        <is>
          <t>npb-tie-aware-elo-v2</t>
        </is>
      </c>
      <c r="BD208" s="24" t="inlineStr">
        <is>
          <t>e2444ca56787db09f0514ea9be2dbe7439691abaacd9da2d45b7cdd93b99f6ca</t>
        </is>
      </c>
      <c r="BE208" s="24" t="inlineStr">
        <is>
          <t>1</t>
        </is>
      </c>
      <c r="BF208" s="24" t="inlineStr">
        <is>
          <t>1</t>
        </is>
      </c>
      <c r="BG208" s="24" t="inlineStr">
        <is>
          <t>npb-tie-aware-elo-v2</t>
        </is>
      </c>
      <c r="BH208" s="24" t="inlineStr">
        <is>
          <t>2026-10-05T22:24:21.830809Z</t>
        </is>
      </c>
      <c r="BI208" s="24" t="inlineStr">
        <is>
          <t>["same_event","same_team_same_day","same_league_same_day"]</t>
        </is>
      </c>
      <c r="BJ208" s="25" t="n"/>
      <c r="BK208" s="26" t="n">
        <v>-178</v>
      </c>
      <c r="BL208" s="27" t="n">
        <v>1.561798</v>
      </c>
      <c r="BM208" s="28" t="n">
        <v>0.640288</v>
      </c>
      <c r="BN208" s="28" t="n"/>
      <c r="BO208" s="28" t="n"/>
      <c r="BP208" s="25" t="n"/>
      <c r="BQ208" s="27" t="n"/>
      <c r="BR208" s="28" t="n"/>
      <c r="BS208" s="28" t="n"/>
      <c r="BT208" s="28" t="n"/>
      <c r="BU208" s="25" t="n"/>
      <c r="BV208" s="29" t="n"/>
      <c r="BW208" s="24" t="n"/>
      <c r="BX208" s="30" t="n"/>
      <c r="BY208" s="27" t="n"/>
      <c r="BZ208" s="24" t="n"/>
      <c r="CA208" s="31" t="n"/>
      <c r="CB208" s="24" t="n"/>
      <c r="CC208" s="24" t="n"/>
      <c r="CD208" s="24" t="n"/>
      <c r="CE208" s="24" t="n"/>
      <c r="CF208" s="24" t="n"/>
      <c r="CG208" s="24" t="n"/>
      <c r="CH208" s="24" t="n"/>
      <c r="CI208" s="24" t="n"/>
      <c r="CJ208" s="24" t="n"/>
      <c r="CK208" s="24" t="n"/>
      <c r="CL208" s="24" t="n"/>
      <c r="CM208" s="24" t="n"/>
      <c r="CN208" s="24" t="n"/>
      <c r="CO208" s="24" t="n"/>
      <c r="CP208" s="24" t="n"/>
      <c r="CQ208" s="24" t="n"/>
      <c r="CR208" s="24" t="n"/>
      <c r="CS208" s="24" t="inlineStr">
        <is>
          <t>True</t>
        </is>
      </c>
      <c r="CT208" s="24" t="n"/>
      <c r="CU208" s="24" t="n"/>
      <c r="CV208" s="24" t="n"/>
      <c r="CW208" s="24" t="n"/>
      <c r="CX208" s="24" t="n"/>
      <c r="CY208" s="24" t="n"/>
      <c r="CZ208" s="24" t="n"/>
      <c r="DA208" s="24" t="n"/>
      <c r="DB208" s="24" t="n"/>
      <c r="DC208" s="24" t="n"/>
      <c r="DD208" s="24" t="n"/>
      <c r="DE208" s="24" t="n"/>
      <c r="DF208" s="24" t="n"/>
      <c r="DG208" s="24" t="n"/>
      <c r="DH208" s="24" t="n"/>
      <c r="DI208" s="24" t="n"/>
      <c r="DJ208" s="24" t="n"/>
      <c r="DK208" s="24" t="n"/>
      <c r="DL208" s="24" t="n"/>
      <c r="DM208" s="24" t="n"/>
      <c r="DN208" s="24" t="n"/>
      <c r="DO208" s="24" t="n"/>
      <c r="DP208" s="24" t="n"/>
      <c r="DQ208" s="24" t="inlineStr">
        <is>
          <t>{"artifact_hash": "e2444ca56787db09f0514ea9be2dbe7439691abaacd9da2d45b7cdd93b99f6ca", "away_team": "Hiroshima Carp", "draw_settlement_value": 0.5, "event_id": "140984", "event_start_utc": "2026-10-06T09:00:00Z", "features": {"away_elo": 1450.602544, "base_tie_rate": 0.02376426, "home_advantage": 35.0, "home_elo": 1528.205664}, "historical_source_observation_times_verified": false, "home_team": "Hanshin Tigers", "inference_inputs": {"away_id": "C", "base_tie_rate": 0.02376426, "book_state": {"_games_played": null, "_last_active": null, "decay_rate": 0.0, "home_advantage": 35.0, "k": 8.0, "margin_weight": 0.0, "ratings": {"C": 1450.602544, "T": 1528.205664}}, "code_sha256": {"features/elo_ratings.py": "8525faf022a6343c452286dbfeb17dbb043744c6bdabbe448b6b371216da439b", "international_baseball.py": "f345eb917316d2e897f62c1cdd0f73153115c65da54c30c6137ad76bb7b27869"}, "home_id": "T", "tie_method": "flat"}, "market_type": "moneyline", "model_version": "npb-tie-aware-elo-v2", "observed_at_utc": "2026-10-05T22:24:21.640041+00:00", "outcome_probabilities": {"away": 0.33523569757097316, "draw": 0.02376426, "home": 0.6410000424290269}, "replay_scope": "Exact Elo and tie model; logged value is expected contract settlement, not outright win probability.", "schema": "international-elo-replay-v1", "settlement_values": {"away": 0.347118, "home": 0.652882}, "snapshot_hash": "83cfbb90b2b3090d63c759abdd2b1e477d5df463f0218cb64b5d995bc7da1587", "sport": "NPB"}</t>
        </is>
      </c>
    </row>
    <row r="209" ht="36" customHeight="1">
      <c r="A209" s="24" t="inlineStr">
        <is>
          <t>1d7c03d841d1419b</t>
        </is>
      </c>
      <c r="B209" s="24" t="inlineStr">
        <is>
          <t>2026-10-07T05:28:32.825150Z</t>
        </is>
      </c>
      <c r="C209" s="24" t="inlineStr">
        <is>
          <t>2026-10-07T09:00:00Z</t>
        </is>
      </c>
      <c r="D209" s="24" t="inlineStr">
        <is>
          <t>142741</t>
        </is>
      </c>
      <c r="E209" s="24" t="inlineStr">
        <is>
          <t>NPB</t>
        </is>
      </c>
      <c r="F209" s="24" t="inlineStr">
        <is>
          <t>Hiroshima Carp</t>
        </is>
      </c>
      <c r="G209" s="24" t="inlineStr">
        <is>
          <t>Hanshin Tigers</t>
        </is>
      </c>
      <c r="H209" s="24" t="inlineStr">
        <is>
          <t>moneyline</t>
        </is>
      </c>
      <c r="I209" s="24" t="inlineStr">
        <is>
          <t>home</t>
        </is>
      </c>
      <c r="J209" s="25" t="n"/>
      <c r="K209" s="24" t="inlineStr">
        <is>
          <t>polymarket_us</t>
        </is>
      </c>
      <c r="L209" s="26" t="n">
        <v>-150</v>
      </c>
      <c r="M209" s="27" t="n">
        <v>1.666667</v>
      </c>
      <c r="N209" s="28" t="n">
        <v>0.6</v>
      </c>
      <c r="O209" s="28" t="n">
        <v>0.6338279999999999</v>
      </c>
      <c r="P209" s="28" t="n"/>
      <c r="Q209" s="28" t="n">
        <v>0.033828</v>
      </c>
      <c r="R209" s="26" t="n">
        <v>37</v>
      </c>
      <c r="S209" s="29" t="n">
        <v>1</v>
      </c>
      <c r="T209" s="24" t="inlineStr">
        <is>
          <t>npb-tie-aware-elo-v2</t>
        </is>
      </c>
      <c r="U209" s="24" t="inlineStr">
        <is>
          <t>settled</t>
        </is>
      </c>
      <c r="V209" s="24" t="inlineStr">
        <is>
          <t>win</t>
        </is>
      </c>
      <c r="W209" s="26" t="n">
        <v>1</v>
      </c>
      <c r="X209" s="26" t="n">
        <v>2</v>
      </c>
      <c r="Y209" s="25" t="n"/>
      <c r="Z209" s="26" t="n">
        <v>-150</v>
      </c>
      <c r="AA209" s="28" t="n">
        <v>0.6</v>
      </c>
      <c r="AB209" s="28" t="n">
        <v>0</v>
      </c>
      <c r="AC209" s="30" t="n">
        <v>0.6667</v>
      </c>
      <c r="AD209" s="24" t="inlineStr">
        <is>
          <t>2026-10-07T22:03:14.193640Z</t>
        </is>
      </c>
      <c r="AE209" s="31" t="inlineStr">
        <is>
          <t>Tie-aware Elo baseline; executable ask 0.6000 (market_slug=aec-npb-hta-hci-2026-10-07). Tie probability=0.0239.</t>
        </is>
      </c>
      <c r="AF209" s="31" t="inlineStr">
        <is>
          <t>Config-promoted international baseball baseline; gates enforced at log time.</t>
        </is>
      </c>
      <c r="AG209" s="24" t="inlineStr">
        <is>
          <t>not_applicable</t>
        </is>
      </c>
      <c r="AH209" s="24" t="n"/>
      <c r="AI209" s="31" t="n"/>
      <c r="AJ209" s="31" t="n"/>
      <c r="AK209" s="24" t="inlineStr">
        <is>
          <t>model_qualified</t>
        </is>
      </c>
      <c r="AL209" s="26" t="n">
        <v>4</v>
      </c>
      <c r="AM209" s="24" t="inlineStr">
        <is>
          <t>QUALIFIED_SHADOW_CALL</t>
        </is>
      </c>
      <c r="AN209" s="24" t="inlineStr">
        <is>
          <t>CALL</t>
        </is>
      </c>
      <c r="AO209" s="24" t="inlineStr">
        <is>
          <t>QUALIFIED</t>
        </is>
      </c>
      <c r="AP209" s="24" t="inlineStr">
        <is>
          <t>Hiroshima Carp</t>
        </is>
      </c>
      <c r="AQ209" s="24" t="inlineStr">
        <is>
          <t>Hiroshima Carp</t>
        </is>
      </c>
      <c r="AR209" s="24" t="inlineStr">
        <is>
          <t>Hiroshima Carp</t>
        </is>
      </c>
      <c r="AS209" s="24" t="inlineStr">
        <is>
          <t>Hanshin Tigers</t>
        </is>
      </c>
      <c r="AT209" s="24" t="inlineStr">
        <is>
          <t>Hanshin Tigers</t>
        </is>
      </c>
      <c r="AU209" s="24" t="inlineStr">
        <is>
          <t>Hanshin Tigers</t>
        </is>
      </c>
      <c r="AV209" s="24" t="n"/>
      <c r="AW209" s="24" t="n"/>
      <c r="AX209" s="24" t="inlineStr">
        <is>
          <t>statistical_model</t>
        </is>
      </c>
      <c r="AY209" s="24" t="n"/>
      <c r="AZ209" s="24" t="inlineStr">
        <is>
          <t>shadow_qualified</t>
        </is>
      </c>
      <c r="BA209" s="24" t="inlineStr">
        <is>
          <t>68d07ee48d1509bcf95582a676d54274539f6ebe66c40e274ab6c8ab22373648</t>
        </is>
      </c>
      <c r="BB209" s="24" t="inlineStr">
        <is>
          <t>tie_aware_elo</t>
        </is>
      </c>
      <c r="BC209" s="24" t="inlineStr">
        <is>
          <t>npb-tie-aware-elo-v2</t>
        </is>
      </c>
      <c r="BD209" s="24" t="inlineStr">
        <is>
          <t>68d07ee48d1509bcf95582a676d54274539f6ebe66c40e274ab6c8ab22373648</t>
        </is>
      </c>
      <c r="BE209" s="24" t="inlineStr">
        <is>
          <t>1</t>
        </is>
      </c>
      <c r="BF209" s="24" t="inlineStr">
        <is>
          <t>1</t>
        </is>
      </c>
      <c r="BG209" s="24" t="inlineStr">
        <is>
          <t>npb-tie-aware-elo-v2</t>
        </is>
      </c>
      <c r="BH209" s="24" t="inlineStr">
        <is>
          <t>2026-10-07T05:28:32.825150Z</t>
        </is>
      </c>
      <c r="BI209" s="24" t="inlineStr">
        <is>
          <t>["same_event","same_team_same_day","same_league_same_day"]</t>
        </is>
      </c>
      <c r="BJ209" s="25" t="n"/>
      <c r="BK209" s="26" t="n">
        <v>-150</v>
      </c>
      <c r="BL209" s="27" t="n">
        <v>1.666667</v>
      </c>
      <c r="BM209" s="28" t="n">
        <v>0.6</v>
      </c>
      <c r="BN209" s="28" t="n"/>
      <c r="BO209" s="28" t="n"/>
      <c r="BP209" s="25" t="n"/>
      <c r="BQ209" s="27" t="n">
        <v>1.666667</v>
      </c>
      <c r="BR209" s="28" t="n">
        <v>0.6</v>
      </c>
      <c r="BS209" s="28" t="n"/>
      <c r="BT209" s="28" t="n"/>
      <c r="BU209" s="25" t="n"/>
      <c r="BV209" s="29" t="n"/>
      <c r="BW209" s="24" t="n"/>
      <c r="BX209" s="30" t="n"/>
      <c r="BY209" s="27" t="n"/>
      <c r="BZ209" s="24" t="n"/>
      <c r="CA209" s="31" t="n"/>
      <c r="CB209" s="24" t="n"/>
      <c r="CC209" s="24" t="n"/>
      <c r="CD209" s="24" t="n"/>
      <c r="CE209" s="24" t="n"/>
      <c r="CF209" s="24" t="n"/>
      <c r="CG209" s="24" t="n"/>
      <c r="CH209" s="24" t="n"/>
      <c r="CI209" s="24" t="n"/>
      <c r="CJ209" s="24" t="n"/>
      <c r="CK209" s="24" t="n"/>
      <c r="CL209" s="24" t="n"/>
      <c r="CM209" s="24" t="n"/>
      <c r="CN209" s="24" t="n"/>
      <c r="CO209" s="24" t="n"/>
      <c r="CP209" s="24" t="n"/>
      <c r="CQ209" s="24" t="n"/>
      <c r="CR209" s="24" t="n"/>
      <c r="CS209" s="24" t="inlineStr">
        <is>
          <t>True</t>
        </is>
      </c>
      <c r="CT209" s="24" t="n"/>
      <c r="CU209" s="24" t="n"/>
      <c r="CV209" s="24" t="n"/>
      <c r="CW209" s="24" t="n"/>
      <c r="CX209" s="24" t="n"/>
      <c r="CY209" s="24" t="n"/>
      <c r="CZ209" s="24" t="n"/>
      <c r="DA209" s="24" t="n"/>
      <c r="DB209" s="24" t="n"/>
      <c r="DC209" s="24" t="n"/>
      <c r="DD209" s="24" t="n"/>
      <c r="DE209" s="24" t="n"/>
      <c r="DF209" s="24" t="n"/>
      <c r="DG209" s="24" t="n"/>
      <c r="DH209" s="24" t="n"/>
      <c r="DI209" s="24" t="n"/>
      <c r="DJ209" s="24" t="n"/>
      <c r="DK209" s="24" t="n"/>
      <c r="DL209" s="24" t="n"/>
      <c r="DM209" s="24" t="n"/>
      <c r="DN209" s="24" t="n"/>
      <c r="DO209" s="24" t="n"/>
      <c r="DP209" s="24" t="n"/>
      <c r="DQ209" s="24" t="inlineStr">
        <is>
          <t>{"artifact_hash": "68d07ee48d1509bcf95582a676d54274539f6ebe66c40e274ab6c8ab22373648", "away_team": "Hiroshima Carp", "draw_settlement_value": 0.5, "event_id": "142741", "event_start_utc": "2026-10-07T09:00:00Z", "features": {"away_elo": 1459.619403, "base_tie_rate": 0.02389967, "home_advantage": 35.0, "home_elo": 1522.390934}, "historical_source_observation_times_verified": false, "home_team": "Hanshin Tigers", "inference_inputs": {"away_id": "C", "base_tie_rate": 0.02389967, "book_state": {"_games_played": null, "_last_active": null, "decay_rate": 0.0, "home_advantage": 35.0, "k": 8.0, "margin_weight": 0.0, "ratings": {"C": 1459.619403, "T": 1522.390934}}, "code_sha256": {"features/elo_ratings.py": "8525faf022a6343c452286dbfeb17dbb043744c6bdabbe448b6b371216da439b", "international_baseball.py": "58ea522476e21dc70a719fe60647c19a772fcb4703fef8ed2d47c4ba7f07c2d5"}, "home_id": "T", "tie_method": "flat"}, "market_type": "moneyline", "model_version": "npb-tie-aware-elo-v2", "observed_at_utc": "2026-10-07T05:28:32.688023+00:00", "outcome_probabilities": {"away": 0.35422255357395394, "draw": 0.02389967, "home": 0.621877776426046}, "replay_scope": "Exact Elo and tie model; logged value is expected contract settlement, not outright win probability.", "schema": "international-elo-replay-v1", "settlement_values": {"away": 0.366172, "home": 0.633828}, "snapshot_hash": "87cf5b46fdc98e6724511cbd171f17824be2c7e42a1ccf8425aebafdb60d7db5", "sport": "NPB"}</t>
        </is>
      </c>
    </row>
    <row r="210" ht="36" customHeight="1">
      <c r="A210" s="24" t="inlineStr">
        <is>
          <t>51e8d642800f4892</t>
        </is>
      </c>
      <c r="B210" s="24" t="inlineStr">
        <is>
          <t>2026-10-07T22:27:05.714336Z</t>
        </is>
      </c>
      <c r="C210" s="24" t="inlineStr">
        <is>
          <t>2026-10-08T09:00:00Z</t>
        </is>
      </c>
      <c r="D210" s="24" t="inlineStr">
        <is>
          <t>144497</t>
        </is>
      </c>
      <c r="E210" s="24" t="inlineStr">
        <is>
          <t>NPB</t>
        </is>
      </c>
      <c r="F210" s="24" t="inlineStr">
        <is>
          <t>Tokyo Yakult Swallows</t>
        </is>
      </c>
      <c r="G210" s="24" t="inlineStr">
        <is>
          <t>Hanshin Tigers</t>
        </is>
      </c>
      <c r="H210" s="24" t="inlineStr">
        <is>
          <t>moneyline</t>
        </is>
      </c>
      <c r="I210" s="24" t="inlineStr">
        <is>
          <t>home</t>
        </is>
      </c>
      <c r="J210" s="25" t="n"/>
      <c r="K210" s="24" t="inlineStr">
        <is>
          <t>polymarket_us</t>
        </is>
      </c>
      <c r="L210" s="26" t="n">
        <v>-178</v>
      </c>
      <c r="M210" s="27" t="n">
        <v>1.561798</v>
      </c>
      <c r="N210" s="28" t="n">
        <v>0.640288</v>
      </c>
      <c r="O210" s="28" t="n">
        <v>0.691636</v>
      </c>
      <c r="P210" s="28" t="n"/>
      <c r="Q210" s="28" t="n">
        <v>0.051348</v>
      </c>
      <c r="R210" s="26" t="n">
        <v>46</v>
      </c>
      <c r="S210" s="29" t="n">
        <v>1</v>
      </c>
      <c r="T210" s="24" t="inlineStr">
        <is>
          <t>npb-tie-aware-elo-v2</t>
        </is>
      </c>
      <c r="U210" s="24" t="inlineStr">
        <is>
          <t>settled</t>
        </is>
      </c>
      <c r="V210" s="24" t="inlineStr">
        <is>
          <t>loss</t>
        </is>
      </c>
      <c r="W210" s="26" t="n">
        <v>4</v>
      </c>
      <c r="X210" s="26" t="n">
        <v>0</v>
      </c>
      <c r="Y210" s="25" t="n"/>
      <c r="Z210" s="26" t="n"/>
      <c r="AA210" s="28" t="n"/>
      <c r="AB210" s="28" t="n"/>
      <c r="AC210" s="30" t="n">
        <v>-1</v>
      </c>
      <c r="AD210" s="24" t="inlineStr">
        <is>
          <t>2026-10-11T04:37:10.205236Z</t>
        </is>
      </c>
      <c r="AE210" s="31" t="inlineStr">
        <is>
          <t>Tie-aware Elo baseline; executable ask 0.6400 (market_slug=aec-npb-hta-tys-2026-10-08). Tie probability=0.0239.</t>
        </is>
      </c>
      <c r="AF210" s="31" t="inlineStr">
        <is>
          <t>Config-promoted international baseball baseline; gates enforced at log time.</t>
        </is>
      </c>
      <c r="AG210" s="24" t="inlineStr">
        <is>
          <t>review_required</t>
        </is>
      </c>
      <c r="AH210" s="24" t="n"/>
      <c r="AI210" s="31" t="n"/>
      <c r="AJ210" s="31" t="n"/>
      <c r="AK210" s="24" t="inlineStr">
        <is>
          <t>model_qualified</t>
        </is>
      </c>
      <c r="AL210" s="26" t="n">
        <v>4</v>
      </c>
      <c r="AM210" s="24" t="inlineStr">
        <is>
          <t>QUALIFIED_SHADOW_CALL</t>
        </is>
      </c>
      <c r="AN210" s="24" t="inlineStr">
        <is>
          <t>CALL</t>
        </is>
      </c>
      <c r="AO210" s="24" t="inlineStr">
        <is>
          <t>QUALIFIED</t>
        </is>
      </c>
      <c r="AP210" s="24" t="inlineStr">
        <is>
          <t>Tokyo Yakult Swallows</t>
        </is>
      </c>
      <c r="AQ210" s="24" t="inlineStr">
        <is>
          <t>Tokyo Yakult Swallows</t>
        </is>
      </c>
      <c r="AR210" s="24" t="inlineStr">
        <is>
          <t>Tokyo Yakult Swallows</t>
        </is>
      </c>
      <c r="AS210" s="24" t="inlineStr">
        <is>
          <t>Hanshin Tigers</t>
        </is>
      </c>
      <c r="AT210" s="24" t="inlineStr">
        <is>
          <t>Hanshin Tigers</t>
        </is>
      </c>
      <c r="AU210" s="24" t="inlineStr">
        <is>
          <t>Hanshin Tigers</t>
        </is>
      </c>
      <c r="AV210" s="24" t="n"/>
      <c r="AW210" s="24" t="n"/>
      <c r="AX210" s="24" t="inlineStr">
        <is>
          <t>statistical_model</t>
        </is>
      </c>
      <c r="AY210" s="24" t="n"/>
      <c r="AZ210" s="24" t="inlineStr">
        <is>
          <t>shadow_qualified</t>
        </is>
      </c>
      <c r="BA210" s="24" t="inlineStr">
        <is>
          <t>b308d622b430a23c8c792fdf24eacf1319adf7cdec74fedf9555576e3842e388</t>
        </is>
      </c>
      <c r="BB210" s="24" t="inlineStr">
        <is>
          <t>tie_aware_elo</t>
        </is>
      </c>
      <c r="BC210" s="24" t="inlineStr">
        <is>
          <t>npb-tie-aware-elo-v2</t>
        </is>
      </c>
      <c r="BD210" s="24" t="inlineStr">
        <is>
          <t>b308d622b430a23c8c792fdf24eacf1319adf7cdec74fedf9555576e3842e388</t>
        </is>
      </c>
      <c r="BE210" s="24" t="inlineStr">
        <is>
          <t>1</t>
        </is>
      </c>
      <c r="BF210" s="24" t="inlineStr">
        <is>
          <t>1</t>
        </is>
      </c>
      <c r="BG210" s="24" t="inlineStr">
        <is>
          <t>npb-tie-aware-elo-v2</t>
        </is>
      </c>
      <c r="BH210" s="24" t="inlineStr">
        <is>
          <t>2026-10-07T22:27:05.714336Z</t>
        </is>
      </c>
      <c r="BI210" s="24" t="inlineStr">
        <is>
          <t>["same_event","same_team_same_day","same_league_same_day"]</t>
        </is>
      </c>
      <c r="BJ210" s="25" t="n"/>
      <c r="BK210" s="26" t="n">
        <v>-178</v>
      </c>
      <c r="BL210" s="27" t="n">
        <v>1.561798</v>
      </c>
      <c r="BM210" s="28" t="n">
        <v>0.640288</v>
      </c>
      <c r="BN210" s="28" t="n"/>
      <c r="BO210" s="28" t="n"/>
      <c r="BP210" s="25" t="n"/>
      <c r="BQ210" s="27" t="n"/>
      <c r="BR210" s="28" t="n"/>
      <c r="BS210" s="28" t="n"/>
      <c r="BT210" s="28" t="n"/>
      <c r="BU210" s="25" t="n"/>
      <c r="BV210" s="29" t="n"/>
      <c r="BW210" s="24" t="n"/>
      <c r="BX210" s="30" t="n"/>
      <c r="BY210" s="27" t="n"/>
      <c r="BZ210" s="24" t="n"/>
      <c r="CA210" s="31" t="n"/>
      <c r="CB210" s="24" t="n"/>
      <c r="CC210" s="24" t="n"/>
      <c r="CD210" s="24" t="n"/>
      <c r="CE210" s="24" t="n"/>
      <c r="CF210" s="24" t="n"/>
      <c r="CG210" s="24" t="n"/>
      <c r="CH210" s="24" t="n"/>
      <c r="CI210" s="24" t="n"/>
      <c r="CJ210" s="24" t="n"/>
      <c r="CK210" s="24" t="n"/>
      <c r="CL210" s="24" t="n"/>
      <c r="CM210" s="24" t="n"/>
      <c r="CN210" s="24" t="n"/>
      <c r="CO210" s="24" t="n"/>
      <c r="CP210" s="24" t="n"/>
      <c r="CQ210" s="24" t="n"/>
      <c r="CR210" s="24" t="n"/>
      <c r="CS210" s="24" t="inlineStr">
        <is>
          <t>True</t>
        </is>
      </c>
      <c r="CT210" s="24" t="n"/>
      <c r="CU210" s="24" t="n"/>
      <c r="CV210" s="24" t="n"/>
      <c r="CW210" s="24" t="n"/>
      <c r="CX210" s="24" t="n"/>
      <c r="CY210" s="24" t="n"/>
      <c r="CZ210" s="24" t="n"/>
      <c r="DA210" s="24" t="n"/>
      <c r="DB210" s="24" t="n"/>
      <c r="DC210" s="24" t="n"/>
      <c r="DD210" s="24" t="n"/>
      <c r="DE210" s="24" t="n"/>
      <c r="DF210" s="24" t="n"/>
      <c r="DG210" s="24" t="n"/>
      <c r="DH210" s="24" t="n"/>
      <c r="DI210" s="24" t="n"/>
      <c r="DJ210" s="24" t="n"/>
      <c r="DK210" s="24" t="n"/>
      <c r="DL210" s="24" t="n"/>
      <c r="DM210" s="24" t="n"/>
      <c r="DN210" s="24" t="n"/>
      <c r="DO210" s="24" t="n"/>
      <c r="DP210" s="24" t="n"/>
      <c r="DQ210" s="24" t="inlineStr">
        <is>
          <t>{"artifact_hash": "b308d622b430a23c8c792fdf24eacf1319adf7cdec74fedf9555576e3842e388", "away_team": "Tokyo Yakult Swallows", "draw_settlement_value": 0.5, "event_id": "144497", "event_start_utc": "2026-10-08T09:00:00Z", "features": {"away_elo": 1416.131229, "base_tie_rate": 0.02389401, "home_advantage": 35.0, "home_elo": 1525.294099}, "historical_source_observation_times_verified": false, "home_team": "Hanshin Tigers", "inference_inputs": {"away_id": "S", "base_tie_rate": 0.02389401, "book_state": {"_games_played": null, "_last_active": null, "decay_rate": 0.0, "home_advantage": 35.0, "k": 8.0, "margin_weight": 0.0, "ratings": {"S": 1416.131229, "T": 1525.294099}}, "code_sha256": {"features/elo_ratings.py": "8525faf022a6343c452286dbfeb17dbb043744c6bdabbe448b6b371216da439b", "international_baseball.py": "58ea522476e21dc70a719fe60647c19a772fcb4703fef8ed2d47c4ba7f07c2d5"}, "home_id": "T", "tie_method": "flat"}, "market_type": "moneyline", "model_version": "npb-tie-aware-elo-v2", "observed_at_utc": "2026-10-07T22:27:05.633273+00:00", "outcome_probabilities": {"away": 0.2964169774262092, "draw": 0.02389401, "home": 0.6796890125737908}, "replay_scope": "Exact Elo and tie model; logged value is expected contract settlement, not outright win probability.", "schema": "international-elo-replay-v1", "settlement_values": {"away": 0.308364, "home": 0.691636}, "snapshot_hash": "f1fb387be0a94b9f162bcc3cdfb4c43a15c021a242d22a9829b2d01dd32a68d8", "sport": "NPB"}</t>
        </is>
      </c>
    </row>
    <row r="211" ht="36" customHeight="1">
      <c r="A211" s="24" t="inlineStr">
        <is>
          <t>cb827885e91f4b82</t>
        </is>
      </c>
      <c r="B211" s="24" t="inlineStr">
        <is>
          <t>2026-10-11T01:06:46.457952Z</t>
        </is>
      </c>
      <c r="C211" s="24" t="inlineStr">
        <is>
          <t>2026-10-11T05:00:00Z</t>
        </is>
      </c>
      <c r="D211" s="24" t="inlineStr">
        <is>
          <t>148643</t>
        </is>
      </c>
      <c r="E211" s="24" t="inlineStr">
        <is>
          <t>NPB</t>
        </is>
      </c>
      <c r="F211" s="24" t="inlineStr">
        <is>
          <t>Nippon Ham Fighters</t>
        </is>
      </c>
      <c r="G211" s="24" t="inlineStr">
        <is>
          <t>Saitama Seibu Lions</t>
        </is>
      </c>
      <c r="H211" s="24" t="inlineStr">
        <is>
          <t>moneyline</t>
        </is>
      </c>
      <c r="I211" s="24" t="inlineStr">
        <is>
          <t>home</t>
        </is>
      </c>
      <c r="J211" s="25" t="n"/>
      <c r="K211" s="24" t="inlineStr">
        <is>
          <t>polymarket_us</t>
        </is>
      </c>
      <c r="L211" s="26" t="n">
        <v>113</v>
      </c>
      <c r="M211" s="27" t="n">
        <v>2.13</v>
      </c>
      <c r="N211" s="28" t="n">
        <v>0.469484</v>
      </c>
      <c r="O211" s="28" t="n">
        <v>0.537178</v>
      </c>
      <c r="P211" s="28" t="n"/>
      <c r="Q211" s="28" t="n">
        <v>0.067694</v>
      </c>
      <c r="R211" s="26" t="n">
        <v>54</v>
      </c>
      <c r="S211" s="29" t="n">
        <v>1</v>
      </c>
      <c r="T211" s="24" t="inlineStr">
        <is>
          <t>npb-tie-aware-elo-v2</t>
        </is>
      </c>
      <c r="U211" s="24" t="inlineStr">
        <is>
          <t>settled</t>
        </is>
      </c>
      <c r="V211" s="24" t="inlineStr">
        <is>
          <t>loss</t>
        </is>
      </c>
      <c r="W211" s="26" t="n">
        <v>1</v>
      </c>
      <c r="X211" s="26" t="n">
        <v>0</v>
      </c>
      <c r="Y211" s="25" t="n"/>
      <c r="Z211" s="26" t="n"/>
      <c r="AA211" s="28" t="n"/>
      <c r="AB211" s="28" t="n"/>
      <c r="AC211" s="30" t="n">
        <v>-1</v>
      </c>
      <c r="AD211" s="24" t="inlineStr">
        <is>
          <t>2026-10-11T22:01:57.404973Z</t>
        </is>
      </c>
      <c r="AE211" s="31" t="inlineStr">
        <is>
          <t>Tie-aware Elo baseline; executable ask 0.4700 (market_slug=aec-npb-ssl-nhf-2026-10-11). Tie probability=0.0239.</t>
        </is>
      </c>
      <c r="AF211" s="31" t="inlineStr">
        <is>
          <t>Config-promoted international baseball baseline; gates enforced at log time.</t>
        </is>
      </c>
      <c r="AG211" s="24" t="inlineStr">
        <is>
          <t>review_required</t>
        </is>
      </c>
      <c r="AH211" s="24" t="n"/>
      <c r="AI211" s="31" t="n"/>
      <c r="AJ211" s="31" t="n"/>
      <c r="AK211" s="24" t="inlineStr">
        <is>
          <t>paper_call</t>
        </is>
      </c>
      <c r="AL211" s="26" t="n">
        <v>4</v>
      </c>
      <c r="AM211" s="24" t="inlineStr">
        <is>
          <t>RESEARCH_OBSERVATION</t>
        </is>
      </c>
      <c r="AN211" s="24" t="inlineStr">
        <is>
          <t>CALL</t>
        </is>
      </c>
      <c r="AO211" s="24" t="inlineStr">
        <is>
          <t>PAPER_CALL_LOW_EDGE</t>
        </is>
      </c>
      <c r="AP211" s="24" t="inlineStr">
        <is>
          <t>Nippon Ham Fighters</t>
        </is>
      </c>
      <c r="AQ211" s="24" t="inlineStr">
        <is>
          <t>Nippon Ham Fighters</t>
        </is>
      </c>
      <c r="AR211" s="24" t="inlineStr">
        <is>
          <t>Nippon Ham Fighters</t>
        </is>
      </c>
      <c r="AS211" s="24" t="inlineStr">
        <is>
          <t>Saitama Seibu Lions</t>
        </is>
      </c>
      <c r="AT211" s="24" t="inlineStr">
        <is>
          <t>Saitama Seibu Lions</t>
        </is>
      </c>
      <c r="AU211" s="24" t="inlineStr">
        <is>
          <t>Saitama Seibu Lions</t>
        </is>
      </c>
      <c r="AV211" s="24" t="n"/>
      <c r="AW211" s="24" t="n"/>
      <c r="AX211" s="24" t="inlineStr">
        <is>
          <t>statistical_model</t>
        </is>
      </c>
      <c r="AY211" s="24" t="n"/>
      <c r="AZ211" s="24" t="inlineStr">
        <is>
          <t>shadow_qualified</t>
        </is>
      </c>
      <c r="BA211" s="24" t="inlineStr">
        <is>
          <t>893602d01e5e033b555535a8754105d97c348185ccc30e37513b1c524c69ad79</t>
        </is>
      </c>
      <c r="BB211" s="24" t="inlineStr">
        <is>
          <t>tie_aware_elo</t>
        </is>
      </c>
      <c r="BC211" s="24" t="inlineStr">
        <is>
          <t>npb-tie-aware-elo-v2</t>
        </is>
      </c>
      <c r="BD211" s="24" t="inlineStr">
        <is>
          <t>893602d01e5e033b555535a8754105d97c348185ccc30e37513b1c524c69ad79</t>
        </is>
      </c>
      <c r="BE211" s="24" t="inlineStr">
        <is>
          <t>1</t>
        </is>
      </c>
      <c r="BF211" s="24" t="inlineStr">
        <is>
          <t>1</t>
        </is>
      </c>
      <c r="BG211" s="24" t="inlineStr">
        <is>
          <t>npb-tie-aware-elo-v2</t>
        </is>
      </c>
      <c r="BH211" s="24" t="inlineStr">
        <is>
          <t>2026-10-11T01:06:46.403224Z</t>
        </is>
      </c>
      <c r="BI211" s="24" t="inlineStr">
        <is>
          <t>["same_event","same_team_same_day","same_league_same_day"]</t>
        </is>
      </c>
      <c r="BJ211" s="25" t="n"/>
      <c r="BK211" s="26" t="n">
        <v>113</v>
      </c>
      <c r="BL211" s="27" t="n">
        <v>2.13</v>
      </c>
      <c r="BM211" s="28" t="n">
        <v>0.469484</v>
      </c>
      <c r="BN211" s="28" t="n"/>
      <c r="BO211" s="28" t="n"/>
      <c r="BP211" s="25" t="n"/>
      <c r="BQ211" s="27" t="n"/>
      <c r="BR211" s="28" t="n"/>
      <c r="BS211" s="28" t="n"/>
      <c r="BT211" s="28" t="n"/>
      <c r="BU211" s="25" t="n"/>
      <c r="BV211" s="29" t="n"/>
      <c r="BW211" s="24" t="n"/>
      <c r="BX211" s="30" t="n"/>
      <c r="BY211" s="27" t="n"/>
      <c r="BZ211" s="24" t="n"/>
      <c r="CA211" s="31" t="n"/>
      <c r="CB211" s="24" t="n"/>
      <c r="CC211" s="24" t="n"/>
      <c r="CD211" s="24" t="n"/>
      <c r="CE211" s="24" t="n"/>
      <c r="CF211" s="24" t="n"/>
      <c r="CG211" s="24" t="n"/>
      <c r="CH211" s="24" t="n"/>
      <c r="CI211" s="24" t="n"/>
      <c r="CJ211" s="24" t="n"/>
      <c r="CK211" s="24" t="n"/>
      <c r="CL211" s="24" t="n"/>
      <c r="CM211" s="24" t="n"/>
      <c r="CN211" s="24" t="n"/>
      <c r="CO211" s="24" t="n"/>
      <c r="CP211" s="24" t="n"/>
      <c r="CQ211" s="24" t="n"/>
      <c r="CR211" s="24" t="n"/>
      <c r="CS211" s="24" t="inlineStr">
        <is>
          <t>True</t>
        </is>
      </c>
      <c r="CT211" s="24" t="n"/>
      <c r="CU211" s="24" t="n"/>
      <c r="CV211" s="24" t="n"/>
      <c r="CW211" s="24" t="n"/>
      <c r="CX211" s="24" t="n"/>
      <c r="CY211" s="24" t="n"/>
      <c r="CZ211" s="24" t="n"/>
      <c r="DA211" s="24" t="n"/>
      <c r="DB211" s="24" t="n"/>
      <c r="DC211" s="24" t="n"/>
      <c r="DD211" s="24" t="n"/>
      <c r="DE211" s="24" t="n"/>
      <c r="DF211" s="24" t="n"/>
      <c r="DG211" s="24" t="n"/>
      <c r="DH211" s="24" t="n"/>
      <c r="DI211" s="24" t="n"/>
      <c r="DJ211" s="24" t="n"/>
      <c r="DK211" s="24" t="n"/>
      <c r="DL211" s="24" t="n"/>
      <c r="DM211" s="24" t="n"/>
      <c r="DN211" s="24" t="n"/>
      <c r="DO211" s="24" t="n"/>
      <c r="DP211" s="24" t="n"/>
      <c r="DQ211" s="24" t="inlineStr">
        <is>
          <t>{"artifact_hash": "893602d01e5e033b555535a8754105d97c348185ccc30e37513b1c524c69ad79", "away_team": "Nippon Ham Fighters", "draw_settlement_value": 0.5, "event_id": "148643", "event_start_utc": "2026-10-11T05:00:00Z", "features": {"away_elo": 1551.787498, "base_tie_rate": 0.02387707, "home_advantage": 35.0, "home_elo": 1543.304526}, "historical_source_observation_times_verified": false, "home_team": "Saitama Seibu Lions", "inference_inputs": {"away_id": "F", "base_tie_rate": 0.02387707, "book_state": {"_games_played": null, "_last_active": null, "decay_rate": 0.0, "home_advantage": 35.0, "k": 8.0, "margin_weight": 0.0, "ratings": {"F": 1551.787498, "L": 1543.304526}}, "code_sha256": {"features/elo_ratings.py": "8525faf022a6343c452286dbfeb17dbb043744c6bdabbe448b6b371216da439b", "international_baseball.py": "fe583791ae4febdb6b477e979042a87e118f547c292d23a5c6651da0218cc4e4"}, "home_id": "L", "tie_method": "flat"}, "market_type": "moneyline", "model_version": "npb-tie-aware-elo-v2", "observed_at_utc": "2026-10-11T01:06:46.340498+00:00", "outcome_probabilities": {"away": 0.450883728309193, "draw": 0.02387707, "home": 0.5252392016908071}, "replay_scope": "Exact Elo and tie model; logged value is expected contract settlement, not outright win probability.", "schema": "international-elo-replay-v1", "settlement_values": {"away": 0.462822, "home": 0.537178}, "snapshot_hash": "0adfb8530cd4d68cabea01e26674e27f24c99521898581e14f4074d3b0b3e9fe", "sport": "NPB"}</t>
        </is>
      </c>
    </row>
    <row r="212" ht="36" customHeight="1">
      <c r="A212" s="24" t="inlineStr">
        <is>
          <t>5539de7229b243ad</t>
        </is>
      </c>
      <c r="B212" s="24" t="inlineStr">
        <is>
          <t>2026-10-11T01:06:46.457952Z</t>
        </is>
      </c>
      <c r="C212" s="24" t="inlineStr">
        <is>
          <t>2026-10-11T05:00:00Z</t>
        </is>
      </c>
      <c r="D212" s="24" t="inlineStr">
        <is>
          <t>148644</t>
        </is>
      </c>
      <c r="E212" s="24" t="inlineStr">
        <is>
          <t>NPB</t>
        </is>
      </c>
      <c r="F212" s="24" t="inlineStr">
        <is>
          <t>Yokohama BayStars</t>
        </is>
      </c>
      <c r="G212" s="24" t="inlineStr">
        <is>
          <t>Yomiuri Giants</t>
        </is>
      </c>
      <c r="H212" s="24" t="inlineStr">
        <is>
          <t>moneyline</t>
        </is>
      </c>
      <c r="I212" s="24" t="inlineStr">
        <is>
          <t>home</t>
        </is>
      </c>
      <c r="J212" s="25" t="n"/>
      <c r="K212" s="24" t="inlineStr">
        <is>
          <t>polymarket_us</t>
        </is>
      </c>
      <c r="L212" s="26" t="n">
        <v>104</v>
      </c>
      <c r="M212" s="27" t="n">
        <v>2.04</v>
      </c>
      <c r="N212" s="28" t="n">
        <v>0.490196</v>
      </c>
      <c r="O212" s="28" t="n">
        <v>0.525257</v>
      </c>
      <c r="P212" s="28" t="n"/>
      <c r="Q212" s="28" t="n">
        <v>0.035061</v>
      </c>
      <c r="R212" s="26" t="n">
        <v>38</v>
      </c>
      <c r="S212" s="29" t="n">
        <v>1</v>
      </c>
      <c r="T212" s="24" t="inlineStr">
        <is>
          <t>npb-tie-aware-elo-v2</t>
        </is>
      </c>
      <c r="U212" s="24" t="inlineStr">
        <is>
          <t>settled</t>
        </is>
      </c>
      <c r="V212" s="24" t="inlineStr">
        <is>
          <t>loss</t>
        </is>
      </c>
      <c r="W212" s="26" t="n">
        <v>4</v>
      </c>
      <c r="X212" s="26" t="n">
        <v>1</v>
      </c>
      <c r="Y212" s="25" t="n"/>
      <c r="Z212" s="26" t="n"/>
      <c r="AA212" s="28" t="n"/>
      <c r="AB212" s="28" t="n"/>
      <c r="AC212" s="30" t="n">
        <v>-1</v>
      </c>
      <c r="AD212" s="24" t="inlineStr">
        <is>
          <t>2026-10-11T22:01:59.240893Z</t>
        </is>
      </c>
      <c r="AE212" s="31" t="inlineStr">
        <is>
          <t>Tie-aware Elo baseline; executable ask 0.4900 (market_slug=aec-npb-ygo-ybo-2026-10-11). Tie probability=0.0239.</t>
        </is>
      </c>
      <c r="AF212" s="31" t="inlineStr">
        <is>
          <t>Config-promoted international baseball baseline; gates enforced at log time.</t>
        </is>
      </c>
      <c r="AG212" s="24" t="inlineStr">
        <is>
          <t>review_required</t>
        </is>
      </c>
      <c r="AH212" s="24" t="n"/>
      <c r="AI212" s="31" t="n"/>
      <c r="AJ212" s="31" t="n"/>
      <c r="AK212" s="24" t="inlineStr">
        <is>
          <t>paper_call</t>
        </is>
      </c>
      <c r="AL212" s="26" t="n">
        <v>4</v>
      </c>
      <c r="AM212" s="24" t="inlineStr">
        <is>
          <t>RESEARCH_OBSERVATION</t>
        </is>
      </c>
      <c r="AN212" s="24" t="inlineStr">
        <is>
          <t>CALL</t>
        </is>
      </c>
      <c r="AO212" s="24" t="inlineStr">
        <is>
          <t>PAPER_CALL_LOW_EDGE</t>
        </is>
      </c>
      <c r="AP212" s="24" t="inlineStr">
        <is>
          <t>Yokohama BayStars</t>
        </is>
      </c>
      <c r="AQ212" s="24" t="inlineStr">
        <is>
          <t>Yokohama BayStars</t>
        </is>
      </c>
      <c r="AR212" s="24" t="inlineStr">
        <is>
          <t>Yokohama BayStars</t>
        </is>
      </c>
      <c r="AS212" s="24" t="inlineStr">
        <is>
          <t>Yomiuri Giants</t>
        </is>
      </c>
      <c r="AT212" s="24" t="inlineStr">
        <is>
          <t>Yomiuri Giants</t>
        </is>
      </c>
      <c r="AU212" s="24" t="inlineStr">
        <is>
          <t>Yomiuri Giants</t>
        </is>
      </c>
      <c r="AV212" s="24" t="n"/>
      <c r="AW212" s="24" t="n"/>
      <c r="AX212" s="24" t="inlineStr">
        <is>
          <t>statistical_model</t>
        </is>
      </c>
      <c r="AY212" s="24" t="n"/>
      <c r="AZ212" s="24" t="inlineStr">
        <is>
          <t>shadow_qualified</t>
        </is>
      </c>
      <c r="BA212" s="24" t="inlineStr">
        <is>
          <t>893602d01e5e033b555535a8754105d97c348185ccc30e37513b1c524c69ad79</t>
        </is>
      </c>
      <c r="BB212" s="24" t="inlineStr">
        <is>
          <t>tie_aware_elo</t>
        </is>
      </c>
      <c r="BC212" s="24" t="inlineStr">
        <is>
          <t>npb-tie-aware-elo-v2</t>
        </is>
      </c>
      <c r="BD212" s="24" t="inlineStr">
        <is>
          <t>893602d01e5e033b555535a8754105d97c348185ccc30e37513b1c524c69ad79</t>
        </is>
      </c>
      <c r="BE212" s="24" t="inlineStr">
        <is>
          <t>1</t>
        </is>
      </c>
      <c r="BF212" s="24" t="inlineStr">
        <is>
          <t>1</t>
        </is>
      </c>
      <c r="BG212" s="24" t="inlineStr">
        <is>
          <t>npb-tie-aware-elo-v2</t>
        </is>
      </c>
      <c r="BH212" s="24" t="inlineStr">
        <is>
          <t>2026-10-11T01:06:46.457952Z</t>
        </is>
      </c>
      <c r="BI212" s="24" t="inlineStr">
        <is>
          <t>["same_event","same_team_same_day","same_league_same_day"]</t>
        </is>
      </c>
      <c r="BJ212" s="25" t="n"/>
      <c r="BK212" s="26" t="n">
        <v>104</v>
      </c>
      <c r="BL212" s="27" t="n">
        <v>2.04</v>
      </c>
      <c r="BM212" s="28" t="n">
        <v>0.490196</v>
      </c>
      <c r="BN212" s="28" t="n"/>
      <c r="BO212" s="28" t="n"/>
      <c r="BP212" s="25" t="n"/>
      <c r="BQ212" s="27" t="n"/>
      <c r="BR212" s="28" t="n"/>
      <c r="BS212" s="28" t="n"/>
      <c r="BT212" s="28" t="n"/>
      <c r="BU212" s="25" t="n"/>
      <c r="BV212" s="29" t="n"/>
      <c r="BW212" s="24" t="n"/>
      <c r="BX212" s="30" t="n"/>
      <c r="BY212" s="27" t="n"/>
      <c r="BZ212" s="24" t="n"/>
      <c r="CA212" s="31" t="n"/>
      <c r="CB212" s="24" t="n"/>
      <c r="CC212" s="24" t="n"/>
      <c r="CD212" s="24" t="n"/>
      <c r="CE212" s="24" t="n"/>
      <c r="CF212" s="24" t="n"/>
      <c r="CG212" s="24" t="n"/>
      <c r="CH212" s="24" t="n"/>
      <c r="CI212" s="24" t="n"/>
      <c r="CJ212" s="24" t="n"/>
      <c r="CK212" s="24" t="n"/>
      <c r="CL212" s="24" t="n"/>
      <c r="CM212" s="24" t="n"/>
      <c r="CN212" s="24" t="n"/>
      <c r="CO212" s="24" t="n"/>
      <c r="CP212" s="24" t="n"/>
      <c r="CQ212" s="24" t="n"/>
      <c r="CR212" s="24" t="n"/>
      <c r="CS212" s="24" t="inlineStr">
        <is>
          <t>True</t>
        </is>
      </c>
      <c r="CT212" s="24" t="n"/>
      <c r="CU212" s="24" t="n"/>
      <c r="CV212" s="24" t="n"/>
      <c r="CW212" s="24" t="n"/>
      <c r="CX212" s="24" t="n"/>
      <c r="CY212" s="24" t="n"/>
      <c r="CZ212" s="24" t="n"/>
      <c r="DA212" s="24" t="n"/>
      <c r="DB212" s="24" t="n"/>
      <c r="DC212" s="24" t="n"/>
      <c r="DD212" s="24" t="n"/>
      <c r="DE212" s="24" t="n"/>
      <c r="DF212" s="24" t="n"/>
      <c r="DG212" s="24" t="n"/>
      <c r="DH212" s="24" t="n"/>
      <c r="DI212" s="24" t="n"/>
      <c r="DJ212" s="24" t="n"/>
      <c r="DK212" s="24" t="n"/>
      <c r="DL212" s="24" t="n"/>
      <c r="DM212" s="24" t="n"/>
      <c r="DN212" s="24" t="n"/>
      <c r="DO212" s="24" t="n"/>
      <c r="DP212" s="24" t="n"/>
      <c r="DQ212" s="24" t="inlineStr">
        <is>
          <t>{"artifact_hash": "893602d01e5e033b555535a8754105d97c348185ccc30e37513b1c524c69ad79", "away_team": "Yokohama BayStars", "draw_settlement_value": 0.5, "event_id": "148644", "event_start_utc": "2026-10-11T05:00:00Z", "features": {"away_elo": 1516.853935, "base_tie_rate": 0.02387707, "home_advantage": 35.0, "home_elo": 1499.849559}, "historical_source_observation_times_verified": false, "home_team": "Yomiuri Giants", "inference_inputs": {"away_id": "DB", "base_tie_rate": 0.02387707, "book_state": {"_games_played": null, "_last_active": null, "decay_rate": 0.0, "home_advantage": 35.0, "k": 8.0, "margin_weight": 0.0, "ratings": {"DB": 1516.853935, "G": 1499.849559}}, "code_sha256": {"features/elo_ratings.py": "8525faf022a6343c452286dbfeb17dbb043744c6bdabbe448b6b371216da439b", "international_baseball.py": "fe583791ae4febdb6b477e979042a87e118f547c292d23a5c6651da0218cc4e4"}, "home_id": "G", "tie_method": "flat"}, "market_type": "moneyline", "model_version": "npb-tie-aware-elo-v2", "observed_at_utc": "2026-10-11T01:06:46.340498+00:00", "outcome_probabilities": {"away": 0.4628046256439446, "draw": 0.02387707, "home": 0.5133183043560555}, "replay_scope": "Exact Elo and tie model; logged value is expected contract settlement, not outright win probability.", "schema": "international-elo-replay-v1", "settlement_values": {"away": 0.474743, "home": 0.525257}, "snapshot_hash": "3b835560ef63bf24f261f0734a60c05f92b317cc06babf16f710ccdfe5a46891", "sport": "NPB"}</t>
        </is>
      </c>
    </row>
    <row r="213" ht="36" customHeight="1">
      <c r="A213" s="24" t="inlineStr">
        <is>
          <t>8c80f2db87ab4ca2</t>
        </is>
      </c>
      <c r="B213" s="24" t="inlineStr">
        <is>
          <t>2026-10-11T22:38:31.027034Z</t>
        </is>
      </c>
      <c r="C213" s="24" t="inlineStr">
        <is>
          <t>2026-10-12T05:00:00Z</t>
        </is>
      </c>
      <c r="D213" s="24" t="inlineStr">
        <is>
          <t>154782</t>
        </is>
      </c>
      <c r="E213" s="24" t="inlineStr">
        <is>
          <t>NPB</t>
        </is>
      </c>
      <c r="F213" s="24" t="inlineStr">
        <is>
          <t>Nippon Ham Fighters</t>
        </is>
      </c>
      <c r="G213" s="24" t="inlineStr">
        <is>
          <t>Saitama Seibu Lions</t>
        </is>
      </c>
      <c r="H213" s="24" t="inlineStr">
        <is>
          <t>moneyline</t>
        </is>
      </c>
      <c r="I213" s="24" t="inlineStr">
        <is>
          <t>home</t>
        </is>
      </c>
      <c r="J213" s="25" t="n"/>
      <c r="K213" s="24" t="inlineStr">
        <is>
          <t>polymarket_us</t>
        </is>
      </c>
      <c r="L213" s="26" t="n">
        <v>-117</v>
      </c>
      <c r="M213" s="27" t="n">
        <v>1.854701</v>
      </c>
      <c r="N213" s="28" t="n">
        <v>0.539171</v>
      </c>
      <c r="O213" s="28" t="n">
        <v>0.525134</v>
      </c>
      <c r="P213" s="28" t="n"/>
      <c r="Q213" s="28" t="n">
        <v>-0.014037</v>
      </c>
      <c r="R213" s="26" t="n">
        <v>13</v>
      </c>
      <c r="S213" s="29" t="n">
        <v>1</v>
      </c>
      <c r="T213" s="24" t="inlineStr">
        <is>
          <t>npb-tie-aware-elo-v2</t>
        </is>
      </c>
      <c r="U213" s="24" t="inlineStr">
        <is>
          <t>settled</t>
        </is>
      </c>
      <c r="V213" s="24" t="inlineStr">
        <is>
          <t>loss</t>
        </is>
      </c>
      <c r="W213" s="26" t="n">
        <v>4</v>
      </c>
      <c r="X213" s="26" t="n">
        <v>1</v>
      </c>
      <c r="Y213" s="25" t="n"/>
      <c r="Z213" s="26" t="n"/>
      <c r="AA213" s="28" t="n"/>
      <c r="AB213" s="28" t="n"/>
      <c r="AC213" s="30" t="n">
        <v>-1</v>
      </c>
      <c r="AD213" s="24" t="inlineStr">
        <is>
          <t>2026-10-12T22:03:31.738539Z</t>
        </is>
      </c>
      <c r="AE213" s="31" t="inlineStr">
        <is>
          <t>Tie-aware Elo baseline; executable ask 0.5400 (market_slug=aec-npb-ssl-nhf-2026-10-12). Tie probability=0.0239.</t>
        </is>
      </c>
      <c r="AF213" s="31" t="inlineStr">
        <is>
          <t>Config-promoted international baseball baseline; gates enforced at log time.</t>
        </is>
      </c>
      <c r="AG213" s="24" t="inlineStr">
        <is>
          <t>review_required</t>
        </is>
      </c>
      <c r="AH213" s="24" t="n"/>
      <c r="AI213" s="31" t="n"/>
      <c r="AJ213" s="31" t="n"/>
      <c r="AK213" s="24" t="inlineStr">
        <is>
          <t>paper_call</t>
        </is>
      </c>
      <c r="AL213" s="26" t="n">
        <v>4</v>
      </c>
      <c r="AM213" s="24" t="inlineStr">
        <is>
          <t>RESEARCH_OBSERVATION</t>
        </is>
      </c>
      <c r="AN213" s="24" t="inlineStr">
        <is>
          <t>CALL</t>
        </is>
      </c>
      <c r="AO213" s="24" t="inlineStr">
        <is>
          <t>PAPER_CALL_LOW_EDGE</t>
        </is>
      </c>
      <c r="AP213" s="24" t="inlineStr">
        <is>
          <t>Nippon Ham Fighters</t>
        </is>
      </c>
      <c r="AQ213" s="24" t="inlineStr">
        <is>
          <t>Nippon Ham Fighters</t>
        </is>
      </c>
      <c r="AR213" s="24" t="inlineStr">
        <is>
          <t>Nippon Ham Fighters</t>
        </is>
      </c>
      <c r="AS213" s="24" t="inlineStr">
        <is>
          <t>Saitama Seibu Lions</t>
        </is>
      </c>
      <c r="AT213" s="24" t="inlineStr">
        <is>
          <t>Saitama Seibu Lions</t>
        </is>
      </c>
      <c r="AU213" s="24" t="inlineStr">
        <is>
          <t>Saitama Seibu Lions</t>
        </is>
      </c>
      <c r="AV213" s="24" t="n"/>
      <c r="AW213" s="24" t="n"/>
      <c r="AX213" s="24" t="inlineStr">
        <is>
          <t>statistical_model</t>
        </is>
      </c>
      <c r="AY213" s="24" t="n"/>
      <c r="AZ213" s="24" t="inlineStr">
        <is>
          <t>shadow_qualified</t>
        </is>
      </c>
      <c r="BA213" s="24" t="inlineStr">
        <is>
          <t>b1442f66b73b82e842e6c57616754b46017f10f0e356edc8600ad4d6610cda2f</t>
        </is>
      </c>
      <c r="BB213" s="24" t="inlineStr">
        <is>
          <t>tie_aware_elo</t>
        </is>
      </c>
      <c r="BC213" s="24" t="inlineStr">
        <is>
          <t>npb-tie-aware-elo-v2</t>
        </is>
      </c>
      <c r="BD213" s="24" t="inlineStr">
        <is>
          <t>b1442f66b73b82e842e6c57616754b46017f10f0e356edc8600ad4d6610cda2f</t>
        </is>
      </c>
      <c r="BE213" s="24" t="inlineStr">
        <is>
          <t>1</t>
        </is>
      </c>
      <c r="BF213" s="24" t="inlineStr">
        <is>
          <t>1</t>
        </is>
      </c>
      <c r="BG213" s="24" t="inlineStr">
        <is>
          <t>npb-tie-aware-elo-v2</t>
        </is>
      </c>
      <c r="BH213" s="24" t="inlineStr">
        <is>
          <t>2026-10-11T22:38:31.026029Z</t>
        </is>
      </c>
      <c r="BI213" s="24" t="inlineStr">
        <is>
          <t>["same_event","same_team_same_day","same_league_same_day"]</t>
        </is>
      </c>
      <c r="BJ213" s="25" t="n"/>
      <c r="BK213" s="26" t="n">
        <v>-117</v>
      </c>
      <c r="BL213" s="27" t="n">
        <v>1.854701</v>
      </c>
      <c r="BM213" s="28" t="n">
        <v>0.539171</v>
      </c>
      <c r="BN213" s="28" t="n"/>
      <c r="BO213" s="28" t="n"/>
      <c r="BP213" s="25" t="n"/>
      <c r="BQ213" s="27" t="n"/>
      <c r="BR213" s="28" t="n"/>
      <c r="BS213" s="28" t="n"/>
      <c r="BT213" s="28" t="n"/>
      <c r="BU213" s="25" t="n"/>
      <c r="BV213" s="29" t="n"/>
      <c r="BW213" s="24" t="n"/>
      <c r="BX213" s="30" t="n"/>
      <c r="BY213" s="27" t="n"/>
      <c r="BZ213" s="24" t="n"/>
      <c r="CA213" s="31" t="n"/>
      <c r="CB213" s="24" t="n"/>
      <c r="CC213" s="24" t="n"/>
      <c r="CD213" s="24" t="n"/>
      <c r="CE213" s="24" t="n"/>
      <c r="CF213" s="24" t="n"/>
      <c r="CG213" s="24" t="n"/>
      <c r="CH213" s="24" t="n"/>
      <c r="CI213" s="24" t="n"/>
      <c r="CJ213" s="24" t="n"/>
      <c r="CK213" s="24" t="n"/>
      <c r="CL213" s="24" t="n"/>
      <c r="CM213" s="24" t="n"/>
      <c r="CN213" s="24" t="n"/>
      <c r="CO213" s="24" t="n"/>
      <c r="CP213" s="24" t="n"/>
      <c r="CQ213" s="24" t="n"/>
      <c r="CR213" s="24" t="n"/>
      <c r="CS213" s="24" t="inlineStr">
        <is>
          <t>False</t>
        </is>
      </c>
      <c r="CT213" s="24" t="n"/>
      <c r="CU213" s="24" t="n"/>
      <c r="CV213" s="24" t="n"/>
      <c r="CW213" s="24" t="n"/>
      <c r="CX213" s="24" t="n"/>
      <c r="CY213" s="24" t="n"/>
      <c r="CZ213" s="24" t="n"/>
      <c r="DA213" s="24" t="n"/>
      <c r="DB213" s="24" t="n"/>
      <c r="DC213" s="24" t="n"/>
      <c r="DD213" s="24" t="n"/>
      <c r="DE213" s="24" t="n"/>
      <c r="DF213" s="24" t="n"/>
      <c r="DG213" s="24" t="n"/>
      <c r="DH213" s="24" t="n"/>
      <c r="DI213" s="24" t="n"/>
      <c r="DJ213" s="24" t="n"/>
      <c r="DK213" s="24" t="n"/>
      <c r="DL213" s="24" t="n"/>
      <c r="DM213" s="24" t="n"/>
      <c r="DN213" s="24" t="n"/>
      <c r="DO213" s="24" t="n"/>
      <c r="DP213" s="24" t="n"/>
      <c r="DQ213" s="24" t="inlineStr">
        <is>
          <t>{"artifact_hash": "b1442f66b73b82e842e6c57616754b46017f10f0e356edc8600ad4d6610cda2f", "away_team": "Nippon Ham Fighters", "draw_settlement_value": 0.5, "event_id": "154782", "event_start_utc": "2026-10-12T05:00:00Z", "features": {"away_elo": 1556.092195, "base_tie_rate": 0.02386578, "home_advantage": 35.0, "home_elo": 1538.999828}, "historical_source_observation_times_verified": false, "home_team": "Saitama Seibu Lions", "inference_inputs": {"away_id": "F", "base_tie_rate": 0.02386578, "book_state": {"_games_played": null, "_last_active": null, "decay_rate": 0.0, "home_advantage": 35.0, "k": 8.0, "margin_weight": 0.0, "ratings": {"F": 1556.092195, "L": 1538.999828}}, "code_sha256": {"features/elo_ratings.py": "d6513e79d65448c06cc0f9b9eed0eaa091567835128e1f6647a310da8d78a872", "international_baseball.py": "fe583791ae4febdb6b477e979042a87e118f547c292d23a5c6651da0218cc4e4"}, "home_id": "L", "tie_method": "flat"}, "market_type": "moneyline", "model_version": "npb-tie-aware-elo-v2", "observed_at_utc": "2026-10-11T22:38:26.630105+00:00", "outcome_probabilities": {"away": 0.46293325623630444, "draw": 0.02386578, "home": 0.5132009637636956}, "replay_scope": "Exact Elo and tie model; logged value is expected contract settlement, not outright win probability.", "schema": "international-elo-replay-v1", "settlement_values": {"away": 0.474866, "home": 0.525134}, "snapshot_hash": "e7ed6afe98bfebdb9e5fb4b2aaaee8218eb1507832c8782d3e4baa9d3c420c27", "sport": "NPB"}</t>
        </is>
      </c>
    </row>
    <row r="214" ht="36" customHeight="1">
      <c r="A214" s="24" t="inlineStr">
        <is>
          <t>e1c95a5f914b4c7c</t>
        </is>
      </c>
      <c r="B214" s="24" t="inlineStr">
        <is>
          <t>2026-10-14T05:52:01.251682Z</t>
        </is>
      </c>
      <c r="C214" s="24" t="inlineStr">
        <is>
          <t>2026-10-14T09:00:00Z</t>
        </is>
      </c>
      <c r="D214" s="24" t="inlineStr">
        <is>
          <t>154783</t>
        </is>
      </c>
      <c r="E214" s="24" t="inlineStr">
        <is>
          <t>NPB</t>
        </is>
      </c>
      <c r="F214" s="24" t="inlineStr">
        <is>
          <t>Yokohama BayStars</t>
        </is>
      </c>
      <c r="G214" s="24" t="inlineStr">
        <is>
          <t>Hanshin Tigers</t>
        </is>
      </c>
      <c r="H214" s="24" t="inlineStr">
        <is>
          <t>moneyline</t>
        </is>
      </c>
      <c r="I214" s="24" t="inlineStr">
        <is>
          <t>home</t>
        </is>
      </c>
      <c r="J214" s="25" t="n"/>
      <c r="K214" s="24" t="inlineStr">
        <is>
          <t>polymarket_us</t>
        </is>
      </c>
      <c r="L214" s="26" t="n">
        <v>-156</v>
      </c>
      <c r="M214" s="27" t="n">
        <v>1.641026</v>
      </c>
      <c r="N214" s="28" t="n">
        <v>0.609375</v>
      </c>
      <c r="O214" s="28" t="n">
        <v>0.547141</v>
      </c>
      <c r="P214" s="28" t="n"/>
      <c r="Q214" s="28" t="n">
        <v>-0.062234</v>
      </c>
      <c r="R214" s="26" t="n">
        <v>0</v>
      </c>
      <c r="S214" s="29" t="n">
        <v>1</v>
      </c>
      <c r="T214" s="24" t="inlineStr">
        <is>
          <t>npb-tie-aware-elo-v2</t>
        </is>
      </c>
      <c r="U214" s="24" t="inlineStr">
        <is>
          <t>open</t>
        </is>
      </c>
      <c r="V214" s="24" t="n"/>
      <c r="W214" s="26" t="n"/>
      <c r="X214" s="26" t="n"/>
      <c r="Y214" s="25" t="n"/>
      <c r="Z214" s="26" t="n"/>
      <c r="AA214" s="28" t="n"/>
      <c r="AB214" s="28" t="n"/>
      <c r="AC214" s="30" t="n"/>
      <c r="AD214" s="24" t="n"/>
      <c r="AE214" s="31" t="inlineStr">
        <is>
          <t>Tie-aware Elo baseline; executable ask 0.6100 (market_slug=aec-npb-hta-ybo-2026-10-14). Tie probability=0.0239.</t>
        </is>
      </c>
      <c r="AF214" s="31" t="inlineStr">
        <is>
          <t>Config-promoted international baseball baseline; gates enforced at log time.</t>
        </is>
      </c>
      <c r="AG214" s="24" t="inlineStr">
        <is>
          <t>not_applicable</t>
        </is>
      </c>
      <c r="AH214" s="24" t="n"/>
      <c r="AI214" s="31" t="n"/>
      <c r="AJ214" s="31" t="n"/>
      <c r="AK214" s="24" t="inlineStr">
        <is>
          <t>paper_call</t>
        </is>
      </c>
      <c r="AL214" s="26" t="n">
        <v>4</v>
      </c>
      <c r="AM214" s="24" t="inlineStr">
        <is>
          <t>RESEARCH_OBSERVATION</t>
        </is>
      </c>
      <c r="AN214" s="24" t="inlineStr">
        <is>
          <t>CALL</t>
        </is>
      </c>
      <c r="AO214" s="24" t="inlineStr">
        <is>
          <t>PAPER_CALL_LOW_EDGE</t>
        </is>
      </c>
      <c r="AP214" s="24" t="inlineStr">
        <is>
          <t>Yokohama BayStars</t>
        </is>
      </c>
      <c r="AQ214" s="24" t="inlineStr">
        <is>
          <t>Yokohama BayStars</t>
        </is>
      </c>
      <c r="AR214" s="24" t="inlineStr">
        <is>
          <t>Yokohama BayStars</t>
        </is>
      </c>
      <c r="AS214" s="24" t="inlineStr">
        <is>
          <t>Hanshin Tigers</t>
        </is>
      </c>
      <c r="AT214" s="24" t="inlineStr">
        <is>
          <t>Hanshin Tigers</t>
        </is>
      </c>
      <c r="AU214" s="24" t="inlineStr">
        <is>
          <t>Hanshin Tigers</t>
        </is>
      </c>
      <c r="AV214" s="24" t="n"/>
      <c r="AW214" s="24" t="n"/>
      <c r="AX214" s="24" t="inlineStr">
        <is>
          <t>statistical_model</t>
        </is>
      </c>
      <c r="AY214" s="24" t="n"/>
      <c r="AZ214" s="24" t="inlineStr">
        <is>
          <t>shadow_qualified</t>
        </is>
      </c>
      <c r="BA214" s="24" t="inlineStr">
        <is>
          <t>7fafc82f9fdb1d095962ad6674aded3d12f0af8cc89088ba34fd259b2b58c3d6</t>
        </is>
      </c>
      <c r="BB214" s="24" t="inlineStr">
        <is>
          <t>tie_aware_elo</t>
        </is>
      </c>
      <c r="BC214" s="24" t="inlineStr">
        <is>
          <t>npb-tie-aware-elo-v2</t>
        </is>
      </c>
      <c r="BD214" s="24" t="inlineStr">
        <is>
          <t>7fafc82f9fdb1d095962ad6674aded3d12f0af8cc89088ba34fd259b2b58c3d6</t>
        </is>
      </c>
      <c r="BE214" s="24" t="inlineStr">
        <is>
          <t>1</t>
        </is>
      </c>
      <c r="BF214" s="24" t="inlineStr">
        <is>
          <t>1</t>
        </is>
      </c>
      <c r="BG214" s="24" t="inlineStr">
        <is>
          <t>npb-tie-aware-elo-v2</t>
        </is>
      </c>
      <c r="BH214" s="24" t="inlineStr">
        <is>
          <t>2026-10-14T05:52:00.939109Z</t>
        </is>
      </c>
      <c r="BI214" s="24" t="inlineStr">
        <is>
          <t>["same_event","same_team_same_day","same_league_same_day"]</t>
        </is>
      </c>
      <c r="BJ214" s="25" t="n"/>
      <c r="BK214" s="26" t="n">
        <v>-156</v>
      </c>
      <c r="BL214" s="27" t="n">
        <v>1.641026</v>
      </c>
      <c r="BM214" s="28" t="n">
        <v>0.609375</v>
      </c>
      <c r="BN214" s="28" t="n"/>
      <c r="BO214" s="28" t="n"/>
      <c r="BP214" s="25" t="n"/>
      <c r="BQ214" s="27" t="n"/>
      <c r="BR214" s="28" t="n"/>
      <c r="BS214" s="28" t="n"/>
      <c r="BT214" s="28" t="n"/>
      <c r="BU214" s="25" t="n"/>
      <c r="BV214" s="29" t="n"/>
      <c r="BW214" s="24" t="n"/>
      <c r="BX214" s="30" t="n"/>
      <c r="BY214" s="27" t="n"/>
      <c r="BZ214" s="24" t="n"/>
      <c r="CA214" s="31" t="n"/>
      <c r="CB214" s="24" t="n"/>
      <c r="CC214" s="24" t="n"/>
      <c r="CD214" s="24" t="n"/>
      <c r="CE214" s="24" t="n"/>
      <c r="CF214" s="24" t="n"/>
      <c r="CG214" s="24" t="n"/>
      <c r="CH214" s="24" t="n"/>
      <c r="CI214" s="24" t="n"/>
      <c r="CJ214" s="24" t="n"/>
      <c r="CK214" s="24" t="n"/>
      <c r="CL214" s="24" t="n"/>
      <c r="CM214" s="24" t="n"/>
      <c r="CN214" s="24" t="n"/>
      <c r="CO214" s="24" t="n"/>
      <c r="CP214" s="24" t="n"/>
      <c r="CQ214" s="24" t="n"/>
      <c r="CR214" s="24" t="n"/>
      <c r="CS214" s="24" t="inlineStr">
        <is>
          <t>False</t>
        </is>
      </c>
      <c r="CT214" s="24" t="n"/>
      <c r="CU214" s="24" t="n"/>
      <c r="CV214" s="24" t="n"/>
      <c r="CW214" s="24" t="n"/>
      <c r="CX214" s="24" t="n"/>
      <c r="CY214" s="24" t="n"/>
      <c r="CZ214" s="24" t="n"/>
      <c r="DA214" s="24" t="n"/>
      <c r="DB214" s="24" t="n"/>
      <c r="DC214" s="24" t="n"/>
      <c r="DD214" s="24" t="n"/>
      <c r="DE214" s="24" t="n"/>
      <c r="DF214" s="24" t="n"/>
      <c r="DG214" s="24" t="n"/>
      <c r="DH214" s="24" t="n"/>
      <c r="DI214" s="24" t="n"/>
      <c r="DJ214" s="24" t="n"/>
      <c r="DK214" s="24" t="n"/>
      <c r="DL214" s="24" t="n"/>
      <c r="DM214" s="24" t="n"/>
      <c r="DN214" s="24" t="n"/>
      <c r="DO214" s="24" t="n"/>
      <c r="DP214" s="24" t="n"/>
      <c r="DQ214" s="24" t="inlineStr">
        <is>
          <t>{"artifact_hash": "7fafc82f9fdb1d095962ad6674aded3d12f0af8cc89088ba34fd259b2b58c3d6", "away_team": "Yokohama BayStars", "draw_settlement_value": 0.5, "event_id": "154783", "event_start_utc": "2026-10-14T09:00:00Z", "features": {"away_elo": 1521.060932, "base_tie_rate": 0.02386015, "home_advantage": 35.0, "home_elo": 1519.723482}, "historical_source_observation_times_verified": false, "home_team": "Hanshin Tigers", "inference_inputs": {"away_id": "DB", "base_tie_rate": 0.02386015, "book_state": {"_games_played": null, "_last_active": null, "decay_rate": 0.0, "home_advantage": 35.0, "k": 8.0, "margin_weight": 0.0, "ratings": {"DB": 1521.060932, "T": 1519.723482}}, "code_sha256": {"features/elo_ratings.py": "d6513e79d65448c06cc0f9b9eed0eaa091567835128e1f6647a310da8d78a872", "international_baseball.py": "8d592e32eff91d945b870d7032edca3806863cff9428edece9f38d56cc36b070"}, "home_id": "T", "tie_method": "flat"}, "market_type": "moneyline", "model_version": "npb-tie-aware-elo-v2", "observed_at_utc": "2026-10-14T05:52:00.228547+00:00", "outcome_probabilities": {"away": 0.4409289279790772, "draw": 0.02386015, "home": 0.5352109220209229}, "replay_scope": "Exact Elo and tie model; logged value is expected contract settlement, not outright win probability.", "schema": "international-elo-replay-v1", "settlement_values": {"away": 0.452859, "home": 0.547141}, "snapshot_hash": "b30406ee8db9b04dc143ff245b6267004e6131827375291eabdbdb240cef7142", "sport": "NPB"}</t>
        </is>
      </c>
    </row>
    <row r="215" ht="36" customHeight="1">
      <c r="A215" s="24" t="inlineStr">
        <is>
          <t>6480fde6a7f745b2</t>
        </is>
      </c>
      <c r="B215" s="24" t="inlineStr">
        <is>
          <t>2026-10-14T05:52:01.251682Z</t>
        </is>
      </c>
      <c r="C215" s="24" t="inlineStr">
        <is>
          <t>2026-10-14T09:00:00Z</t>
        </is>
      </c>
      <c r="D215" s="24" t="inlineStr">
        <is>
          <t>156784</t>
        </is>
      </c>
      <c r="E215" s="24" t="inlineStr">
        <is>
          <t>NPB</t>
        </is>
      </c>
      <c r="F215" s="24" t="inlineStr">
        <is>
          <t>Nippon Ham Fighters</t>
        </is>
      </c>
      <c r="G215" s="24" t="inlineStr">
        <is>
          <t>Fukuoka SoftBank Hawks</t>
        </is>
      </c>
      <c r="H215" s="24" t="inlineStr">
        <is>
          <t>moneyline</t>
        </is>
      </c>
      <c r="I215" s="24" t="inlineStr">
        <is>
          <t>home</t>
        </is>
      </c>
      <c r="J215" s="25" t="n"/>
      <c r="K215" s="24" t="inlineStr">
        <is>
          <t>polymarket_us</t>
        </is>
      </c>
      <c r="L215" s="26" t="n">
        <v>-317</v>
      </c>
      <c r="M215" s="27" t="n">
        <v>1.315457</v>
      </c>
      <c r="N215" s="28" t="n">
        <v>0.760192</v>
      </c>
      <c r="O215" s="28" t="n">
        <v>0.62865</v>
      </c>
      <c r="P215" s="28" t="n"/>
      <c r="Q215" s="28" t="n">
        <v>-0.131542</v>
      </c>
      <c r="R215" s="26" t="n">
        <v>0</v>
      </c>
      <c r="S215" s="29" t="n">
        <v>1</v>
      </c>
      <c r="T215" s="24" t="inlineStr">
        <is>
          <t>npb-tie-aware-elo-v2</t>
        </is>
      </c>
      <c r="U215" s="24" t="inlineStr">
        <is>
          <t>open</t>
        </is>
      </c>
      <c r="V215" s="24" t="n"/>
      <c r="W215" s="26" t="n"/>
      <c r="X215" s="26" t="n"/>
      <c r="Y215" s="25" t="n"/>
      <c r="Z215" s="26" t="n"/>
      <c r="AA215" s="28" t="n"/>
      <c r="AB215" s="28" t="n"/>
      <c r="AC215" s="30" t="n"/>
      <c r="AD215" s="24" t="n"/>
      <c r="AE215" s="31" t="inlineStr">
        <is>
          <t>Tie-aware Elo baseline; executable ask 0.7600 (market_slug=aec-npb-fsh-nhf-2026-10-14). Tie probability=0.0239.</t>
        </is>
      </c>
      <c r="AF215" s="31" t="inlineStr">
        <is>
          <t>Config-promoted international baseball baseline; gates enforced at log time.</t>
        </is>
      </c>
      <c r="AG215" s="24" t="inlineStr">
        <is>
          <t>not_applicable</t>
        </is>
      </c>
      <c r="AH215" s="24" t="n"/>
      <c r="AI215" s="31" t="n"/>
      <c r="AJ215" s="31" t="n"/>
      <c r="AK215" s="24" t="inlineStr">
        <is>
          <t>paper_call</t>
        </is>
      </c>
      <c r="AL215" s="26" t="n">
        <v>4</v>
      </c>
      <c r="AM215" s="24" t="inlineStr">
        <is>
          <t>RESEARCH_OBSERVATION</t>
        </is>
      </c>
      <c r="AN215" s="24" t="inlineStr">
        <is>
          <t>CALL</t>
        </is>
      </c>
      <c r="AO215" s="24" t="inlineStr">
        <is>
          <t>PAPER_CALL_LOW_EDGE</t>
        </is>
      </c>
      <c r="AP215" s="24" t="inlineStr">
        <is>
          <t>Nippon Ham Fighters</t>
        </is>
      </c>
      <c r="AQ215" s="24" t="inlineStr">
        <is>
          <t>Nippon Ham Fighters</t>
        </is>
      </c>
      <c r="AR215" s="24" t="inlineStr">
        <is>
          <t>Nippon Ham Fighters</t>
        </is>
      </c>
      <c r="AS215" s="24" t="inlineStr">
        <is>
          <t>Fukuoka SoftBank Hawks</t>
        </is>
      </c>
      <c r="AT215" s="24" t="inlineStr">
        <is>
          <t>Fukuoka SoftBank Hawks</t>
        </is>
      </c>
      <c r="AU215" s="24" t="inlineStr">
        <is>
          <t>Fukuoka SoftBank Hawks</t>
        </is>
      </c>
      <c r="AV215" s="24" t="n"/>
      <c r="AW215" s="24" t="n"/>
      <c r="AX215" s="24" t="inlineStr">
        <is>
          <t>statistical_model</t>
        </is>
      </c>
      <c r="AY215" s="24" t="n"/>
      <c r="AZ215" s="24" t="inlineStr">
        <is>
          <t>shadow_qualified</t>
        </is>
      </c>
      <c r="BA215" s="24" t="inlineStr">
        <is>
          <t>7fafc82f9fdb1d095962ad6674aded3d12f0af8cc89088ba34fd259b2b58c3d6</t>
        </is>
      </c>
      <c r="BB215" s="24" t="inlineStr">
        <is>
          <t>tie_aware_elo</t>
        </is>
      </c>
      <c r="BC215" s="24" t="inlineStr">
        <is>
          <t>npb-tie-aware-elo-v2</t>
        </is>
      </c>
      <c r="BD215" s="24" t="inlineStr">
        <is>
          <t>7fafc82f9fdb1d095962ad6674aded3d12f0af8cc89088ba34fd259b2b58c3d6</t>
        </is>
      </c>
      <c r="BE215" s="24" t="inlineStr">
        <is>
          <t>1</t>
        </is>
      </c>
      <c r="BF215" s="24" t="inlineStr">
        <is>
          <t>1</t>
        </is>
      </c>
      <c r="BG215" s="24" t="inlineStr">
        <is>
          <t>npb-tie-aware-elo-v2</t>
        </is>
      </c>
      <c r="BH215" s="24" t="inlineStr">
        <is>
          <t>2026-10-14T05:52:01.251682Z</t>
        </is>
      </c>
      <c r="BI215" s="24" t="inlineStr">
        <is>
          <t>["same_event","same_team_same_day","same_league_same_day"]</t>
        </is>
      </c>
      <c r="BJ215" s="25" t="n"/>
      <c r="BK215" s="26" t="n">
        <v>-317</v>
      </c>
      <c r="BL215" s="27" t="n">
        <v>1.315457</v>
      </c>
      <c r="BM215" s="28" t="n">
        <v>0.760192</v>
      </c>
      <c r="BN215" s="28" t="n"/>
      <c r="BO215" s="28" t="n"/>
      <c r="BP215" s="25" t="n"/>
      <c r="BQ215" s="27" t="n"/>
      <c r="BR215" s="28" t="n"/>
      <c r="BS215" s="28" t="n"/>
      <c r="BT215" s="28" t="n"/>
      <c r="BU215" s="25" t="n"/>
      <c r="BV215" s="29" t="n"/>
      <c r="BW215" s="24" t="n"/>
      <c r="BX215" s="30" t="n"/>
      <c r="BY215" s="27" t="n"/>
      <c r="BZ215" s="24" t="n"/>
      <c r="CA215" s="31" t="n"/>
      <c r="CB215" s="24" t="n"/>
      <c r="CC215" s="24" t="n"/>
      <c r="CD215" s="24" t="n"/>
      <c r="CE215" s="24" t="n"/>
      <c r="CF215" s="24" t="n"/>
      <c r="CG215" s="24" t="n"/>
      <c r="CH215" s="24" t="n"/>
      <c r="CI215" s="24" t="n"/>
      <c r="CJ215" s="24" t="n"/>
      <c r="CK215" s="24" t="n"/>
      <c r="CL215" s="24" t="n"/>
      <c r="CM215" s="24" t="n"/>
      <c r="CN215" s="24" t="n"/>
      <c r="CO215" s="24" t="n"/>
      <c r="CP215" s="24" t="n"/>
      <c r="CQ215" s="24" t="n"/>
      <c r="CR215" s="24" t="n"/>
      <c r="CS215" s="24" t="inlineStr">
        <is>
          <t>False</t>
        </is>
      </c>
      <c r="CT215" s="24" t="n"/>
      <c r="CU215" s="24" t="n"/>
      <c r="CV215" s="24" t="n"/>
      <c r="CW215" s="24" t="n"/>
      <c r="CX215" s="24" t="n"/>
      <c r="CY215" s="24" t="n"/>
      <c r="CZ215" s="24" t="n"/>
      <c r="DA215" s="24" t="n"/>
      <c r="DB215" s="24" t="n"/>
      <c r="DC215" s="24" t="n"/>
      <c r="DD215" s="24" t="n"/>
      <c r="DE215" s="24" t="n"/>
      <c r="DF215" s="24" t="n"/>
      <c r="DG215" s="24" t="n"/>
      <c r="DH215" s="24" t="n"/>
      <c r="DI215" s="24" t="n"/>
      <c r="DJ215" s="24" t="n"/>
      <c r="DK215" s="24" t="n"/>
      <c r="DL215" s="24" t="n"/>
      <c r="DM215" s="24" t="n"/>
      <c r="DN215" s="24" t="n"/>
      <c r="DO215" s="24" t="n"/>
      <c r="DP215" s="24" t="n"/>
      <c r="DQ215" s="24" t="inlineStr">
        <is>
          <t>{"artifact_hash": "7fafc82f9fdb1d095962ad6674aded3d12f0af8cc89088ba34fd259b2b58c3d6", "away_team": "Nippon Ham Fighters", "draw_settlement_value": 0.5, "event_id": "156784", "event_start_utc": "2026-10-14T09:00:00Z", "features": {"away_elo": 1560.298182, "base_tie_rate": 0.02386015, "home_advantage": 35.0, "home_elo": 1619.092388}, "historical_source_observation_times_verified": false, "home_team": "Fukuoka SoftBank Hawks", "inference_inputs": {"away_id": "F", "base_tie_rate": 0.02386015, "book_state": {"_games_played": null, "_last_active": null, "decay_rate": 0.0, "home_advantage": 35.0, "k": 8.0, "margin_weight": 0.0, "ratings": {"F": 1560.298182, "H": 1619.092388}}, "code_sha256": {"features/elo_ratings.py": "d6513e79d65448c06cc0f9b9eed0eaa091567835128e1f6647a310da8d78a872", "international_baseball.py": "8d592e32eff91d945b870d7032edca3806863cff9428edece9f38d56cc36b070"}, "home_id": "H", "tie_method": "flat"}, "market_type": "moneyline", "model_version": "npb-tie-aware-elo-v2", "observed_at_utc": "2026-10-14T05:52:00.228547+00:00", "outcome_probabilities": {"away": 0.3594200900286334, "draw": 0.02386015, "home": 0.6167197599713666}, "replay_scope": "Exact Elo and tie model; logged value is expected contract settlement, not outright win probability.", "schema": "international-elo-replay-v1", "settlement_values": {"away": 0.37135, "home": 0.62865}, "snapshot_hash": "7fb05bafaa59e8a12436558c3a0f6e4e36da1e7e98aed046bbfd1840373a0929", "sport": "NPB"}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2026-10-14T05:52:53Z</dcterms:created>
  <dcterms:modified xmlns:dcterms="http://purl.org/dc/terms/" xmlns:xsi="http://www.w3.org/2001/XMLSchema-instance" xsi:type="dcterms:W3CDTF">2026-10-14T05:52:53Z</dcterms:modified>
</cp:coreProperties>
</file>