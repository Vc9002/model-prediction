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37" headerRowCount="1">
  <autoFilter ref="A1:DQ137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COUNTA('Picks'!$A$2:$A$137)</f>
        <v/>
      </c>
      <c r="C4" s="6">
        <f>COUNTIF('Picks'!$U$2:$U$137,"open")</f>
        <v/>
      </c>
      <c r="E4" s="6">
        <f>COUNTIF('Picks'!$U$2:$U$137,"settled")</f>
        <v/>
      </c>
      <c r="G4" s="6">
        <f>IF(COUNTIFS('Picks'!$U$2:$U$137,"settled",'Picks'!$V$2:$V$137,"win")+COUNTIFS('Picks'!$U$2:$U$137,"settled",'Picks'!$V$2:$V$137,"loss")&gt;=$L$2,"Ready","Insufficient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COUNTIF('Picks'!$BX$2:$BX$137,"&gt;0")</f>
        <v/>
      </c>
      <c r="C7" s="6">
        <f>COUNTIFS('Picks'!$BX$2:$BX$137,"&gt;0",'Picks'!$V$2:$V$137,"win")&amp;"-"&amp;COUNTIFS('Picks'!$BX$2:$BX$137,"&gt;0",'Picks'!$V$2:$V$137,"loss")</f>
        <v/>
      </c>
      <c r="E7" s="7">
        <f>IFERROR(COUNTIFS('Picks'!$BX$2:$BX$137,"&gt;0",'Picks'!$V$2:$V$137,"win")/(COUNTIFS('Picks'!$BX$2:$BX$137,"&gt;0",'Picks'!$V$2:$V$137,"win")+COUNTIFS('Picks'!$BX$2:$BX$137,"&gt;0",'Picks'!$V$2:$V$137,"loss")),0)</f>
        <v/>
      </c>
      <c r="G7" s="7">
        <f>IFERROR(SUM('Picks'!$BY$2:$BY$137)/SUM('Picks'!$BX$2:$BX$137),0)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SUM('Picks'!$BY$2:$BY$137)</f>
        <v/>
      </c>
      <c r="C10" s="9">
        <f>IFERROR(AVERAGEIF('Picks'!$AB$2:$AB$137,"&lt;&gt;",'Picks'!$AB$2:$AB$137),0)</f>
        <v/>
      </c>
      <c r="E10" s="6">
        <f>COUNTIFS('Picks'!$AM$2:$AM$137,"QUALIFIED_SHADOW_CALL",'Picks'!$U$2:$U$137,"settled")</f>
        <v/>
      </c>
      <c r="G10" s="8">
        <f>SUMIFS('Picks'!$AC$2:$AC$137,'Picks'!$AM$2:$AM$137,"QUALIFIED_SHADOW_CALL")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COUNTIFS('Picks'!$H$2:$H$137,$A14,'Picks'!$U$2:$U$137,"settled")</f>
        <v/>
      </c>
      <c r="C14" s="13">
        <f>COUNTIFS('Picks'!$H$2:$H$137,$A14,'Picks'!$U$2:$U$137,"settled",'Picks'!$V$2:$V$137,"win")</f>
        <v/>
      </c>
      <c r="D14" s="13">
        <f>COUNTIFS('Picks'!$H$2:$H$137,$A14,'Picks'!$U$2:$U$137,"settled",'Picks'!$V$2:$V$137,"loss")</f>
        <v/>
      </c>
      <c r="E14" s="14">
        <f>IFERROR(C14/(C14+D14),0)</f>
        <v/>
      </c>
      <c r="F14" s="15">
        <f>SUMIFS('Picks'!$BY$2:$BY$137,'Picks'!$H$2:$H$137,$A14)</f>
        <v/>
      </c>
      <c r="G14" s="16">
        <f>IFERROR(AVERAGEIFS('Picks'!$AB$2:$AB$137,'Picks'!$H$2:$H$137,$A14,'Picks'!$U$2:$U$137,"settled"),0)</f>
        <v/>
      </c>
    </row>
    <row r="15">
      <c r="A15" s="17" t="inlineStr">
        <is>
          <t>spread</t>
        </is>
      </c>
      <c r="B15" s="18">
        <f>COUNTIFS('Picks'!$H$2:$H$137,$A15,'Picks'!$U$2:$U$137,"settled")</f>
        <v/>
      </c>
      <c r="C15" s="18">
        <f>COUNTIFS('Picks'!$H$2:$H$137,$A15,'Picks'!$U$2:$U$137,"settled",'Picks'!$V$2:$V$137,"win")</f>
        <v/>
      </c>
      <c r="D15" s="18">
        <f>COUNTIFS('Picks'!$H$2:$H$137,$A15,'Picks'!$U$2:$U$137,"settled",'Picks'!$V$2:$V$137,"loss")</f>
        <v/>
      </c>
      <c r="E15" s="19">
        <f>IFERROR(C15/(C15+D15),0)</f>
        <v/>
      </c>
      <c r="F15" s="20">
        <f>SUMIFS('Picks'!$BY$2:$BY$137,'Picks'!$H$2:$H$137,$A15)</f>
        <v/>
      </c>
      <c r="G15" s="21">
        <f>IFERROR(AVERAGEIFS('Picks'!$AB$2:$AB$137,'Picks'!$H$2:$H$137,$A15,'Picks'!$U$2:$U$137,"settled"),0)</f>
        <v/>
      </c>
    </row>
    <row r="16">
      <c r="A16" s="12" t="inlineStr">
        <is>
          <t>total</t>
        </is>
      </c>
      <c r="B16" s="13">
        <f>COUNTIFS('Picks'!$H$2:$H$137,$A16,'Picks'!$U$2:$U$137,"settled")</f>
        <v/>
      </c>
      <c r="C16" s="13">
        <f>COUNTIFS('Picks'!$H$2:$H$137,$A16,'Picks'!$U$2:$U$137,"settled",'Picks'!$V$2:$V$137,"win")</f>
        <v/>
      </c>
      <c r="D16" s="13">
        <f>COUNTIFS('Picks'!$H$2:$H$137,$A16,'Picks'!$U$2:$U$137,"settled",'Picks'!$V$2:$V$137,"loss")</f>
        <v/>
      </c>
      <c r="E16" s="14">
        <f>IFERROR(C16/(C16+D16),0)</f>
        <v/>
      </c>
      <c r="F16" s="15">
        <f>SUMIFS('Picks'!$BY$2:$BY$137,'Picks'!$H$2:$H$137,$A16)</f>
        <v/>
      </c>
      <c r="G16" s="16">
        <f>IFERROR(AVERAGEIFS('Picks'!$AB$2:$AB$137,'Picks'!$H$2:$H$137,$A16,'Picks'!$U$2:$U$137,"settled"),0)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926c19c9195543cd</t>
        </is>
      </c>
      <c r="B2" s="24" t="inlineStr">
        <is>
          <t>2026-08-05T04:36:53.416116Z</t>
        </is>
      </c>
      <c r="C2" s="24" t="inlineStr">
        <is>
          <t>2026-08-05T09:00:00Z</t>
        </is>
      </c>
      <c r="D2" s="24" t="inlineStr">
        <is>
          <t>69525</t>
        </is>
      </c>
      <c r="E2" s="24" t="inlineStr">
        <is>
          <t>NPB</t>
        </is>
      </c>
      <c r="F2" s="24" t="inlineStr">
        <is>
          <t>Tokyo Yakult Swallows</t>
        </is>
      </c>
      <c r="G2" s="24" t="inlineStr">
        <is>
          <t>Chunichi Dragons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0.605094</v>
      </c>
      <c r="P2" s="28" t="n"/>
      <c r="Q2" s="28" t="n">
        <v>0.055544</v>
      </c>
      <c r="R2" s="26" t="n">
        <v>48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4</v>
      </c>
      <c r="Y2" s="25" t="n"/>
      <c r="Z2" s="26" t="n"/>
      <c r="AA2" s="28" t="n"/>
      <c r="AB2" s="28" t="n"/>
      <c r="AC2" s="30" t="n">
        <v>1.0246</v>
      </c>
      <c r="AD2" s="24" t="inlineStr">
        <is>
          <t>2026-08-05T21:00:32.134597Z</t>
        </is>
      </c>
      <c r="AE2" s="31" t="inlineStr">
        <is>
          <t>Tie-aware Elo baseline; executable ask 0.5500 (market_slug=aec-npb-cdh-tys-2026-08-05). Tie probability=0.0272.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Tokyo Yakult Swallows</t>
        </is>
      </c>
      <c r="AQ2" s="24" t="inlineStr">
        <is>
          <t>Tokyo Yakult Swallows</t>
        </is>
      </c>
      <c r="AR2" s="24" t="inlineStr">
        <is>
          <t>Tokyo Yakult Swallows</t>
        </is>
      </c>
      <c r="AS2" s="24" t="inlineStr">
        <is>
          <t>Chunichi Dragons</t>
        </is>
      </c>
      <c r="AT2" s="24" t="inlineStr">
        <is>
          <t>Chunichi Dragons</t>
        </is>
      </c>
      <c r="AU2" s="24" t="inlineStr">
        <is>
          <t>Chunichi Dragons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587c95488a5eab49a474c082a9d83bc1218cd1ce498682f7305ccc207cdae6d9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587c95488a5eab49a474c082a9d83bc1218cd1ce498682f7305ccc207cdae6d9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2026-08-05T04:36:49.865696Z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0.54955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a157cb3f9245401f</t>
        </is>
      </c>
      <c r="B3" s="24" t="inlineStr">
        <is>
          <t>2026-08-08T04:06:50.014675Z</t>
        </is>
      </c>
      <c r="C3" s="24" t="inlineStr">
        <is>
          <t>2026-08-08T06:00:00Z</t>
        </is>
      </c>
      <c r="D3" s="24" t="inlineStr">
        <is>
          <t>72695</t>
        </is>
      </c>
      <c r="E3" s="24" t="inlineStr">
        <is>
          <t>NPB</t>
        </is>
      </c>
      <c r="F3" s="24" t="inlineStr">
        <is>
          <t>Tokyo Yakult Swallows</t>
        </is>
      </c>
      <c r="G3" s="24" t="inlineStr">
        <is>
          <t>Yomiuri Giants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0.657907</v>
      </c>
      <c r="P3" s="28" t="n"/>
      <c r="Q3" s="28" t="n">
        <v>0.098436</v>
      </c>
      <c r="R3" s="26" t="n">
        <v>69</v>
      </c>
      <c r="S3" s="29" t="n">
        <v>1.75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8</v>
      </c>
      <c r="Y3" s="25" t="n"/>
      <c r="Z3" s="26" t="n"/>
      <c r="AA3" s="28" t="n"/>
      <c r="AB3" s="28" t="n"/>
      <c r="AC3" s="30" t="n">
        <v>1.378</v>
      </c>
      <c r="AD3" s="24" t="inlineStr">
        <is>
          <t>2026-08-08T18:35:17.941486Z</t>
        </is>
      </c>
      <c r="AE3" s="31" t="inlineStr">
        <is>
          <t>Tie-aware Elo baseline; executable ask 0.5600 (market_slug=aec-npb-ygo-tys-2026-08-08). Tie probability=0.0222.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Tokyo Yakult Swallows</t>
        </is>
      </c>
      <c r="AQ3" s="24" t="inlineStr">
        <is>
          <t>Tokyo Yakult Swallows</t>
        </is>
      </c>
      <c r="AR3" s="24" t="inlineStr">
        <is>
          <t>Tokyo Yakult Swallows</t>
        </is>
      </c>
      <c r="AS3" s="24" t="inlineStr">
        <is>
          <t>Yomiuri Giants</t>
        </is>
      </c>
      <c r="AT3" s="24" t="inlineStr">
        <is>
          <t>Yomiuri Giants</t>
        </is>
      </c>
      <c r="AU3" s="24" t="inlineStr">
        <is>
          <t>Yomiuri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e9ab59688d3b514e2e6e6a6178916377e656c91d0946e4a0432922d92c29eca9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e9ab59688d3b514e2e6e6a6178916377e656c91d0946e4a0432922d92c29eca9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2026-08-08T04:06:47.516040Z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0.559471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083debe416d54982</t>
        </is>
      </c>
      <c r="B4" s="24" t="inlineStr">
        <is>
          <t>2026-08-14T07:40:55.509700Z</t>
        </is>
      </c>
      <c r="C4" s="24" t="inlineStr">
        <is>
          <t>2026-08-14T09:00:00Z</t>
        </is>
      </c>
      <c r="D4" s="24" t="inlineStr">
        <is>
          <t>78213</t>
        </is>
      </c>
      <c r="E4" s="24" t="inlineStr">
        <is>
          <t>NPB</t>
        </is>
      </c>
      <c r="F4" s="24" t="inlineStr">
        <is>
          <t>Yokohama BayStars</t>
        </is>
      </c>
      <c r="G4" s="24" t="inlineStr">
        <is>
          <t>Tokyo Yakult Swallows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0.600357</v>
      </c>
      <c r="P4" s="28" t="n"/>
      <c r="Q4" s="28" t="n">
        <v>0.020525</v>
      </c>
      <c r="R4" s="26" t="n">
        <v>30</v>
      </c>
      <c r="S4" s="29" t="n">
        <v>1.25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7</v>
      </c>
      <c r="Y4" s="25" t="n"/>
      <c r="Z4" s="26" t="n"/>
      <c r="AA4" s="28" t="n"/>
      <c r="AB4" s="28" t="n"/>
      <c r="AC4" s="30" t="n">
        <v>-1.25</v>
      </c>
      <c r="AD4" s="24" t="inlineStr">
        <is>
          <t>2026-08-14T18:41:55.829935Z</t>
        </is>
      </c>
      <c r="AE4" s="31" t="inlineStr">
        <is>
          <t>Tie-aware Elo baseline; executable ask 0.5800 (market_slug=aec-npb-tys-ybo-2026-08-14). Tie probability=0.0273.</t>
        </is>
      </c>
      <c r="AF4" s="31" t="inlineStr">
        <is>
          <t>Config-promoted international baseball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Yokohama BayStars</t>
        </is>
      </c>
      <c r="AQ4" s="24" t="inlineStr">
        <is>
          <t>Yokohama BayStars</t>
        </is>
      </c>
      <c r="AR4" s="24" t="inlineStr">
        <is>
          <t>Yokohama BayStars</t>
        </is>
      </c>
      <c r="AS4" s="24" t="inlineStr">
        <is>
          <t>Tokyo Yakult Swallows</t>
        </is>
      </c>
      <c r="AT4" s="24" t="inlineStr">
        <is>
          <t>Tokyo Yakult Swallows</t>
        </is>
      </c>
      <c r="AU4" s="24" t="inlineStr">
        <is>
          <t>Tokyo Yakult Swallows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0ec6a8155fa0d073b51a8fb402271a58a1cf6672cf76c1fa6677626e466d761c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0ec6a8155fa0d073b51a8fb402271a58a1cf6672cf76c1fa6677626e466d761c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2026-08-14T07:40:51.902870Z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0.579832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63622536cb7b480a</t>
        </is>
      </c>
      <c r="B5" s="24" t="inlineStr">
        <is>
          <t>2026-08-19T07:07:53.346550Z</t>
        </is>
      </c>
      <c r="C5" s="24" t="inlineStr">
        <is>
          <t>2026-08-19T09:00:00Z</t>
        </is>
      </c>
      <c r="D5" s="24" t="inlineStr">
        <is>
          <t>83079</t>
        </is>
      </c>
      <c r="E5" s="24" t="inlineStr">
        <is>
          <t>NPB</t>
        </is>
      </c>
      <c r="F5" s="24" t="inlineStr">
        <is>
          <t>Tokyo Yakult Swallows</t>
        </is>
      </c>
      <c r="G5" s="24" t="inlineStr">
        <is>
          <t>Hanshin Tigers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0.645666</v>
      </c>
      <c r="P5" s="28" t="n"/>
      <c r="Q5" s="28" t="n">
        <v>0.045666</v>
      </c>
      <c r="R5" s="26" t="n">
        <v>43</v>
      </c>
      <c r="S5" s="29" t="n">
        <v>1.75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2</v>
      </c>
      <c r="Y5" s="25" t="n"/>
      <c r="Z5" s="26" t="n"/>
      <c r="AA5" s="28" t="n"/>
      <c r="AB5" s="28" t="n"/>
      <c r="AC5" s="30" t="n">
        <v>1.1667</v>
      </c>
      <c r="AD5" s="24" t="inlineStr">
        <is>
          <t>2026-08-19T19:53:35.792578Z</t>
        </is>
      </c>
      <c r="AE5" s="31" t="inlineStr">
        <is>
          <t>Tie-aware Elo baseline; executable ask 0.6000 (market_slug=aec-npb-hta-tys-2026-08-19). Tie probability=0.0231.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Tokyo Yakult Swallows</t>
        </is>
      </c>
      <c r="AQ5" s="24" t="inlineStr">
        <is>
          <t>Tokyo Yakult Swallows</t>
        </is>
      </c>
      <c r="AR5" s="24" t="inlineStr">
        <is>
          <t>Tokyo Yakult Swallows</t>
        </is>
      </c>
      <c r="AS5" s="24" t="inlineStr">
        <is>
          <t>Hanshin Tigers</t>
        </is>
      </c>
      <c r="AT5" s="24" t="inlineStr">
        <is>
          <t>Hanshin Tigers</t>
        </is>
      </c>
      <c r="AU5" s="24" t="inlineStr">
        <is>
          <t>Hanshin Tigers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c2c32f4cc4785d7f5359f954865c695e40008c1b582a559d7f068a05f52a6c49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c2c32f4cc4785d7f5359f954865c695e40008c1b582a559d7f068a05f52a6c49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2026-08-19T07:07:53.115221Z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d738be14b08f43a4</t>
        </is>
      </c>
      <c r="B6" s="24" t="inlineStr">
        <is>
          <t>2026-08-20T05:36:24.140741Z</t>
        </is>
      </c>
      <c r="C6" s="24" t="inlineStr">
        <is>
          <t>2026-08-20T09:00:00Z</t>
        </is>
      </c>
      <c r="D6" s="24" t="inlineStr">
        <is>
          <t>84079</t>
        </is>
      </c>
      <c r="E6" s="24" t="inlineStr">
        <is>
          <t>NPB</t>
        </is>
      </c>
      <c r="F6" s="24" t="inlineStr">
        <is>
          <t>Tokyo Yakult Swallows</t>
        </is>
      </c>
      <c r="G6" s="24" t="inlineStr">
        <is>
          <t>Hanshin Tigers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-150</v>
      </c>
      <c r="M6" s="27" t="n">
        <v>1.666667</v>
      </c>
      <c r="N6" s="28" t="n">
        <v>0.6</v>
      </c>
      <c r="O6" s="28" t="n">
        <v>0.656135</v>
      </c>
      <c r="P6" s="28" t="n"/>
      <c r="Q6" s="28" t="n">
        <v>0.056135</v>
      </c>
      <c r="R6" s="26" t="n">
        <v>48</v>
      </c>
      <c r="S6" s="29" t="n">
        <v>1.75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4</v>
      </c>
      <c r="X6" s="26" t="n">
        <v>1</v>
      </c>
      <c r="Y6" s="25" t="n"/>
      <c r="Z6" s="26" t="n"/>
      <c r="AA6" s="28" t="n"/>
      <c r="AB6" s="28" t="n"/>
      <c r="AC6" s="30" t="n">
        <v>-1.75</v>
      </c>
      <c r="AD6" s="24" t="inlineStr">
        <is>
          <t>2026-08-20T18:55:51.150681Z</t>
        </is>
      </c>
      <c r="AE6" s="31" t="inlineStr">
        <is>
          <t>Tie-aware Elo baseline; executable ask 0.6000 (market_slug=aec-npb-hta-tys-2026-08-20). Tie probability=0.0221.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Tokyo Yakult Swallows</t>
        </is>
      </c>
      <c r="AQ6" s="24" t="inlineStr">
        <is>
          <t>Tokyo Yakult Swallows</t>
        </is>
      </c>
      <c r="AR6" s="24" t="inlineStr">
        <is>
          <t>Tokyo Yakult Swallows</t>
        </is>
      </c>
      <c r="AS6" s="24" t="inlineStr">
        <is>
          <t>Hanshin Tigers</t>
        </is>
      </c>
      <c r="AT6" s="24" t="inlineStr">
        <is>
          <t>Hanshin Tigers</t>
        </is>
      </c>
      <c r="AU6" s="24" t="inlineStr">
        <is>
          <t>Hanshin Tigers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cac358c7386db67a7ffd7873c76981a830d90871b7d9407f7b29e72c631d07ed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cac358c7386db67a7ffd7873c76981a830d90871b7d9407f7b29e72c631d07ed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2026-08-20T05:36:23.881834Z</t>
        </is>
      </c>
      <c r="BI6" s="24" t="inlineStr">
        <is>
          <t>["same_event","same_team_same_day","same_league_same_day"]</t>
        </is>
      </c>
      <c r="BJ6" s="25" t="n"/>
      <c r="BK6" s="26" t="n">
        <v>-150</v>
      </c>
      <c r="BL6" s="27" t="n">
        <v>1.666667</v>
      </c>
      <c r="BM6" s="28" t="n">
        <v>0.6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a26463c7a0b246d3</t>
        </is>
      </c>
      <c r="B7" s="24" t="inlineStr">
        <is>
          <t>2026-08-20T05:36:24.140741Z</t>
        </is>
      </c>
      <c r="C7" s="24" t="inlineStr">
        <is>
          <t>2026-08-20T09:00:00Z</t>
        </is>
      </c>
      <c r="D7" s="24" t="inlineStr">
        <is>
          <t>84082</t>
        </is>
      </c>
      <c r="E7" s="24" t="inlineStr">
        <is>
          <t>NPB</t>
        </is>
      </c>
      <c r="F7" s="24" t="inlineStr">
        <is>
          <t>Orix Buffaloes</t>
        </is>
      </c>
      <c r="G7" s="24" t="inlineStr">
        <is>
          <t>Saitama Seibu Lions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0.597281</v>
      </c>
      <c r="P7" s="28" t="n"/>
      <c r="Q7" s="28" t="n">
        <v>0.156752</v>
      </c>
      <c r="R7" s="26" t="n">
        <v>98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</v>
      </c>
      <c r="Y7" s="25" t="n"/>
      <c r="Z7" s="26" t="n"/>
      <c r="AA7" s="28" t="n"/>
      <c r="AB7" s="28" t="n"/>
      <c r="AC7" s="30" t="n">
        <v>-1.25</v>
      </c>
      <c r="AD7" s="24" t="inlineStr">
        <is>
          <t>2026-08-20T18:55:51.290672Z</t>
        </is>
      </c>
      <c r="AE7" s="31" t="inlineStr">
        <is>
          <t>Tie-aware Elo baseline; executable ask 0.4400 (market_slug=aec-npb-ssl-obr-2026-08-20). Tie probability=0.0274.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Orix Buffaloes</t>
        </is>
      </c>
      <c r="AQ7" s="24" t="inlineStr">
        <is>
          <t>Orix Buffaloes</t>
        </is>
      </c>
      <c r="AR7" s="24" t="inlineStr">
        <is>
          <t>Orix Buffaloes</t>
        </is>
      </c>
      <c r="AS7" s="24" t="inlineStr">
        <is>
          <t>Saitama Seibu Lions</t>
        </is>
      </c>
      <c r="AT7" s="24" t="inlineStr">
        <is>
          <t>Saitama Seibu Lions</t>
        </is>
      </c>
      <c r="AU7" s="24" t="inlineStr">
        <is>
          <t>Saitama Seibu Lions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cac358c7386db67a7ffd7873c76981a830d90871b7d9407f7b29e72c631d07ed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cac358c7386db67a7ffd7873c76981a830d90871b7d9407f7b29e72c631d07ed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2026-08-20T05:36:24.140708Z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0.440529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97a854eb5eb742e5</t>
        </is>
      </c>
      <c r="B8" s="24" t="inlineStr">
        <is>
          <t>2026-08-22T04:12:03.497428Z</t>
        </is>
      </c>
      <c r="C8" s="24" t="inlineStr">
        <is>
          <t>2026-08-22T05:00:00Z</t>
        </is>
      </c>
      <c r="D8" s="24" t="inlineStr">
        <is>
          <t>86164</t>
        </is>
      </c>
      <c r="E8" s="24" t="inlineStr">
        <is>
          <t>NPB</t>
        </is>
      </c>
      <c r="F8" s="24" t="inlineStr">
        <is>
          <t>Hiroshima Carp</t>
        </is>
      </c>
      <c r="G8" s="24" t="inlineStr">
        <is>
          <t>Yomiuri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-108</v>
      </c>
      <c r="M8" s="27" t="n">
        <v>1.925926</v>
      </c>
      <c r="N8" s="28" t="n">
        <v>0.519231</v>
      </c>
      <c r="O8" s="28" t="n">
        <v>0.59885</v>
      </c>
      <c r="P8" s="28" t="n"/>
      <c r="Q8" s="28" t="n">
        <v>0.079619</v>
      </c>
      <c r="R8" s="26" t="n">
        <v>60</v>
      </c>
      <c r="S8" s="29" t="n">
        <v>1.25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5</v>
      </c>
      <c r="Y8" s="25" t="n"/>
      <c r="Z8" s="26" t="n"/>
      <c r="AA8" s="28" t="n"/>
      <c r="AB8" s="28" t="n"/>
      <c r="AC8" s="30" t="n">
        <v>1.1574</v>
      </c>
      <c r="AD8" s="24" t="inlineStr">
        <is>
          <t>2026-08-22T19:05:00.932599Z</t>
        </is>
      </c>
      <c r="AE8" s="31" t="inlineStr">
        <is>
          <t>Tie-aware Elo baseline; executable ask 0.5200 (market_slug=aec-npb-ygo-hci-2026-08-22). Tie probability=0.0275.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Hiroshima Carp</t>
        </is>
      </c>
      <c r="AQ8" s="24" t="inlineStr">
        <is>
          <t>Hiroshima Carp</t>
        </is>
      </c>
      <c r="AR8" s="24" t="inlineStr">
        <is>
          <t>Hiroshima Carp</t>
        </is>
      </c>
      <c r="AS8" s="24" t="inlineStr">
        <is>
          <t>Yomiuri Giants</t>
        </is>
      </c>
      <c r="AT8" s="24" t="inlineStr">
        <is>
          <t>Yomiuri Giants</t>
        </is>
      </c>
      <c r="AU8" s="24" t="inlineStr">
        <is>
          <t>Yomiuri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401b33b37256376d8941877b989bd468ee4b45c41e4fe9deed8ff91bce7a62db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401b33b37256376d8941877b989bd468ee4b45c41e4fe9deed8ff91bce7a62db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2026-08-22T04:12:02.744229Z</t>
        </is>
      </c>
      <c r="BI8" s="24" t="inlineStr">
        <is>
          <t>["same_event","same_team_same_day","same_league_same_day"]</t>
        </is>
      </c>
      <c r="BJ8" s="25" t="n"/>
      <c r="BK8" s="26" t="n">
        <v>-108</v>
      </c>
      <c r="BL8" s="27" t="n">
        <v>1.925926</v>
      </c>
      <c r="BM8" s="28" t="n">
        <v>0.519231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0.519231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fa99d26a1270412b</t>
        </is>
      </c>
      <c r="B9" s="24" t="inlineStr">
        <is>
          <t>2026-08-25T05:00:52.107056Z</t>
        </is>
      </c>
      <c r="C9" s="24" t="inlineStr">
        <is>
          <t>2026-08-25T09:00:00Z</t>
        </is>
      </c>
      <c r="D9" s="24" t="inlineStr">
        <is>
          <t>88606</t>
        </is>
      </c>
      <c r="E9" s="24" t="inlineStr">
        <is>
          <t>NPB</t>
        </is>
      </c>
      <c r="F9" s="24" t="inlineStr">
        <is>
          <t>Yomiuri Giants</t>
        </is>
      </c>
      <c r="G9" s="24" t="inlineStr">
        <is>
          <t>Tokyo Yakult Swallows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0.561522</v>
      </c>
      <c r="P9" s="28" t="n"/>
      <c r="Q9" s="28" t="n">
        <v>0.022351</v>
      </c>
      <c r="R9" s="26" t="n">
        <v>31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win</t>
        </is>
      </c>
      <c r="W9" s="26" t="n">
        <v>8</v>
      </c>
      <c r="X9" s="26" t="n">
        <v>6</v>
      </c>
      <c r="Y9" s="25" t="n"/>
      <c r="Z9" s="26" t="n"/>
      <c r="AA9" s="28" t="n"/>
      <c r="AB9" s="28" t="n"/>
      <c r="AC9" s="30" t="n">
        <v>0.8547</v>
      </c>
      <c r="AD9" s="24" t="inlineStr">
        <is>
          <t>2026-08-26T12:41:58.466413Z</t>
        </is>
      </c>
      <c r="AE9" s="31" t="inlineStr">
        <is>
          <t>Tie-aware Elo baseline; executable ask 0.5400 (market_slug=aec-npb-tys-ygo-2026-08-25). Tie probability=0.0307.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Yomiuri Giants</t>
        </is>
      </c>
      <c r="AQ9" s="24" t="inlineStr">
        <is>
          <t>Yomiuri Giants</t>
        </is>
      </c>
      <c r="AR9" s="24" t="inlineStr">
        <is>
          <t>Yomiuri Giants</t>
        </is>
      </c>
      <c r="AS9" s="24" t="inlineStr">
        <is>
          <t>Tokyo Yakult Swallows</t>
        </is>
      </c>
      <c r="AT9" s="24" t="inlineStr">
        <is>
          <t>Tokyo Yakult Swallows</t>
        </is>
      </c>
      <c r="AU9" s="24" t="inlineStr">
        <is>
          <t>Tokyo Yakult Swallows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cef67d3875de3c49eaa31b9ad83e304ea08db327e61083d01e1f5429c228d876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cef67d3875de3c49eaa31b9ad83e304ea08db327e61083d01e1f5429c228d876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2026-08-25T05:00:51.250305Z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0.539171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706b3b7edbd94434</t>
        </is>
      </c>
      <c r="B10" s="24" t="inlineStr">
        <is>
          <t>2026-08-25T05:00:52.107056Z</t>
        </is>
      </c>
      <c r="C10" s="24" t="inlineStr">
        <is>
          <t>2026-08-25T09:00:00Z</t>
        </is>
      </c>
      <c r="D10" s="24" t="inlineStr">
        <is>
          <t>88607</t>
        </is>
      </c>
      <c r="E10" s="24" t="inlineStr">
        <is>
          <t>NPB</t>
        </is>
      </c>
      <c r="F10" s="24" t="inlineStr">
        <is>
          <t>Hanshin Tigers</t>
        </is>
      </c>
      <c r="G10" s="24" t="inlineStr">
        <is>
          <t>Chunichi Dragons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-108</v>
      </c>
      <c r="M10" s="27" t="n">
        <v>1.925926</v>
      </c>
      <c r="N10" s="28" t="n">
        <v>0.519231</v>
      </c>
      <c r="O10" s="28" t="n">
        <v>0.527998</v>
      </c>
      <c r="P10" s="28" t="n"/>
      <c r="Q10" s="28" t="n">
        <v>0.008767</v>
      </c>
      <c r="R10" s="26" t="n">
        <v>24</v>
      </c>
      <c r="S10" s="29" t="n">
        <v>1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loss</t>
        </is>
      </c>
      <c r="W10" s="26" t="n">
        <v>2</v>
      </c>
      <c r="X10" s="26" t="n">
        <v>4</v>
      </c>
      <c r="Y10" s="25" t="n"/>
      <c r="Z10" s="26" t="n"/>
      <c r="AA10" s="28" t="n"/>
      <c r="AB10" s="28" t="n"/>
      <c r="AC10" s="30" t="n">
        <v>-1</v>
      </c>
      <c r="AD10" s="24" t="inlineStr">
        <is>
          <t>2026-08-26T12:41:58.550352Z</t>
        </is>
      </c>
      <c r="AE10" s="31" t="inlineStr">
        <is>
          <t>Tie-aware Elo baseline; executable ask 0.5200 (market_slug=aec-npb-cdh-hta-2026-08-25). Tie probability=0.0336.</t>
        </is>
      </c>
      <c r="AF10" s="31" t="inlineStr">
        <is>
          <t>Config-promoted international baseball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Hanshin Tigers</t>
        </is>
      </c>
      <c r="AQ10" s="24" t="inlineStr">
        <is>
          <t>Hanshin Tigers</t>
        </is>
      </c>
      <c r="AR10" s="24" t="inlineStr">
        <is>
          <t>Hanshin Tigers</t>
        </is>
      </c>
      <c r="AS10" s="24" t="inlineStr">
        <is>
          <t>Chunichi Dragons</t>
        </is>
      </c>
      <c r="AT10" s="24" t="inlineStr">
        <is>
          <t>Chunichi Dragons</t>
        </is>
      </c>
      <c r="AU10" s="24" t="inlineStr">
        <is>
          <t>Chunichi Dragons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cef67d3875de3c49eaa31b9ad83e304ea08db327e61083d01e1f5429c228d876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cef67d3875de3c49eaa31b9ad83e304ea08db327e61083d01e1f5429c228d876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2026-08-25T05:00:51.650507Z</t>
        </is>
      </c>
      <c r="BI10" s="24" t="inlineStr">
        <is>
          <t>["same_event","same_team_same_day","same_league_same_day"]</t>
        </is>
      </c>
      <c r="BJ10" s="25" t="n"/>
      <c r="BK10" s="26" t="n">
        <v>-108</v>
      </c>
      <c r="BL10" s="27" t="n">
        <v>1.925926</v>
      </c>
      <c r="BM10" s="28" t="n">
        <v>0.519231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0.519231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1ff2aaeacf744529</t>
        </is>
      </c>
      <c r="B11" s="24" t="inlineStr">
        <is>
          <t>2026-08-25T05:00:52.107056Z</t>
        </is>
      </c>
      <c r="C11" s="24" t="inlineStr">
        <is>
          <t>2026-08-25T09:00:00Z</t>
        </is>
      </c>
      <c r="D11" s="24" t="inlineStr">
        <is>
          <t>88608</t>
        </is>
      </c>
      <c r="E11" s="24" t="inlineStr">
        <is>
          <t>NPB</t>
        </is>
      </c>
      <c r="F11" s="24" t="inlineStr">
        <is>
          <t>Yokohama BayStars</t>
        </is>
      </c>
      <c r="G11" s="24" t="inlineStr">
        <is>
          <t>Hiroshima Carp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0.5109359999999999</v>
      </c>
      <c r="P11" s="28" t="n"/>
      <c r="Q11" s="28" t="n">
        <v>0.030167</v>
      </c>
      <c r="R11" s="26" t="n">
        <v>35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win</t>
        </is>
      </c>
      <c r="W11" s="26" t="n">
        <v>7</v>
      </c>
      <c r="X11" s="26" t="n">
        <v>8</v>
      </c>
      <c r="Y11" s="25" t="n"/>
      <c r="Z11" s="26" t="n"/>
      <c r="AA11" s="28" t="n"/>
      <c r="AB11" s="28" t="n"/>
      <c r="AC11" s="30" t="n">
        <v>1.08</v>
      </c>
      <c r="AD11" s="24" t="inlineStr">
        <is>
          <t>2026-08-26T12:41:58.637722Z</t>
        </is>
      </c>
      <c r="AE11" s="31" t="inlineStr">
        <is>
          <t>Tie-aware Elo baseline; executable ask 0.4800 (market_slug=aec-npb-hci-ybo-2026-08-25). Tie probability=0.0350.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Yokohama BayStars</t>
        </is>
      </c>
      <c r="AQ11" s="24" t="inlineStr">
        <is>
          <t>Yokohama BayStars</t>
        </is>
      </c>
      <c r="AR11" s="24" t="inlineStr">
        <is>
          <t>Yokohama BayStars</t>
        </is>
      </c>
      <c r="AS11" s="24" t="inlineStr">
        <is>
          <t>Hiroshima Carp</t>
        </is>
      </c>
      <c r="AT11" s="24" t="inlineStr">
        <is>
          <t>Hiroshima Carp</t>
        </is>
      </c>
      <c r="AU11" s="24" t="inlineStr">
        <is>
          <t>Hiroshima Carp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cef67d3875de3c49eaa31b9ad83e304ea08db327e61083d01e1f5429c228d876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cef67d3875de3c49eaa31b9ad83e304ea08db327e61083d01e1f5429c228d876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2026-08-25T05:00:51.723324Z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0.480769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8e41d2acfa374d2b</t>
        </is>
      </c>
      <c r="B12" s="24" t="inlineStr">
        <is>
          <t>2026-08-25T05:00:52.107056Z</t>
        </is>
      </c>
      <c r="C12" s="24" t="inlineStr">
        <is>
          <t>2026-08-25T09:00:00Z</t>
        </is>
      </c>
      <c r="D12" s="24" t="inlineStr">
        <is>
          <t>88609</t>
        </is>
      </c>
      <c r="E12" s="24" t="inlineStr">
        <is>
          <t>NPB</t>
        </is>
      </c>
      <c r="F12" s="24" t="inlineStr">
        <is>
          <t>Nippon Ham Fighters</t>
        </is>
      </c>
      <c r="G12" s="24" t="inlineStr">
        <is>
          <t>Saitama Seibu Lions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0.5499230000000001</v>
      </c>
      <c r="P12" s="28" t="n"/>
      <c r="Q12" s="28" t="n">
        <v>0.040119</v>
      </c>
      <c r="R12" s="26" t="n">
        <v>40</v>
      </c>
      <c r="S12" s="29" t="n">
        <v>1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3</v>
      </c>
      <c r="Y12" s="25" t="n"/>
      <c r="Z12" s="26" t="n"/>
      <c r="AA12" s="28" t="n"/>
      <c r="AB12" s="28" t="n"/>
      <c r="AC12" s="30" t="n">
        <v>0.9615</v>
      </c>
      <c r="AD12" s="24" t="inlineStr">
        <is>
          <t>2026-08-26T12:41:58.722429Z</t>
        </is>
      </c>
      <c r="AE12" s="31" t="inlineStr">
        <is>
          <t>Tie-aware Elo baseline; executable ask 0.5100 (market_slug=aec-npb-ssl-nhf-2026-08-25). Tie probability=0.0317.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PAPER_CALL_LOW_EDGE</t>
        </is>
      </c>
      <c r="AP12" s="24" t="inlineStr">
        <is>
          <t>Nippon Ham Fighters</t>
        </is>
      </c>
      <c r="AQ12" s="24" t="inlineStr">
        <is>
          <t>Nippon Ham Fighters</t>
        </is>
      </c>
      <c r="AR12" s="24" t="inlineStr">
        <is>
          <t>Nippon Ham Fighters</t>
        </is>
      </c>
      <c r="AS12" s="24" t="inlineStr">
        <is>
          <t>Saitama Seibu Lions</t>
        </is>
      </c>
      <c r="AT12" s="24" t="inlineStr">
        <is>
          <t>Saitama Seibu Lions</t>
        </is>
      </c>
      <c r="AU12" s="24" t="inlineStr">
        <is>
          <t>Saitama Seibu Lions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cef67d3875de3c49eaa31b9ad83e304ea08db327e61083d01e1f5429c228d876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cef67d3875de3c49eaa31b9ad83e304ea08db327e61083d01e1f5429c228d876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2026-08-25T05:00:51.967237Z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0.509804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75b25147c7684f9e</t>
        </is>
      </c>
      <c r="B13" s="24" t="inlineStr">
        <is>
          <t>2026-08-25T05:00:52.107056Z</t>
        </is>
      </c>
      <c r="C13" s="24" t="inlineStr">
        <is>
          <t>2026-08-25T09:00:00Z</t>
        </is>
      </c>
      <c r="D13" s="24" t="inlineStr">
        <is>
          <t>88610</t>
        </is>
      </c>
      <c r="E13" s="24" t="inlineStr">
        <is>
          <t>NPB</t>
        </is>
      </c>
      <c r="F13" s="24" t="inlineStr">
        <is>
          <t>Fukuoka SoftBank Hawks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-285</v>
      </c>
      <c r="M13" s="27" t="n">
        <v>1.350877</v>
      </c>
      <c r="N13" s="28" t="n">
        <v>0.74026</v>
      </c>
      <c r="O13" s="28" t="n">
        <v>0.555684</v>
      </c>
      <c r="P13" s="28" t="n"/>
      <c r="Q13" s="28" t="n">
        <v>-0.184576</v>
      </c>
      <c r="R13" s="26" t="n">
        <v>0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win</t>
        </is>
      </c>
      <c r="W13" s="26" t="n">
        <v>9</v>
      </c>
      <c r="X13" s="26" t="n">
        <v>0</v>
      </c>
      <c r="Y13" s="25" t="n"/>
      <c r="Z13" s="26" t="n"/>
      <c r="AA13" s="28" t="n"/>
      <c r="AB13" s="28" t="n"/>
      <c r="AC13" s="30" t="n">
        <v>0.3509</v>
      </c>
      <c r="AD13" s="24" t="inlineStr">
        <is>
          <t>2026-08-26T12:41:58.808277Z</t>
        </is>
      </c>
      <c r="AE13" s="31" t="inlineStr">
        <is>
          <t>Tie-aware Elo baseline; executable ask 0.7400 (market_slug=aec-npb-clm-fsh-2026-08-25). Tie probability=0.0312.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Fukuoka SoftBank Hawks</t>
        </is>
      </c>
      <c r="AQ13" s="24" t="inlineStr">
        <is>
          <t>Fukuoka SoftBank Hawks</t>
        </is>
      </c>
      <c r="AR13" s="24" t="inlineStr">
        <is>
          <t>Fukuoka SoftBank Hawks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cef67d3875de3c49eaa31b9ad83e304ea08db327e61083d01e1f5429c228d876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cef67d3875de3c49eaa31b9ad83e304ea08db327e61083d01e1f5429c228d876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2026-08-25T05:00:52.037139Z</t>
        </is>
      </c>
      <c r="BI13" s="24" t="inlineStr">
        <is>
          <t>["same_event","same_team_same_day","same_league_same_day"]</t>
        </is>
      </c>
      <c r="BJ13" s="25" t="n"/>
      <c r="BK13" s="26" t="n">
        <v>-285</v>
      </c>
      <c r="BL13" s="27" t="n">
        <v>1.350877</v>
      </c>
      <c r="BM13" s="28" t="n">
        <v>0.74026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0.74026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19697adf32484f51</t>
        </is>
      </c>
      <c r="B14" s="24" t="inlineStr">
        <is>
          <t>2026-08-25T05:00:52.107056Z</t>
        </is>
      </c>
      <c r="C14" s="24" t="inlineStr">
        <is>
          <t>2026-08-25T09:00:00Z</t>
        </is>
      </c>
      <c r="D14" s="24" t="inlineStr">
        <is>
          <t>88611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0.577808</v>
      </c>
      <c r="P14" s="28" t="n"/>
      <c r="Q14" s="28" t="n">
        <v>0.038637</v>
      </c>
      <c r="R14" s="26" t="n">
        <v>39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loss</t>
        </is>
      </c>
      <c r="W14" s="26" t="n">
        <v>5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2026-08-26T12:41:58.893880Z</t>
        </is>
      </c>
      <c r="AE14" s="31" t="inlineStr">
        <is>
          <t>Tie-aware Elo baseline; executable ask 0.5400 (market_slug=aec-npb-obr-trge-2026-08-25). Tie probability=0.0292.</t>
        </is>
      </c>
      <c r="AF14" s="31" t="inlineStr">
        <is>
          <t>Config-promoted international baseball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cef67d3875de3c49eaa31b9ad83e304ea08db327e61083d01e1f5429c228d876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cef67d3875de3c49eaa31b9ad83e304ea08db327e61083d01e1f5429c228d876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2026-08-25T05:00:52.107016Z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0.539171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d7674824b3384a99</t>
        </is>
      </c>
      <c r="B15" s="24" t="inlineStr">
        <is>
          <t>2026-08-27T00:44:21.612028Z</t>
        </is>
      </c>
      <c r="C15" s="24" t="inlineStr">
        <is>
          <t>2026-08-27T09:00:00Z</t>
        </is>
      </c>
      <c r="D15" s="24" t="inlineStr">
        <is>
          <t>90778</t>
        </is>
      </c>
      <c r="E15" s="24" t="inlineStr">
        <is>
          <t>NPB</t>
        </is>
      </c>
      <c r="F15" s="24" t="inlineStr">
        <is>
          <t>Yomiuri Giants</t>
        </is>
      </c>
      <c r="G15" s="24" t="inlineStr">
        <is>
          <t>Tokyo Yakult Swallows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-127</v>
      </c>
      <c r="M15" s="27" t="n">
        <v>1.787402</v>
      </c>
      <c r="N15" s="28" t="n">
        <v>0.5594710000000001</v>
      </c>
      <c r="O15" s="28" t="n">
        <v>0.586298</v>
      </c>
      <c r="P15" s="28" t="n"/>
      <c r="Q15" s="28" t="n">
        <v>0.026827</v>
      </c>
      <c r="R15" s="26" t="n">
        <v>33</v>
      </c>
      <c r="S15" s="29" t="n">
        <v>1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9</v>
      </c>
      <c r="X15" s="26" t="n">
        <v>2</v>
      </c>
      <c r="Y15" s="25" t="n"/>
      <c r="Z15" s="26" t="n"/>
      <c r="AA15" s="28" t="n"/>
      <c r="AB15" s="28" t="n"/>
      <c r="AC15" s="30" t="n">
        <v>0.7874</v>
      </c>
      <c r="AD15" s="24" t="inlineStr">
        <is>
          <t>2026-08-27T21:53:31.663089Z</t>
        </is>
      </c>
      <c r="AE15" s="31" t="inlineStr">
        <is>
          <t>Tie-aware Elo baseline; executable ask 0.5600 (market_slug=aec-npb-tys-ygo-2026-08-27). Tie probability=0.0284.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Yomiuri Giants</t>
        </is>
      </c>
      <c r="AQ15" s="24" t="inlineStr">
        <is>
          <t>Yomiuri Giants</t>
        </is>
      </c>
      <c r="AR15" s="24" t="inlineStr">
        <is>
          <t>Yomiuri Giants</t>
        </is>
      </c>
      <c r="AS15" s="24" t="inlineStr">
        <is>
          <t>Tokyo Yakult Swallows</t>
        </is>
      </c>
      <c r="AT15" s="24" t="inlineStr">
        <is>
          <t>Tokyo Yakult Swallows</t>
        </is>
      </c>
      <c r="AU15" s="24" t="inlineStr">
        <is>
          <t>Tokyo Yakult Swallows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28155355f5f718099017630c2fb4ef1bcc5a7968f85aa6ec7531fc8cf8a976de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28155355f5f718099017630c2fb4ef1bcc5a7968f85aa6ec7531fc8cf8a976de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2026-08-27T00:44:20.555896Z</t>
        </is>
      </c>
      <c r="BI15" s="24" t="inlineStr">
        <is>
          <t>["same_event","same_team_same_day","same_league_same_day"]</t>
        </is>
      </c>
      <c r="BJ15" s="25" t="n"/>
      <c r="BK15" s="26" t="n">
        <v>-127</v>
      </c>
      <c r="BL15" s="27" t="n">
        <v>1.787402</v>
      </c>
      <c r="BM15" s="28" t="n">
        <v>0.5594710000000001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0.559471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21e05fa4cab3407c</t>
        </is>
      </c>
      <c r="B16" s="24" t="inlineStr">
        <is>
          <t>2026-08-27T00:44:21.612028Z</t>
        </is>
      </c>
      <c r="C16" s="24" t="inlineStr">
        <is>
          <t>2026-08-27T09:00:00Z</t>
        </is>
      </c>
      <c r="D16" s="24" t="inlineStr">
        <is>
          <t>90779</t>
        </is>
      </c>
      <c r="E16" s="24" t="inlineStr">
        <is>
          <t>NPB</t>
        </is>
      </c>
      <c r="F16" s="24" t="inlineStr">
        <is>
          <t>Hanshin Tigers</t>
        </is>
      </c>
      <c r="G16" s="24" t="inlineStr">
        <is>
          <t>Chunichi Dragons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0.507949</v>
      </c>
      <c r="P16" s="28" t="n"/>
      <c r="Q16" s="28" t="n">
        <v>-0.022567</v>
      </c>
      <c r="R16" s="26" t="n">
        <v>9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loss</t>
        </is>
      </c>
      <c r="W16" s="26" t="n">
        <v>4</v>
      </c>
      <c r="X16" s="26" t="n">
        <v>3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2026-08-27T21:53:32.348387Z</t>
        </is>
      </c>
      <c r="AE16" s="31" t="inlineStr">
        <is>
          <t>Tie-aware Elo baseline; executable ask 0.5300 (market_slug=aec-npb-cdh-hta-2026-08-27). Tie probability=0.0352.</t>
        </is>
      </c>
      <c r="AF16" s="31" t="inlineStr">
        <is>
          <t>Config-promoted international baseball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Hanshin Tigers</t>
        </is>
      </c>
      <c r="AQ16" s="24" t="inlineStr">
        <is>
          <t>Hanshin Tigers</t>
        </is>
      </c>
      <c r="AR16" s="24" t="inlineStr">
        <is>
          <t>Hanshin Tigers</t>
        </is>
      </c>
      <c r="AS16" s="24" t="inlineStr">
        <is>
          <t>Chunichi Dragons</t>
        </is>
      </c>
      <c r="AT16" s="24" t="inlineStr">
        <is>
          <t>Chunichi Dragons</t>
        </is>
      </c>
      <c r="AU16" s="24" t="inlineStr">
        <is>
          <t>Chunichi Dragons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28155355f5f718099017630c2fb4ef1bcc5a7968f85aa6ec7531fc8cf8a976de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28155355f5f718099017630c2fb4ef1bcc5a7968f85aa6ec7531fc8cf8a976de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2026-08-27T00:44:20.856237Z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0.530516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559574bd34894240</t>
        </is>
      </c>
      <c r="B17" s="24" t="inlineStr">
        <is>
          <t>2026-08-27T00:44:21.612028Z</t>
        </is>
      </c>
      <c r="C17" s="24" t="inlineStr">
        <is>
          <t>2026-08-27T09:00:00Z</t>
        </is>
      </c>
      <c r="D17" s="24" t="inlineStr">
        <is>
          <t>90780</t>
        </is>
      </c>
      <c r="E17" s="24" t="inlineStr">
        <is>
          <t>NPB</t>
        </is>
      </c>
      <c r="F17" s="24" t="inlineStr">
        <is>
          <t>Yokohama BayStars</t>
        </is>
      </c>
      <c r="G17" s="24" t="inlineStr">
        <is>
          <t>Hiroshima Carp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-138</v>
      </c>
      <c r="M17" s="27" t="n">
        <v>1.724638</v>
      </c>
      <c r="N17" s="28" t="n">
        <v>0.579832</v>
      </c>
      <c r="O17" s="28" t="n">
        <v>0.533018</v>
      </c>
      <c r="P17" s="28" t="n"/>
      <c r="Q17" s="28" t="n">
        <v>-0.046814</v>
      </c>
      <c r="R17" s="26" t="n">
        <v>0</v>
      </c>
      <c r="S17" s="29" t="n">
        <v>1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6</v>
      </c>
      <c r="X17" s="26" t="n">
        <v>1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2026-08-27T21:53:32.587989Z</t>
        </is>
      </c>
      <c r="AE17" s="31" t="inlineStr">
        <is>
          <t>Tie-aware Elo baseline; executable ask 0.5800 (market_slug=aec-npb-hci-ybo-2026-08-27). Tie probability=0.0330.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Yokohama BayStars</t>
        </is>
      </c>
      <c r="AQ17" s="24" t="inlineStr">
        <is>
          <t>Yokohama BayStars</t>
        </is>
      </c>
      <c r="AR17" s="24" t="inlineStr">
        <is>
          <t>Yokohama BayStars</t>
        </is>
      </c>
      <c r="AS17" s="24" t="inlineStr">
        <is>
          <t>Hiroshima Carp</t>
        </is>
      </c>
      <c r="AT17" s="24" t="inlineStr">
        <is>
          <t>Hiroshima Carp</t>
        </is>
      </c>
      <c r="AU17" s="24" t="inlineStr">
        <is>
          <t>Hiroshima Carp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28155355f5f718099017630c2fb4ef1bcc5a7968f85aa6ec7531fc8cf8a976de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28155355f5f718099017630c2fb4ef1bcc5a7968f85aa6ec7531fc8cf8a976de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2026-08-27T00:44:21.302558Z</t>
        </is>
      </c>
      <c r="BI17" s="24" t="inlineStr">
        <is>
          <t>["same_event","same_team_same_day","same_league_same_day"]</t>
        </is>
      </c>
      <c r="BJ17" s="25" t="n"/>
      <c r="BK17" s="26" t="n">
        <v>-138</v>
      </c>
      <c r="BL17" s="27" t="n">
        <v>1.724638</v>
      </c>
      <c r="BM17" s="28" t="n">
        <v>0.579832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0.579832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1d91951344404b5d</t>
        </is>
      </c>
      <c r="B18" s="24" t="inlineStr">
        <is>
          <t>2026-08-27T00:44:21.612028Z</t>
        </is>
      </c>
      <c r="C18" s="24" t="inlineStr">
        <is>
          <t>2026-08-27T09:00:00Z</t>
        </is>
      </c>
      <c r="D18" s="24" t="inlineStr">
        <is>
          <t>90781</t>
        </is>
      </c>
      <c r="E18" s="24" t="inlineStr">
        <is>
          <t>NPB</t>
        </is>
      </c>
      <c r="F18" s="24" t="inlineStr">
        <is>
          <t>Fukuoka SoftBank Hawks</t>
        </is>
      </c>
      <c r="G18" s="24" t="inlineStr">
        <is>
          <t>Chiba Lotte Marines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-150</v>
      </c>
      <c r="M18" s="27" t="n">
        <v>1.666667</v>
      </c>
      <c r="N18" s="28" t="n">
        <v>0.6</v>
      </c>
      <c r="O18" s="28" t="n">
        <v>0.560204</v>
      </c>
      <c r="P18" s="28" t="n"/>
      <c r="Q18" s="28" t="n">
        <v>-0.039796</v>
      </c>
      <c r="R18" s="26" t="n">
        <v>0</v>
      </c>
      <c r="S18" s="29" t="n">
        <v>1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4</v>
      </c>
      <c r="X18" s="26" t="n">
        <v>2</v>
      </c>
      <c r="Y18" s="25" t="n"/>
      <c r="Z18" s="26" t="n"/>
      <c r="AA18" s="28" t="n"/>
      <c r="AB18" s="28" t="n"/>
      <c r="AC18" s="30" t="n">
        <v>0.6667</v>
      </c>
      <c r="AD18" s="24" t="inlineStr">
        <is>
          <t>2026-08-27T21:53:32.803977Z</t>
        </is>
      </c>
      <c r="AE18" s="31" t="inlineStr">
        <is>
          <t>Tie-aware Elo baseline; executable ask 0.6000 (market_slug=aec-npb-clm-fsh-2026-08-27). Tie probability=0.0307.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Fukuoka SoftBank Hawks</t>
        </is>
      </c>
      <c r="AQ18" s="24" t="inlineStr">
        <is>
          <t>Fukuoka SoftBank Hawks</t>
        </is>
      </c>
      <c r="AR18" s="24" t="inlineStr">
        <is>
          <t>Fukuoka SoftBank Hawks</t>
        </is>
      </c>
      <c r="AS18" s="24" t="inlineStr">
        <is>
          <t>Chiba Lotte Marines</t>
        </is>
      </c>
      <c r="AT18" s="24" t="inlineStr">
        <is>
          <t>Chiba Lotte Marines</t>
        </is>
      </c>
      <c r="AU18" s="24" t="inlineStr">
        <is>
          <t>Chiba Lotte Marines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28155355f5f718099017630c2fb4ef1bcc5a7968f85aa6ec7531fc8cf8a976de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28155355f5f718099017630c2fb4ef1bcc5a7968f85aa6ec7531fc8cf8a976de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2026-08-27T00:44:21.539556Z</t>
        </is>
      </c>
      <c r="BI18" s="24" t="inlineStr">
        <is>
          <t>["same_event","same_team_same_day","same_league_same_day"]</t>
        </is>
      </c>
      <c r="BJ18" s="25" t="n"/>
      <c r="BK18" s="26" t="n">
        <v>-150</v>
      </c>
      <c r="BL18" s="27" t="n">
        <v>1.666667</v>
      </c>
      <c r="BM18" s="28" t="n">
        <v>0.6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2650b6e2ed8846af</t>
        </is>
      </c>
      <c r="B19" s="24" t="inlineStr">
        <is>
          <t>2026-08-27T00:44:21.612028Z</t>
        </is>
      </c>
      <c r="C19" s="24" t="inlineStr">
        <is>
          <t>2026-08-27T09:00:00Z</t>
        </is>
      </c>
      <c r="D19" s="24" t="inlineStr">
        <is>
          <t>90782</t>
        </is>
      </c>
      <c r="E19" s="24" t="inlineStr">
        <is>
          <t>NPB</t>
        </is>
      </c>
      <c r="F19" s="24" t="inlineStr">
        <is>
          <t>Tohoku Rakuten Golden Eagles</t>
        </is>
      </c>
      <c r="G19" s="24" t="inlineStr">
        <is>
          <t>Orix Buffaloes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0.568556</v>
      </c>
      <c r="P19" s="28" t="n"/>
      <c r="Q19" s="28" t="n">
        <v>-0.011276</v>
      </c>
      <c r="R19" s="26" t="n">
        <v>14</v>
      </c>
      <c r="S19" s="29" t="n">
        <v>1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12</v>
      </c>
      <c r="X19" s="26" t="n">
        <v>4</v>
      </c>
      <c r="Y19" s="25" t="n"/>
      <c r="Z19" s="26" t="n"/>
      <c r="AA19" s="28" t="n"/>
      <c r="AB19" s="28" t="n"/>
      <c r="AC19" s="30" t="n">
        <v>-1</v>
      </c>
      <c r="AD19" s="24" t="inlineStr">
        <is>
          <t>2026-08-27T21:53:33.016014Z</t>
        </is>
      </c>
      <c r="AE19" s="31" t="inlineStr">
        <is>
          <t>Tie-aware Elo baseline; executable ask 0.5800 (market_slug=aec-npb-obr-trge-2026-08-27). Tie probability=0.0300.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Tohoku Rakuten Golden Eagles</t>
        </is>
      </c>
      <c r="AQ19" s="24" t="inlineStr">
        <is>
          <t>Tohoku Rakuten Golden Eagles</t>
        </is>
      </c>
      <c r="AR19" s="24" t="inlineStr">
        <is>
          <t>Tohoku Rakuten Golden Eagles</t>
        </is>
      </c>
      <c r="AS19" s="24" t="inlineStr">
        <is>
          <t>Orix Buffaloes</t>
        </is>
      </c>
      <c r="AT19" s="24" t="inlineStr">
        <is>
          <t>Orix Buffaloes</t>
        </is>
      </c>
      <c r="AU19" s="24" t="inlineStr">
        <is>
          <t>Orix Buffaloes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28155355f5f718099017630c2fb4ef1bcc5a7968f85aa6ec7531fc8cf8a976de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28155355f5f718099017630c2fb4ef1bcc5a7968f85aa6ec7531fc8cf8a976de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2026-08-27T00:44:21.611990Z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0.579832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ca53e2acc2c748e9</t>
        </is>
      </c>
      <c r="B20" s="24" t="inlineStr">
        <is>
          <t>2026-08-28T02:44:12.023887Z</t>
        </is>
      </c>
      <c r="C20" s="24" t="inlineStr">
        <is>
          <t>2026-08-28T09:00:00Z</t>
        </is>
      </c>
      <c r="D20" s="24" t="inlineStr">
        <is>
          <t>91870</t>
        </is>
      </c>
      <c r="E20" s="24" t="inlineStr">
        <is>
          <t>NPB</t>
        </is>
      </c>
      <c r="F20" s="24" t="inlineStr">
        <is>
          <t>Yomiuri Giants</t>
        </is>
      </c>
      <c r="G20" s="24" t="inlineStr">
        <is>
          <t>Hanshin Tigers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-163</v>
      </c>
      <c r="M20" s="27" t="n">
        <v>1.613497</v>
      </c>
      <c r="N20" s="28" t="n">
        <v>0.619772</v>
      </c>
      <c r="O20" s="28" t="n">
        <v>0.545002</v>
      </c>
      <c r="P20" s="28" t="n"/>
      <c r="Q20" s="28" t="n">
        <v>-0.07477</v>
      </c>
      <c r="R20" s="26" t="n">
        <v>0</v>
      </c>
      <c r="S20" s="29" t="n">
        <v>1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4</v>
      </c>
      <c r="Y20" s="25" t="n"/>
      <c r="Z20" s="26" t="n"/>
      <c r="AA20" s="28" t="n"/>
      <c r="AB20" s="28" t="n"/>
      <c r="AC20" s="30" t="n">
        <v>0.6135</v>
      </c>
      <c r="AD20" s="24" t="inlineStr">
        <is>
          <t>2026-08-29T12:40:25.876682Z</t>
        </is>
      </c>
      <c r="AE20" s="31" t="inlineStr">
        <is>
          <t>Tie-aware Elo baseline; executable ask 0.6200 (market_slug=aec-npb-hta-ygo-2026-08-28). Tie probability=0.0320.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Yomiuri Giants</t>
        </is>
      </c>
      <c r="AQ20" s="24" t="inlineStr">
        <is>
          <t>Yomiuri Giants</t>
        </is>
      </c>
      <c r="AR20" s="24" t="inlineStr">
        <is>
          <t>Yomiuri Giants</t>
        </is>
      </c>
      <c r="AS20" s="24" t="inlineStr">
        <is>
          <t>Hanshin Tigers</t>
        </is>
      </c>
      <c r="AT20" s="24" t="inlineStr">
        <is>
          <t>Hanshin Tigers</t>
        </is>
      </c>
      <c r="AU20" s="24" t="inlineStr">
        <is>
          <t>Hanshin Tigers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9666ab0ddbde2520447049ceeed1f6bb8a5fe1eca67f051babba94b43f82c09e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9666ab0ddbde2520447049ceeed1f6bb8a5fe1eca67f051babba94b43f82c09e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2026-08-28T02:44:11.237129Z</t>
        </is>
      </c>
      <c r="BI20" s="24" t="inlineStr">
        <is>
          <t>["same_event","same_team_same_day","same_league_same_day"]</t>
        </is>
      </c>
      <c r="BJ20" s="25" t="n"/>
      <c r="BK20" s="26" t="n">
        <v>-163</v>
      </c>
      <c r="BL20" s="27" t="n">
        <v>1.613497</v>
      </c>
      <c r="BM20" s="28" t="n">
        <v>0.619772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0.619772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fef8ebd0539f4e7e</t>
        </is>
      </c>
      <c r="B21" s="24" t="inlineStr">
        <is>
          <t>2026-08-28T02:44:12.023887Z</t>
        </is>
      </c>
      <c r="C21" s="24" t="inlineStr">
        <is>
          <t>2026-08-28T09:00:00Z</t>
        </is>
      </c>
      <c r="D21" s="24" t="inlineStr">
        <is>
          <t>91869</t>
        </is>
      </c>
      <c r="E21" s="24" t="inlineStr">
        <is>
          <t>NPB</t>
        </is>
      </c>
      <c r="F21" s="24" t="inlineStr">
        <is>
          <t>Chunichi Dragons</t>
        </is>
      </c>
      <c r="G21" s="24" t="inlineStr">
        <is>
          <t>Yokohama BayStars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0.547177</v>
      </c>
      <c r="P21" s="28" t="n"/>
      <c r="Q21" s="28" t="n">
        <v>-0.012294</v>
      </c>
      <c r="R21" s="26" t="n">
        <v>14</v>
      </c>
      <c r="S21" s="29" t="n">
        <v>1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4</v>
      </c>
      <c r="Y21" s="25" t="n"/>
      <c r="Z21" s="26" t="n"/>
      <c r="AA21" s="28" t="n"/>
      <c r="AB21" s="28" t="n"/>
      <c r="AC21" s="30" t="n">
        <v>0.7874</v>
      </c>
      <c r="AD21" s="24" t="inlineStr">
        <is>
          <t>2026-08-29T12:40:25.991794Z</t>
        </is>
      </c>
      <c r="AE21" s="31" t="inlineStr">
        <is>
          <t>Tie-aware Elo baseline; executable ask 0.5600 (market_slug=aec-npb-ybo-cdh-2026-08-28). Tie probability=0.0318.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Chunichi Dragons</t>
        </is>
      </c>
      <c r="AQ21" s="24" t="inlineStr">
        <is>
          <t>Chunichi Dragons</t>
        </is>
      </c>
      <c r="AR21" s="24" t="inlineStr">
        <is>
          <t>Chunichi Dragons</t>
        </is>
      </c>
      <c r="AS21" s="24" t="inlineStr">
        <is>
          <t>Yokohama BayStars</t>
        </is>
      </c>
      <c r="AT21" s="24" t="inlineStr">
        <is>
          <t>Yokohama BayStars</t>
        </is>
      </c>
      <c r="AU21" s="24" t="inlineStr">
        <is>
          <t>Yokohama BayStars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9666ab0ddbde2520447049ceeed1f6bb8a5fe1eca67f051babba94b43f82c09e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9666ab0ddbde2520447049ceeed1f6bb8a5fe1eca67f051babba94b43f82c09e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2026-08-28T02:44:11.642190Z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0.559471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7f4e59b02f0e473d</t>
        </is>
      </c>
      <c r="B22" s="24" t="inlineStr">
        <is>
          <t>2026-08-28T02:44:12.023887Z</t>
        </is>
      </c>
      <c r="C22" s="24" t="inlineStr">
        <is>
          <t>2026-08-28T09:00:00Z</t>
        </is>
      </c>
      <c r="D22" s="24" t="inlineStr">
        <is>
          <t>91871</t>
        </is>
      </c>
      <c r="E22" s="24" t="inlineStr">
        <is>
          <t>NPB</t>
        </is>
      </c>
      <c r="F22" s="24" t="inlineStr">
        <is>
          <t>Tokyo Yakult Swallows</t>
        </is>
      </c>
      <c r="G22" s="24" t="inlineStr">
        <is>
          <t>Hiroshima Carp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0.607001</v>
      </c>
      <c r="P22" s="28" t="n"/>
      <c r="Q22" s="28" t="n">
        <v>0.06783</v>
      </c>
      <c r="R22" s="26" t="n">
        <v>54</v>
      </c>
      <c r="S22" s="29" t="n">
        <v>1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2026-08-29T12:40:26.105690Z</t>
        </is>
      </c>
      <c r="AE22" s="31" t="inlineStr">
        <is>
          <t>Tie-aware Elo baseline; executable ask 0.5400 (market_slug=aec-npb-hci-tys-2026-08-28). Tie probability=0.0266.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Tokyo Yakult Swallows</t>
        </is>
      </c>
      <c r="AQ22" s="24" t="inlineStr">
        <is>
          <t>Tokyo Yakult Swallows</t>
        </is>
      </c>
      <c r="AR22" s="24" t="inlineStr">
        <is>
          <t>Tokyo Yakult Swallows</t>
        </is>
      </c>
      <c r="AS22" s="24" t="inlineStr">
        <is>
          <t>Hiroshima Carp</t>
        </is>
      </c>
      <c r="AT22" s="24" t="inlineStr">
        <is>
          <t>Hiroshima Carp</t>
        </is>
      </c>
      <c r="AU22" s="24" t="inlineStr">
        <is>
          <t>Hiroshima Carp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9666ab0ddbde2520447049ceeed1f6bb8a5fe1eca67f051babba94b43f82c09e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9666ab0ddbde2520447049ceeed1f6bb8a5fe1eca67f051babba94b43f82c09e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2026-08-28T02:44:11.780394Z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0.539171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e2a249a029134b79</t>
        </is>
      </c>
      <c r="B23" s="24" t="inlineStr">
        <is>
          <t>2026-08-28T02:44:12.023887Z</t>
        </is>
      </c>
      <c r="C23" s="24" t="inlineStr">
        <is>
          <t>2026-08-28T09:00:00Z</t>
        </is>
      </c>
      <c r="D23" s="24" t="inlineStr">
        <is>
          <t>91872</t>
        </is>
      </c>
      <c r="E23" s="24" t="inlineStr">
        <is>
          <t>NPB</t>
        </is>
      </c>
      <c r="F23" s="24" t="inlineStr">
        <is>
          <t>Chiba Lotte Marines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0.610562</v>
      </c>
      <c r="P23" s="28" t="n"/>
      <c r="Q23" s="28" t="n">
        <v>-0.07983999999999999</v>
      </c>
      <c r="R23" s="26" t="n">
        <v>0</v>
      </c>
      <c r="S23" s="29" t="n">
        <v>1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win</t>
        </is>
      </c>
      <c r="W23" s="26" t="n">
        <v>4</v>
      </c>
      <c r="X23" s="26" t="n">
        <v>6</v>
      </c>
      <c r="Y23" s="25" t="n"/>
      <c r="Z23" s="26" t="n"/>
      <c r="AA23" s="28" t="n"/>
      <c r="AB23" s="28" t="n"/>
      <c r="AC23" s="30" t="n">
        <v>0.4484</v>
      </c>
      <c r="AD23" s="24" t="inlineStr">
        <is>
          <t>2026-08-29T12:40:26.216919Z</t>
        </is>
      </c>
      <c r="AE23" s="31" t="inlineStr">
        <is>
          <t>Tie-aware Elo baseline; executable ask 0.6900 (market_slug=aec-npb-nhf-clm-2026-08-28). Tie probability=0.0262.</t>
        </is>
      </c>
      <c r="AF23" s="31" t="inlineStr">
        <is>
          <t>Config-promoted international baseball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Chiba Lotte Marines</t>
        </is>
      </c>
      <c r="AQ23" s="24" t="inlineStr">
        <is>
          <t>Chiba Lotte Marines</t>
        </is>
      </c>
      <c r="AR23" s="24" t="inlineStr">
        <is>
          <t>Chiba Lotte Marines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9666ab0ddbde2520447049ceeed1f6bb8a5fe1eca67f051babba94b43f82c09e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9666ab0ddbde2520447049ceeed1f6bb8a5fe1eca67f051babba94b43f82c09e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2026-08-28T02:44:11.859858Z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0.690402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e021cce0cb1b4ae7</t>
        </is>
      </c>
      <c r="B24" s="24" t="inlineStr">
        <is>
          <t>2026-08-28T02:44:12.023887Z</t>
        </is>
      </c>
      <c r="C24" s="24" t="inlineStr">
        <is>
          <t>2026-08-28T09:00:00Z</t>
        </is>
      </c>
      <c r="D24" s="24" t="inlineStr">
        <is>
          <t>91873</t>
        </is>
      </c>
      <c r="E24" s="24" t="inlineStr">
        <is>
          <t>NPB</t>
        </is>
      </c>
      <c r="F24" s="24" t="inlineStr">
        <is>
          <t>Tohoku Rakuten Golden Eagles</t>
        </is>
      </c>
      <c r="G24" s="24" t="inlineStr">
        <is>
          <t>Saitama Seibu Lions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0.61251</v>
      </c>
      <c r="P24" s="28" t="n"/>
      <c r="Q24" s="28" t="n">
        <v>0.053039</v>
      </c>
      <c r="R24" s="26" t="n">
        <v>47</v>
      </c>
      <c r="S24" s="29" t="n">
        <v>1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4</v>
      </c>
      <c r="X24" s="26" t="n">
        <v>8</v>
      </c>
      <c r="Y24" s="25" t="n"/>
      <c r="Z24" s="26" t="n"/>
      <c r="AA24" s="28" t="n"/>
      <c r="AB24" s="28" t="n"/>
      <c r="AC24" s="30" t="n">
        <v>0.7874</v>
      </c>
      <c r="AD24" s="24" t="inlineStr">
        <is>
          <t>2026-08-29T12:40:26.328338Z</t>
        </is>
      </c>
      <c r="AE24" s="31" t="inlineStr">
        <is>
          <t>Tie-aware Elo baseline; executable ask 0.5600 (market_slug=aec-npb-ssl-trge-2026-08-28). Tie probability=0.0261.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Tohoku Rakuten Golden Eagles</t>
        </is>
      </c>
      <c r="AQ24" s="24" t="inlineStr">
        <is>
          <t>Tohoku Rakuten Golden Eagles</t>
        </is>
      </c>
      <c r="AR24" s="24" t="inlineStr">
        <is>
          <t>Tohoku Rakuten Golden Eagles</t>
        </is>
      </c>
      <c r="AS24" s="24" t="inlineStr">
        <is>
          <t>Saitama Seibu Lions</t>
        </is>
      </c>
      <c r="AT24" s="24" t="inlineStr">
        <is>
          <t>Saitama Seibu Lions</t>
        </is>
      </c>
      <c r="AU24" s="24" t="inlineStr">
        <is>
          <t>Saitama Seibu Lions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9666ab0ddbde2520447049ceeed1f6bb8a5fe1eca67f051babba94b43f82c09e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9666ab0ddbde2520447049ceeed1f6bb8a5fe1eca67f051babba94b43f82c09e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2026-08-28T02:44:11.943966Z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1641cf83cc964390</t>
        </is>
      </c>
      <c r="B25" s="24" t="inlineStr">
        <is>
          <t>2026-08-28T02:44:12.023887Z</t>
        </is>
      </c>
      <c r="C25" s="24" t="inlineStr">
        <is>
          <t>2026-08-28T09:00:00Z</t>
        </is>
      </c>
      <c r="D25" s="24" t="inlineStr">
        <is>
          <t>91874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Orix Buffaloes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0.590995</v>
      </c>
      <c r="P25" s="28" t="n"/>
      <c r="Q25" s="28" t="n">
        <v>0.011163</v>
      </c>
      <c r="R25" s="26" t="n">
        <v>26</v>
      </c>
      <c r="S25" s="29" t="n">
        <v>1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0</v>
      </c>
      <c r="Y25" s="25" t="n"/>
      <c r="Z25" s="26" t="n"/>
      <c r="AA25" s="28" t="n"/>
      <c r="AB25" s="28" t="n"/>
      <c r="AC25" s="30" t="n">
        <v>0.7246</v>
      </c>
      <c r="AD25" s="24" t="inlineStr">
        <is>
          <t>2026-08-29T12:40:26.442406Z</t>
        </is>
      </c>
      <c r="AE25" s="31" t="inlineStr">
        <is>
          <t>Tie-aware Elo baseline; executable ask 0.5800 (market_slug=aec-npb-obr-fsh-2026-08-28). Tie probability=0.0280.</t>
        </is>
      </c>
      <c r="AF25" s="31" t="inlineStr">
        <is>
          <t>Config-promoted international baseball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Orix Buffaloes</t>
        </is>
      </c>
      <c r="AT25" s="24" t="inlineStr">
        <is>
          <t>Orix Buffaloes</t>
        </is>
      </c>
      <c r="AU25" s="24" t="inlineStr">
        <is>
          <t>Orix Buffaloes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9666ab0ddbde2520447049ceeed1f6bb8a5fe1eca67f051babba94b43f82c09e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9666ab0ddbde2520447049ceeed1f6bb8a5fe1eca67f051babba94b43f82c09e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2026-08-28T02:44:12.023797Z</t>
        </is>
      </c>
      <c r="BI25" s="24" t="inlineStr">
        <is>
          <t>["same_event","same_team_same_day","same_league_same_day"]</t>
        </is>
      </c>
      <c r="BJ25" s="25" t="n"/>
      <c r="BK25" s="26" t="n">
        <v>-138</v>
      </c>
      <c r="BL25" s="27" t="n">
        <v>1.724638</v>
      </c>
      <c r="BM25" s="28" t="n">
        <v>0.579832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0.579832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34cb517b109d44e9</t>
        </is>
      </c>
      <c r="B26" s="24" t="inlineStr">
        <is>
          <t>2026-08-30T03:34:41.503900Z</t>
        </is>
      </c>
      <c r="C26" s="24" t="inlineStr">
        <is>
          <t>2026-08-30T04:00:00Z</t>
        </is>
      </c>
      <c r="D26" s="24" t="inlineStr">
        <is>
          <t>94139</t>
        </is>
      </c>
      <c r="E26" s="24" t="inlineStr">
        <is>
          <t>NPB</t>
        </is>
      </c>
      <c r="F26" s="24" t="inlineStr">
        <is>
          <t>Chiba Lotte Marines</t>
        </is>
      </c>
      <c r="G26" s="24" t="inlineStr">
        <is>
          <t>Nippon Ham Fighters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-186</v>
      </c>
      <c r="M26" s="27" t="n">
        <v>1.537634</v>
      </c>
      <c r="N26" s="28" t="n">
        <v>0.65035</v>
      </c>
      <c r="O26" s="28" t="n">
        <v>0.639665</v>
      </c>
      <c r="P26" s="28" t="n"/>
      <c r="Q26" s="28" t="n">
        <v>-0.010685</v>
      </c>
      <c r="R26" s="26" t="n">
        <v>15</v>
      </c>
      <c r="S26" s="29" t="n">
        <v>1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/>
      <c r="Z26" s="26" t="n"/>
      <c r="AA26" s="28" t="n"/>
      <c r="AB26" s="28" t="n"/>
      <c r="AC26" s="30" t="n">
        <v>0.5376</v>
      </c>
      <c r="AD26" s="24" t="inlineStr">
        <is>
          <t>2026-08-31T04:41:00.927032Z</t>
        </is>
      </c>
      <c r="AE26" s="31" t="inlineStr">
        <is>
          <t>Tie-aware Elo baseline; executable ask 0.6500 (market_slug=aec-npb-nhf-clm-2026-08-30). Tie probability=0.0235.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Chiba Lotte Marines</t>
        </is>
      </c>
      <c r="AQ26" s="24" t="inlineStr">
        <is>
          <t>Chiba Lotte Marines</t>
        </is>
      </c>
      <c r="AR26" s="24" t="inlineStr">
        <is>
          <t>Chiba Lotte Marines</t>
        </is>
      </c>
      <c r="AS26" s="24" t="inlineStr">
        <is>
          <t>Nippon Ham Fighters</t>
        </is>
      </c>
      <c r="AT26" s="24" t="inlineStr">
        <is>
          <t>Nippon Ham Fighters</t>
        </is>
      </c>
      <c r="AU26" s="24" t="inlineStr">
        <is>
          <t>Nippon Ham Fighters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00336e6a81030534d8c48f6a925c79ead16bd2614e9f20656d4023af87c44341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00336e6a81030534d8c48f6a925c79ead16bd2614e9f20656d4023af87c44341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2026-08-30T03:34:41.011136Z</t>
        </is>
      </c>
      <c r="BI26" s="24" t="inlineStr">
        <is>
          <t>["same_event","same_team_same_day","same_league_same_day"]</t>
        </is>
      </c>
      <c r="BJ26" s="25" t="n"/>
      <c r="BK26" s="26" t="n">
        <v>-186</v>
      </c>
      <c r="BL26" s="27" t="n">
        <v>1.537634</v>
      </c>
      <c r="BM26" s="28" t="n">
        <v>0.65035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0.65035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46be800f7f864b05</t>
        </is>
      </c>
      <c r="B27" s="24" t="inlineStr">
        <is>
          <t>2026-08-30T03:34:41.503900Z</t>
        </is>
      </c>
      <c r="C27" s="24" t="inlineStr">
        <is>
          <t>2026-08-30T05:00:00Z</t>
        </is>
      </c>
      <c r="D27" s="24" t="inlineStr">
        <is>
          <t>94141</t>
        </is>
      </c>
      <c r="E27" s="24" t="inlineStr">
        <is>
          <t>NPB</t>
        </is>
      </c>
      <c r="F27" s="24" t="inlineStr">
        <is>
          <t>Fukuoka SoftBank Hawks</t>
        </is>
      </c>
      <c r="G27" s="24" t="inlineStr">
        <is>
          <t>Orix Buffaloes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-144</v>
      </c>
      <c r="M27" s="27" t="n">
        <v>1.694444</v>
      </c>
      <c r="N27" s="28" t="n">
        <v>0.590164</v>
      </c>
      <c r="O27" s="28" t="n">
        <v>0.591728</v>
      </c>
      <c r="P27" s="28" t="n"/>
      <c r="Q27" s="28" t="n">
        <v>0.001564</v>
      </c>
      <c r="R27" s="26" t="n">
        <v>21</v>
      </c>
      <c r="S27" s="29" t="n">
        <v>1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win</t>
        </is>
      </c>
      <c r="W27" s="26" t="n">
        <v>6</v>
      </c>
      <c r="X27" s="26" t="n">
        <v>3</v>
      </c>
      <c r="Y27" s="25" t="n"/>
      <c r="Z27" s="26" t="n"/>
      <c r="AA27" s="28" t="n"/>
      <c r="AB27" s="28" t="n"/>
      <c r="AC27" s="30" t="n">
        <v>0.6944</v>
      </c>
      <c r="AD27" s="24" t="inlineStr">
        <is>
          <t>2026-08-31T04:41:01.059576Z</t>
        </is>
      </c>
      <c r="AE27" s="31" t="inlineStr">
        <is>
          <t>Tie-aware Elo baseline; executable ask 0.5900 (market_slug=aec-npb-obr-fsh-2026-08-30). Tie probability=0.0278.</t>
        </is>
      </c>
      <c r="AF27" s="31" t="inlineStr">
        <is>
          <t>Config-promoted international baseball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Fukuoka SoftBank Hawks</t>
        </is>
      </c>
      <c r="AQ27" s="24" t="inlineStr">
        <is>
          <t>Fukuoka SoftBank Hawks</t>
        </is>
      </c>
      <c r="AR27" s="24" t="inlineStr">
        <is>
          <t>Fukuoka SoftBank Hawks</t>
        </is>
      </c>
      <c r="AS27" s="24" t="inlineStr">
        <is>
          <t>Orix Buffaloes</t>
        </is>
      </c>
      <c r="AT27" s="24" t="inlineStr">
        <is>
          <t>Orix Buffaloes</t>
        </is>
      </c>
      <c r="AU27" s="24" t="inlineStr">
        <is>
          <t>Orix Buffaloes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00336e6a81030534d8c48f6a925c79ead16bd2614e9f20656d4023af87c44341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00336e6a81030534d8c48f6a925c79ead16bd2614e9f20656d4023af87c44341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2026-08-30T03:34:41.090155Z</t>
        </is>
      </c>
      <c r="BI27" s="24" t="inlineStr">
        <is>
          <t>["same_event","same_team_same_day","same_league_same_day"]</t>
        </is>
      </c>
      <c r="BJ27" s="25" t="n"/>
      <c r="BK27" s="26" t="n">
        <v>-144</v>
      </c>
      <c r="BL27" s="27" t="n">
        <v>1.694444</v>
      </c>
      <c r="BM27" s="28" t="n">
        <v>0.590164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0.590164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00e5e27eef0e48ef</t>
        </is>
      </c>
      <c r="B28" s="24" t="inlineStr">
        <is>
          <t>2026-08-30T03:34:41.503900Z</t>
        </is>
      </c>
      <c r="C28" s="24" t="inlineStr">
        <is>
          <t>2026-08-30T08:00:00Z</t>
        </is>
      </c>
      <c r="D28" s="24" t="inlineStr">
        <is>
          <t>94178</t>
        </is>
      </c>
      <c r="E28" s="24" t="inlineStr">
        <is>
          <t>NPB</t>
        </is>
      </c>
      <c r="F28" s="24" t="inlineStr">
        <is>
          <t>Tohoku Rakuten Golden Eagles</t>
        </is>
      </c>
      <c r="G28" s="24" t="inlineStr">
        <is>
          <t>Saitama Seibu Lions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0.668005</v>
      </c>
      <c r="P28" s="28" t="n"/>
      <c r="Q28" s="28" t="n">
        <v>0.09719</v>
      </c>
      <c r="R28" s="26" t="n">
        <v>69</v>
      </c>
      <c r="S28" s="29" t="n">
        <v>1.25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4</v>
      </c>
      <c r="Y28" s="25" t="n"/>
      <c r="Z28" s="26" t="n">
        <v>-133</v>
      </c>
      <c r="AA28" s="28" t="n">
        <v>0.57</v>
      </c>
      <c r="AB28" s="28" t="n">
        <v>-0.000815</v>
      </c>
      <c r="AC28" s="30" t="n">
        <v>0.9399</v>
      </c>
      <c r="AD28" s="24" t="inlineStr">
        <is>
          <t>2026-08-31T04:41:01.188860Z</t>
        </is>
      </c>
      <c r="AE28" s="31" t="inlineStr">
        <is>
          <t>Tie-aware Elo baseline; executable ask 0.5700 (market_slug=aec-npb-ssl-trge-2026-08-30). Tie probability=0.0209.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Tohoku Rakuten Golden Eagles</t>
        </is>
      </c>
      <c r="AQ28" s="24" t="inlineStr">
        <is>
          <t>Tohoku Rakuten Golden Eagles</t>
        </is>
      </c>
      <c r="AR28" s="24" t="inlineStr">
        <is>
          <t>Tohoku Rakuten Golden Eagles</t>
        </is>
      </c>
      <c r="AS28" s="24" t="inlineStr">
        <is>
          <t>Saitama Seibu Lions</t>
        </is>
      </c>
      <c r="AT28" s="24" t="inlineStr">
        <is>
          <t>Saitama Seibu Lions</t>
        </is>
      </c>
      <c r="AU28" s="24" t="inlineStr">
        <is>
          <t>Saitama Seibu Lions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00336e6a81030534d8c48f6a925c79ead16bd2614e9f20656d4023af87c44341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00336e6a81030534d8c48f6a925c79ead16bd2614e9f20656d4023af87c44341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2026-08-30T03:34:41.260387Z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/>
      <c r="BO28" s="28" t="n"/>
      <c r="BP28" s="25" t="n"/>
      <c r="BQ28" s="27" t="n">
        <v>1.75188</v>
      </c>
      <c r="BR28" s="28" t="n">
        <v>0.57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0.570815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2c8c1bb91614434b</t>
        </is>
      </c>
      <c r="B29" s="24" t="inlineStr">
        <is>
          <t>2026-08-30T03:34:41.503900Z</t>
        </is>
      </c>
      <c r="C29" s="24" t="inlineStr">
        <is>
          <t>2026-08-30T09:00:00Z</t>
        </is>
      </c>
      <c r="D29" s="24" t="inlineStr">
        <is>
          <t>94169</t>
        </is>
      </c>
      <c r="E29" s="24" t="inlineStr">
        <is>
          <t>NPB</t>
        </is>
      </c>
      <c r="F29" s="24" t="inlineStr">
        <is>
          <t>Tokyo Yakult Swallows</t>
        </is>
      </c>
      <c r="G29" s="24" t="inlineStr">
        <is>
          <t>Hiroshima Carp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-138</v>
      </c>
      <c r="M29" s="27" t="n">
        <v>1.724638</v>
      </c>
      <c r="N29" s="28" t="n">
        <v>0.579832</v>
      </c>
      <c r="O29" s="28" t="n">
        <v>0.551637</v>
      </c>
      <c r="P29" s="28" t="n"/>
      <c r="Q29" s="28" t="n">
        <v>-0.028195</v>
      </c>
      <c r="R29" s="26" t="n">
        <v>6</v>
      </c>
      <c r="S29" s="29" t="n">
        <v>1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5</v>
      </c>
      <c r="Y29" s="25" t="n"/>
      <c r="Z29" s="26" t="n">
        <v>-138</v>
      </c>
      <c r="AA29" s="28" t="n">
        <v>0.58</v>
      </c>
      <c r="AB29" s="28" t="n">
        <v>0.000168</v>
      </c>
      <c r="AC29" s="30" t="n">
        <v>0.7246</v>
      </c>
      <c r="AD29" s="24" t="inlineStr">
        <is>
          <t>2026-08-31T04:41:01.321959Z</t>
        </is>
      </c>
      <c r="AE29" s="31" t="inlineStr">
        <is>
          <t>Tie-aware Elo baseline; executable ask 0.5800 (market_slug=aec-npb-hci-tys-2026-08-30). Tie probability=0.0313.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Tokyo Yakult Swallows</t>
        </is>
      </c>
      <c r="AQ29" s="24" t="inlineStr">
        <is>
          <t>Tokyo Yakult Swallows</t>
        </is>
      </c>
      <c r="AR29" s="24" t="inlineStr">
        <is>
          <t>Tokyo Yakult Swallows</t>
        </is>
      </c>
      <c r="AS29" s="24" t="inlineStr">
        <is>
          <t>Hiroshima Carp</t>
        </is>
      </c>
      <c r="AT29" s="24" t="inlineStr">
        <is>
          <t>Hiroshima Carp</t>
        </is>
      </c>
      <c r="AU29" s="24" t="inlineStr">
        <is>
          <t>Hiroshima Carp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00336e6a81030534d8c48f6a925c79ead16bd2614e9f20656d4023af87c44341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00336e6a81030534d8c48f6a925c79ead16bd2614e9f20656d4023af87c44341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2026-08-30T03:34:41.344748Z</t>
        </is>
      </c>
      <c r="BI29" s="24" t="inlineStr">
        <is>
          <t>["same_event","same_team_same_day","same_league_same_day"]</t>
        </is>
      </c>
      <c r="BJ29" s="25" t="n"/>
      <c r="BK29" s="26" t="n">
        <v>-138</v>
      </c>
      <c r="BL29" s="27" t="n">
        <v>1.724638</v>
      </c>
      <c r="BM29" s="28" t="n">
        <v>0.579832</v>
      </c>
      <c r="BN29" s="28" t="n"/>
      <c r="BO29" s="28" t="n"/>
      <c r="BP29" s="25" t="n"/>
      <c r="BQ29" s="27" t="n">
        <v>1.724638</v>
      </c>
      <c r="BR29" s="28" t="n">
        <v>0.58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0.579832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3391009f7d9c4f7e</t>
        </is>
      </c>
      <c r="B30" s="24" t="inlineStr">
        <is>
          <t>2026-08-30T03:34:41.503900Z</t>
        </is>
      </c>
      <c r="C30" s="24" t="inlineStr">
        <is>
          <t>2026-08-30T09:00:00Z</t>
        </is>
      </c>
      <c r="D30" s="24" t="inlineStr">
        <is>
          <t>94182</t>
        </is>
      </c>
      <c r="E30" s="24" t="inlineStr">
        <is>
          <t>NPB</t>
        </is>
      </c>
      <c r="F30" s="24" t="inlineStr">
        <is>
          <t>Yomiuri Giants</t>
        </is>
      </c>
      <c r="G30" s="24" t="inlineStr">
        <is>
          <t>Hanshin Tigers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-170</v>
      </c>
      <c r="M30" s="27" t="n">
        <v>1.588235</v>
      </c>
      <c r="N30" s="28" t="n">
        <v>0.62963</v>
      </c>
      <c r="O30" s="28" t="n">
        <v>0.593893</v>
      </c>
      <c r="P30" s="28" t="n"/>
      <c r="Q30" s="28" t="n">
        <v>-0.035737</v>
      </c>
      <c r="R30" s="26" t="n">
        <v>2</v>
      </c>
      <c r="S30" s="29" t="n">
        <v>1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3</v>
      </c>
      <c r="Y30" s="25" t="n"/>
      <c r="Z30" s="26" t="n">
        <v>-170</v>
      </c>
      <c r="AA30" s="28" t="n">
        <v>0.63</v>
      </c>
      <c r="AB30" s="28" t="n">
        <v>0.00037</v>
      </c>
      <c r="AC30" s="30" t="n">
        <v>0.5881999999999999</v>
      </c>
      <c r="AD30" s="24" t="inlineStr">
        <is>
          <t>2026-08-31T04:41:01.451108Z</t>
        </is>
      </c>
      <c r="AE30" s="31" t="inlineStr">
        <is>
          <t>Tie-aware Elo baseline; executable ask 0.6300 (market_slug=aec-npb-hta-ygo-2026-08-30). Tie probability=0.0276.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Yomiuri Giants</t>
        </is>
      </c>
      <c r="AQ30" s="24" t="inlineStr">
        <is>
          <t>Yomiuri Giants</t>
        </is>
      </c>
      <c r="AR30" s="24" t="inlineStr">
        <is>
          <t>Yomiuri Giants</t>
        </is>
      </c>
      <c r="AS30" s="24" t="inlineStr">
        <is>
          <t>Hanshin Tigers</t>
        </is>
      </c>
      <c r="AT30" s="24" t="inlineStr">
        <is>
          <t>Hanshin Tigers</t>
        </is>
      </c>
      <c r="AU30" s="24" t="inlineStr">
        <is>
          <t>Hanshin Tigers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00336e6a81030534d8c48f6a925c79ead16bd2614e9f20656d4023af87c44341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00336e6a81030534d8c48f6a925c79ead16bd2614e9f20656d4023af87c44341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2026-08-30T03:34:41.421916Z</t>
        </is>
      </c>
      <c r="BI30" s="24" t="inlineStr">
        <is>
          <t>["same_event","same_team_same_day","same_league_same_day"]</t>
        </is>
      </c>
      <c r="BJ30" s="25" t="n"/>
      <c r="BK30" s="26" t="n">
        <v>-170</v>
      </c>
      <c r="BL30" s="27" t="n">
        <v>1.588235</v>
      </c>
      <c r="BM30" s="28" t="n">
        <v>0.62963</v>
      </c>
      <c r="BN30" s="28" t="n"/>
      <c r="BO30" s="28" t="n"/>
      <c r="BP30" s="25" t="n"/>
      <c r="BQ30" s="27" t="n">
        <v>1.588235</v>
      </c>
      <c r="BR30" s="28" t="n">
        <v>0.63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0.62963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2e5ea0326d5d4fb0</t>
        </is>
      </c>
      <c r="B31" s="24" t="inlineStr">
        <is>
          <t>2026-08-30T03:34:41.503900Z</t>
        </is>
      </c>
      <c r="C31" s="24" t="inlineStr">
        <is>
          <t>2026-08-30T09:00:00Z</t>
        </is>
      </c>
      <c r="D31" s="24" t="inlineStr">
        <is>
          <t>94185</t>
        </is>
      </c>
      <c r="E31" s="24" t="inlineStr">
        <is>
          <t>NPB</t>
        </is>
      </c>
      <c r="F31" s="24" t="inlineStr">
        <is>
          <t>Chunichi Dragons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0.582645</v>
      </c>
      <c r="P31" s="28" t="n"/>
      <c r="Q31" s="28" t="n">
        <v>-0.02673</v>
      </c>
      <c r="R31" s="26" t="n">
        <v>7</v>
      </c>
      <c r="S31" s="29" t="n">
        <v>1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3</v>
      </c>
      <c r="X31" s="26" t="n">
        <v>4</v>
      </c>
      <c r="Y31" s="25" t="n"/>
      <c r="Z31" s="26" t="n">
        <v>-156</v>
      </c>
      <c r="AA31" s="28" t="n">
        <v>0.61</v>
      </c>
      <c r="AB31" s="28" t="n">
        <v>0.000625</v>
      </c>
      <c r="AC31" s="30" t="n">
        <v>0.641</v>
      </c>
      <c r="AD31" s="24" t="inlineStr">
        <is>
          <t>2026-08-31T04:41:01.585196Z</t>
        </is>
      </c>
      <c r="AE31" s="31" t="inlineStr">
        <is>
          <t>Tie-aware Elo baseline; executable ask 0.6100 (market_slug=aec-npb-ybo-cdh-2026-08-30). Tie probability=0.0286.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Chunichi Dragons</t>
        </is>
      </c>
      <c r="AQ31" s="24" t="inlineStr">
        <is>
          <t>Chunichi Dragons</t>
        </is>
      </c>
      <c r="AR31" s="24" t="inlineStr">
        <is>
          <t>Chunichi Dragons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00336e6a81030534d8c48f6a925c79ead16bd2614e9f20656d4023af87c44341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00336e6a81030534d8c48f6a925c79ead16bd2614e9f20656d4023af87c44341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2026-08-30T03:34:41.503851Z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>
        <v>1.641026</v>
      </c>
      <c r="BR31" s="28" t="n">
        <v>0.61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6eeb3fdb0312400c</t>
        </is>
      </c>
      <c r="B32" s="24" t="inlineStr">
        <is>
          <t>2026-09-01T04:43:17.062482Z</t>
        </is>
      </c>
      <c r="C32" s="24" t="inlineStr">
        <is>
          <t>2026-09-01T09:00:00Z</t>
        </is>
      </c>
      <c r="D32" s="24" t="inlineStr">
        <is>
          <t>95788</t>
        </is>
      </c>
      <c r="E32" s="24" t="inlineStr">
        <is>
          <t>NPB</t>
        </is>
      </c>
      <c r="F32" s="24" t="inlineStr">
        <is>
          <t>Saitama Seibu Lions</t>
        </is>
      </c>
      <c r="G32" s="24" t="inlineStr">
        <is>
          <t>Chiba Lotte Marines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0.534569</v>
      </c>
      <c r="P32" s="28" t="n"/>
      <c r="Q32" s="28" t="n">
        <v>-0.036246</v>
      </c>
      <c r="R32" s="26" t="n">
        <v>2</v>
      </c>
      <c r="S32" s="29" t="n">
        <v>1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-1</v>
      </c>
      <c r="AD32" s="24" t="inlineStr">
        <is>
          <t>2026-09-02T04:35:48.913897Z</t>
        </is>
      </c>
      <c r="AE32" s="31" t="inlineStr">
        <is>
          <t>Tie-aware Elo baseline; executable ask 0.5700 (market_slug=aec-npb-clm-ssl-2026-09-01).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Saitama Seibu Lions</t>
        </is>
      </c>
      <c r="AQ32" s="24" t="inlineStr">
        <is>
          <t>Saitama Seibu Lions</t>
        </is>
      </c>
      <c r="AR32" s="24" t="inlineStr">
        <is>
          <t>Saitama Seibu Lions</t>
        </is>
      </c>
      <c r="AS32" s="24" t="inlineStr">
        <is>
          <t>Chiba Lotte Marines</t>
        </is>
      </c>
      <c r="AT32" s="24" t="inlineStr">
        <is>
          <t>Chiba Lotte Marines</t>
        </is>
      </c>
      <c r="AU32" s="24" t="inlineStr">
        <is>
          <t>Chiba Lotte Marines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6dfac2fa88955a09a0292b447e0063f4677a17519e4dda117db7f6ea24698086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6dfac2fa88955a09a0292b447e0063f4677a17519e4dda117db7f6ea24698086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2026-09-01T04:43:15.100316Z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0.570815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f04c4b235c854042</t>
        </is>
      </c>
      <c r="B33" s="24" t="inlineStr">
        <is>
          <t>2026-09-01T04:43:17.062482Z</t>
        </is>
      </c>
      <c r="C33" s="24" t="inlineStr">
        <is>
          <t>2026-09-01T09:00:00Z</t>
        </is>
      </c>
      <c r="D33" s="24" t="inlineStr">
        <is>
          <t>95789</t>
        </is>
      </c>
      <c r="E33" s="24" t="inlineStr">
        <is>
          <t>NPB</t>
        </is>
      </c>
      <c r="F33" s="24" t="inlineStr">
        <is>
          <t>Orix Buffaloes</t>
        </is>
      </c>
      <c r="G33" s="24" t="inlineStr">
        <is>
          <t>Tohoku Rakuten Golden Eagles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108</v>
      </c>
      <c r="M33" s="27" t="n">
        <v>2.08</v>
      </c>
      <c r="N33" s="28" t="n">
        <v>0.480769</v>
      </c>
      <c r="O33" s="28" t="n">
        <v>0.508495</v>
      </c>
      <c r="P33" s="28" t="n"/>
      <c r="Q33" s="28" t="n">
        <v>0.027726</v>
      </c>
      <c r="R33" s="26" t="n">
        <v>34</v>
      </c>
      <c r="S33" s="29" t="n">
        <v>1</v>
      </c>
      <c r="T33" s="24" t="inlineStr">
        <is>
          <t>npb-tie-aware-elo-v2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5</v>
      </c>
      <c r="Y33" s="25" t="n"/>
      <c r="Z33" s="26" t="n">
        <v>108</v>
      </c>
      <c r="AA33" s="28" t="n">
        <v>0.48</v>
      </c>
      <c r="AB33" s="28" t="n">
        <v>-0.000769</v>
      </c>
      <c r="AC33" s="30" t="n">
        <v>-1</v>
      </c>
      <c r="AD33" s="24" t="inlineStr">
        <is>
          <t>2026-09-02T04:35:49.044930Z</t>
        </is>
      </c>
      <c r="AE33" s="31" t="inlineStr">
        <is>
          <t>Tie-aware Elo baseline; executable ask 0.4800 (market_slug=aec-npb-trge-obr-2026-09-01). Tie probability=0.0349.</t>
        </is>
      </c>
      <c r="AF33" s="31" t="inlineStr">
        <is>
          <t>Config-promoted international baseball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Orix Buffaloes</t>
        </is>
      </c>
      <c r="AQ33" s="24" t="inlineStr">
        <is>
          <t>Orix Buffaloes</t>
        </is>
      </c>
      <c r="AR33" s="24" t="inlineStr">
        <is>
          <t>Orix Buffaloes</t>
        </is>
      </c>
      <c r="AS33" s="24" t="inlineStr">
        <is>
          <t>Tohoku Rakuten Golden Eagles</t>
        </is>
      </c>
      <c r="AT33" s="24" t="inlineStr">
        <is>
          <t>Tohoku Rakuten Golden Eagles</t>
        </is>
      </c>
      <c r="AU33" s="24" t="inlineStr">
        <is>
          <t>Tohoku Rakuten Golden Eagles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6dfac2fa88955a09a0292b447e0063f4677a17519e4dda117db7f6ea24698086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6dfac2fa88955a09a0292b447e0063f4677a17519e4dda117db7f6ea24698086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2026-09-01T04:43:15.355203Z</t>
        </is>
      </c>
      <c r="BI33" s="24" t="inlineStr">
        <is>
          <t>["same_event","same_team_same_day","same_league_same_day"]</t>
        </is>
      </c>
      <c r="BJ33" s="25" t="n"/>
      <c r="BK33" s="26" t="n">
        <v>108</v>
      </c>
      <c r="BL33" s="27" t="n">
        <v>2.08</v>
      </c>
      <c r="BM33" s="28" t="n">
        <v>0.480769</v>
      </c>
      <c r="BN33" s="28" t="n"/>
      <c r="BO33" s="28" t="n"/>
      <c r="BP33" s="25" t="n"/>
      <c r="BQ33" s="27" t="n">
        <v>2.08</v>
      </c>
      <c r="BR33" s="28" t="n">
        <v>0.48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0.480769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ae79d89432344fb0</t>
        </is>
      </c>
      <c r="B34" s="24" t="inlineStr">
        <is>
          <t>2026-09-01T04:43:17.062482Z</t>
        </is>
      </c>
      <c r="C34" s="24" t="inlineStr">
        <is>
          <t>2026-09-01T09:00:00Z</t>
        </is>
      </c>
      <c r="D34" s="24" t="inlineStr">
        <is>
          <t>95790</t>
        </is>
      </c>
      <c r="E34" s="24" t="inlineStr">
        <is>
          <t>NPB</t>
        </is>
      </c>
      <c r="F34" s="24" t="inlineStr">
        <is>
          <t>Fukuoka SoftBank Hawks</t>
        </is>
      </c>
      <c r="G34" s="24" t="inlineStr">
        <is>
          <t>Nippon Ham Fighters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0.5088240000000001</v>
      </c>
      <c r="P34" s="28" t="n"/>
      <c r="Q34" s="28" t="n">
        <v>-0.131464</v>
      </c>
      <c r="R34" s="26" t="n">
        <v>0</v>
      </c>
      <c r="S34" s="29" t="n">
        <v>1</v>
      </c>
      <c r="T34" s="24" t="inlineStr">
        <is>
          <t>npb-tie-aware-elo-v2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2</v>
      </c>
      <c r="Y34" s="25" t="n"/>
      <c r="Z34" s="26" t="n">
        <v>-178</v>
      </c>
      <c r="AA34" s="28" t="n">
        <v>0.64</v>
      </c>
      <c r="AB34" s="28" t="n">
        <v>-0.000288</v>
      </c>
      <c r="AC34" s="30" t="n">
        <v>-1</v>
      </c>
      <c r="AD34" s="24" t="inlineStr">
        <is>
          <t>2026-09-02T04:35:49.181642Z</t>
        </is>
      </c>
      <c r="AE34" s="31" t="inlineStr">
        <is>
          <t>Tie-aware Elo baseline; executable ask 0.6400 (market_slug=aec-npb-nhf-fsh-2026-09-01). Tie probability=0.0349.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Fukuoka SoftBank Hawks</t>
        </is>
      </c>
      <c r="AQ34" s="24" t="inlineStr">
        <is>
          <t>Fukuoka SoftBank Hawks</t>
        </is>
      </c>
      <c r="AR34" s="24" t="inlineStr">
        <is>
          <t>Fukuoka SoftBank Hawks</t>
        </is>
      </c>
      <c r="AS34" s="24" t="inlineStr">
        <is>
          <t>Nippon Ham Fighters</t>
        </is>
      </c>
      <c r="AT34" s="24" t="inlineStr">
        <is>
          <t>Nippon Ham Fighters</t>
        </is>
      </c>
      <c r="AU34" s="24" t="inlineStr">
        <is>
          <t>Nippon Ham Fighters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6dfac2fa88955a09a0292b447e0063f4677a17519e4dda117db7f6ea24698086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6dfac2fa88955a09a0292b447e0063f4677a17519e4dda117db7f6ea24698086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2026-09-01T04:43:16.473571Z</t>
        </is>
      </c>
      <c r="BI34" s="24" t="inlineStr">
        <is>
          <t>["same_event","same_team_same_day","same_league_same_day"]</t>
        </is>
      </c>
      <c r="BJ34" s="25" t="n"/>
      <c r="BK34" s="26" t="n">
        <v>-178</v>
      </c>
      <c r="BL34" s="27" t="n">
        <v>1.561798</v>
      </c>
      <c r="BM34" s="28" t="n">
        <v>0.640288</v>
      </c>
      <c r="BN34" s="28" t="n"/>
      <c r="BO34" s="28" t="n"/>
      <c r="BP34" s="25" t="n"/>
      <c r="BQ34" s="27" t="n">
        <v>1.561798</v>
      </c>
      <c r="BR34" s="28" t="n">
        <v>0.64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0.640288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c629706b5e4b42b5</t>
        </is>
      </c>
      <c r="B35" s="24" t="inlineStr">
        <is>
          <t>2026-09-01T04:43:17.062482Z</t>
        </is>
      </c>
      <c r="C35" s="24" t="inlineStr">
        <is>
          <t>2026-09-01T09:00:00Z</t>
        </is>
      </c>
      <c r="D35" s="24" t="inlineStr">
        <is>
          <t>95791</t>
        </is>
      </c>
      <c r="E35" s="24" t="inlineStr">
        <is>
          <t>NPB</t>
        </is>
      </c>
      <c r="F35" s="24" t="inlineStr">
        <is>
          <t>Hiroshima Carp</t>
        </is>
      </c>
      <c r="G35" s="24" t="inlineStr">
        <is>
          <t>Chunichi Dragons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0.56402</v>
      </c>
      <c r="P35" s="28" t="n"/>
      <c r="Q35" s="28" t="n">
        <v>-0.015812</v>
      </c>
      <c r="R35" s="26" t="n">
        <v>12</v>
      </c>
      <c r="S35" s="29" t="n">
        <v>1</v>
      </c>
      <c r="T35" s="24" t="inlineStr">
        <is>
          <t>npb-tie-aware-elo-v2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</v>
      </c>
      <c r="Y35" s="25" t="n"/>
      <c r="Z35" s="26" t="n">
        <v>-138</v>
      </c>
      <c r="AA35" s="28" t="n">
        <v>0.58</v>
      </c>
      <c r="AB35" s="28" t="n">
        <v>0.000168</v>
      </c>
      <c r="AC35" s="30" t="n">
        <v>-1</v>
      </c>
      <c r="AD35" s="24" t="inlineStr">
        <is>
          <t>2026-09-02T04:35:49.324014Z</t>
        </is>
      </c>
      <c r="AE35" s="31" t="inlineStr">
        <is>
          <t>Tie-aware Elo baseline; executable ask 0.5800 (market_slug=aec-npb-cdh-hci-2026-09-01). Tie probability=0.0302.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Hiroshima Carp</t>
        </is>
      </c>
      <c r="AQ35" s="24" t="inlineStr">
        <is>
          <t>Hiroshima Carp</t>
        </is>
      </c>
      <c r="AR35" s="24" t="inlineStr">
        <is>
          <t>Hiroshima Carp</t>
        </is>
      </c>
      <c r="AS35" s="24" t="inlineStr">
        <is>
          <t>Chunichi Dragons</t>
        </is>
      </c>
      <c r="AT35" s="24" t="inlineStr">
        <is>
          <t>Chunichi Dragons</t>
        </is>
      </c>
      <c r="AU35" s="24" t="inlineStr">
        <is>
          <t>Chunichi Dragons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6dfac2fa88955a09a0292b447e0063f4677a17519e4dda117db7f6ea24698086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6dfac2fa88955a09a0292b447e0063f4677a17519e4dda117db7f6ea24698086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2026-09-01T04:43:16.682225Z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>
        <v>1.724638</v>
      </c>
      <c r="BR35" s="28" t="n">
        <v>0.58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0.579832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8a44c1c4943d40f1</t>
        </is>
      </c>
      <c r="B36" s="24" t="inlineStr">
        <is>
          <t>2026-09-01T04:43:17.062482Z</t>
        </is>
      </c>
      <c r="C36" s="24" t="inlineStr">
        <is>
          <t>2026-09-01T09:00:00Z</t>
        </is>
      </c>
      <c r="D36" s="24" t="inlineStr">
        <is>
          <t>95792</t>
        </is>
      </c>
      <c r="E36" s="24" t="inlineStr">
        <is>
          <t>NPB</t>
        </is>
      </c>
      <c r="F36" s="24" t="inlineStr">
        <is>
          <t>Hanshin Tigers</t>
        </is>
      </c>
      <c r="G36" s="24" t="inlineStr">
        <is>
          <t>Tokyo Yakult Swallows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-257</v>
      </c>
      <c r="M36" s="27" t="n">
        <v>1.389105</v>
      </c>
      <c r="N36" s="28" t="n">
        <v>0.719888</v>
      </c>
      <c r="O36" s="28" t="n">
        <v>0.604581</v>
      </c>
      <c r="P36" s="28" t="n"/>
      <c r="Q36" s="28" t="n">
        <v>-0.115307</v>
      </c>
      <c r="R36" s="26" t="n">
        <v>0</v>
      </c>
      <c r="S36" s="29" t="n">
        <v>1</v>
      </c>
      <c r="T36" s="24" t="inlineStr">
        <is>
          <t>npb-tie-aware-elo-v2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2</v>
      </c>
      <c r="Y36" s="25" t="n"/>
      <c r="Z36" s="26" t="n">
        <v>-257</v>
      </c>
      <c r="AA36" s="28" t="n">
        <v>0.72</v>
      </c>
      <c r="AB36" s="28" t="n">
        <v>0.000112</v>
      </c>
      <c r="AC36" s="30" t="n">
        <v>0.3891</v>
      </c>
      <c r="AD36" s="24" t="inlineStr">
        <is>
          <t>2026-09-02T04:35:49.459069Z</t>
        </is>
      </c>
      <c r="AE36" s="31" t="inlineStr">
        <is>
          <t>Tie-aware Elo baseline; executable ask 0.7200 (market_slug=aec-npb-tys-hta-2026-09-01). Tie probability=0.0267.</t>
        </is>
      </c>
      <c r="AF36" s="31" t="inlineStr">
        <is>
          <t>Config-promoted international baseball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Hanshin Tigers</t>
        </is>
      </c>
      <c r="AQ36" s="24" t="inlineStr">
        <is>
          <t>Hanshin Tigers</t>
        </is>
      </c>
      <c r="AR36" s="24" t="inlineStr">
        <is>
          <t>Hanshin Tigers</t>
        </is>
      </c>
      <c r="AS36" s="24" t="inlineStr">
        <is>
          <t>Tokyo Yakult Swallows</t>
        </is>
      </c>
      <c r="AT36" s="24" t="inlineStr">
        <is>
          <t>Tokyo Yakult Swallows</t>
        </is>
      </c>
      <c r="AU36" s="24" t="inlineStr">
        <is>
          <t>Tokyo Yakult Swallows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6dfac2fa88955a09a0292b447e0063f4677a17519e4dda117db7f6ea24698086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6dfac2fa88955a09a0292b447e0063f4677a17519e4dda117db7f6ea24698086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2026-09-01T04:43:16.955499Z</t>
        </is>
      </c>
      <c r="BI36" s="24" t="inlineStr">
        <is>
          <t>["same_event","same_team_same_day","same_league_same_day"]</t>
        </is>
      </c>
      <c r="BJ36" s="25" t="n"/>
      <c r="BK36" s="26" t="n">
        <v>-257</v>
      </c>
      <c r="BL36" s="27" t="n">
        <v>1.389105</v>
      </c>
      <c r="BM36" s="28" t="n">
        <v>0.719888</v>
      </c>
      <c r="BN36" s="28" t="n"/>
      <c r="BO36" s="28" t="n"/>
      <c r="BP36" s="25" t="n"/>
      <c r="BQ36" s="27" t="n">
        <v>1.389105</v>
      </c>
      <c r="BR36" s="28" t="n">
        <v>0.72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0.719888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745f371a726d4f92</t>
        </is>
      </c>
      <c r="B37" s="24" t="inlineStr">
        <is>
          <t>2026-09-01T04:43:17.062482Z</t>
        </is>
      </c>
      <c r="C37" s="24" t="inlineStr">
        <is>
          <t>2026-09-01T09:00:00Z</t>
        </is>
      </c>
      <c r="D37" s="24" t="inlineStr">
        <is>
          <t>95793</t>
        </is>
      </c>
      <c r="E37" s="24" t="inlineStr">
        <is>
          <t>NPB</t>
        </is>
      </c>
      <c r="F37" s="24" t="inlineStr">
        <is>
          <t>Yokohama BayStars</t>
        </is>
      </c>
      <c r="G37" s="24" t="inlineStr">
        <is>
          <t>Yomiuri Giants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0.575702</v>
      </c>
      <c r="P37" s="28" t="n"/>
      <c r="Q37" s="28" t="n">
        <v>0.056471</v>
      </c>
      <c r="R37" s="26" t="n">
        <v>48</v>
      </c>
      <c r="S37" s="29" t="n">
        <v>1</v>
      </c>
      <c r="T37" s="24" t="inlineStr">
        <is>
          <t>npb-tie-aware-elo-v2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4</v>
      </c>
      <c r="Y37" s="25" t="n"/>
      <c r="Z37" s="26" t="n">
        <v>-108</v>
      </c>
      <c r="AA37" s="28" t="n">
        <v>0.52</v>
      </c>
      <c r="AB37" s="28" t="n">
        <v>0.000769</v>
      </c>
      <c r="AC37" s="30" t="n">
        <v>0.9258999999999999</v>
      </c>
      <c r="AD37" s="24" t="inlineStr">
        <is>
          <t>2026-09-02T04:35:49.600760Z</t>
        </is>
      </c>
      <c r="AE37" s="31" t="inlineStr">
        <is>
          <t>Tie-aware Elo baseline; executable ask 0.5200 (market_slug=aec-npb-ygo-ybo-2026-09-01). Tie probability=0.0292.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Yokohama BayStars</t>
        </is>
      </c>
      <c r="AQ37" s="24" t="inlineStr">
        <is>
          <t>Yokohama BayStars</t>
        </is>
      </c>
      <c r="AR37" s="24" t="inlineStr">
        <is>
          <t>Yokohama BayStars</t>
        </is>
      </c>
      <c r="AS37" s="24" t="inlineStr">
        <is>
          <t>Yomiuri Giants</t>
        </is>
      </c>
      <c r="AT37" s="24" t="inlineStr">
        <is>
          <t>Yomiuri Giants</t>
        </is>
      </c>
      <c r="AU37" s="24" t="inlineStr">
        <is>
          <t>Yomiuri Giants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6dfac2fa88955a09a0292b447e0063f4677a17519e4dda117db7f6ea24698086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6dfac2fa88955a09a0292b447e0063f4677a17519e4dda117db7f6ea24698086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2026-09-01T04:43:17.062435Z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/>
      <c r="BO37" s="28" t="n"/>
      <c r="BP37" s="25" t="n"/>
      <c r="BQ37" s="27" t="n">
        <v>1.925926</v>
      </c>
      <c r="BR37" s="28" t="n">
        <v>0.52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0.519231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e99aba4996d14a12</t>
        </is>
      </c>
      <c r="B38" s="24" t="inlineStr">
        <is>
          <t>2026-09-02T04:38:59.414601Z</t>
        </is>
      </c>
      <c r="C38" s="24" t="inlineStr">
        <is>
          <t>2026-09-02T09:00:00Z</t>
        </is>
      </c>
      <c r="D38" s="24" t="inlineStr">
        <is>
          <t>97102</t>
        </is>
      </c>
      <c r="E38" s="24" t="inlineStr">
        <is>
          <t>NPB</t>
        </is>
      </c>
      <c r="F38" s="24" t="inlineStr">
        <is>
          <t>Hanshin Tigers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0.618082</v>
      </c>
      <c r="P38" s="28" t="n"/>
      <c r="Q38" s="28" t="n">
        <v>0.058611</v>
      </c>
      <c r="R38" s="26" t="n">
        <v>49</v>
      </c>
      <c r="S38" s="29" t="n">
        <v>1</v>
      </c>
      <c r="T38" s="24" t="inlineStr">
        <is>
          <t>npb-tie-aware-elo-v2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3</v>
      </c>
      <c r="X38" s="26" t="n">
        <v>5</v>
      </c>
      <c r="Y38" s="25" t="n"/>
      <c r="Z38" s="26" t="n">
        <v>-127</v>
      </c>
      <c r="AA38" s="28" t="n">
        <v>0.5600000000000001</v>
      </c>
      <c r="AB38" s="28" t="n">
        <v>0.000529</v>
      </c>
      <c r="AC38" s="30" t="n">
        <v>-1</v>
      </c>
      <c r="AD38" s="24" t="inlineStr">
        <is>
          <t>2026-09-03T04:33:58.412091Z</t>
        </is>
      </c>
      <c r="AE38" s="31" t="inlineStr">
        <is>
          <t>Tie-aware Elo baseline; executable ask 0.5600 (market_slug=aec-npb-tys-hta-2026-09-02). Tie probability=0.0254.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4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Hanshin Tigers</t>
        </is>
      </c>
      <c r="AQ38" s="24" t="inlineStr">
        <is>
          <t>Hanshin Tigers</t>
        </is>
      </c>
      <c r="AR38" s="24" t="inlineStr">
        <is>
          <t>Hanshin Tigers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ba2142e8eafc5c497aa40c3cfece58f351aa193529bf7ecddeb12905ad43aa03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ba2142e8eafc5c497aa40c3cfece58f351aa193529bf7ecddeb12905ad43aa03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2026-09-02T04:38:59.187476Z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>
        <v>1.787402</v>
      </c>
      <c r="BR38" s="28" t="n">
        <v>0.5600000000000001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a4ef64d197c346b8</t>
        </is>
      </c>
      <c r="B39" s="24" t="inlineStr">
        <is>
          <t>2026-09-02T04:38:59.414601Z</t>
        </is>
      </c>
      <c r="C39" s="24" t="inlineStr">
        <is>
          <t>2026-09-02T09:00:00Z</t>
        </is>
      </c>
      <c r="D39" s="24" t="inlineStr">
        <is>
          <t>97103</t>
        </is>
      </c>
      <c r="E39" s="24" t="inlineStr">
        <is>
          <t>NPB</t>
        </is>
      </c>
      <c r="F39" s="24" t="inlineStr">
        <is>
          <t>Orix Buffaloes</t>
        </is>
      </c>
      <c r="G39" s="24" t="inlineStr">
        <is>
          <t>Tohoku Rakuten Golden Eagles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-133</v>
      </c>
      <c r="M39" s="27" t="n">
        <v>1.75188</v>
      </c>
      <c r="N39" s="28" t="n">
        <v>0.570815</v>
      </c>
      <c r="O39" s="28" t="n">
        <v>0.560345</v>
      </c>
      <c r="P39" s="28" t="n"/>
      <c r="Q39" s="28" t="n">
        <v>-0.01047</v>
      </c>
      <c r="R39" s="26" t="n">
        <v>15</v>
      </c>
      <c r="S39" s="29" t="n">
        <v>1</v>
      </c>
      <c r="T39" s="24" t="inlineStr">
        <is>
          <t>npb-tie-aware-elo-v2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4</v>
      </c>
      <c r="Y39" s="25" t="n"/>
      <c r="Z39" s="26" t="n">
        <v>-133</v>
      </c>
      <c r="AA39" s="28" t="n">
        <v>0.57</v>
      </c>
      <c r="AB39" s="28" t="n">
        <v>-0.000815</v>
      </c>
      <c r="AC39" s="30" t="n">
        <v>0.7519</v>
      </c>
      <c r="AD39" s="24" t="inlineStr">
        <is>
          <t>2026-09-03T04:33:58.475704Z</t>
        </is>
      </c>
      <c r="AE39" s="31" t="inlineStr">
        <is>
          <t>Tie-aware Elo baseline; executable ask 0.5700 (market_slug=aec-npb-trge-obr-2026-09-02). Tie probability=0.0305.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Orix Buffaloes</t>
        </is>
      </c>
      <c r="AQ39" s="24" t="inlineStr">
        <is>
          <t>Orix Buffaloes</t>
        </is>
      </c>
      <c r="AR39" s="24" t="inlineStr">
        <is>
          <t>Orix Buffaloes</t>
        </is>
      </c>
      <c r="AS39" s="24" t="inlineStr">
        <is>
          <t>Tohoku Rakuten Golden Eagles</t>
        </is>
      </c>
      <c r="AT39" s="24" t="inlineStr">
        <is>
          <t>Tohoku Rakuten Golden Eagles</t>
        </is>
      </c>
      <c r="AU39" s="24" t="inlineStr">
        <is>
          <t>Tohoku Rakuten Golden Eagles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ba2142e8eafc5c497aa40c3cfece58f351aa193529bf7ecddeb12905ad43aa03</t>
        </is>
      </c>
      <c r="BB39" s="24" t="inlineStr">
        <is>
          <t>tie_aware_elo</t>
        </is>
      </c>
      <c r="BC39" s="24" t="inlineStr">
        <is>
          <t>npb-tie-aware-elo-v2</t>
        </is>
      </c>
      <c r="BD39" s="24" t="inlineStr">
        <is>
          <t>ba2142e8eafc5c497aa40c3cfece58f351aa193529bf7ecddeb12905ad43aa03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npb-tie-aware-elo-v2</t>
        </is>
      </c>
      <c r="BH39" s="24" t="inlineStr">
        <is>
          <t>2026-09-02T04:38:59.244409Z</t>
        </is>
      </c>
      <c r="BI39" s="24" t="inlineStr">
        <is>
          <t>["same_event","same_team_same_day","same_league_same_day"]</t>
        </is>
      </c>
      <c r="BJ39" s="25" t="n"/>
      <c r="BK39" s="26" t="n">
        <v>-133</v>
      </c>
      <c r="BL39" s="27" t="n">
        <v>1.75188</v>
      </c>
      <c r="BM39" s="28" t="n">
        <v>0.570815</v>
      </c>
      <c r="BN39" s="28" t="n"/>
      <c r="BO39" s="28" t="n"/>
      <c r="BP39" s="25" t="n"/>
      <c r="BQ39" s="27" t="n">
        <v>1.75188</v>
      </c>
      <c r="BR39" s="28" t="n">
        <v>0.57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0.570815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e8e2135f16734ec6</t>
        </is>
      </c>
      <c r="B40" s="24" t="inlineStr">
        <is>
          <t>2026-09-02T04:38:59.414601Z</t>
        </is>
      </c>
      <c r="C40" s="24" t="inlineStr">
        <is>
          <t>2026-09-02T09:00:00Z</t>
        </is>
      </c>
      <c r="D40" s="24" t="inlineStr">
        <is>
          <t>97104</t>
        </is>
      </c>
      <c r="E40" s="24" t="inlineStr">
        <is>
          <t>NPB</t>
        </is>
      </c>
      <c r="F40" s="24" t="inlineStr">
        <is>
          <t>Fukuoka SoftBank Hawks</t>
        </is>
      </c>
      <c r="G40" s="24" t="inlineStr">
        <is>
          <t>Nippon Ham Fighters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113</v>
      </c>
      <c r="M40" s="27" t="n">
        <v>2.13</v>
      </c>
      <c r="N40" s="28" t="n">
        <v>0.469484</v>
      </c>
      <c r="O40" s="28" t="n">
        <v>0.513411</v>
      </c>
      <c r="P40" s="28" t="n"/>
      <c r="Q40" s="28" t="n">
        <v>0.043927</v>
      </c>
      <c r="R40" s="26" t="n">
        <v>42</v>
      </c>
      <c r="S40" s="29" t="n">
        <v>1</v>
      </c>
      <c r="T40" s="24" t="inlineStr">
        <is>
          <t>npb-tie-aware-elo-v2</t>
        </is>
      </c>
      <c r="U40" s="24" t="inlineStr">
        <is>
          <t>settled</t>
        </is>
      </c>
      <c r="V40" s="24" t="inlineStr">
        <is>
          <t>push</t>
        </is>
      </c>
      <c r="W40" s="26" t="n">
        <v>1</v>
      </c>
      <c r="X40" s="26" t="n">
        <v>1</v>
      </c>
      <c r="Y40" s="25" t="n"/>
      <c r="Z40" s="26" t="n">
        <v>113</v>
      </c>
      <c r="AA40" s="28" t="n">
        <v>0.47</v>
      </c>
      <c r="AB40" s="28" t="n">
        <v>0.000516</v>
      </c>
      <c r="AC40" s="30" t="n">
        <v>0.065</v>
      </c>
      <c r="AD40" s="24" t="inlineStr">
        <is>
          <t>2026-09-03T04:33:58.537250Z</t>
        </is>
      </c>
      <c r="AE40" s="31" t="inlineStr">
        <is>
          <t>Tie-aware Elo baseline; executable ask 0.4700 (market_slug=aec-npb-nhf-fsh-2026-09-02). Tie probability=0.0345.</t>
        </is>
      </c>
      <c r="AF40" s="31" t="inlineStr">
        <is>
          <t>Config-promoted international baseball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Fukuoka SoftBank Hawks</t>
        </is>
      </c>
      <c r="AQ40" s="24" t="inlineStr">
        <is>
          <t>Fukuoka SoftBank Hawks</t>
        </is>
      </c>
      <c r="AR40" s="24" t="inlineStr">
        <is>
          <t>Fukuoka SoftBank Hawks</t>
        </is>
      </c>
      <c r="AS40" s="24" t="inlineStr">
        <is>
          <t>Nippon Ham Fighters</t>
        </is>
      </c>
      <c r="AT40" s="24" t="inlineStr">
        <is>
          <t>Nippon Ham Fighters</t>
        </is>
      </c>
      <c r="AU40" s="24" t="inlineStr">
        <is>
          <t>Nippon Ham Fighters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ba2142e8eafc5c497aa40c3cfece58f351aa193529bf7ecddeb12905ad43aa03</t>
        </is>
      </c>
      <c r="BB40" s="24" t="inlineStr">
        <is>
          <t>tie_aware_elo</t>
        </is>
      </c>
      <c r="BC40" s="24" t="inlineStr">
        <is>
          <t>npb-tie-aware-elo-v2</t>
        </is>
      </c>
      <c r="BD40" s="24" t="inlineStr">
        <is>
          <t>ba2142e8eafc5c497aa40c3cfece58f351aa193529bf7ecddeb12905ad43aa03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npb-tie-aware-elo-v2</t>
        </is>
      </c>
      <c r="BH40" s="24" t="inlineStr">
        <is>
          <t>2026-09-02T04:38:59.299256Z</t>
        </is>
      </c>
      <c r="BI40" s="24" t="inlineStr">
        <is>
          <t>["same_event","same_team_same_day","same_league_same_day"]</t>
        </is>
      </c>
      <c r="BJ40" s="25" t="n"/>
      <c r="BK40" s="26" t="n">
        <v>113</v>
      </c>
      <c r="BL40" s="27" t="n">
        <v>2.13</v>
      </c>
      <c r="BM40" s="28" t="n">
        <v>0.469484</v>
      </c>
      <c r="BN40" s="28" t="n"/>
      <c r="BO40" s="28" t="n"/>
      <c r="BP40" s="25" t="n"/>
      <c r="BQ40" s="27" t="n">
        <v>2.13</v>
      </c>
      <c r="BR40" s="28" t="n">
        <v>0.47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0.469484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87ce0164bf3c41ff</t>
        </is>
      </c>
      <c r="B41" s="24" t="inlineStr">
        <is>
          <t>2026-09-02T04:38:59.414601Z</t>
        </is>
      </c>
      <c r="C41" s="24" t="inlineStr">
        <is>
          <t>2026-09-02T09:00:00Z</t>
        </is>
      </c>
      <c r="D41" s="24" t="inlineStr">
        <is>
          <t>97105</t>
        </is>
      </c>
      <c r="E41" s="24" t="inlineStr">
        <is>
          <t>NPB</t>
        </is>
      </c>
      <c r="F41" s="24" t="inlineStr">
        <is>
          <t>Hiroshima Carp</t>
        </is>
      </c>
      <c r="G41" s="24" t="inlineStr">
        <is>
          <t>Chunichi Dragons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-150</v>
      </c>
      <c r="M41" s="27" t="n">
        <v>1.666667</v>
      </c>
      <c r="N41" s="28" t="n">
        <v>0.6</v>
      </c>
      <c r="O41" s="28" t="n">
        <v>0.561465</v>
      </c>
      <c r="P41" s="28" t="n"/>
      <c r="Q41" s="28" t="n">
        <v>-0.038535</v>
      </c>
      <c r="R41" s="26" t="n">
        <v>1</v>
      </c>
      <c r="S41" s="29" t="n">
        <v>1</v>
      </c>
      <c r="T41" s="24" t="inlineStr">
        <is>
          <t>npb-tie-aware-elo-v2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5</v>
      </c>
      <c r="Y41" s="25" t="n"/>
      <c r="Z41" s="26" t="n">
        <v>-150</v>
      </c>
      <c r="AA41" s="28" t="n">
        <v>0.6</v>
      </c>
      <c r="AB41" s="28" t="n">
        <v>0</v>
      </c>
      <c r="AC41" s="30" t="n">
        <v>0.6667</v>
      </c>
      <c r="AD41" s="24" t="inlineStr">
        <is>
          <t>2026-09-03T04:33:58.601592Z</t>
        </is>
      </c>
      <c r="AE41" s="31" t="inlineStr">
        <is>
          <t>Tie-aware Elo baseline; executable ask 0.6000 (market_slug=aec-npb-cdh-hci-2026-09-02). Tie probability=0.0304.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Hiroshima Carp</t>
        </is>
      </c>
      <c r="AQ41" s="24" t="inlineStr">
        <is>
          <t>Hiroshima Carp</t>
        </is>
      </c>
      <c r="AR41" s="24" t="inlineStr">
        <is>
          <t>Hiroshima Carp</t>
        </is>
      </c>
      <c r="AS41" s="24" t="inlineStr">
        <is>
          <t>Chunichi Dragons</t>
        </is>
      </c>
      <c r="AT41" s="24" t="inlineStr">
        <is>
          <t>Chunichi Dragons</t>
        </is>
      </c>
      <c r="AU41" s="24" t="inlineStr">
        <is>
          <t>Chunichi Dragons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ba2142e8eafc5c497aa40c3cfece58f351aa193529bf7ecddeb12905ad43aa03</t>
        </is>
      </c>
      <c r="BB41" s="24" t="inlineStr">
        <is>
          <t>tie_aware_elo</t>
        </is>
      </c>
      <c r="BC41" s="24" t="inlineStr">
        <is>
          <t>npb-tie-aware-elo-v2</t>
        </is>
      </c>
      <c r="BD41" s="24" t="inlineStr">
        <is>
          <t>ba2142e8eafc5c497aa40c3cfece58f351aa193529bf7ecddeb12905ad43aa03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npb-tie-aware-elo-v2</t>
        </is>
      </c>
      <c r="BH41" s="24" t="inlineStr">
        <is>
          <t>2026-09-02T04:38:59.360600Z</t>
        </is>
      </c>
      <c r="BI41" s="24" t="inlineStr">
        <is>
          <t>["same_event","same_team_same_day","same_league_same_day"]</t>
        </is>
      </c>
      <c r="BJ41" s="25" t="n"/>
      <c r="BK41" s="26" t="n">
        <v>-150</v>
      </c>
      <c r="BL41" s="27" t="n">
        <v>1.666667</v>
      </c>
      <c r="BM41" s="28" t="n">
        <v>0.6</v>
      </c>
      <c r="BN41" s="28" t="n"/>
      <c r="BO41" s="28" t="n"/>
      <c r="BP41" s="25" t="n"/>
      <c r="BQ41" s="27" t="n">
        <v>1.666667</v>
      </c>
      <c r="BR41" s="28" t="n">
        <v>0.6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a7cd4ae9d33b4c36</t>
        </is>
      </c>
      <c r="B42" s="24" t="inlineStr">
        <is>
          <t>2026-09-02T04:38:59.414601Z</t>
        </is>
      </c>
      <c r="C42" s="24" t="inlineStr">
        <is>
          <t>2026-09-02T09:00:00Z</t>
        </is>
      </c>
      <c r="D42" s="24" t="inlineStr">
        <is>
          <t>97106</t>
        </is>
      </c>
      <c r="E42" s="24" t="inlineStr">
        <is>
          <t>NPB</t>
        </is>
      </c>
      <c r="F42" s="24" t="inlineStr">
        <is>
          <t>Yokohama BayStars</t>
        </is>
      </c>
      <c r="G42" s="24" t="inlineStr">
        <is>
          <t>Yomiuri Giants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0.576284</v>
      </c>
      <c r="P42" s="28" t="n"/>
      <c r="Q42" s="28" t="n">
        <v>0.135755</v>
      </c>
      <c r="R42" s="26" t="n">
        <v>88</v>
      </c>
      <c r="S42" s="29" t="n">
        <v>1.5</v>
      </c>
      <c r="T42" s="24" t="inlineStr">
        <is>
          <t>npb-tie-aware-elo-v2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2</v>
      </c>
      <c r="X42" s="26" t="n">
        <v>1</v>
      </c>
      <c r="Y42" s="25" t="n"/>
      <c r="Z42" s="26" t="n">
        <v>122</v>
      </c>
      <c r="AA42" s="28" t="n">
        <v>0.45</v>
      </c>
      <c r="AB42" s="28" t="n">
        <v>0.009471</v>
      </c>
      <c r="AC42" s="30" t="n">
        <v>-1.5</v>
      </c>
      <c r="AD42" s="24" t="inlineStr">
        <is>
          <t>2026-09-03T04:33:58.663591Z</t>
        </is>
      </c>
      <c r="AE42" s="31" t="inlineStr">
        <is>
          <t>Tie-aware Elo baseline; executable ask 0.4400 (market_slug=aec-npb-ygo-ybo-2026-09-02). Tie probability=0.0291.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Yokohama BayStars</t>
        </is>
      </c>
      <c r="AQ42" s="24" t="inlineStr">
        <is>
          <t>Yokohama BayStars</t>
        </is>
      </c>
      <c r="AR42" s="24" t="inlineStr">
        <is>
          <t>Yokohama BayStars</t>
        </is>
      </c>
      <c r="AS42" s="24" t="inlineStr">
        <is>
          <t>Yomiuri Giants</t>
        </is>
      </c>
      <c r="AT42" s="24" t="inlineStr">
        <is>
          <t>Yomiuri Giants</t>
        </is>
      </c>
      <c r="AU42" s="24" t="inlineStr">
        <is>
          <t>Yomiuri Giants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ba2142e8eafc5c497aa40c3cfece58f351aa193529bf7ecddeb12905ad43aa03</t>
        </is>
      </c>
      <c r="BB42" s="24" t="inlineStr">
        <is>
          <t>tie_aware_elo</t>
        </is>
      </c>
      <c r="BC42" s="24" t="inlineStr">
        <is>
          <t>npb-tie-aware-elo-v2</t>
        </is>
      </c>
      <c r="BD42" s="24" t="inlineStr">
        <is>
          <t>ba2142e8eafc5c497aa40c3cfece58f351aa193529bf7ecddeb12905ad43aa03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npb-tie-aware-elo-v2</t>
        </is>
      </c>
      <c r="BH42" s="24" t="inlineStr">
        <is>
          <t>2026-09-02T04:38:59.414530Z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0.440529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2a0fb9a463094b8c</t>
        </is>
      </c>
      <c r="B43" s="24" t="inlineStr">
        <is>
          <t>2026-09-03T04:35:48.677625Z</t>
        </is>
      </c>
      <c r="C43" s="24" t="inlineStr">
        <is>
          <t>2026-09-03T09:00:00Z</t>
        </is>
      </c>
      <c r="D43" s="24" t="inlineStr">
        <is>
          <t>98204</t>
        </is>
      </c>
      <c r="E43" s="24" t="inlineStr">
        <is>
          <t>NPB</t>
        </is>
      </c>
      <c r="F43" s="24" t="inlineStr">
        <is>
          <t>Hiroshima Carp</t>
        </is>
      </c>
      <c r="G43" s="24" t="inlineStr">
        <is>
          <t>Chunichi Dragons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100</v>
      </c>
      <c r="M43" s="27" t="n">
        <v>2</v>
      </c>
      <c r="N43" s="28" t="n">
        <v>0.5</v>
      </c>
      <c r="O43" s="28" t="n">
        <v>0.5709959999999999</v>
      </c>
      <c r="P43" s="28" t="n"/>
      <c r="Q43" s="28" t="n">
        <v>0.070996</v>
      </c>
      <c r="R43" s="26" t="n">
        <v>55</v>
      </c>
      <c r="S43" s="29" t="n">
        <v>1.25</v>
      </c>
      <c r="T43" s="24" t="inlineStr">
        <is>
          <t>npb-tie-aware-elo-v2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2</v>
      </c>
      <c r="Y43" s="25" t="n"/>
      <c r="Z43" s="26" t="n">
        <v>100</v>
      </c>
      <c r="AA43" s="28" t="n">
        <v>0.5</v>
      </c>
      <c r="AB43" s="28" t="n">
        <v>0</v>
      </c>
      <c r="AC43" s="30" t="n">
        <v>-1.25</v>
      </c>
      <c r="AD43" s="24" t="inlineStr">
        <is>
          <t>2026-09-04T04:34:40.000547Z</t>
        </is>
      </c>
      <c r="AE43" s="31" t="inlineStr">
        <is>
          <t>Tie-aware Elo baseline; executable ask 0.5000 (market_slug=aec-npb-cdh-hci-2026-09-03). Tie probability=0.0298.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Hiroshima Carp</t>
        </is>
      </c>
      <c r="AQ43" s="24" t="inlineStr">
        <is>
          <t>Hiroshima Carp</t>
        </is>
      </c>
      <c r="AR43" s="24" t="inlineStr">
        <is>
          <t>Hiroshima Carp</t>
        </is>
      </c>
      <c r="AS43" s="24" t="inlineStr">
        <is>
          <t>Chunichi Dragons</t>
        </is>
      </c>
      <c r="AT43" s="24" t="inlineStr">
        <is>
          <t>Chunichi Dragons</t>
        </is>
      </c>
      <c r="AU43" s="24" t="inlineStr">
        <is>
          <t>Chunichi Dragons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6e4d64bf7943ea7f97e48c1907e79d2bfe5ea406068128654bfea98140b65b07</t>
        </is>
      </c>
      <c r="BB43" s="24" t="inlineStr">
        <is>
          <t>tie_aware_elo</t>
        </is>
      </c>
      <c r="BC43" s="24" t="inlineStr">
        <is>
          <t>npb-tie-aware-elo-v2</t>
        </is>
      </c>
      <c r="BD43" s="24" t="inlineStr">
        <is>
          <t>6e4d64bf7943ea7f97e48c1907e79d2bfe5ea406068128654bfea98140b65b07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npb-tie-aware-elo-v2</t>
        </is>
      </c>
      <c r="BH43" s="24" t="inlineStr">
        <is>
          <t>2026-09-03T04:35:48.625016Z</t>
        </is>
      </c>
      <c r="BI43" s="24" t="inlineStr">
        <is>
          <t>["same_event","same_team_same_day","same_league_same_day"]</t>
        </is>
      </c>
      <c r="BJ43" s="25" t="n"/>
      <c r="BK43" s="26" t="n">
        <v>100</v>
      </c>
      <c r="BL43" s="27" t="n">
        <v>2</v>
      </c>
      <c r="BM43" s="28" t="n">
        <v>0.5</v>
      </c>
      <c r="BN43" s="28" t="n"/>
      <c r="BO43" s="28" t="n"/>
      <c r="BP43" s="25" t="n"/>
      <c r="BQ43" s="27" t="n">
        <v>2</v>
      </c>
      <c r="BR43" s="28" t="n">
        <v>0.5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924b6f5ce9dc440f</t>
        </is>
      </c>
      <c r="B44" s="24" t="inlineStr">
        <is>
          <t>2026-09-03T04:35:48.677625Z</t>
        </is>
      </c>
      <c r="C44" s="24" t="inlineStr">
        <is>
          <t>2026-09-03T09:00:00Z</t>
        </is>
      </c>
      <c r="D44" s="24" t="inlineStr">
        <is>
          <t>98205</t>
        </is>
      </c>
      <c r="E44" s="24" t="inlineStr">
        <is>
          <t>NPB</t>
        </is>
      </c>
      <c r="F44" s="24" t="inlineStr">
        <is>
          <t>Hanshin Tigers</t>
        </is>
      </c>
      <c r="G44" s="24" t="inlineStr">
        <is>
          <t>Tokyo Yakult Swallows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-194</v>
      </c>
      <c r="M44" s="27" t="n">
        <v>1.515464</v>
      </c>
      <c r="N44" s="28" t="n">
        <v>0.659864</v>
      </c>
      <c r="O44" s="28" t="n">
        <v>0.599414</v>
      </c>
      <c r="P44" s="28" t="n"/>
      <c r="Q44" s="28" t="n">
        <v>-0.06045</v>
      </c>
      <c r="R44" s="26" t="n">
        <v>0</v>
      </c>
      <c r="S44" s="29" t="n">
        <v>1</v>
      </c>
      <c r="T44" s="24" t="inlineStr">
        <is>
          <t>npb-tie-aware-elo-v2</t>
        </is>
      </c>
      <c r="U44" s="24" t="inlineStr">
        <is>
          <t>settled</t>
        </is>
      </c>
      <c r="V44" s="24" t="inlineStr">
        <is>
          <t>win</t>
        </is>
      </c>
      <c r="W44" s="26" t="n">
        <v>7</v>
      </c>
      <c r="X44" s="26" t="n">
        <v>4</v>
      </c>
      <c r="Y44" s="25" t="n"/>
      <c r="Z44" s="26" t="n">
        <v>-194</v>
      </c>
      <c r="AA44" s="28" t="n">
        <v>0.66</v>
      </c>
      <c r="AB44" s="28" t="n">
        <v>0.000136</v>
      </c>
      <c r="AC44" s="30" t="n">
        <v>0.5155</v>
      </c>
      <c r="AD44" s="24" t="inlineStr">
        <is>
          <t>2026-09-04T04:34:40.158632Z</t>
        </is>
      </c>
      <c r="AE44" s="31" t="inlineStr">
        <is>
          <t>Tie-aware Elo baseline; executable ask 0.6600 (market_slug=aec-npb-tys-hta-2026-09-03). Tie probability=0.0273.</t>
        </is>
      </c>
      <c r="AF44" s="31" t="inlineStr">
        <is>
          <t>Config-promoted international baseball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Hanshin Tigers</t>
        </is>
      </c>
      <c r="AQ44" s="24" t="inlineStr">
        <is>
          <t>Hanshin Tigers</t>
        </is>
      </c>
      <c r="AR44" s="24" t="inlineStr">
        <is>
          <t>Hanshin Tigers</t>
        </is>
      </c>
      <c r="AS44" s="24" t="inlineStr">
        <is>
          <t>Tokyo Yakult Swallows</t>
        </is>
      </c>
      <c r="AT44" s="24" t="inlineStr">
        <is>
          <t>Tokyo Yakult Swallows</t>
        </is>
      </c>
      <c r="AU44" s="24" t="inlineStr">
        <is>
          <t>Tokyo Yakult Swallows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6e4d64bf7943ea7f97e48c1907e79d2bfe5ea406068128654bfea98140b65b07</t>
        </is>
      </c>
      <c r="BB44" s="24" t="inlineStr">
        <is>
          <t>tie_aware_elo</t>
        </is>
      </c>
      <c r="BC44" s="24" t="inlineStr">
        <is>
          <t>npb-tie-aware-elo-v2</t>
        </is>
      </c>
      <c r="BD44" s="24" t="inlineStr">
        <is>
          <t>6e4d64bf7943ea7f97e48c1907e79d2bfe5ea406068128654bfea98140b65b07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npb-tie-aware-elo-v2</t>
        </is>
      </c>
      <c r="BH44" s="24" t="inlineStr">
        <is>
          <t>2026-09-03T04:35:48.677595Z</t>
        </is>
      </c>
      <c r="BI44" s="24" t="inlineStr">
        <is>
          <t>["same_event","same_team_same_day","same_league_same_day"]</t>
        </is>
      </c>
      <c r="BJ44" s="25" t="n"/>
      <c r="BK44" s="26" t="n">
        <v>-194</v>
      </c>
      <c r="BL44" s="27" t="n">
        <v>1.515464</v>
      </c>
      <c r="BM44" s="28" t="n">
        <v>0.659864</v>
      </c>
      <c r="BN44" s="28" t="n"/>
      <c r="BO44" s="28" t="n"/>
      <c r="BP44" s="25" t="n"/>
      <c r="BQ44" s="27" t="n">
        <v>1.515464</v>
      </c>
      <c r="BR44" s="28" t="n">
        <v>0.66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0.659864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5960c63ade8a4c18</t>
        </is>
      </c>
      <c r="B45" s="24" t="inlineStr">
        <is>
          <t>2026-09-04T04:36:43.885351Z</t>
        </is>
      </c>
      <c r="C45" s="24" t="inlineStr">
        <is>
          <t>2026-09-04T09:00:00Z</t>
        </is>
      </c>
      <c r="D45" s="24" t="inlineStr">
        <is>
          <t>99155</t>
        </is>
      </c>
      <c r="E45" s="24" t="inlineStr">
        <is>
          <t>NPB</t>
        </is>
      </c>
      <c r="F45" s="24" t="inlineStr">
        <is>
          <t>Yomiuri Giants</t>
        </is>
      </c>
      <c r="G45" s="24" t="inlineStr">
        <is>
          <t>Hiroshima Carp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-117</v>
      </c>
      <c r="M45" s="27" t="n">
        <v>1.854701</v>
      </c>
      <c r="N45" s="28" t="n">
        <v>0.539171</v>
      </c>
      <c r="O45" s="28" t="n">
        <v>0.517159</v>
      </c>
      <c r="P45" s="28" t="n"/>
      <c r="Q45" s="28" t="n">
        <v>-0.022012</v>
      </c>
      <c r="R45" s="26" t="n">
        <v>9</v>
      </c>
      <c r="S45" s="29" t="n">
        <v>1</v>
      </c>
      <c r="T45" s="24" t="inlineStr">
        <is>
          <t>npb-tie-aware-elo-v2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1</v>
      </c>
      <c r="Y45" s="25" t="n"/>
      <c r="Z45" s="26" t="n">
        <v>-117</v>
      </c>
      <c r="AA45" s="28" t="n">
        <v>0.54</v>
      </c>
      <c r="AB45" s="28" t="n">
        <v>0.000829</v>
      </c>
      <c r="AC45" s="30" t="n">
        <v>0.8547</v>
      </c>
      <c r="AD45" s="24" t="inlineStr">
        <is>
          <t>2026-09-04T22:02:01.930868Z</t>
        </is>
      </c>
      <c r="AE45" s="31" t="inlineStr">
        <is>
          <t>Tie-aware Elo baseline; executable ask 0.5400 (market_slug=aec-npb-hci-ygo-2026-09-04). Tie probability=0.0344.</t>
        </is>
      </c>
      <c r="AF45" s="31" t="inlineStr">
        <is>
          <t>Config-promoted international baseball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Yomiuri Giants</t>
        </is>
      </c>
      <c r="AQ45" s="24" t="inlineStr">
        <is>
          <t>Yomiuri Giants</t>
        </is>
      </c>
      <c r="AR45" s="24" t="inlineStr">
        <is>
          <t>Yomiuri Giants</t>
        </is>
      </c>
      <c r="AS45" s="24" t="inlineStr">
        <is>
          <t>Hiroshima Carp</t>
        </is>
      </c>
      <c r="AT45" s="24" t="inlineStr">
        <is>
          <t>Hiroshima Carp</t>
        </is>
      </c>
      <c r="AU45" s="24" t="inlineStr">
        <is>
          <t>Hiroshima Carp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e0ca013f87123b197e73aed9180176bafa5f03eb48dc2d95c5d296c540bfb33e</t>
        </is>
      </c>
      <c r="BB45" s="24" t="inlineStr">
        <is>
          <t>tie_aware_elo</t>
        </is>
      </c>
      <c r="BC45" s="24" t="inlineStr">
        <is>
          <t>npb-tie-aware-elo-v2</t>
        </is>
      </c>
      <c r="BD45" s="24" t="inlineStr">
        <is>
          <t>e0ca013f87123b197e73aed9180176bafa5f03eb48dc2d95c5d296c540bfb33e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npb-tie-aware-elo-v2</t>
        </is>
      </c>
      <c r="BH45" s="24" t="inlineStr">
        <is>
          <t>2026-09-04T04:36:43.533036Z</t>
        </is>
      </c>
      <c r="BI45" s="24" t="inlineStr">
        <is>
          <t>["same_event","same_team_same_day","same_league_same_day"]</t>
        </is>
      </c>
      <c r="BJ45" s="25" t="n"/>
      <c r="BK45" s="26" t="n">
        <v>-117</v>
      </c>
      <c r="BL45" s="27" t="n">
        <v>1.854701</v>
      </c>
      <c r="BM45" s="28" t="n">
        <v>0.539171</v>
      </c>
      <c r="BN45" s="28" t="n"/>
      <c r="BO45" s="28" t="n"/>
      <c r="BP45" s="25" t="n"/>
      <c r="BQ45" s="27" t="n">
        <v>1.854701</v>
      </c>
      <c r="BR45" s="28" t="n">
        <v>0.54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0.539171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006a640243b643e0</t>
        </is>
      </c>
      <c r="B46" s="24" t="inlineStr">
        <is>
          <t>2026-09-04T04:36:43.885351Z</t>
        </is>
      </c>
      <c r="C46" s="24" t="inlineStr">
        <is>
          <t>2026-09-04T09:00:00Z</t>
        </is>
      </c>
      <c r="D46" s="24" t="inlineStr">
        <is>
          <t>99158</t>
        </is>
      </c>
      <c r="E46" s="24" t="inlineStr">
        <is>
          <t>NPB</t>
        </is>
      </c>
      <c r="F46" s="24" t="inlineStr">
        <is>
          <t>Nippon Ham Fighters</t>
        </is>
      </c>
      <c r="G46" s="24" t="inlineStr">
        <is>
          <t>Tohoku Rakuten Golden Eagles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0.543107</v>
      </c>
      <c r="P46" s="28" t="n"/>
      <c r="Q46" s="28" t="n">
        <v>-0.076665</v>
      </c>
      <c r="R46" s="26" t="n">
        <v>0</v>
      </c>
      <c r="S46" s="29" t="n">
        <v>1</v>
      </c>
      <c r="T46" s="24" t="inlineStr">
        <is>
          <t>npb-tie-aware-elo-v2</t>
        </is>
      </c>
      <c r="U46" s="24" t="inlineStr">
        <is>
          <t>settled</t>
        </is>
      </c>
      <c r="V46" s="24" t="inlineStr">
        <is>
          <t>win</t>
        </is>
      </c>
      <c r="W46" s="26" t="n">
        <v>5</v>
      </c>
      <c r="X46" s="26" t="n">
        <v>2</v>
      </c>
      <c r="Y46" s="25" t="n"/>
      <c r="Z46" s="26" t="n">
        <v>-163</v>
      </c>
      <c r="AA46" s="28" t="n">
        <v>0.62</v>
      </c>
      <c r="AB46" s="28" t="n">
        <v>0.000228</v>
      </c>
      <c r="AC46" s="30" t="n">
        <v>0.6135</v>
      </c>
      <c r="AD46" s="24" t="inlineStr">
        <is>
          <t>2026-09-04T22:02:02.069601Z</t>
        </is>
      </c>
      <c r="AE46" s="31" t="inlineStr">
        <is>
          <t>Tie-aware Elo baseline; executable ask 0.6200 (market_slug=aec-npb-trge-nhf-2026-09-04). Tie probability=0.0322.</t>
        </is>
      </c>
      <c r="AF46" s="31" t="inlineStr">
        <is>
          <t>Config-promoted international baseball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Nippon Ham Fighters</t>
        </is>
      </c>
      <c r="AQ46" s="24" t="inlineStr">
        <is>
          <t>Nippon Ham Fighters</t>
        </is>
      </c>
      <c r="AR46" s="24" t="inlineStr">
        <is>
          <t>Nippon Ham Fighters</t>
        </is>
      </c>
      <c r="AS46" s="24" t="inlineStr">
        <is>
          <t>Tohoku Rakuten Golden Eagles</t>
        </is>
      </c>
      <c r="AT46" s="24" t="inlineStr">
        <is>
          <t>Tohoku Rakuten Golden Eagles</t>
        </is>
      </c>
      <c r="AU46" s="24" t="inlineStr">
        <is>
          <t>Tohoku Rakuten Golden Eagles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e0ca013f87123b197e73aed9180176bafa5f03eb48dc2d95c5d296c540bfb33e</t>
        </is>
      </c>
      <c r="BB46" s="24" t="inlineStr">
        <is>
          <t>tie_aware_elo</t>
        </is>
      </c>
      <c r="BC46" s="24" t="inlineStr">
        <is>
          <t>npb-tie-aware-elo-v2</t>
        </is>
      </c>
      <c r="BD46" s="24" t="inlineStr">
        <is>
          <t>e0ca013f87123b197e73aed9180176bafa5f03eb48dc2d95c5d296c540bfb33e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npb-tie-aware-elo-v2</t>
        </is>
      </c>
      <c r="BH46" s="24" t="inlineStr">
        <is>
          <t>2026-09-04T04:36:43.591693Z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>
        <v>1.613497</v>
      </c>
      <c r="BR46" s="28" t="n">
        <v>0.62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0.619772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54decd3aa924433c</t>
        </is>
      </c>
      <c r="B47" s="24" t="inlineStr">
        <is>
          <t>2026-09-04T04:36:43.885351Z</t>
        </is>
      </c>
      <c r="C47" s="24" t="inlineStr">
        <is>
          <t>2026-09-04T09:00:00Z</t>
        </is>
      </c>
      <c r="D47" s="24" t="inlineStr">
        <is>
          <t>99156</t>
        </is>
      </c>
      <c r="E47" s="24" t="inlineStr">
        <is>
          <t>NPB</t>
        </is>
      </c>
      <c r="F47" s="24" t="inlineStr">
        <is>
          <t>Chiba Lotte Marines</t>
        </is>
      </c>
      <c r="G47" s="24" t="inlineStr">
        <is>
          <t>Orix Buffaloes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108</v>
      </c>
      <c r="M47" s="27" t="n">
        <v>2.08</v>
      </c>
      <c r="N47" s="28" t="n">
        <v>0.480769</v>
      </c>
      <c r="O47" s="28" t="n">
        <v>0.517082</v>
      </c>
      <c r="P47" s="28" t="n"/>
      <c r="Q47" s="28" t="n">
        <v>0.036313</v>
      </c>
      <c r="R47" s="26" t="n">
        <v>38</v>
      </c>
      <c r="S47" s="29" t="n">
        <v>1</v>
      </c>
      <c r="T47" s="24" t="inlineStr">
        <is>
          <t>npb-tie-aware-elo-v2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3</v>
      </c>
      <c r="Y47" s="25" t="n"/>
      <c r="Z47" s="26" t="n">
        <v>108</v>
      </c>
      <c r="AA47" s="28" t="n">
        <v>0.48</v>
      </c>
      <c r="AB47" s="28" t="n">
        <v>-0.000769</v>
      </c>
      <c r="AC47" s="30" t="n">
        <v>1.08</v>
      </c>
      <c r="AD47" s="24" t="inlineStr">
        <is>
          <t>2026-09-04T22:02:02.134230Z</t>
        </is>
      </c>
      <c r="AE47" s="31" t="inlineStr">
        <is>
          <t>Tie-aware Elo baseline; executable ask 0.4800 (market_slug=aec-npb-obr-clm-2026-09-04). Tie probability=0.0345.</t>
        </is>
      </c>
      <c r="AF47" s="31" t="inlineStr">
        <is>
          <t>Config-promoted international baseball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Chiba Lotte Marines</t>
        </is>
      </c>
      <c r="AQ47" s="24" t="inlineStr">
        <is>
          <t>Chiba Lotte Marines</t>
        </is>
      </c>
      <c r="AR47" s="24" t="inlineStr">
        <is>
          <t>Chiba Lotte Marines</t>
        </is>
      </c>
      <c r="AS47" s="24" t="inlineStr">
        <is>
          <t>Orix Buffaloes</t>
        </is>
      </c>
      <c r="AT47" s="24" t="inlineStr">
        <is>
          <t>Orix Buffaloes</t>
        </is>
      </c>
      <c r="AU47" s="24" t="inlineStr">
        <is>
          <t>Orix Buffaloes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e0ca013f87123b197e73aed9180176bafa5f03eb48dc2d95c5d296c540bfb33e</t>
        </is>
      </c>
      <c r="BB47" s="24" t="inlineStr">
        <is>
          <t>tie_aware_elo</t>
        </is>
      </c>
      <c r="BC47" s="24" t="inlineStr">
        <is>
          <t>npb-tie-aware-elo-v2</t>
        </is>
      </c>
      <c r="BD47" s="24" t="inlineStr">
        <is>
          <t>e0ca013f87123b197e73aed9180176bafa5f03eb48dc2d95c5d296c540bfb33e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npb-tie-aware-elo-v2</t>
        </is>
      </c>
      <c r="BH47" s="24" t="inlineStr">
        <is>
          <t>2026-09-04T04:36:43.747618Z</t>
        </is>
      </c>
      <c r="BI47" s="24" t="inlineStr">
        <is>
          <t>["same_event","same_team_same_day","same_league_same_day"]</t>
        </is>
      </c>
      <c r="BJ47" s="25" t="n"/>
      <c r="BK47" s="26" t="n">
        <v>108</v>
      </c>
      <c r="BL47" s="27" t="n">
        <v>2.08</v>
      </c>
      <c r="BM47" s="28" t="n">
        <v>0.480769</v>
      </c>
      <c r="BN47" s="28" t="n"/>
      <c r="BO47" s="28" t="n"/>
      <c r="BP47" s="25" t="n"/>
      <c r="BQ47" s="27" t="n">
        <v>2.08</v>
      </c>
      <c r="BR47" s="28" t="n">
        <v>0.48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0.480769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2816c0d38fe14a0b</t>
        </is>
      </c>
      <c r="B48" s="24" t="inlineStr">
        <is>
          <t>2026-09-04T04:36:43.885351Z</t>
        </is>
      </c>
      <c r="C48" s="24" t="inlineStr">
        <is>
          <t>2026-09-04T09:00:00Z</t>
        </is>
      </c>
      <c r="D48" s="24" t="inlineStr">
        <is>
          <t>99157</t>
        </is>
      </c>
      <c r="E48" s="24" t="inlineStr">
        <is>
          <t>NPB</t>
        </is>
      </c>
      <c r="F48" s="24" t="inlineStr">
        <is>
          <t>Chunichi Dragons</t>
        </is>
      </c>
      <c r="G48" s="24" t="inlineStr">
        <is>
          <t>Tokyo Yakult Swallows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-122</v>
      </c>
      <c r="M48" s="27" t="n">
        <v>1.819672</v>
      </c>
      <c r="N48" s="28" t="n">
        <v>0.54955</v>
      </c>
      <c r="O48" s="28" t="n">
        <v>0.50491</v>
      </c>
      <c r="P48" s="28" t="n"/>
      <c r="Q48" s="28" t="n">
        <v>-0.04464</v>
      </c>
      <c r="R48" s="26" t="n">
        <v>0</v>
      </c>
      <c r="S48" s="29" t="n">
        <v>1</v>
      </c>
      <c r="T48" s="24" t="inlineStr">
        <is>
          <t>npb-tie-aware-elo-v2</t>
        </is>
      </c>
      <c r="U48" s="24" t="inlineStr">
        <is>
          <t>settled</t>
        </is>
      </c>
      <c r="V48" s="24" t="inlineStr">
        <is>
          <t>push</t>
        </is>
      </c>
      <c r="W48" s="26" t="n">
        <v>1</v>
      </c>
      <c r="X48" s="26" t="n">
        <v>1</v>
      </c>
      <c r="Y48" s="25" t="n"/>
      <c r="Z48" s="26" t="n">
        <v>-122</v>
      </c>
      <c r="AA48" s="28" t="n">
        <v>0.55</v>
      </c>
      <c r="AB48" s="28" t="n">
        <v>0.00045</v>
      </c>
      <c r="AC48" s="30" t="n">
        <v>-0.0902</v>
      </c>
      <c r="AD48" s="24" t="inlineStr">
        <is>
          <t>2026-09-04T22:02:02.197107Z</t>
        </is>
      </c>
      <c r="AE48" s="31" t="inlineStr">
        <is>
          <t>Tie-aware Elo baseline; executable ask 0.5500 (market_slug=aec-npb-tys-cdh-2026-09-04). Tie probability=0.0355.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Chunichi Dragons</t>
        </is>
      </c>
      <c r="AQ48" s="24" t="inlineStr">
        <is>
          <t>Chunichi Dragons</t>
        </is>
      </c>
      <c r="AR48" s="24" t="inlineStr">
        <is>
          <t>Chunichi Dragons</t>
        </is>
      </c>
      <c r="AS48" s="24" t="inlineStr">
        <is>
          <t>Tokyo Yakult Swallows</t>
        </is>
      </c>
      <c r="AT48" s="24" t="inlineStr">
        <is>
          <t>Tokyo Yakult Swallows</t>
        </is>
      </c>
      <c r="AU48" s="24" t="inlineStr">
        <is>
          <t>Tokyo Yakult Swallows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e0ca013f87123b197e73aed9180176bafa5f03eb48dc2d95c5d296c540bfb33e</t>
        </is>
      </c>
      <c r="BB48" s="24" t="inlineStr">
        <is>
          <t>tie_aware_elo</t>
        </is>
      </c>
      <c r="BC48" s="24" t="inlineStr">
        <is>
          <t>npb-tie-aware-elo-v2</t>
        </is>
      </c>
      <c r="BD48" s="24" t="inlineStr">
        <is>
          <t>e0ca013f87123b197e73aed9180176bafa5f03eb48dc2d95c5d296c540bfb33e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npb-tie-aware-elo-v2</t>
        </is>
      </c>
      <c r="BH48" s="24" t="inlineStr">
        <is>
          <t>2026-09-04T04:36:43.809832Z</t>
        </is>
      </c>
      <c r="BI48" s="24" t="inlineStr">
        <is>
          <t>["same_event","same_team_same_day","same_league_same_day"]</t>
        </is>
      </c>
      <c r="BJ48" s="25" t="n"/>
      <c r="BK48" s="26" t="n">
        <v>-122</v>
      </c>
      <c r="BL48" s="27" t="n">
        <v>1.819672</v>
      </c>
      <c r="BM48" s="28" t="n">
        <v>0.54955</v>
      </c>
      <c r="BN48" s="28" t="n"/>
      <c r="BO48" s="28" t="n"/>
      <c r="BP48" s="25" t="n"/>
      <c r="BQ48" s="27" t="n">
        <v>1.819672</v>
      </c>
      <c r="BR48" s="28" t="n">
        <v>0.55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0.54955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5c27b1e82eb14ae0</t>
        </is>
      </c>
      <c r="B49" s="24" t="inlineStr">
        <is>
          <t>2026-09-04T04:36:43.885351Z</t>
        </is>
      </c>
      <c r="C49" s="24" t="inlineStr">
        <is>
          <t>2026-09-04T09:00:00Z</t>
        </is>
      </c>
      <c r="D49" s="24" t="inlineStr">
        <is>
          <t>99154</t>
        </is>
      </c>
      <c r="E49" s="24" t="inlineStr">
        <is>
          <t>NPB</t>
        </is>
      </c>
      <c r="F49" s="24" t="inlineStr">
        <is>
          <t>Saitama Seibu Lions</t>
        </is>
      </c>
      <c r="G49" s="24" t="inlineStr">
        <is>
          <t>Fukuoka SoftBank Hawks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-213</v>
      </c>
      <c r="M49" s="27" t="n">
        <v>1.469484</v>
      </c>
      <c r="N49" s="28" t="n">
        <v>0.680511</v>
      </c>
      <c r="O49" s="28" t="n">
        <v>0.603173</v>
      </c>
      <c r="P49" s="28" t="n"/>
      <c r="Q49" s="28" t="n">
        <v>-0.077338</v>
      </c>
      <c r="R49" s="26" t="n">
        <v>0</v>
      </c>
      <c r="S49" s="29" t="n">
        <v>1</v>
      </c>
      <c r="T49" s="24" t="inlineStr">
        <is>
          <t>npb-tie-aware-elo-v2</t>
        </is>
      </c>
      <c r="U49" s="24" t="inlineStr">
        <is>
          <t>settled</t>
        </is>
      </c>
      <c r="V49" s="24" t="inlineStr">
        <is>
          <t>win</t>
        </is>
      </c>
      <c r="W49" s="26" t="n">
        <v>2</v>
      </c>
      <c r="X49" s="26" t="n">
        <v>8</v>
      </c>
      <c r="Y49" s="25" t="n"/>
      <c r="Z49" s="26" t="n">
        <v>-213</v>
      </c>
      <c r="AA49" s="28" t="n">
        <v>0.68</v>
      </c>
      <c r="AB49" s="28" t="n">
        <v>-0.000511</v>
      </c>
      <c r="AC49" s="30" t="n">
        <v>0.4695</v>
      </c>
      <c r="AD49" s="24" t="inlineStr">
        <is>
          <t>2026-09-04T22:02:02.262453Z</t>
        </is>
      </c>
      <c r="AE49" s="31" t="inlineStr">
        <is>
          <t>Tie-aware Elo baseline; executable ask 0.6800 (market_slug=aec-npb-fsh-ssl-2026-09-04). Tie probability=0.0270.</t>
        </is>
      </c>
      <c r="AF49" s="31" t="inlineStr">
        <is>
          <t>Config-promoted international baseball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Saitama Seibu Lions</t>
        </is>
      </c>
      <c r="AQ49" s="24" t="inlineStr">
        <is>
          <t>Saitama Seibu Lions</t>
        </is>
      </c>
      <c r="AR49" s="24" t="inlineStr">
        <is>
          <t>Saitama Seibu Lions</t>
        </is>
      </c>
      <c r="AS49" s="24" t="inlineStr">
        <is>
          <t>Fukuoka SoftBank Hawks</t>
        </is>
      </c>
      <c r="AT49" s="24" t="inlineStr">
        <is>
          <t>Fukuoka SoftBank Hawks</t>
        </is>
      </c>
      <c r="AU49" s="24" t="inlineStr">
        <is>
          <t>Fukuoka SoftBank Hawks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e0ca013f87123b197e73aed9180176bafa5f03eb48dc2d95c5d296c540bfb33e</t>
        </is>
      </c>
      <c r="BB49" s="24" t="inlineStr">
        <is>
          <t>tie_aware_elo</t>
        </is>
      </c>
      <c r="BC49" s="24" t="inlineStr">
        <is>
          <t>npb-tie-aware-elo-v2</t>
        </is>
      </c>
      <c r="BD49" s="24" t="inlineStr">
        <is>
          <t>e0ca013f87123b197e73aed9180176bafa5f03eb48dc2d95c5d296c540bfb33e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npb-tie-aware-elo-v2</t>
        </is>
      </c>
      <c r="BH49" s="24" t="inlineStr">
        <is>
          <t>2026-09-04T04:36:43.885314Z</t>
        </is>
      </c>
      <c r="BI49" s="24" t="inlineStr">
        <is>
          <t>["same_event","same_team_same_day","same_league_same_day"]</t>
        </is>
      </c>
      <c r="BJ49" s="25" t="n"/>
      <c r="BK49" s="26" t="n">
        <v>-213</v>
      </c>
      <c r="BL49" s="27" t="n">
        <v>1.469484</v>
      </c>
      <c r="BM49" s="28" t="n">
        <v>0.680511</v>
      </c>
      <c r="BN49" s="28" t="n"/>
      <c r="BO49" s="28" t="n"/>
      <c r="BP49" s="25" t="n"/>
      <c r="BQ49" s="27" t="n">
        <v>1.469484</v>
      </c>
      <c r="BR49" s="28" t="n">
        <v>0.68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0.680511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68acf59dca854190</t>
        </is>
      </c>
      <c r="B50" s="24" t="inlineStr">
        <is>
          <t>2026-09-05T04:43:52.232153Z</t>
        </is>
      </c>
      <c r="C50" s="24" t="inlineStr">
        <is>
          <t>2026-09-05T05:00:00Z</t>
        </is>
      </c>
      <c r="D50" s="24" t="inlineStr">
        <is>
          <t>100069</t>
        </is>
      </c>
      <c r="E50" s="24" t="inlineStr">
        <is>
          <t>NPB</t>
        </is>
      </c>
      <c r="F50" s="24" t="inlineStr">
        <is>
          <t>Saitama Seibu Lions</t>
        </is>
      </c>
      <c r="G50" s="24" t="inlineStr">
        <is>
          <t>Fukuoka SoftBank Hawks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0.6184770000000001</v>
      </c>
      <c r="P50" s="28" t="n"/>
      <c r="Q50" s="28" t="n">
        <v>0.038645</v>
      </c>
      <c r="R50" s="26" t="n">
        <v>39</v>
      </c>
      <c r="S50" s="29" t="n">
        <v>1</v>
      </c>
      <c r="T50" s="24" t="inlineStr">
        <is>
          <t>npb-tie-aware-elo-v2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2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0.7246</v>
      </c>
      <c r="AD50" s="24" t="inlineStr">
        <is>
          <t>2026-09-05T22:02:04.991170Z</t>
        </is>
      </c>
      <c r="AE50" s="31" t="inlineStr">
        <is>
          <t>Tie-aware Elo baseline; executable ask 0.5800 (market_slug=aec-npb-fsh-ssl-2026-09-05). Tie probability=0.0258.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Saitama Seibu Lions</t>
        </is>
      </c>
      <c r="AQ50" s="24" t="inlineStr">
        <is>
          <t>Saitama Seibu Lions</t>
        </is>
      </c>
      <c r="AR50" s="24" t="inlineStr">
        <is>
          <t>Saitama Seibu Lions</t>
        </is>
      </c>
      <c r="AS50" s="24" t="inlineStr">
        <is>
          <t>Fukuoka SoftBank Hawks</t>
        </is>
      </c>
      <c r="AT50" s="24" t="inlineStr">
        <is>
          <t>Fukuoka SoftBank Hawks</t>
        </is>
      </c>
      <c r="AU50" s="24" t="inlineStr">
        <is>
          <t>Fukuoka SoftBank Hawks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78517fda94553755c74b56e3cbaeec8333e9efb624b5a976e2ebae0e329ccea3</t>
        </is>
      </c>
      <c r="BB50" s="24" t="inlineStr">
        <is>
          <t>tie_aware_elo</t>
        </is>
      </c>
      <c r="BC50" s="24" t="inlineStr">
        <is>
          <t>npb-tie-aware-elo-v2</t>
        </is>
      </c>
      <c r="BD50" s="24" t="inlineStr">
        <is>
          <t>78517fda94553755c74b56e3cbaeec8333e9efb624b5a976e2ebae0e329ccea3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npb-tie-aware-elo-v2</t>
        </is>
      </c>
      <c r="BH50" s="24" t="inlineStr">
        <is>
          <t>2026-09-05T04:43:51.491714Z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0.579832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baeebb7b4df0431a</t>
        </is>
      </c>
      <c r="B51" s="24" t="inlineStr">
        <is>
          <t>2026-09-05T04:43:52.232153Z</t>
        </is>
      </c>
      <c r="C51" s="24" t="inlineStr">
        <is>
          <t>2026-09-05T05:00:00Z</t>
        </is>
      </c>
      <c r="D51" s="24" t="inlineStr">
        <is>
          <t>100068</t>
        </is>
      </c>
      <c r="E51" s="24" t="inlineStr">
        <is>
          <t>NPB</t>
        </is>
      </c>
      <c r="F51" s="24" t="inlineStr">
        <is>
          <t>Chiba Lotte Marines</t>
        </is>
      </c>
      <c r="G51" s="24" t="inlineStr">
        <is>
          <t>Orix Buffaloes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0.531774</v>
      </c>
      <c r="P51" s="28" t="n"/>
      <c r="Q51" s="28" t="n">
        <v>-0.039041</v>
      </c>
      <c r="R51" s="26" t="n">
        <v>0</v>
      </c>
      <c r="S51" s="29" t="n">
        <v>1</v>
      </c>
      <c r="T51" s="24" t="inlineStr">
        <is>
          <t>npb-tie-aware-elo-v2</t>
        </is>
      </c>
      <c r="U51" s="24" t="inlineStr">
        <is>
          <t>settled</t>
        </is>
      </c>
      <c r="V51" s="24" t="inlineStr">
        <is>
          <t>win</t>
        </is>
      </c>
      <c r="W51" s="26" t="n">
        <v>6</v>
      </c>
      <c r="X51" s="26" t="n">
        <v>7</v>
      </c>
      <c r="Y51" s="25" t="n"/>
      <c r="Z51" s="26" t="n">
        <v>-133</v>
      </c>
      <c r="AA51" s="28" t="n">
        <v>0.57</v>
      </c>
      <c r="AB51" s="28" t="n">
        <v>-0.000815</v>
      </c>
      <c r="AC51" s="30" t="n">
        <v>0.7519</v>
      </c>
      <c r="AD51" s="24" t="inlineStr">
        <is>
          <t>2026-09-05T22:02:05.198372Z</t>
        </is>
      </c>
      <c r="AE51" s="31" t="inlineStr">
        <is>
          <t>Tie-aware Elo baseline; executable ask 0.5700 (market_slug=aec-npb-obr-clm-2026-09-05). Tie probability=0.0335.</t>
        </is>
      </c>
      <c r="AF51" s="31" t="inlineStr">
        <is>
          <t>Config-promoted international baseball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Chiba Lotte Marines</t>
        </is>
      </c>
      <c r="AQ51" s="24" t="inlineStr">
        <is>
          <t>Chiba Lotte Marines</t>
        </is>
      </c>
      <c r="AR51" s="24" t="inlineStr">
        <is>
          <t>Chiba Lotte Marines</t>
        </is>
      </c>
      <c r="AS51" s="24" t="inlineStr">
        <is>
          <t>Orix Buffaloes</t>
        </is>
      </c>
      <c r="AT51" s="24" t="inlineStr">
        <is>
          <t>Orix Buffaloes</t>
        </is>
      </c>
      <c r="AU51" s="24" t="inlineStr">
        <is>
          <t>Orix Buffaloes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78517fda94553755c74b56e3cbaeec8333e9efb624b5a976e2ebae0e329ccea3</t>
        </is>
      </c>
      <c r="BB51" s="24" t="inlineStr">
        <is>
          <t>tie_aware_elo</t>
        </is>
      </c>
      <c r="BC51" s="24" t="inlineStr">
        <is>
          <t>npb-tie-aware-elo-v2</t>
        </is>
      </c>
      <c r="BD51" s="24" t="inlineStr">
        <is>
          <t>78517fda94553755c74b56e3cbaeec8333e9efb624b5a976e2ebae0e329ccea3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npb-tie-aware-elo-v2</t>
        </is>
      </c>
      <c r="BH51" s="24" t="inlineStr">
        <is>
          <t>2026-09-05T04:43:51.549712Z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/>
      <c r="BO51" s="28" t="n"/>
      <c r="BP51" s="25" t="n"/>
      <c r="BQ51" s="27" t="n">
        <v>1.75188</v>
      </c>
      <c r="BR51" s="28" t="n">
        <v>0.57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0.570815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752214fd787a41b8</t>
        </is>
      </c>
      <c r="B52" s="24" t="inlineStr">
        <is>
          <t>2026-09-05T04:43:52.232153Z</t>
        </is>
      </c>
      <c r="C52" s="24" t="inlineStr">
        <is>
          <t>2026-09-05T09:00:00Z</t>
        </is>
      </c>
      <c r="D52" s="24" t="inlineStr">
        <is>
          <t>100193</t>
        </is>
      </c>
      <c r="E52" s="24" t="inlineStr">
        <is>
          <t>NPB</t>
        </is>
      </c>
      <c r="F52" s="24" t="inlineStr">
        <is>
          <t>Chunichi Dragons</t>
        </is>
      </c>
      <c r="G52" s="24" t="inlineStr">
        <is>
          <t>Tokyo Yakult Swallows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0.5046890000000001</v>
      </c>
      <c r="P52" s="28" t="n"/>
      <c r="Q52" s="28" t="n">
        <v>-0.066126</v>
      </c>
      <c r="R52" s="26" t="n">
        <v>0</v>
      </c>
      <c r="S52" s="29" t="n">
        <v>1</v>
      </c>
      <c r="T52" s="24" t="inlineStr">
        <is>
          <t>npb-tie-aware-elo-v2</t>
        </is>
      </c>
      <c r="U52" s="24" t="inlineStr">
        <is>
          <t>settled</t>
        </is>
      </c>
      <c r="V52" s="24" t="inlineStr">
        <is>
          <t>win</t>
        </is>
      </c>
      <c r="W52" s="26" t="n">
        <v>8</v>
      </c>
      <c r="X52" s="26" t="n">
        <v>4</v>
      </c>
      <c r="Y52" s="25" t="n"/>
      <c r="Z52" s="26" t="n">
        <v>-133</v>
      </c>
      <c r="AA52" s="28" t="n">
        <v>0.57</v>
      </c>
      <c r="AB52" s="28" t="n">
        <v>-0.000815</v>
      </c>
      <c r="AC52" s="30" t="n">
        <v>0.7519</v>
      </c>
      <c r="AD52" s="24" t="inlineStr">
        <is>
          <t>2026-09-05T22:02:05.262456Z</t>
        </is>
      </c>
      <c r="AE52" s="31" t="inlineStr">
        <is>
          <t>Tie-aware Elo baseline; executable ask 0.5700 (market_slug=aec-npb-tys-cdh-2026-09-05). Tie probability=0.0358.</t>
        </is>
      </c>
      <c r="AF52" s="31" t="inlineStr">
        <is>
          <t>Config-promoted international baseball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Chunichi Dragons</t>
        </is>
      </c>
      <c r="AQ52" s="24" t="inlineStr">
        <is>
          <t>Chunichi Dragons</t>
        </is>
      </c>
      <c r="AR52" s="24" t="inlineStr">
        <is>
          <t>Chunichi Dragons</t>
        </is>
      </c>
      <c r="AS52" s="24" t="inlineStr">
        <is>
          <t>Tokyo Yakult Swallows</t>
        </is>
      </c>
      <c r="AT52" s="24" t="inlineStr">
        <is>
          <t>Tokyo Yakult Swallows</t>
        </is>
      </c>
      <c r="AU52" s="24" t="inlineStr">
        <is>
          <t>Tokyo Yakult Swallows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78517fda94553755c74b56e3cbaeec8333e9efb624b5a976e2ebae0e329ccea3</t>
        </is>
      </c>
      <c r="BB52" s="24" t="inlineStr">
        <is>
          <t>tie_aware_elo</t>
        </is>
      </c>
      <c r="BC52" s="24" t="inlineStr">
        <is>
          <t>npb-tie-aware-elo-v2</t>
        </is>
      </c>
      <c r="BD52" s="24" t="inlineStr">
        <is>
          <t>78517fda94553755c74b56e3cbaeec8333e9efb624b5a976e2ebae0e329ccea3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npb-tie-aware-elo-v2</t>
        </is>
      </c>
      <c r="BH52" s="24" t="inlineStr">
        <is>
          <t>2026-09-05T04:43:51.674107Z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0.570815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b5b344ad77644d23</t>
        </is>
      </c>
      <c r="B53" s="24" t="inlineStr">
        <is>
          <t>2026-09-05T04:43:52.232153Z</t>
        </is>
      </c>
      <c r="C53" s="24" t="inlineStr">
        <is>
          <t>2026-09-05T09:00:00Z</t>
        </is>
      </c>
      <c r="D53" s="24" t="inlineStr">
        <is>
          <t>100194</t>
        </is>
      </c>
      <c r="E53" s="24" t="inlineStr">
        <is>
          <t>NPB</t>
        </is>
      </c>
      <c r="F53" s="24" t="inlineStr">
        <is>
          <t>Nippon Ham Fighters</t>
        </is>
      </c>
      <c r="G53" s="24" t="inlineStr">
        <is>
          <t>Tohoku Rakuten Golden Eagles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-122</v>
      </c>
      <c r="M53" s="27" t="n">
        <v>1.819672</v>
      </c>
      <c r="N53" s="28" t="n">
        <v>0.54955</v>
      </c>
      <c r="O53" s="28" t="n">
        <v>0.557633</v>
      </c>
      <c r="P53" s="28" t="n"/>
      <c r="Q53" s="28" t="n">
        <v>0.008083</v>
      </c>
      <c r="R53" s="26" t="n">
        <v>24</v>
      </c>
      <c r="S53" s="29" t="n">
        <v>1</v>
      </c>
      <c r="T53" s="24" t="inlineStr">
        <is>
          <t>npb-tie-aware-elo-v2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2</v>
      </c>
      <c r="Y53" s="25" t="n"/>
      <c r="Z53" s="26" t="n">
        <v>-122</v>
      </c>
      <c r="AA53" s="28" t="n">
        <v>0.55</v>
      </c>
      <c r="AB53" s="28" t="n">
        <v>0.00045</v>
      </c>
      <c r="AC53" s="30" t="n">
        <v>0.8197</v>
      </c>
      <c r="AD53" s="24" t="inlineStr">
        <is>
          <t>2026-09-05T22:02:05.327044Z</t>
        </is>
      </c>
      <c r="AE53" s="31" t="inlineStr">
        <is>
          <t>Tie-aware Elo baseline; executable ask 0.5500 (market_slug=aec-npb-trge-nhf-2026-09-05). Tie probability=0.0312.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Nippon Ham Fighters</t>
        </is>
      </c>
      <c r="AQ53" s="24" t="inlineStr">
        <is>
          <t>Nippon Ham Fighters</t>
        </is>
      </c>
      <c r="AR53" s="24" t="inlineStr">
        <is>
          <t>Nippon Ham Fighters</t>
        </is>
      </c>
      <c r="AS53" s="24" t="inlineStr">
        <is>
          <t>Tohoku Rakuten Golden Eagles</t>
        </is>
      </c>
      <c r="AT53" s="24" t="inlineStr">
        <is>
          <t>Tohoku Rakuten Golden Eagles</t>
        </is>
      </c>
      <c r="AU53" s="24" t="inlineStr">
        <is>
          <t>Tohoku Rakuten Golden Eagles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78517fda94553755c74b56e3cbaeec8333e9efb624b5a976e2ebae0e329ccea3</t>
        </is>
      </c>
      <c r="BB53" s="24" t="inlineStr">
        <is>
          <t>tie_aware_elo</t>
        </is>
      </c>
      <c r="BC53" s="24" t="inlineStr">
        <is>
          <t>npb-tie-aware-elo-v2</t>
        </is>
      </c>
      <c r="BD53" s="24" t="inlineStr">
        <is>
          <t>78517fda94553755c74b56e3cbaeec8333e9efb624b5a976e2ebae0e329ccea3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npb-tie-aware-elo-v2</t>
        </is>
      </c>
      <c r="BH53" s="24" t="inlineStr">
        <is>
          <t>2026-09-05T04:43:51.779503Z</t>
        </is>
      </c>
      <c r="BI53" s="24" t="inlineStr">
        <is>
          <t>["same_event","same_team_same_day","same_league_same_day"]</t>
        </is>
      </c>
      <c r="BJ53" s="25" t="n"/>
      <c r="BK53" s="26" t="n">
        <v>-122</v>
      </c>
      <c r="BL53" s="27" t="n">
        <v>1.819672</v>
      </c>
      <c r="BM53" s="28" t="n">
        <v>0.54955</v>
      </c>
      <c r="BN53" s="28" t="n"/>
      <c r="BO53" s="28" t="n"/>
      <c r="BP53" s="25" t="n"/>
      <c r="BQ53" s="27" t="n">
        <v>1.819672</v>
      </c>
      <c r="BR53" s="28" t="n">
        <v>0.55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0.54955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de440d47f3ac4737</t>
        </is>
      </c>
      <c r="B54" s="24" t="inlineStr">
        <is>
          <t>2026-09-05T04:43:52.232153Z</t>
        </is>
      </c>
      <c r="C54" s="24" t="inlineStr">
        <is>
          <t>2026-09-05T09:00:00Z</t>
        </is>
      </c>
      <c r="D54" s="24" t="inlineStr">
        <is>
          <t>100191</t>
        </is>
      </c>
      <c r="E54" s="24" t="inlineStr">
        <is>
          <t>NPB</t>
        </is>
      </c>
      <c r="F54" s="24" t="inlineStr">
        <is>
          <t>Yomiuri Giants</t>
        </is>
      </c>
      <c r="G54" s="24" t="inlineStr">
        <is>
          <t>Hiroshima Carp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0.531243</v>
      </c>
      <c r="P54" s="28" t="n"/>
      <c r="Q54" s="28" t="n">
        <v>0.050474</v>
      </c>
      <c r="R54" s="26" t="n">
        <v>45</v>
      </c>
      <c r="S54" s="29" t="n">
        <v>1</v>
      </c>
      <c r="T54" s="24" t="inlineStr">
        <is>
          <t>npb-tie-aware-elo-v2</t>
        </is>
      </c>
      <c r="U54" s="24" t="inlineStr">
        <is>
          <t>settled</t>
        </is>
      </c>
      <c r="V54" s="24" t="inlineStr">
        <is>
          <t>win</t>
        </is>
      </c>
      <c r="W54" s="26" t="n">
        <v>10</v>
      </c>
      <c r="X54" s="26" t="n">
        <v>5</v>
      </c>
      <c r="Y54" s="25" t="n"/>
      <c r="Z54" s="26" t="n">
        <v>108</v>
      </c>
      <c r="AA54" s="28" t="n">
        <v>0.48</v>
      </c>
      <c r="AB54" s="28" t="n">
        <v>-0.000769</v>
      </c>
      <c r="AC54" s="30" t="n">
        <v>1.08</v>
      </c>
      <c r="AD54" s="24" t="inlineStr">
        <is>
          <t>2026-09-05T22:02:05.390809Z</t>
        </is>
      </c>
      <c r="AE54" s="31" t="inlineStr">
        <is>
          <t>Tie-aware Elo baseline; executable ask 0.4800 (market_slug=aec-npb-hci-ygo-2026-09-05). Tie probability=0.0335.</t>
        </is>
      </c>
      <c r="AF54" s="31" t="inlineStr">
        <is>
          <t>Config-promoted international baseball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Yomiuri Giants</t>
        </is>
      </c>
      <c r="AQ54" s="24" t="inlineStr">
        <is>
          <t>Yomiuri Giants</t>
        </is>
      </c>
      <c r="AR54" s="24" t="inlineStr">
        <is>
          <t>Yomiuri Giants</t>
        </is>
      </c>
      <c r="AS54" s="24" t="inlineStr">
        <is>
          <t>Hiroshima Carp</t>
        </is>
      </c>
      <c r="AT54" s="24" t="inlineStr">
        <is>
          <t>Hiroshima Carp</t>
        </is>
      </c>
      <c r="AU54" s="24" t="inlineStr">
        <is>
          <t>Hiroshima Carp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78517fda94553755c74b56e3cbaeec8333e9efb624b5a976e2ebae0e329ccea3</t>
        </is>
      </c>
      <c r="BB54" s="24" t="inlineStr">
        <is>
          <t>tie_aware_elo</t>
        </is>
      </c>
      <c r="BC54" s="24" t="inlineStr">
        <is>
          <t>npb-tie-aware-elo-v2</t>
        </is>
      </c>
      <c r="BD54" s="24" t="inlineStr">
        <is>
          <t>78517fda94553755c74b56e3cbaeec8333e9efb624b5a976e2ebae0e329ccea3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npb-tie-aware-elo-v2</t>
        </is>
      </c>
      <c r="BH54" s="24" t="inlineStr">
        <is>
          <t>2026-09-05T04:43:51.834387Z</t>
        </is>
      </c>
      <c r="BI54" s="24" t="inlineStr">
        <is>
          <t>["same_event","same_team_same_day","same_league_same_day"]</t>
        </is>
      </c>
      <c r="BJ54" s="25" t="n"/>
      <c r="BK54" s="26" t="n">
        <v>108</v>
      </c>
      <c r="BL54" s="27" t="n">
        <v>2.08</v>
      </c>
      <c r="BM54" s="28" t="n">
        <v>0.480769</v>
      </c>
      <c r="BN54" s="28" t="n"/>
      <c r="BO54" s="28" t="n"/>
      <c r="BP54" s="25" t="n"/>
      <c r="BQ54" s="27" t="n">
        <v>2.08</v>
      </c>
      <c r="BR54" s="28" t="n">
        <v>0.48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0.480769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b4495a156d1b4191</t>
        </is>
      </c>
      <c r="B55" s="24" t="inlineStr">
        <is>
          <t>2026-09-05T04:43:52.232153Z</t>
        </is>
      </c>
      <c r="C55" s="24" t="inlineStr">
        <is>
          <t>2026-09-05T09:00:00Z</t>
        </is>
      </c>
      <c r="D55" s="24" t="inlineStr">
        <is>
          <t>100192</t>
        </is>
      </c>
      <c r="E55" s="24" t="inlineStr">
        <is>
          <t>NPB</t>
        </is>
      </c>
      <c r="F55" s="24" t="inlineStr">
        <is>
          <t>Yokohama BayStars</t>
        </is>
      </c>
      <c r="G55" s="24" t="inlineStr">
        <is>
          <t>Hanshin Tigers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-170</v>
      </c>
      <c r="M55" s="27" t="n">
        <v>1.588235</v>
      </c>
      <c r="N55" s="28" t="n">
        <v>0.62963</v>
      </c>
      <c r="O55" s="28" t="n">
        <v>0.607515</v>
      </c>
      <c r="P55" s="28" t="n"/>
      <c r="Q55" s="28" t="n">
        <v>-0.022115</v>
      </c>
      <c r="R55" s="26" t="n">
        <v>9</v>
      </c>
      <c r="S55" s="29" t="n">
        <v>1</v>
      </c>
      <c r="T55" s="24" t="inlineStr">
        <is>
          <t>npb-tie-aware-elo-v2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3</v>
      </c>
      <c r="X55" s="26" t="n">
        <v>2</v>
      </c>
      <c r="Y55" s="25" t="n"/>
      <c r="Z55" s="26" t="n">
        <v>-170</v>
      </c>
      <c r="AA55" s="28" t="n">
        <v>0.63</v>
      </c>
      <c r="AB55" s="28" t="n">
        <v>0.00037</v>
      </c>
      <c r="AC55" s="30" t="n">
        <v>-1</v>
      </c>
      <c r="AD55" s="24" t="inlineStr">
        <is>
          <t>2026-09-05T22:02:05.456019Z</t>
        </is>
      </c>
      <c r="AE55" s="31" t="inlineStr">
        <is>
          <t>Tie-aware Elo baseline; executable ask 0.6300 (market_slug=aec-npb-hta-ybo-2026-09-05). Tie probability=0.0268.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Yokohama BayStars</t>
        </is>
      </c>
      <c r="AQ55" s="24" t="inlineStr">
        <is>
          <t>Yokohama BayStars</t>
        </is>
      </c>
      <c r="AR55" s="24" t="inlineStr">
        <is>
          <t>Yokohama BayStars</t>
        </is>
      </c>
      <c r="AS55" s="24" t="inlineStr">
        <is>
          <t>Hanshin Tigers</t>
        </is>
      </c>
      <c r="AT55" s="24" t="inlineStr">
        <is>
          <t>Hanshin Tigers</t>
        </is>
      </c>
      <c r="AU55" s="24" t="inlineStr">
        <is>
          <t>Hanshin Tigers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78517fda94553755c74b56e3cbaeec8333e9efb624b5a976e2ebae0e329ccea3</t>
        </is>
      </c>
      <c r="BB55" s="24" t="inlineStr">
        <is>
          <t>tie_aware_elo</t>
        </is>
      </c>
      <c r="BC55" s="24" t="inlineStr">
        <is>
          <t>npb-tie-aware-elo-v2</t>
        </is>
      </c>
      <c r="BD55" s="24" t="inlineStr">
        <is>
          <t>78517fda94553755c74b56e3cbaeec8333e9efb624b5a976e2ebae0e329ccea3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npb-tie-aware-elo-v2</t>
        </is>
      </c>
      <c r="BH55" s="24" t="inlineStr">
        <is>
          <t>2026-09-05T04:43:52.232103Z</t>
        </is>
      </c>
      <c r="BI55" s="24" t="inlineStr">
        <is>
          <t>["same_event","same_team_same_day","same_league_same_day"]</t>
        </is>
      </c>
      <c r="BJ55" s="25" t="n"/>
      <c r="BK55" s="26" t="n">
        <v>-170</v>
      </c>
      <c r="BL55" s="27" t="n">
        <v>1.588235</v>
      </c>
      <c r="BM55" s="28" t="n">
        <v>0.62963</v>
      </c>
      <c r="BN55" s="28" t="n"/>
      <c r="BO55" s="28" t="n"/>
      <c r="BP55" s="25" t="n"/>
      <c r="BQ55" s="27" t="n">
        <v>1.588235</v>
      </c>
      <c r="BR55" s="28" t="n">
        <v>0.63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0.62963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9e53bd1011474dd3</t>
        </is>
      </c>
      <c r="B56" s="24" t="inlineStr">
        <is>
          <t>2026-09-05T22:05:40.056484Z</t>
        </is>
      </c>
      <c r="C56" s="24" t="inlineStr">
        <is>
          <t>2026-09-06T04:00:00Z</t>
        </is>
      </c>
      <c r="D56" s="24" t="inlineStr">
        <is>
          <t>101482</t>
        </is>
      </c>
      <c r="E56" s="24" t="inlineStr">
        <is>
          <t>NPB</t>
        </is>
      </c>
      <c r="F56" s="24" t="inlineStr">
        <is>
          <t>Chiba Lotte Marines</t>
        </is>
      </c>
      <c r="G56" s="24" t="inlineStr">
        <is>
          <t>Orix Buffaloes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0.547396</v>
      </c>
      <c r="P56" s="28" t="n"/>
      <c r="Q56" s="28" t="n">
        <v>-0.042768</v>
      </c>
      <c r="R56" s="26" t="n">
        <v>0</v>
      </c>
      <c r="S56" s="29" t="n">
        <v>1</v>
      </c>
      <c r="T56" s="24" t="inlineStr">
        <is>
          <t>npb-tie-aware-elo-v2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2026-09-06T22:02:55.641663Z</t>
        </is>
      </c>
      <c r="AE56" s="31" t="inlineStr">
        <is>
          <t>Tie-aware Elo baseline; executable ask 0.5900 (market_slug=aec-npb-obr-clm-2026-09-06). Tie probability=0.0321.</t>
        </is>
      </c>
      <c r="AF56" s="31" t="inlineStr">
        <is>
          <t>Config-promoted international baseball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Chiba Lotte Marines</t>
        </is>
      </c>
      <c r="AQ56" s="24" t="inlineStr">
        <is>
          <t>Chiba Lotte Marines</t>
        </is>
      </c>
      <c r="AR56" s="24" t="inlineStr">
        <is>
          <t>Chiba Lotte Marines</t>
        </is>
      </c>
      <c r="AS56" s="24" t="inlineStr">
        <is>
          <t>Orix Buffaloes</t>
        </is>
      </c>
      <c r="AT56" s="24" t="inlineStr">
        <is>
          <t>Orix Buffaloes</t>
        </is>
      </c>
      <c r="AU56" s="24" t="inlineStr">
        <is>
          <t>Orix Buffaloes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37b8d2a25532d6041671af36cbf57dc34d277426081abd6c8f33473fd6523665</t>
        </is>
      </c>
      <c r="BB56" s="24" t="inlineStr">
        <is>
          <t>tie_aware_elo</t>
        </is>
      </c>
      <c r="BC56" s="24" t="inlineStr">
        <is>
          <t>npb-tie-aware-elo-v2</t>
        </is>
      </c>
      <c r="BD56" s="24" t="inlineStr">
        <is>
          <t>37b8d2a25532d6041671af36cbf57dc34d277426081abd6c8f33473fd6523665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npb-tie-aware-elo-v2</t>
        </is>
      </c>
      <c r="BH56" s="24" t="inlineStr">
        <is>
          <t>2026-09-05T22:05:39.691840Z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0.590164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bda2ef4bcc894180</t>
        </is>
      </c>
      <c r="B57" s="24" t="inlineStr">
        <is>
          <t>2026-09-05T22:05:40.056484Z</t>
        </is>
      </c>
      <c r="C57" s="24" t="inlineStr">
        <is>
          <t>2026-09-06T04:00:00Z</t>
        </is>
      </c>
      <c r="D57" s="24" t="inlineStr">
        <is>
          <t>101483</t>
        </is>
      </c>
      <c r="E57" s="24" t="inlineStr">
        <is>
          <t>NPB</t>
        </is>
      </c>
      <c r="F57" s="24" t="inlineStr">
        <is>
          <t>Saitama Seibu Lions</t>
        </is>
      </c>
      <c r="G57" s="24" t="inlineStr">
        <is>
          <t>Fukuoka SoftBank Hawks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0.596426</v>
      </c>
      <c r="P57" s="28" t="n"/>
      <c r="Q57" s="28" t="n">
        <v>0.016594</v>
      </c>
      <c r="R57" s="26" t="n">
        <v>28</v>
      </c>
      <c r="S57" s="29" t="n">
        <v>1</v>
      </c>
      <c r="T57" s="24" t="inlineStr">
        <is>
          <t>npb-tie-aware-elo-v2</t>
        </is>
      </c>
      <c r="U57" s="24" t="inlineStr">
        <is>
          <t>settled</t>
        </is>
      </c>
      <c r="V57" s="24" t="inlineStr">
        <is>
          <t>loss</t>
        </is>
      </c>
      <c r="W57" s="26" t="n">
        <v>5</v>
      </c>
      <c r="X57" s="26" t="n">
        <v>2</v>
      </c>
      <c r="Y57" s="25" t="n"/>
      <c r="Z57" s="26" t="n"/>
      <c r="AA57" s="28" t="n"/>
      <c r="AB57" s="28" t="n"/>
      <c r="AC57" s="30" t="n">
        <v>-1</v>
      </c>
      <c r="AD57" s="24" t="inlineStr">
        <is>
          <t>2026-09-06T22:02:55.710844Z</t>
        </is>
      </c>
      <c r="AE57" s="31" t="inlineStr">
        <is>
          <t>Tie-aware Elo baseline; executable ask 0.5800 (market_slug=aec-npb-fsh-ssl-2026-09-06). Tie probability=0.0278.</t>
        </is>
      </c>
      <c r="AF57" s="31" t="inlineStr">
        <is>
          <t>Config-promoted international baseball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Saitama Seibu Lions</t>
        </is>
      </c>
      <c r="AQ57" s="24" t="inlineStr">
        <is>
          <t>Saitama Seibu Lions</t>
        </is>
      </c>
      <c r="AR57" s="24" t="inlineStr">
        <is>
          <t>Saitama Seibu Lions</t>
        </is>
      </c>
      <c r="AS57" s="24" t="inlineStr">
        <is>
          <t>Fukuoka SoftBank Hawks</t>
        </is>
      </c>
      <c r="AT57" s="24" t="inlineStr">
        <is>
          <t>Fukuoka SoftBank Hawks</t>
        </is>
      </c>
      <c r="AU57" s="24" t="inlineStr">
        <is>
          <t>Fukuoka SoftBank Hawks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37b8d2a25532d6041671af36cbf57dc34d277426081abd6c8f33473fd6523665</t>
        </is>
      </c>
      <c r="BB57" s="24" t="inlineStr">
        <is>
          <t>tie_aware_elo</t>
        </is>
      </c>
      <c r="BC57" s="24" t="inlineStr">
        <is>
          <t>npb-tie-aware-elo-v2</t>
        </is>
      </c>
      <c r="BD57" s="24" t="inlineStr">
        <is>
          <t>37b8d2a25532d6041671af36cbf57dc34d277426081abd6c8f33473fd6523665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npb-tie-aware-elo-v2</t>
        </is>
      </c>
      <c r="BH57" s="24" t="inlineStr">
        <is>
          <t>2026-09-05T22:05:39.752522Z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0.579832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fe448b6b44274a24</t>
        </is>
      </c>
      <c r="B58" s="24" t="inlineStr">
        <is>
          <t>2026-09-06T04:35:54.324711Z</t>
        </is>
      </c>
      <c r="C58" s="24" t="inlineStr">
        <is>
          <t>2026-09-06T07:00:00Z</t>
        </is>
      </c>
      <c r="D58" s="24" t="inlineStr">
        <is>
          <t>101494</t>
        </is>
      </c>
      <c r="E58" s="24" t="inlineStr">
        <is>
          <t>NPB</t>
        </is>
      </c>
      <c r="F58" s="24" t="inlineStr">
        <is>
          <t>Nippon Ham Fighters</t>
        </is>
      </c>
      <c r="G58" s="24" t="inlineStr">
        <is>
          <t>Tohoku Rakuten Golden Eagles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0.566916</v>
      </c>
      <c r="P58" s="28" t="n"/>
      <c r="Q58" s="28" t="n">
        <v>-0.012916</v>
      </c>
      <c r="R58" s="26" t="n">
        <v>14</v>
      </c>
      <c r="S58" s="29" t="n">
        <v>1</v>
      </c>
      <c r="T58" s="24" t="inlineStr">
        <is>
          <t>npb-tie-aware-elo-v2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3</v>
      </c>
      <c r="Y58" s="25" t="n"/>
      <c r="Z58" s="26" t="n">
        <v>-138</v>
      </c>
      <c r="AA58" s="28" t="n">
        <v>0.58</v>
      </c>
      <c r="AB58" s="28" t="n">
        <v>0.000168</v>
      </c>
      <c r="AC58" s="30" t="n">
        <v>0.7246</v>
      </c>
      <c r="AD58" s="24" t="inlineStr">
        <is>
          <t>2026-09-06T22:02:55.776624Z</t>
        </is>
      </c>
      <c r="AE58" s="31" t="inlineStr">
        <is>
          <t>Tie-aware Elo baseline; executable ask 0.5800 (market_slug=aec-npb-trge-nhf-2026-09-06). Tie probability=0.0304.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Nippon Ham Fighters</t>
        </is>
      </c>
      <c r="AQ58" s="24" t="inlineStr">
        <is>
          <t>Nippon Ham Fighters</t>
        </is>
      </c>
      <c r="AR58" s="24" t="inlineStr">
        <is>
          <t>Nippon Ham Fighters</t>
        </is>
      </c>
      <c r="AS58" s="24" t="inlineStr">
        <is>
          <t>Tohoku Rakuten Golden Eagles</t>
        </is>
      </c>
      <c r="AT58" s="24" t="inlineStr">
        <is>
          <t>Tohoku Rakuten Golden Eagles</t>
        </is>
      </c>
      <c r="AU58" s="24" t="inlineStr">
        <is>
          <t>Tohoku Rakuten Golden Eagles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96b4d47b7be74863a523c6108fb64a9951e94e8fef1b85d1defeda38849e1534</t>
        </is>
      </c>
      <c r="BB58" s="24" t="inlineStr">
        <is>
          <t>tie_aware_elo</t>
        </is>
      </c>
      <c r="BC58" s="24" t="inlineStr">
        <is>
          <t>npb-tie-aware-elo-v2</t>
        </is>
      </c>
      <c r="BD58" s="24" t="inlineStr">
        <is>
          <t>96b4d47b7be74863a523c6108fb64a9951e94e8fef1b85d1defeda38849e1534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npb-tie-aware-elo-v2</t>
        </is>
      </c>
      <c r="BH58" s="24" t="inlineStr">
        <is>
          <t>2026-09-06T04:35:54.118028Z</t>
        </is>
      </c>
      <c r="BI58" s="24" t="inlineStr">
        <is>
          <t>["same_event","same_team_same_day","same_league_same_day"]</t>
        </is>
      </c>
      <c r="BJ58" s="25" t="n"/>
      <c r="BK58" s="26" t="n">
        <v>-138</v>
      </c>
      <c r="BL58" s="27" t="n">
        <v>1.724638</v>
      </c>
      <c r="BM58" s="28" t="n">
        <v>0.579832</v>
      </c>
      <c r="BN58" s="28" t="n"/>
      <c r="BO58" s="28" t="n"/>
      <c r="BP58" s="25" t="n"/>
      <c r="BQ58" s="27" t="n">
        <v>1.724638</v>
      </c>
      <c r="BR58" s="28" t="n">
        <v>0.58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0.579832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66996d287cfc4ba6</t>
        </is>
      </c>
      <c r="B59" s="24" t="inlineStr">
        <is>
          <t>2026-09-06T04:35:54.324711Z</t>
        </is>
      </c>
      <c r="C59" s="24" t="inlineStr">
        <is>
          <t>2026-09-06T08:00:00Z</t>
        </is>
      </c>
      <c r="D59" s="24" t="inlineStr">
        <is>
          <t>101512</t>
        </is>
      </c>
      <c r="E59" s="24" t="inlineStr">
        <is>
          <t>NPB</t>
        </is>
      </c>
      <c r="F59" s="24" t="inlineStr">
        <is>
          <t>Chunichi Dragons</t>
        </is>
      </c>
      <c r="G59" s="24" t="inlineStr">
        <is>
          <t>Tokyo Yakult Swallows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0.508296</v>
      </c>
      <c r="P59" s="28" t="n"/>
      <c r="Q59" s="28" t="n">
        <v>0.038812</v>
      </c>
      <c r="R59" s="26" t="n">
        <v>39</v>
      </c>
      <c r="S59" s="29" t="n">
        <v>1</v>
      </c>
      <c r="T59" s="24" t="inlineStr">
        <is>
          <t>npb-tie-aware-elo-v2</t>
        </is>
      </c>
      <c r="U59" s="24" t="inlineStr">
        <is>
          <t>settled</t>
        </is>
      </c>
      <c r="V59" s="24" t="inlineStr">
        <is>
          <t>push</t>
        </is>
      </c>
      <c r="W59" s="26" t="n"/>
      <c r="X59" s="26" t="n"/>
      <c r="Y59" s="25" t="n"/>
      <c r="Z59" s="26" t="n"/>
      <c r="AA59" s="28" t="n"/>
      <c r="AB59" s="28" t="n"/>
      <c r="AC59" s="30" t="n">
        <v>0</v>
      </c>
      <c r="AD59" s="24" t="inlineStr">
        <is>
          <t>2026-10-06T23:00:21.727605Z</t>
        </is>
      </c>
      <c r="AE59" s="31" t="inlineStr">
        <is>
          <t>Tie-aware Elo baseline; executable ask 0.4700 (market_slug=aec-npb-tys-cdh-2026-09-06). Tie probability=0.0355.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Chunichi Dragons</t>
        </is>
      </c>
      <c r="AQ59" s="24" t="inlineStr">
        <is>
          <t>Chunichi Dragons</t>
        </is>
      </c>
      <c r="AR59" s="24" t="inlineStr">
        <is>
          <t>Chunichi Dragons</t>
        </is>
      </c>
      <c r="AS59" s="24" t="inlineStr">
        <is>
          <t>Tokyo Yakult Swallows</t>
        </is>
      </c>
      <c r="AT59" s="24" t="inlineStr">
        <is>
          <t>Tokyo Yakult Swallows</t>
        </is>
      </c>
      <c r="AU59" s="24" t="inlineStr">
        <is>
          <t>Tokyo Yakult Swallows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96b4d47b7be74863a523c6108fb64a9951e94e8fef1b85d1defeda38849e1534</t>
        </is>
      </c>
      <c r="BB59" s="24" t="inlineStr">
        <is>
          <t>tie_aware_elo</t>
        </is>
      </c>
      <c r="BC59" s="24" t="inlineStr">
        <is>
          <t>npb-tie-aware-elo-v2</t>
        </is>
      </c>
      <c r="BD59" s="24" t="inlineStr">
        <is>
          <t>96b4d47b7be74863a523c6108fb64a9951e94e8fef1b85d1defeda38849e1534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npb-tie-aware-elo-v2</t>
        </is>
      </c>
      <c r="BH59" s="24" t="inlineStr">
        <is>
          <t>2026-09-06T04:35:54.196367Z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inlineStr">
        <is>
          <t>NPB game scheduled on 2026-09-06 cancelled/postponed (no final score posted after &gt;7 days)</t>
        </is>
      </c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7c3804f8b6e044fd</t>
        </is>
      </c>
      <c r="B60" s="24" t="inlineStr">
        <is>
          <t>2026-09-06T04:35:54.324711Z</t>
        </is>
      </c>
      <c r="C60" s="24" t="inlineStr">
        <is>
          <t>2026-09-06T09:00:00Z</t>
        </is>
      </c>
      <c r="D60" s="24" t="inlineStr">
        <is>
          <t>101534</t>
        </is>
      </c>
      <c r="E60" s="24" t="inlineStr">
        <is>
          <t>NPB</t>
        </is>
      </c>
      <c r="F60" s="24" t="inlineStr">
        <is>
          <t>Yokohama BayStars</t>
        </is>
      </c>
      <c r="G60" s="24" t="inlineStr">
        <is>
          <t>Hanshin Tigers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-150</v>
      </c>
      <c r="M60" s="27" t="n">
        <v>1.666667</v>
      </c>
      <c r="N60" s="28" t="n">
        <v>0.6</v>
      </c>
      <c r="O60" s="28" t="n">
        <v>0.598796</v>
      </c>
      <c r="P60" s="28" t="n"/>
      <c r="Q60" s="28" t="n">
        <v>-0.001204</v>
      </c>
      <c r="R60" s="26" t="n">
        <v>19</v>
      </c>
      <c r="S60" s="29" t="n">
        <v>1</v>
      </c>
      <c r="T60" s="24" t="inlineStr">
        <is>
          <t>npb-tie-aware-elo-v2</t>
        </is>
      </c>
      <c r="U60" s="24" t="inlineStr">
        <is>
          <t>settled</t>
        </is>
      </c>
      <c r="V60" s="24" t="inlineStr">
        <is>
          <t>loss</t>
        </is>
      </c>
      <c r="W60" s="26" t="n">
        <v>4</v>
      </c>
      <c r="X60" s="26" t="n">
        <v>1</v>
      </c>
      <c r="Y60" s="25" t="n"/>
      <c r="Z60" s="26" t="n">
        <v>-150</v>
      </c>
      <c r="AA60" s="28" t="n">
        <v>0.6</v>
      </c>
      <c r="AB60" s="28" t="n">
        <v>0</v>
      </c>
      <c r="AC60" s="30" t="n">
        <v>-1</v>
      </c>
      <c r="AD60" s="24" t="inlineStr">
        <is>
          <t>2026-09-06T22:02:57.938308Z</t>
        </is>
      </c>
      <c r="AE60" s="31" t="inlineStr">
        <is>
          <t>Tie-aware Elo baseline; executable ask 0.6000 (market_slug=aec-npb-hta-ybo-2026-09-06). Tie probability=0.0276.</t>
        </is>
      </c>
      <c r="AF60" s="31" t="inlineStr">
        <is>
          <t>Config-promoted international baseball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Yokohama BayStars</t>
        </is>
      </c>
      <c r="AQ60" s="24" t="inlineStr">
        <is>
          <t>Yokohama BayStars</t>
        </is>
      </c>
      <c r="AR60" s="24" t="inlineStr">
        <is>
          <t>Yokohama BayStars</t>
        </is>
      </c>
      <c r="AS60" s="24" t="inlineStr">
        <is>
          <t>Hanshin Tigers</t>
        </is>
      </c>
      <c r="AT60" s="24" t="inlineStr">
        <is>
          <t>Hanshin Tigers</t>
        </is>
      </c>
      <c r="AU60" s="24" t="inlineStr">
        <is>
          <t>Hanshin Tigers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96b4d47b7be74863a523c6108fb64a9951e94e8fef1b85d1defeda38849e1534</t>
        </is>
      </c>
      <c r="BB60" s="24" t="inlineStr">
        <is>
          <t>tie_aware_elo</t>
        </is>
      </c>
      <c r="BC60" s="24" t="inlineStr">
        <is>
          <t>npb-tie-aware-elo-v2</t>
        </is>
      </c>
      <c r="BD60" s="24" t="inlineStr">
        <is>
          <t>96b4d47b7be74863a523c6108fb64a9951e94e8fef1b85d1defeda38849e1534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npb-tie-aware-elo-v2</t>
        </is>
      </c>
      <c r="BH60" s="24" t="inlineStr">
        <is>
          <t>2026-09-06T04:35:54.254839Z</t>
        </is>
      </c>
      <c r="BI60" s="24" t="inlineStr">
        <is>
          <t>["same_event","same_team_same_day","same_league_same_day"]</t>
        </is>
      </c>
      <c r="BJ60" s="25" t="n"/>
      <c r="BK60" s="26" t="n">
        <v>-150</v>
      </c>
      <c r="BL60" s="27" t="n">
        <v>1.666667</v>
      </c>
      <c r="BM60" s="28" t="n">
        <v>0.6</v>
      </c>
      <c r="BN60" s="28" t="n"/>
      <c r="BO60" s="28" t="n"/>
      <c r="BP60" s="25" t="n"/>
      <c r="BQ60" s="27" t="n">
        <v>1.666667</v>
      </c>
      <c r="BR60" s="28" t="n">
        <v>0.6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1ffe02d91f2a4e6a</t>
        </is>
      </c>
      <c r="B61" s="24" t="inlineStr">
        <is>
          <t>2026-09-06T04:35:54.324711Z</t>
        </is>
      </c>
      <c r="C61" s="24" t="inlineStr">
        <is>
          <t>2026-09-06T09:00:00Z</t>
        </is>
      </c>
      <c r="D61" s="24" t="inlineStr">
        <is>
          <t>101535</t>
        </is>
      </c>
      <c r="E61" s="24" t="inlineStr">
        <is>
          <t>NPB</t>
        </is>
      </c>
      <c r="F61" s="24" t="inlineStr">
        <is>
          <t>Yomiuri Giants</t>
        </is>
      </c>
      <c r="G61" s="24" t="inlineStr">
        <is>
          <t>Hiroshima Carp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-113</v>
      </c>
      <c r="M61" s="27" t="n">
        <v>1.884956</v>
      </c>
      <c r="N61" s="28" t="n">
        <v>0.530516</v>
      </c>
      <c r="O61" s="28" t="n">
        <v>0.522949</v>
      </c>
      <c r="P61" s="28" t="n"/>
      <c r="Q61" s="28" t="n">
        <v>-0.007567</v>
      </c>
      <c r="R61" s="26" t="n">
        <v>16</v>
      </c>
      <c r="S61" s="29" t="n">
        <v>1</v>
      </c>
      <c r="T61" s="24" t="inlineStr">
        <is>
          <t>npb-tie-aware-elo-v2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4</v>
      </c>
      <c r="X61" s="26" t="n">
        <v>0</v>
      </c>
      <c r="Y61" s="25" t="n"/>
      <c r="Z61" s="26" t="n">
        <v>-113</v>
      </c>
      <c r="AA61" s="28" t="n">
        <v>0.53</v>
      </c>
      <c r="AB61" s="28" t="n">
        <v>-0.000516</v>
      </c>
      <c r="AC61" s="30" t="n">
        <v>0.885</v>
      </c>
      <c r="AD61" s="24" t="inlineStr">
        <is>
          <t>2026-09-06T22:02:58.006576Z</t>
        </is>
      </c>
      <c r="AE61" s="31" t="inlineStr">
        <is>
          <t>Tie-aware Elo baseline; executable ask 0.5300 (market_slug=aec-npb-hci-ygo-2026-09-06). Tie probability=0.0342.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Yomiuri Giants</t>
        </is>
      </c>
      <c r="AQ61" s="24" t="inlineStr">
        <is>
          <t>Yomiuri Giants</t>
        </is>
      </c>
      <c r="AR61" s="24" t="inlineStr">
        <is>
          <t>Yomiuri Giants</t>
        </is>
      </c>
      <c r="AS61" s="24" t="inlineStr">
        <is>
          <t>Hiroshima Carp</t>
        </is>
      </c>
      <c r="AT61" s="24" t="inlineStr">
        <is>
          <t>Hiroshima Carp</t>
        </is>
      </c>
      <c r="AU61" s="24" t="inlineStr">
        <is>
          <t>Hiroshima Carp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96b4d47b7be74863a523c6108fb64a9951e94e8fef1b85d1defeda38849e1534</t>
        </is>
      </c>
      <c r="BB61" s="24" t="inlineStr">
        <is>
          <t>tie_aware_elo</t>
        </is>
      </c>
      <c r="BC61" s="24" t="inlineStr">
        <is>
          <t>npb-tie-aware-elo-v2</t>
        </is>
      </c>
      <c r="BD61" s="24" t="inlineStr">
        <is>
          <t>96b4d47b7be74863a523c6108fb64a9951e94e8fef1b85d1defeda38849e1534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npb-tie-aware-elo-v2</t>
        </is>
      </c>
      <c r="BH61" s="24" t="inlineStr">
        <is>
          <t>2026-09-06T04:35:54.324675Z</t>
        </is>
      </c>
      <c r="BI61" s="24" t="inlineStr">
        <is>
          <t>["same_event","same_team_same_day","same_league_same_day"]</t>
        </is>
      </c>
      <c r="BJ61" s="25" t="n"/>
      <c r="BK61" s="26" t="n">
        <v>-113</v>
      </c>
      <c r="BL61" s="27" t="n">
        <v>1.884956</v>
      </c>
      <c r="BM61" s="28" t="n">
        <v>0.530516</v>
      </c>
      <c r="BN61" s="28" t="n"/>
      <c r="BO61" s="28" t="n"/>
      <c r="BP61" s="25" t="n"/>
      <c r="BQ61" s="27" t="n">
        <v>1.884956</v>
      </c>
      <c r="BR61" s="28" t="n">
        <v>0.53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0.530516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82d99b9e949b4ccc</t>
        </is>
      </c>
      <c r="B62" s="24" t="inlineStr">
        <is>
          <t>2026-09-08T04:35:36.513311Z</t>
        </is>
      </c>
      <c r="C62" s="24" t="inlineStr">
        <is>
          <t>2026-09-08T09:00:00Z</t>
        </is>
      </c>
      <c r="D62" s="24" t="inlineStr">
        <is>
          <t>103048</t>
        </is>
      </c>
      <c r="E62" s="24" t="inlineStr">
        <is>
          <t>NPB</t>
        </is>
      </c>
      <c r="F62" s="24" t="inlineStr">
        <is>
          <t>Tohoku Rakuten Golden Eagles</t>
        </is>
      </c>
      <c r="G62" s="24" t="inlineStr">
        <is>
          <t>Chiba Lotte Marines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0.6001609999999999</v>
      </c>
      <c r="P62" s="28" t="n"/>
      <c r="Q62" s="28" t="n">
        <v>0.069645</v>
      </c>
      <c r="R62" s="26" t="n">
        <v>55</v>
      </c>
      <c r="S62" s="29" t="n">
        <v>1.25</v>
      </c>
      <c r="T62" s="24" t="inlineStr">
        <is>
          <t>npb-tie-aware-elo-v2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3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1.1062</v>
      </c>
      <c r="AD62" s="24" t="inlineStr">
        <is>
          <t>2026-09-08T23:00:43.787330Z</t>
        </is>
      </c>
      <c r="AE62" s="31" t="inlineStr">
        <is>
          <t>Tie-aware Elo baseline; executable ask 0.5300 (market_slug=aec-npb-clm-trge-2026-09-08). Tie probability=0.0274.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Tohoku Rakuten Golden Eagles</t>
        </is>
      </c>
      <c r="AQ62" s="24" t="inlineStr">
        <is>
          <t>Tohoku Rakuten Golden Eagles</t>
        </is>
      </c>
      <c r="AR62" s="24" t="inlineStr">
        <is>
          <t>Tohoku Rakuten Golden Eagles</t>
        </is>
      </c>
      <c r="AS62" s="24" t="inlineStr">
        <is>
          <t>Chiba Lotte Marines</t>
        </is>
      </c>
      <c r="AT62" s="24" t="inlineStr">
        <is>
          <t>Chiba Lotte Marines</t>
        </is>
      </c>
      <c r="AU62" s="24" t="inlineStr">
        <is>
          <t>Chiba Lotte Marines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32c4c6e50df81339070058a656263ced4ce5596a79cba55455f7b3074ebcc4e7</t>
        </is>
      </c>
      <c r="BB62" s="24" t="inlineStr">
        <is>
          <t>tie_aware_elo</t>
        </is>
      </c>
      <c r="BC62" s="24" t="inlineStr">
        <is>
          <t>npb-tie-aware-elo-v2</t>
        </is>
      </c>
      <c r="BD62" s="24" t="inlineStr">
        <is>
          <t>32c4c6e50df81339070058a656263ced4ce5596a79cba55455f7b3074ebcc4e7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npb-tie-aware-elo-v2</t>
        </is>
      </c>
      <c r="BH62" s="24" t="inlineStr">
        <is>
          <t>2026-09-08T04:35:36.149662Z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0.530516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016c7e3c1c1a4066</t>
        </is>
      </c>
      <c r="B63" s="24" t="inlineStr">
        <is>
          <t>2026-09-08T04:35:36.513311Z</t>
        </is>
      </c>
      <c r="C63" s="24" t="inlineStr">
        <is>
          <t>2026-09-08T09:00:00Z</t>
        </is>
      </c>
      <c r="D63" s="24" t="inlineStr">
        <is>
          <t>103046</t>
        </is>
      </c>
      <c r="E63" s="24" t="inlineStr">
        <is>
          <t>NPB</t>
        </is>
      </c>
      <c r="F63" s="24" t="inlineStr">
        <is>
          <t>Tokyo Yakult Swallows</t>
        </is>
      </c>
      <c r="G63" s="24" t="inlineStr">
        <is>
          <t>Yokohama BayStars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0.641856</v>
      </c>
      <c r="P63" s="28" t="n"/>
      <c r="Q63" s="28" t="n">
        <v>-0.048546</v>
      </c>
      <c r="R63" s="26" t="n">
        <v>0</v>
      </c>
      <c r="S63" s="29" t="n">
        <v>1</v>
      </c>
      <c r="T63" s="24" t="inlineStr">
        <is>
          <t>npb-tie-aware-elo-v2</t>
        </is>
      </c>
      <c r="U63" s="24" t="inlineStr">
        <is>
          <t>settled</t>
        </is>
      </c>
      <c r="V63" s="24" t="inlineStr">
        <is>
          <t>loss</t>
        </is>
      </c>
      <c r="W63" s="26" t="n">
        <v>3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-1</v>
      </c>
      <c r="AD63" s="24" t="inlineStr">
        <is>
          <t>2026-09-08T23:00:44.060598Z</t>
        </is>
      </c>
      <c r="AE63" s="31" t="inlineStr">
        <is>
          <t>Tie-aware Elo baseline; executable ask 0.6900 (market_slug=aec-npb-ybo-tys-2026-09-08). Tie probability=0.0236.</t>
        </is>
      </c>
      <c r="AF63" s="31" t="inlineStr">
        <is>
          <t>Config-promoted international baseball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Tokyo Yakult Swallows</t>
        </is>
      </c>
      <c r="AQ63" s="24" t="inlineStr">
        <is>
          <t>Tokyo Yakult Swallows</t>
        </is>
      </c>
      <c r="AR63" s="24" t="inlineStr">
        <is>
          <t>Tokyo Yakult Swallows</t>
        </is>
      </c>
      <c r="AS63" s="24" t="inlineStr">
        <is>
          <t>Yokohama BayStars</t>
        </is>
      </c>
      <c r="AT63" s="24" t="inlineStr">
        <is>
          <t>Yokohama BayStars</t>
        </is>
      </c>
      <c r="AU63" s="24" t="inlineStr">
        <is>
          <t>Yokohama BayStars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32c4c6e50df81339070058a656263ced4ce5596a79cba55455f7b3074ebcc4e7</t>
        </is>
      </c>
      <c r="BB63" s="24" t="inlineStr">
        <is>
          <t>tie_aware_elo</t>
        </is>
      </c>
      <c r="BC63" s="24" t="inlineStr">
        <is>
          <t>npb-tie-aware-elo-v2</t>
        </is>
      </c>
      <c r="BD63" s="24" t="inlineStr">
        <is>
          <t>32c4c6e50df81339070058a656263ced4ce5596a79cba55455f7b3074ebcc4e7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npb-tie-aware-elo-v2</t>
        </is>
      </c>
      <c r="BH63" s="24" t="inlineStr">
        <is>
          <t>2026-09-08T04:35:36.219266Z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0.690402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1f262901ce924244</t>
        </is>
      </c>
      <c r="B64" s="24" t="inlineStr">
        <is>
          <t>2026-09-08T04:35:36.513311Z</t>
        </is>
      </c>
      <c r="C64" s="24" t="inlineStr">
        <is>
          <t>2026-09-08T09:00:00Z</t>
        </is>
      </c>
      <c r="D64" s="24" t="inlineStr">
        <is>
          <t>103050</t>
        </is>
      </c>
      <c r="E64" s="24" t="inlineStr">
        <is>
          <t>NPB</t>
        </is>
      </c>
      <c r="F64" s="24" t="inlineStr">
        <is>
          <t>Nippon Ham Fighters</t>
        </is>
      </c>
      <c r="G64" s="24" t="inlineStr">
        <is>
          <t>Fukuoka SoftBank Hawks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-213</v>
      </c>
      <c r="M64" s="27" t="n">
        <v>1.469484</v>
      </c>
      <c r="N64" s="28" t="n">
        <v>0.680511</v>
      </c>
      <c r="O64" s="28" t="n">
        <v>0.58245</v>
      </c>
      <c r="P64" s="28" t="n"/>
      <c r="Q64" s="28" t="n">
        <v>-0.098061</v>
      </c>
      <c r="R64" s="26" t="n">
        <v>0</v>
      </c>
      <c r="S64" s="29" t="n">
        <v>1</v>
      </c>
      <c r="T64" s="24" t="inlineStr">
        <is>
          <t>npb-tie-aware-elo-v2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14</v>
      </c>
      <c r="Y64" s="25" t="n"/>
      <c r="Z64" s="26" t="n">
        <v>-213</v>
      </c>
      <c r="AA64" s="28" t="n">
        <v>0.68</v>
      </c>
      <c r="AB64" s="28" t="n">
        <v>-0.000511</v>
      </c>
      <c r="AC64" s="30" t="n">
        <v>0.4695</v>
      </c>
      <c r="AD64" s="24" t="inlineStr">
        <is>
          <t>2026-09-08T23:00:44.204991Z</t>
        </is>
      </c>
      <c r="AE64" s="31" t="inlineStr">
        <is>
          <t>Tie-aware Elo baseline; executable ask 0.6800 (market_slug=aec-npb-fsh-nhf-2026-09-08). Tie probability=0.0290.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Nippon Ham Fighters</t>
        </is>
      </c>
      <c r="AQ64" s="24" t="inlineStr">
        <is>
          <t>Nippon Ham Fighters</t>
        </is>
      </c>
      <c r="AR64" s="24" t="inlineStr">
        <is>
          <t>Nippon Ham Fighters</t>
        </is>
      </c>
      <c r="AS64" s="24" t="inlineStr">
        <is>
          <t>Fukuoka SoftBank Hawks</t>
        </is>
      </c>
      <c r="AT64" s="24" t="inlineStr">
        <is>
          <t>Fukuoka SoftBank Hawks</t>
        </is>
      </c>
      <c r="AU64" s="24" t="inlineStr">
        <is>
          <t>Fukuoka SoftBank Hawks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32c4c6e50df81339070058a656263ced4ce5596a79cba55455f7b3074ebcc4e7</t>
        </is>
      </c>
      <c r="BB64" s="24" t="inlineStr">
        <is>
          <t>tie_aware_elo</t>
        </is>
      </c>
      <c r="BC64" s="24" t="inlineStr">
        <is>
          <t>npb-tie-aware-elo-v2</t>
        </is>
      </c>
      <c r="BD64" s="24" t="inlineStr">
        <is>
          <t>32c4c6e50df81339070058a656263ced4ce5596a79cba55455f7b3074ebcc4e7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npb-tie-aware-elo-v2</t>
        </is>
      </c>
      <c r="BH64" s="24" t="inlineStr">
        <is>
          <t>2026-09-08T04:35:36.300664Z</t>
        </is>
      </c>
      <c r="BI64" s="24" t="inlineStr">
        <is>
          <t>["same_event","same_team_same_day","same_league_same_day"]</t>
        </is>
      </c>
      <c r="BJ64" s="25" t="n"/>
      <c r="BK64" s="26" t="n">
        <v>-213</v>
      </c>
      <c r="BL64" s="27" t="n">
        <v>1.469484</v>
      </c>
      <c r="BM64" s="28" t="n">
        <v>0.680511</v>
      </c>
      <c r="BN64" s="28" t="n"/>
      <c r="BO64" s="28" t="n"/>
      <c r="BP64" s="25" t="n"/>
      <c r="BQ64" s="27" t="n">
        <v>1.469484</v>
      </c>
      <c r="BR64" s="28" t="n">
        <v>0.68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0.680511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95b0856251e646d8</t>
        </is>
      </c>
      <c r="B65" s="24" t="inlineStr">
        <is>
          <t>2026-09-08T04:35:36.513311Z</t>
        </is>
      </c>
      <c r="C65" s="24" t="inlineStr">
        <is>
          <t>2026-09-08T09:00:00Z</t>
        </is>
      </c>
      <c r="D65" s="24" t="inlineStr">
        <is>
          <t>103049</t>
        </is>
      </c>
      <c r="E65" s="24" t="inlineStr">
        <is>
          <t>NPB</t>
        </is>
      </c>
      <c r="F65" s="24" t="inlineStr">
        <is>
          <t>Saitama Seibu Lions</t>
        </is>
      </c>
      <c r="G65" s="24" t="inlineStr">
        <is>
          <t>Orix Buffaloes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-122</v>
      </c>
      <c r="M65" s="27" t="n">
        <v>1.819672</v>
      </c>
      <c r="N65" s="28" t="n">
        <v>0.54955</v>
      </c>
      <c r="O65" s="28" t="n">
        <v>0.525906</v>
      </c>
      <c r="P65" s="28" t="n"/>
      <c r="Q65" s="28" t="n">
        <v>-0.023644</v>
      </c>
      <c r="R65" s="26" t="n">
        <v>8</v>
      </c>
      <c r="S65" s="29" t="n">
        <v>1</v>
      </c>
      <c r="T65" s="24" t="inlineStr">
        <is>
          <t>npb-tie-aware-elo-v2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0</v>
      </c>
      <c r="Y65" s="25" t="n"/>
      <c r="Z65" s="26" t="n">
        <v>-122</v>
      </c>
      <c r="AA65" s="28" t="n">
        <v>0.55</v>
      </c>
      <c r="AB65" s="28" t="n">
        <v>0.00045</v>
      </c>
      <c r="AC65" s="30" t="n">
        <v>0.8197</v>
      </c>
      <c r="AD65" s="24" t="inlineStr">
        <is>
          <t>2026-09-08T23:00:44.351773Z</t>
        </is>
      </c>
      <c r="AE65" s="31" t="inlineStr">
        <is>
          <t>Tie-aware Elo baseline; executable ask 0.5500 (market_slug=aec-npb-obr-ssl-2026-09-08). Tie probability=0.0339.</t>
        </is>
      </c>
      <c r="AF65" s="31" t="inlineStr">
        <is>
          <t>Config-promoted international baseball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Saitama Seibu Lions</t>
        </is>
      </c>
      <c r="AQ65" s="24" t="inlineStr">
        <is>
          <t>Saitama Seibu Lions</t>
        </is>
      </c>
      <c r="AR65" s="24" t="inlineStr">
        <is>
          <t>Saitama Seibu Lions</t>
        </is>
      </c>
      <c r="AS65" s="24" t="inlineStr">
        <is>
          <t>Orix Buffaloes</t>
        </is>
      </c>
      <c r="AT65" s="24" t="inlineStr">
        <is>
          <t>Orix Buffaloes</t>
        </is>
      </c>
      <c r="AU65" s="24" t="inlineStr">
        <is>
          <t>Orix Buffaloes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32c4c6e50df81339070058a656263ced4ce5596a79cba55455f7b3074ebcc4e7</t>
        </is>
      </c>
      <c r="BB65" s="24" t="inlineStr">
        <is>
          <t>tie_aware_elo</t>
        </is>
      </c>
      <c r="BC65" s="24" t="inlineStr">
        <is>
          <t>npb-tie-aware-elo-v2</t>
        </is>
      </c>
      <c r="BD65" s="24" t="inlineStr">
        <is>
          <t>32c4c6e50df81339070058a656263ced4ce5596a79cba55455f7b3074ebcc4e7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npb-tie-aware-elo-v2</t>
        </is>
      </c>
      <c r="BH65" s="24" t="inlineStr">
        <is>
          <t>2026-09-08T04:35:36.370679Z</t>
        </is>
      </c>
      <c r="BI65" s="24" t="inlineStr">
        <is>
          <t>["same_event","same_team_same_day","same_league_same_day"]</t>
        </is>
      </c>
      <c r="BJ65" s="25" t="n"/>
      <c r="BK65" s="26" t="n">
        <v>-122</v>
      </c>
      <c r="BL65" s="27" t="n">
        <v>1.819672</v>
      </c>
      <c r="BM65" s="28" t="n">
        <v>0.54955</v>
      </c>
      <c r="BN65" s="28" t="n"/>
      <c r="BO65" s="28" t="n"/>
      <c r="BP65" s="25" t="n"/>
      <c r="BQ65" s="27" t="n">
        <v>1.819672</v>
      </c>
      <c r="BR65" s="28" t="n">
        <v>0.55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0.54955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0c98c2cf34c847af</t>
        </is>
      </c>
      <c r="B66" s="24" t="inlineStr">
        <is>
          <t>2026-09-08T04:35:36.513311Z</t>
        </is>
      </c>
      <c r="C66" s="24" t="inlineStr">
        <is>
          <t>2026-09-08T09:00:00Z</t>
        </is>
      </c>
      <c r="D66" s="24" t="inlineStr">
        <is>
          <t>103047</t>
        </is>
      </c>
      <c r="E66" s="24" t="inlineStr">
        <is>
          <t>NPB</t>
        </is>
      </c>
      <c r="F66" s="24" t="inlineStr">
        <is>
          <t>Hiroshima Carp</t>
        </is>
      </c>
      <c r="G66" s="24" t="inlineStr">
        <is>
          <t>Hanshin Tigers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-203</v>
      </c>
      <c r="M66" s="27" t="n">
        <v>1.492611</v>
      </c>
      <c r="N66" s="28" t="n">
        <v>0.669967</v>
      </c>
      <c r="O66" s="28" t="n">
        <v>0.679496</v>
      </c>
      <c r="P66" s="28" t="n"/>
      <c r="Q66" s="28" t="n">
        <v>0.009528999999999999</v>
      </c>
      <c r="R66" s="26" t="n">
        <v>25</v>
      </c>
      <c r="S66" s="29" t="n">
        <v>1</v>
      </c>
      <c r="T66" s="24" t="inlineStr">
        <is>
          <t>npb-tie-aware-elo-v2</t>
        </is>
      </c>
      <c r="U66" s="24" t="inlineStr">
        <is>
          <t>settled</t>
        </is>
      </c>
      <c r="V66" s="24" t="inlineStr">
        <is>
          <t>push</t>
        </is>
      </c>
      <c r="W66" s="26" t="n"/>
      <c r="X66" s="26" t="n"/>
      <c r="Y66" s="25" t="n"/>
      <c r="Z66" s="26" t="n"/>
      <c r="AA66" s="28" t="n"/>
      <c r="AB66" s="28" t="n"/>
      <c r="AC66" s="30" t="n">
        <v>0</v>
      </c>
      <c r="AD66" s="24" t="inlineStr">
        <is>
          <t>2026-10-06T23:00:24.661915Z</t>
        </is>
      </c>
      <c r="AE66" s="31" t="inlineStr">
        <is>
          <t>Tie-aware Elo baseline; executable ask 0.6700 (market_slug=aec-npb-hta-hci-2026-09-08). Tie probability=0.0201.</t>
        </is>
      </c>
      <c r="AF66" s="31" t="inlineStr">
        <is>
          <t>Config-promoted international baseball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Hiroshima Carp</t>
        </is>
      </c>
      <c r="AQ66" s="24" t="inlineStr">
        <is>
          <t>Hiroshima Carp</t>
        </is>
      </c>
      <c r="AR66" s="24" t="inlineStr">
        <is>
          <t>Hiroshima Carp</t>
        </is>
      </c>
      <c r="AS66" s="24" t="inlineStr">
        <is>
          <t>Hanshin Tigers</t>
        </is>
      </c>
      <c r="AT66" s="24" t="inlineStr">
        <is>
          <t>Hanshin Tigers</t>
        </is>
      </c>
      <c r="AU66" s="24" t="inlineStr">
        <is>
          <t>Hanshin Tigers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32c4c6e50df81339070058a656263ced4ce5596a79cba55455f7b3074ebcc4e7</t>
        </is>
      </c>
      <c r="BB66" s="24" t="inlineStr">
        <is>
          <t>tie_aware_elo</t>
        </is>
      </c>
      <c r="BC66" s="24" t="inlineStr">
        <is>
          <t>npb-tie-aware-elo-v2</t>
        </is>
      </c>
      <c r="BD66" s="24" t="inlineStr">
        <is>
          <t>32c4c6e50df81339070058a656263ced4ce5596a79cba55455f7b3074ebcc4e7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npb-tie-aware-elo-v2</t>
        </is>
      </c>
      <c r="BH66" s="24" t="inlineStr">
        <is>
          <t>2026-09-08T04:35:36.444869Z</t>
        </is>
      </c>
      <c r="BI66" s="24" t="inlineStr">
        <is>
          <t>["same_event","same_team_same_day","same_league_same_day"]</t>
        </is>
      </c>
      <c r="BJ66" s="25" t="n"/>
      <c r="BK66" s="26" t="n">
        <v>-203</v>
      </c>
      <c r="BL66" s="27" t="n">
        <v>1.492611</v>
      </c>
      <c r="BM66" s="28" t="n">
        <v>0.669967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inlineStr">
        <is>
          <t>NPB game scheduled on 2026-09-08 cancelled/postponed (no final score posted after &gt;7 days)</t>
        </is>
      </c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0.669967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b59688a9802244c2</t>
        </is>
      </c>
      <c r="B67" s="24" t="inlineStr">
        <is>
          <t>2026-09-08T04:35:36.513311Z</t>
        </is>
      </c>
      <c r="C67" s="24" t="inlineStr">
        <is>
          <t>2026-09-08T09:00:00Z</t>
        </is>
      </c>
      <c r="D67" s="24" t="inlineStr">
        <is>
          <t>103045</t>
        </is>
      </c>
      <c r="E67" s="24" t="inlineStr">
        <is>
          <t>NPB</t>
        </is>
      </c>
      <c r="F67" s="24" t="inlineStr">
        <is>
          <t>Chunichi Dragons</t>
        </is>
      </c>
      <c r="G67" s="24" t="inlineStr">
        <is>
          <t>Yomiuri Giants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0.632385</v>
      </c>
      <c r="P67" s="28" t="n"/>
      <c r="Q67" s="28" t="n">
        <v>0.06157</v>
      </c>
      <c r="R67" s="26" t="n">
        <v>51</v>
      </c>
      <c r="S67" s="29" t="n">
        <v>1</v>
      </c>
      <c r="T67" s="24" t="inlineStr">
        <is>
          <t>npb-tie-aware-elo-v2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0</v>
      </c>
      <c r="Y67" s="25" t="n"/>
      <c r="Z67" s="26" t="n">
        <v>-133</v>
      </c>
      <c r="AA67" s="28" t="n">
        <v>0.57</v>
      </c>
      <c r="AB67" s="28" t="n">
        <v>-0.000815</v>
      </c>
      <c r="AC67" s="30" t="n">
        <v>-1</v>
      </c>
      <c r="AD67" s="24" t="inlineStr">
        <is>
          <t>2026-09-08T23:00:46.557488Z</t>
        </is>
      </c>
      <c r="AE67" s="31" t="inlineStr">
        <is>
          <t>Tie-aware Elo baseline; executable ask 0.5700 (market_slug=aec-npb-ygo-cdh-2026-09-08). Tie probability=0.0245.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Chunichi Dragons</t>
        </is>
      </c>
      <c r="AQ67" s="24" t="inlineStr">
        <is>
          <t>Chunichi Dragons</t>
        </is>
      </c>
      <c r="AR67" s="24" t="inlineStr">
        <is>
          <t>Chunichi Dragons</t>
        </is>
      </c>
      <c r="AS67" s="24" t="inlineStr">
        <is>
          <t>Yomiuri Giants</t>
        </is>
      </c>
      <c r="AT67" s="24" t="inlineStr">
        <is>
          <t>Yomiuri Giants</t>
        </is>
      </c>
      <c r="AU67" s="24" t="inlineStr">
        <is>
          <t>Yomiuri Giants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32c4c6e50df81339070058a656263ced4ce5596a79cba55455f7b3074ebcc4e7</t>
        </is>
      </c>
      <c r="BB67" s="24" t="inlineStr">
        <is>
          <t>tie_aware_elo</t>
        </is>
      </c>
      <c r="BC67" s="24" t="inlineStr">
        <is>
          <t>npb-tie-aware-elo-v2</t>
        </is>
      </c>
      <c r="BD67" s="24" t="inlineStr">
        <is>
          <t>32c4c6e50df81339070058a656263ced4ce5596a79cba55455f7b3074ebcc4e7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npb-tie-aware-elo-v2</t>
        </is>
      </c>
      <c r="BH67" s="24" t="inlineStr">
        <is>
          <t>2026-09-08T04:35:36.513247Z</t>
        </is>
      </c>
      <c r="BI67" s="24" t="inlineStr">
        <is>
          <t>["same_event","same_team_same_day","same_league_same_day"]</t>
        </is>
      </c>
      <c r="BJ67" s="25" t="n"/>
      <c r="BK67" s="26" t="n">
        <v>-133</v>
      </c>
      <c r="BL67" s="27" t="n">
        <v>1.75188</v>
      </c>
      <c r="BM67" s="28" t="n">
        <v>0.570815</v>
      </c>
      <c r="BN67" s="28" t="n"/>
      <c r="BO67" s="28" t="n"/>
      <c r="BP67" s="25" t="n"/>
      <c r="BQ67" s="27" t="n">
        <v>1.75188</v>
      </c>
      <c r="BR67" s="28" t="n">
        <v>0.57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0.570815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f1d2017ef83a4bbd</t>
        </is>
      </c>
      <c r="B68" s="24" t="inlineStr">
        <is>
          <t>2026-09-09T04:34:50.163038Z</t>
        </is>
      </c>
      <c r="C68" s="24" t="inlineStr">
        <is>
          <t>2026-09-09T09:00:00Z</t>
        </is>
      </c>
      <c r="D68" s="24" t="inlineStr">
        <is>
          <t>104535</t>
        </is>
      </c>
      <c r="E68" s="24" t="inlineStr">
        <is>
          <t>NPB</t>
        </is>
      </c>
      <c r="F68" s="24" t="inlineStr">
        <is>
          <t>Saitama Seibu Lions</t>
        </is>
      </c>
      <c r="G68" s="24" t="inlineStr">
        <is>
          <t>Orix Buffaloes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117</v>
      </c>
      <c r="M68" s="27" t="n">
        <v>2.17</v>
      </c>
      <c r="N68" s="28" t="n">
        <v>0.460829</v>
      </c>
      <c r="O68" s="28" t="n">
        <v>0.536423</v>
      </c>
      <c r="P68" s="28" t="n"/>
      <c r="Q68" s="28" t="n">
        <v>0.07559399999999999</v>
      </c>
      <c r="R68" s="26" t="n">
        <v>58</v>
      </c>
      <c r="S68" s="29" t="n">
        <v>1.25</v>
      </c>
      <c r="T68" s="24" t="inlineStr">
        <is>
          <t>npb-tie-aware-elo-v2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8</v>
      </c>
      <c r="X68" s="26" t="n">
        <v>0</v>
      </c>
      <c r="Y68" s="25" t="n"/>
      <c r="Z68" s="26" t="n">
        <v>117</v>
      </c>
      <c r="AA68" s="28" t="n">
        <v>0.46</v>
      </c>
      <c r="AB68" s="28" t="n">
        <v>-0.000829</v>
      </c>
      <c r="AC68" s="30" t="n">
        <v>1.4625</v>
      </c>
      <c r="AD68" s="24" t="inlineStr">
        <is>
          <t>2026-09-09T22:04:22.834734Z</t>
        </is>
      </c>
      <c r="AE68" s="31" t="inlineStr">
        <is>
          <t>Tie-aware Elo baseline; executable ask 0.4600 (market_slug=aec-npb-obr-ssl-2026-09-09). Tie probability=0.0329.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Saitama Seibu Lions</t>
        </is>
      </c>
      <c r="AQ68" s="24" t="inlineStr">
        <is>
          <t>Saitama Seibu Lions</t>
        </is>
      </c>
      <c r="AR68" s="24" t="inlineStr">
        <is>
          <t>Saitama Seibu Lions</t>
        </is>
      </c>
      <c r="AS68" s="24" t="inlineStr">
        <is>
          <t>Orix Buffaloes</t>
        </is>
      </c>
      <c r="AT68" s="24" t="inlineStr">
        <is>
          <t>Orix Buffaloes</t>
        </is>
      </c>
      <c r="AU68" s="24" t="inlineStr">
        <is>
          <t>Orix Buffaloes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dea86af59888267a165e70ff6ab15e0e8c8c8777a64392cf06ecf037cfab7c77</t>
        </is>
      </c>
      <c r="BB68" s="24" t="inlineStr">
        <is>
          <t>tie_aware_elo</t>
        </is>
      </c>
      <c r="BC68" s="24" t="inlineStr">
        <is>
          <t>npb-tie-aware-elo-v2</t>
        </is>
      </c>
      <c r="BD68" s="24" t="inlineStr">
        <is>
          <t>dea86af59888267a165e70ff6ab15e0e8c8c8777a64392cf06ecf037cfab7c77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npb-tie-aware-elo-v2</t>
        </is>
      </c>
      <c r="BH68" s="24" t="inlineStr">
        <is>
          <t>2026-09-09T04:34:49.761598Z</t>
        </is>
      </c>
      <c r="BI68" s="24" t="inlineStr">
        <is>
          <t>["same_event","same_team_same_day","same_league_same_day"]</t>
        </is>
      </c>
      <c r="BJ68" s="25" t="n"/>
      <c r="BK68" s="26" t="n">
        <v>117</v>
      </c>
      <c r="BL68" s="27" t="n">
        <v>2.17</v>
      </c>
      <c r="BM68" s="28" t="n">
        <v>0.460829</v>
      </c>
      <c r="BN68" s="28" t="n"/>
      <c r="BO68" s="28" t="n"/>
      <c r="BP68" s="25" t="n"/>
      <c r="BQ68" s="27" t="n">
        <v>2.17</v>
      </c>
      <c r="BR68" s="28" t="n">
        <v>0.46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0.460829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db185c2d256c4645</t>
        </is>
      </c>
      <c r="B69" s="24" t="inlineStr">
        <is>
          <t>2026-09-09T04:34:50.163038Z</t>
        </is>
      </c>
      <c r="C69" s="24" t="inlineStr">
        <is>
          <t>2026-09-09T09:00:00Z</t>
        </is>
      </c>
      <c r="D69" s="24" t="inlineStr">
        <is>
          <t>104526</t>
        </is>
      </c>
      <c r="E69" s="24" t="inlineStr">
        <is>
          <t>NPB</t>
        </is>
      </c>
      <c r="F69" s="24" t="inlineStr">
        <is>
          <t>Tokyo Yakult Swallows</t>
        </is>
      </c>
      <c r="G69" s="24" t="inlineStr">
        <is>
          <t>Yokohama BayStars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-138</v>
      </c>
      <c r="M69" s="27" t="n">
        <v>1.724638</v>
      </c>
      <c r="N69" s="28" t="n">
        <v>0.579832</v>
      </c>
      <c r="O69" s="28" t="n">
        <v>0.628302</v>
      </c>
      <c r="P69" s="28" t="n"/>
      <c r="Q69" s="28" t="n">
        <v>0.04847</v>
      </c>
      <c r="R69" s="26" t="n">
        <v>44</v>
      </c>
      <c r="S69" s="29" t="n">
        <v>1</v>
      </c>
      <c r="T69" s="24" t="inlineStr">
        <is>
          <t>npb-tie-aware-elo-v2</t>
        </is>
      </c>
      <c r="U69" s="24" t="inlineStr">
        <is>
          <t>settled</t>
        </is>
      </c>
      <c r="V69" s="24" t="inlineStr">
        <is>
          <t>win</t>
        </is>
      </c>
      <c r="W69" s="26" t="n">
        <v>2</v>
      </c>
      <c r="X69" s="26" t="n">
        <v>9</v>
      </c>
      <c r="Y69" s="25" t="n"/>
      <c r="Z69" s="26" t="n">
        <v>-138</v>
      </c>
      <c r="AA69" s="28" t="n">
        <v>0.58</v>
      </c>
      <c r="AB69" s="28" t="n">
        <v>0.000168</v>
      </c>
      <c r="AC69" s="30" t="n">
        <v>0.7246</v>
      </c>
      <c r="AD69" s="24" t="inlineStr">
        <is>
          <t>2026-09-09T22:04:23.130275Z</t>
        </is>
      </c>
      <c r="AE69" s="31" t="inlineStr">
        <is>
          <t>Tie-aware Elo baseline; executable ask 0.5800 (market_slug=aec-npb-ybo-tys-2026-09-09). Tie probability=0.0248.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Tokyo Yakult Swallows</t>
        </is>
      </c>
      <c r="AQ69" s="24" t="inlineStr">
        <is>
          <t>Tokyo Yakult Swallows</t>
        </is>
      </c>
      <c r="AR69" s="24" t="inlineStr">
        <is>
          <t>Tokyo Yakult Swallows</t>
        </is>
      </c>
      <c r="AS69" s="24" t="inlineStr">
        <is>
          <t>Yokohama BayStars</t>
        </is>
      </c>
      <c r="AT69" s="24" t="inlineStr">
        <is>
          <t>Yokohama BayStars</t>
        </is>
      </c>
      <c r="AU69" s="24" t="inlineStr">
        <is>
          <t>Yokohama BayStars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dea86af59888267a165e70ff6ab15e0e8c8c8777a64392cf06ecf037cfab7c77</t>
        </is>
      </c>
      <c r="BB69" s="24" t="inlineStr">
        <is>
          <t>tie_aware_elo</t>
        </is>
      </c>
      <c r="BC69" s="24" t="inlineStr">
        <is>
          <t>npb-tie-aware-elo-v2</t>
        </is>
      </c>
      <c r="BD69" s="24" t="inlineStr">
        <is>
          <t>dea86af59888267a165e70ff6ab15e0e8c8c8777a64392cf06ecf037cfab7c77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npb-tie-aware-elo-v2</t>
        </is>
      </c>
      <c r="BH69" s="24" t="inlineStr">
        <is>
          <t>2026-09-09T04:34:49.814136Z</t>
        </is>
      </c>
      <c r="BI69" s="24" t="inlineStr">
        <is>
          <t>["same_event","same_team_same_day","same_league_same_day"]</t>
        </is>
      </c>
      <c r="BJ69" s="25" t="n"/>
      <c r="BK69" s="26" t="n">
        <v>-138</v>
      </c>
      <c r="BL69" s="27" t="n">
        <v>1.724638</v>
      </c>
      <c r="BM69" s="28" t="n">
        <v>0.579832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0.579832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becf0bbc8cd94672</t>
        </is>
      </c>
      <c r="B70" s="24" t="inlineStr">
        <is>
          <t>2026-09-09T04:34:50.163038Z</t>
        </is>
      </c>
      <c r="C70" s="24" t="inlineStr">
        <is>
          <t>2026-09-09T09:00:00Z</t>
        </is>
      </c>
      <c r="D70" s="24" t="inlineStr">
        <is>
          <t>104541</t>
        </is>
      </c>
      <c r="E70" s="24" t="inlineStr">
        <is>
          <t>NPB</t>
        </is>
      </c>
      <c r="F70" s="24" t="inlineStr">
        <is>
          <t>Chunichi Dragons</t>
        </is>
      </c>
      <c r="G70" s="24" t="inlineStr">
        <is>
          <t>Yomiuri Giants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-113</v>
      </c>
      <c r="M70" s="27" t="n">
        <v>1.884956</v>
      </c>
      <c r="N70" s="28" t="n">
        <v>0.530516</v>
      </c>
      <c r="O70" s="28" t="n">
        <v>0.61891</v>
      </c>
      <c r="P70" s="28" t="n"/>
      <c r="Q70" s="28" t="n">
        <v>0.088394</v>
      </c>
      <c r="R70" s="26" t="n">
        <v>64</v>
      </c>
      <c r="S70" s="29" t="n">
        <v>1.25</v>
      </c>
      <c r="T70" s="24" t="inlineStr">
        <is>
          <t>npb-tie-aware-elo-v2</t>
        </is>
      </c>
      <c r="U70" s="24" t="inlineStr">
        <is>
          <t>settled</t>
        </is>
      </c>
      <c r="V70" s="24" t="inlineStr">
        <is>
          <t>win</t>
        </is>
      </c>
      <c r="W70" s="26" t="n">
        <v>1</v>
      </c>
      <c r="X70" s="26" t="n">
        <v>5</v>
      </c>
      <c r="Y70" s="25" t="n"/>
      <c r="Z70" s="26" t="n">
        <v>-113</v>
      </c>
      <c r="AA70" s="28" t="n">
        <v>0.53</v>
      </c>
      <c r="AB70" s="28" t="n">
        <v>-0.000516</v>
      </c>
      <c r="AC70" s="30" t="n">
        <v>1.1062</v>
      </c>
      <c r="AD70" s="24" t="inlineStr">
        <is>
          <t>2026-09-09T22:04:23.318065Z</t>
        </is>
      </c>
      <c r="AE70" s="31" t="inlineStr">
        <is>
          <t>Tie-aware Elo baseline; executable ask 0.5300 (market_slug=aec-npb-ygo-cdh-2026-09-09). Tie probability=0.0257.</t>
        </is>
      </c>
      <c r="AF70" s="31" t="inlineStr">
        <is>
          <t>Config-promoted international baseball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Chunichi Dragons</t>
        </is>
      </c>
      <c r="AQ70" s="24" t="inlineStr">
        <is>
          <t>Chunichi Dragons</t>
        </is>
      </c>
      <c r="AR70" s="24" t="inlineStr">
        <is>
          <t>Chunichi Dragons</t>
        </is>
      </c>
      <c r="AS70" s="24" t="inlineStr">
        <is>
          <t>Yomiuri Giants</t>
        </is>
      </c>
      <c r="AT70" s="24" t="inlineStr">
        <is>
          <t>Yomiuri Giants</t>
        </is>
      </c>
      <c r="AU70" s="24" t="inlineStr">
        <is>
          <t>Yomiuri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dea86af59888267a165e70ff6ab15e0e8c8c8777a64392cf06ecf037cfab7c77</t>
        </is>
      </c>
      <c r="BB70" s="24" t="inlineStr">
        <is>
          <t>tie_aware_elo</t>
        </is>
      </c>
      <c r="BC70" s="24" t="inlineStr">
        <is>
          <t>npb-tie-aware-elo-v2</t>
        </is>
      </c>
      <c r="BD70" s="24" t="inlineStr">
        <is>
          <t>dea86af59888267a165e70ff6ab15e0e8c8c8777a64392cf06ecf037cfab7c77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npb-tie-aware-elo-v2</t>
        </is>
      </c>
      <c r="BH70" s="24" t="inlineStr">
        <is>
          <t>2026-09-09T04:34:49.868660Z</t>
        </is>
      </c>
      <c r="BI70" s="24" t="inlineStr">
        <is>
          <t>["same_event","same_team_same_day","same_league_same_day"]</t>
        </is>
      </c>
      <c r="BJ70" s="25" t="n"/>
      <c r="BK70" s="26" t="n">
        <v>-113</v>
      </c>
      <c r="BL70" s="27" t="n">
        <v>1.884956</v>
      </c>
      <c r="BM70" s="28" t="n">
        <v>0.530516</v>
      </c>
      <c r="BN70" s="28" t="n"/>
      <c r="BO70" s="28" t="n"/>
      <c r="BP70" s="25" t="n"/>
      <c r="BQ70" s="27" t="n">
        <v>1.884956</v>
      </c>
      <c r="BR70" s="28" t="n">
        <v>0.53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0.530516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9c52b684db324b05</t>
        </is>
      </c>
      <c r="B71" s="24" t="inlineStr">
        <is>
          <t>2026-09-09T04:34:50.163038Z</t>
        </is>
      </c>
      <c r="C71" s="24" t="inlineStr">
        <is>
          <t>2026-09-09T09:00:00Z</t>
        </is>
      </c>
      <c r="D71" s="24" t="inlineStr">
        <is>
          <t>104536</t>
        </is>
      </c>
      <c r="E71" s="24" t="inlineStr">
        <is>
          <t>NPB</t>
        </is>
      </c>
      <c r="F71" s="24" t="inlineStr">
        <is>
          <t>Tohoku Rakuten Golden Eagles</t>
        </is>
      </c>
      <c r="G71" s="24" t="inlineStr">
        <is>
          <t>Chiba Lotte Marines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0.608731</v>
      </c>
      <c r="P71" s="28" t="n"/>
      <c r="Q71" s="28" t="n">
        <v>0.139247</v>
      </c>
      <c r="R71" s="26" t="n">
        <v>90</v>
      </c>
      <c r="S71" s="29" t="n">
        <v>1.5</v>
      </c>
      <c r="T71" s="24" t="inlineStr">
        <is>
          <t>npb-tie-aware-elo-v2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4</v>
      </c>
      <c r="X71" s="26" t="n">
        <v>10</v>
      </c>
      <c r="Y71" s="25" t="n"/>
      <c r="Z71" s="26" t="n">
        <v>113</v>
      </c>
      <c r="AA71" s="28" t="n">
        <v>0.47</v>
      </c>
      <c r="AB71" s="28" t="n">
        <v>0.000516</v>
      </c>
      <c r="AC71" s="30" t="n">
        <v>1.695</v>
      </c>
      <c r="AD71" s="24" t="inlineStr">
        <is>
          <t>2026-09-09T22:04:23.499988Z</t>
        </is>
      </c>
      <c r="AE71" s="31" t="inlineStr">
        <is>
          <t>Tie-aware Elo baseline; executable ask 0.4700 (market_slug=aec-npb-clm-trge-2026-09-09). Tie probability=0.0266.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Tohoku Rakuten Golden Eagles</t>
        </is>
      </c>
      <c r="AQ71" s="24" t="inlineStr">
        <is>
          <t>Tohoku Rakuten Golden Eagles</t>
        </is>
      </c>
      <c r="AR71" s="24" t="inlineStr">
        <is>
          <t>Tohoku Rakuten Golden Eagles</t>
        </is>
      </c>
      <c r="AS71" s="24" t="inlineStr">
        <is>
          <t>Chiba Lotte Marines</t>
        </is>
      </c>
      <c r="AT71" s="24" t="inlineStr">
        <is>
          <t>Chiba Lotte Marines</t>
        </is>
      </c>
      <c r="AU71" s="24" t="inlineStr">
        <is>
          <t>Chiba Lotte Marines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dea86af59888267a165e70ff6ab15e0e8c8c8777a64392cf06ecf037cfab7c77</t>
        </is>
      </c>
      <c r="BB71" s="24" t="inlineStr">
        <is>
          <t>tie_aware_elo</t>
        </is>
      </c>
      <c r="BC71" s="24" t="inlineStr">
        <is>
          <t>npb-tie-aware-elo-v2</t>
        </is>
      </c>
      <c r="BD71" s="24" t="inlineStr">
        <is>
          <t>dea86af59888267a165e70ff6ab15e0e8c8c8777a64392cf06ecf037cfab7c77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npb-tie-aware-elo-v2</t>
        </is>
      </c>
      <c r="BH71" s="24" t="inlineStr">
        <is>
          <t>2026-09-09T04:34:49.950559Z</t>
        </is>
      </c>
      <c r="BI71" s="24" t="inlineStr">
        <is>
          <t>["same_event","same_team_same_day","same_league_same_day"]</t>
        </is>
      </c>
      <c r="BJ71" s="25" t="n"/>
      <c r="BK71" s="26" t="n">
        <v>113</v>
      </c>
      <c r="BL71" s="27" t="n">
        <v>2.13</v>
      </c>
      <c r="BM71" s="28" t="n">
        <v>0.469484</v>
      </c>
      <c r="BN71" s="28" t="n"/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0.469484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d17b2ee632354ca2</t>
        </is>
      </c>
      <c r="B72" s="24" t="inlineStr">
        <is>
          <t>2026-09-09T04:34:50.163038Z</t>
        </is>
      </c>
      <c r="C72" s="24" t="inlineStr">
        <is>
          <t>2026-09-09T09:00:00Z</t>
        </is>
      </c>
      <c r="D72" s="24" t="inlineStr">
        <is>
          <t>104527</t>
        </is>
      </c>
      <c r="E72" s="24" t="inlineStr">
        <is>
          <t>NPB</t>
        </is>
      </c>
      <c r="F72" s="24" t="inlineStr">
        <is>
          <t>Hiroshima Carp</t>
        </is>
      </c>
      <c r="G72" s="24" t="inlineStr">
        <is>
          <t>Hanshin Tigers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-223</v>
      </c>
      <c r="M72" s="27" t="n">
        <v>1.44843</v>
      </c>
      <c r="N72" s="28" t="n">
        <v>0.690402</v>
      </c>
      <c r="O72" s="28" t="n">
        <v>0.6795</v>
      </c>
      <c r="P72" s="28" t="n"/>
      <c r="Q72" s="28" t="n">
        <v>-0.010902</v>
      </c>
      <c r="R72" s="26" t="n">
        <v>15</v>
      </c>
      <c r="S72" s="29" t="n">
        <v>1</v>
      </c>
      <c r="T72" s="24" t="inlineStr">
        <is>
          <t>npb-tie-aware-elo-v2</t>
        </is>
      </c>
      <c r="U72" s="24" t="inlineStr">
        <is>
          <t>settled</t>
        </is>
      </c>
      <c r="V72" s="24" t="inlineStr">
        <is>
          <t>loss</t>
        </is>
      </c>
      <c r="W72" s="26" t="n">
        <v>3</v>
      </c>
      <c r="X72" s="26" t="n">
        <v>1</v>
      </c>
      <c r="Y72" s="25" t="n"/>
      <c r="Z72" s="26" t="n">
        <v>-223</v>
      </c>
      <c r="AA72" s="28" t="n">
        <v>0.6899999999999999</v>
      </c>
      <c r="AB72" s="28" t="n">
        <v>-0.000402</v>
      </c>
      <c r="AC72" s="30" t="n">
        <v>-1</v>
      </c>
      <c r="AD72" s="24" t="inlineStr">
        <is>
          <t>2026-09-09T22:04:23.681206Z</t>
        </is>
      </c>
      <c r="AE72" s="31" t="inlineStr">
        <is>
          <t>Tie-aware Elo baseline; executable ask 0.6900 (market_slug=aec-npb-hta-hci-2026-09-09). Tie probability=0.0200.</t>
        </is>
      </c>
      <c r="AF72" s="31" t="inlineStr">
        <is>
          <t>Config-promoted international baseball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Hiroshima Carp</t>
        </is>
      </c>
      <c r="AQ72" s="24" t="inlineStr">
        <is>
          <t>Hiroshima Carp</t>
        </is>
      </c>
      <c r="AR72" s="24" t="inlineStr">
        <is>
          <t>Hiroshima Carp</t>
        </is>
      </c>
      <c r="AS72" s="24" t="inlineStr">
        <is>
          <t>Hanshin Tigers</t>
        </is>
      </c>
      <c r="AT72" s="24" t="inlineStr">
        <is>
          <t>Hanshin Tigers</t>
        </is>
      </c>
      <c r="AU72" s="24" t="inlineStr">
        <is>
          <t>Hanshin Tigers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dea86af59888267a165e70ff6ab15e0e8c8c8777a64392cf06ecf037cfab7c77</t>
        </is>
      </c>
      <c r="BB72" s="24" t="inlineStr">
        <is>
          <t>tie_aware_elo</t>
        </is>
      </c>
      <c r="BC72" s="24" t="inlineStr">
        <is>
          <t>npb-tie-aware-elo-v2</t>
        </is>
      </c>
      <c r="BD72" s="24" t="inlineStr">
        <is>
          <t>dea86af59888267a165e70ff6ab15e0e8c8c8777a64392cf06ecf037cfab7c77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npb-tie-aware-elo-v2</t>
        </is>
      </c>
      <c r="BH72" s="24" t="inlineStr">
        <is>
          <t>2026-09-09T04:34:50.012158Z</t>
        </is>
      </c>
      <c r="BI72" s="24" t="inlineStr">
        <is>
          <t>["same_event","same_team_same_day","same_league_same_day"]</t>
        </is>
      </c>
      <c r="BJ72" s="25" t="n"/>
      <c r="BK72" s="26" t="n">
        <v>-223</v>
      </c>
      <c r="BL72" s="27" t="n">
        <v>1.44843</v>
      </c>
      <c r="BM72" s="28" t="n">
        <v>0.690402</v>
      </c>
      <c r="BN72" s="28" t="n"/>
      <c r="BO72" s="28" t="n"/>
      <c r="BP72" s="25" t="n"/>
      <c r="BQ72" s="27" t="n">
        <v>1.44843</v>
      </c>
      <c r="BR72" s="28" t="n">
        <v>0.6899999999999999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0.690402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f531ab4359d345a1</t>
        </is>
      </c>
      <c r="B73" s="24" t="inlineStr">
        <is>
          <t>2026-09-09T04:34:50.163038Z</t>
        </is>
      </c>
      <c r="C73" s="24" t="inlineStr">
        <is>
          <t>2026-09-09T09:00:00Z</t>
        </is>
      </c>
      <c r="D73" s="24" t="inlineStr">
        <is>
          <t>104529</t>
        </is>
      </c>
      <c r="E73" s="24" t="inlineStr">
        <is>
          <t>NPB</t>
        </is>
      </c>
      <c r="F73" s="24" t="inlineStr">
        <is>
          <t>Nippon Ham Fighters</t>
        </is>
      </c>
      <c r="G73" s="24" t="inlineStr">
        <is>
          <t>Fukuoka SoftBank Hawks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0.591512</v>
      </c>
      <c r="P73" s="28" t="n"/>
      <c r="Q73" s="28" t="n">
        <v>0.01168</v>
      </c>
      <c r="R73" s="26" t="n">
        <v>26</v>
      </c>
      <c r="S73" s="29" t="n">
        <v>1</v>
      </c>
      <c r="T73" s="24" t="inlineStr">
        <is>
          <t>npb-tie-aware-elo-v2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4</v>
      </c>
      <c r="X73" s="26" t="n">
        <v>5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0.7246</v>
      </c>
      <c r="AD73" s="24" t="inlineStr">
        <is>
          <t>2026-09-09T22:04:23.864052Z</t>
        </is>
      </c>
      <c r="AE73" s="31" t="inlineStr">
        <is>
          <t>Tie-aware Elo baseline; executable ask 0.5800 (market_slug=aec-npb-fsh-nhf-2026-09-09). Tie probability=0.0281.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Nippon Ham Fighters</t>
        </is>
      </c>
      <c r="AQ73" s="24" t="inlineStr">
        <is>
          <t>Nippon Ham Fighters</t>
        </is>
      </c>
      <c r="AR73" s="24" t="inlineStr">
        <is>
          <t>Nippon Ham Fighters</t>
        </is>
      </c>
      <c r="AS73" s="24" t="inlineStr">
        <is>
          <t>Fukuoka SoftBank Hawks</t>
        </is>
      </c>
      <c r="AT73" s="24" t="inlineStr">
        <is>
          <t>Fukuoka SoftBank Hawks</t>
        </is>
      </c>
      <c r="AU73" s="24" t="inlineStr">
        <is>
          <t>Fukuoka SoftBank Hawks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dea86af59888267a165e70ff6ab15e0e8c8c8777a64392cf06ecf037cfab7c77</t>
        </is>
      </c>
      <c r="BB73" s="24" t="inlineStr">
        <is>
          <t>tie_aware_elo</t>
        </is>
      </c>
      <c r="BC73" s="24" t="inlineStr">
        <is>
          <t>npb-tie-aware-elo-v2</t>
        </is>
      </c>
      <c r="BD73" s="24" t="inlineStr">
        <is>
          <t>dea86af59888267a165e70ff6ab15e0e8c8c8777a64392cf06ecf037cfab7c77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npb-tie-aware-elo-v2</t>
        </is>
      </c>
      <c r="BH73" s="24" t="inlineStr">
        <is>
          <t>2026-09-09T04:34:50.162984Z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dd5cbf5f3e4549e8</t>
        </is>
      </c>
      <c r="B74" s="24" t="inlineStr">
        <is>
          <t>2026-09-10T04:35:57.829262Z</t>
        </is>
      </c>
      <c r="C74" s="24" t="inlineStr">
        <is>
          <t>2026-09-10T09:00:00Z</t>
        </is>
      </c>
      <c r="D74" s="24" t="inlineStr">
        <is>
          <t>105510</t>
        </is>
      </c>
      <c r="E74" s="24" t="inlineStr">
        <is>
          <t>NPB</t>
        </is>
      </c>
      <c r="F74" s="24" t="inlineStr">
        <is>
          <t>Nippon Ham Fighters</t>
        </is>
      </c>
      <c r="G74" s="24" t="inlineStr">
        <is>
          <t>Fukuoka SoftBank Hawks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-150</v>
      </c>
      <c r="M74" s="27" t="n">
        <v>1.666667</v>
      </c>
      <c r="N74" s="28" t="n">
        <v>0.6</v>
      </c>
      <c r="O74" s="28" t="n">
        <v>0.600325</v>
      </c>
      <c r="P74" s="28" t="n"/>
      <c r="Q74" s="28" t="n">
        <v>0.000325</v>
      </c>
      <c r="R74" s="26" t="n">
        <v>20</v>
      </c>
      <c r="S74" s="29" t="n">
        <v>1</v>
      </c>
      <c r="T74" s="24" t="inlineStr">
        <is>
          <t>npb-tie-aware-elo-v2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3</v>
      </c>
      <c r="Y74" s="25" t="n"/>
      <c r="Z74" s="26" t="n">
        <v>-150</v>
      </c>
      <c r="AA74" s="28" t="n">
        <v>0.6</v>
      </c>
      <c r="AB74" s="28" t="n">
        <v>0</v>
      </c>
      <c r="AC74" s="30" t="n">
        <v>0.6667</v>
      </c>
      <c r="AD74" s="24" t="inlineStr">
        <is>
          <t>2026-09-10T22:03:20.034995Z</t>
        </is>
      </c>
      <c r="AE74" s="31" t="inlineStr">
        <is>
          <t>Tie-aware Elo baseline; executable ask 0.6000 (market_slug=aec-npb-fsh-nhf-2026-09-10). Tie probability=0.0273.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Nippon Ham Fighters</t>
        </is>
      </c>
      <c r="AQ74" s="24" t="inlineStr">
        <is>
          <t>Nippon Ham Fighters</t>
        </is>
      </c>
      <c r="AR74" s="24" t="inlineStr">
        <is>
          <t>Nippon Ham Fighters</t>
        </is>
      </c>
      <c r="AS74" s="24" t="inlineStr">
        <is>
          <t>Fukuoka SoftBank Hawks</t>
        </is>
      </c>
      <c r="AT74" s="24" t="inlineStr">
        <is>
          <t>Fukuoka SoftBank Hawks</t>
        </is>
      </c>
      <c r="AU74" s="24" t="inlineStr">
        <is>
          <t>Fukuoka SoftBank Hawks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b07c14cfcf9ee2183513ba5f3c2e7ca1eaea1ed60af01b7cf91b3acbdde7a31f</t>
        </is>
      </c>
      <c r="BB74" s="24" t="inlineStr">
        <is>
          <t>tie_aware_elo</t>
        </is>
      </c>
      <c r="BC74" s="24" t="inlineStr">
        <is>
          <t>npb-tie-aware-elo-v2</t>
        </is>
      </c>
      <c r="BD74" s="24" t="inlineStr">
        <is>
          <t>b07c14cfcf9ee2183513ba5f3c2e7ca1eaea1ed60af01b7cf91b3acbdde7a31f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npb-tie-aware-elo-v2</t>
        </is>
      </c>
      <c r="BH74" s="24" t="inlineStr">
        <is>
          <t>2026-09-10T04:35:57.014292Z</t>
        </is>
      </c>
      <c r="BI74" s="24" t="inlineStr">
        <is>
          <t>["same_event","same_team_same_day","same_league_same_day"]</t>
        </is>
      </c>
      <c r="BJ74" s="25" t="n"/>
      <c r="BK74" s="26" t="n">
        <v>-150</v>
      </c>
      <c r="BL74" s="27" t="n">
        <v>1.666667</v>
      </c>
      <c r="BM74" s="28" t="n">
        <v>0.6</v>
      </c>
      <c r="BN74" s="28" t="n"/>
      <c r="BO74" s="28" t="n"/>
      <c r="BP74" s="25" t="n"/>
      <c r="BQ74" s="27" t="n">
        <v>1.666667</v>
      </c>
      <c r="BR74" s="28" t="n">
        <v>0.6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"b07c14cfcf9ee2183513ba5f3c2e7ca1eaea1ed60af01b7cf91b3acbdde7a31f", "away_team": "Nippon Ham Fighters", "draw_settlement_value": 0.5, "event_id": "105510", "event_start_utc": "2026-09-10T09:00:00Z", "features": {"away_elo": 1565.94797, "base_tie_rate": 0.02403496, "home_advantage": 35.0, "home_elo": 1603.661722}, "historical_source_observation_times_verified": false, "home_team": "Fukuoka SoftBank Hawks", "inference_inputs": {"away_id": "F", "base_tie_rate": 0.02403496, "book_state": {"_games_played": null, "_last_active": null, "decay_rate": 0.0, "home_advantage": 35.0, "k": 8.0, "margin_weight": 0.0, "ratings": {"F": 1565.94797, "H": 1603.661722}},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"2026-09-10T04:35:56.944412+00:00", "outcome_probabilities": {"away": 0.38601821716069246, "draw": 0.02731407939615039, "home": 0.5866677034431571}, "replay_scope": "Exact Elo and tie model; logged value is expected contract settlement, not outright win probability.", "schema": "international-elo-replay-v1", "settlement_values": {"away": 0.399675, "home": 0.600325}, "snapshot_hash": "7385fb516aa59d12cafcb02fe4d0522dd039566989bffb4c3afc27135306708f", "sport": "NPB"}</t>
        </is>
      </c>
    </row>
    <row r="75" ht="36" customHeight="1">
      <c r="A75" s="24" t="inlineStr">
        <is>
          <t>6add9b6dc86249c8</t>
        </is>
      </c>
      <c r="B75" s="24" t="inlineStr">
        <is>
          <t>2026-09-10T04:35:57.829262Z</t>
        </is>
      </c>
      <c r="C75" s="24" t="inlineStr">
        <is>
          <t>2026-09-10T09:00:00Z</t>
        </is>
      </c>
      <c r="D75" s="24" t="inlineStr">
        <is>
          <t>105511</t>
        </is>
      </c>
      <c r="E75" s="24" t="inlineStr">
        <is>
          <t>NPB</t>
        </is>
      </c>
      <c r="F75" s="24" t="inlineStr">
        <is>
          <t>Chunichi Dragons</t>
        </is>
      </c>
      <c r="G75" s="24" t="inlineStr">
        <is>
          <t>Yomiuri Giants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-127</v>
      </c>
      <c r="M75" s="27" t="n">
        <v>1.787402</v>
      </c>
      <c r="N75" s="28" t="n">
        <v>0.5594710000000001</v>
      </c>
      <c r="O75" s="28" t="n">
        <v>0.626949</v>
      </c>
      <c r="P75" s="28" t="n"/>
      <c r="Q75" s="28" t="n">
        <v>0.067478</v>
      </c>
      <c r="R75" s="26" t="n">
        <v>54</v>
      </c>
      <c r="S75" s="29" t="n">
        <v>1</v>
      </c>
      <c r="T75" s="24" t="inlineStr">
        <is>
          <t>npb-tie-aware-elo-v2</t>
        </is>
      </c>
      <c r="U75" s="24" t="inlineStr">
        <is>
          <t>settled</t>
        </is>
      </c>
      <c r="V75" s="24" t="inlineStr">
        <is>
          <t>win</t>
        </is>
      </c>
      <c r="W75" s="26" t="n">
        <v>3</v>
      </c>
      <c r="X75" s="26" t="n">
        <v>5</v>
      </c>
      <c r="Y75" s="25" t="n"/>
      <c r="Z75" s="26" t="n">
        <v>-127</v>
      </c>
      <c r="AA75" s="28" t="n">
        <v>0.5600000000000001</v>
      </c>
      <c r="AB75" s="28" t="n">
        <v>0.000529</v>
      </c>
      <c r="AC75" s="30" t="n">
        <v>0.7874</v>
      </c>
      <c r="AD75" s="24" t="inlineStr">
        <is>
          <t>2026-09-10T22:03:20.127160Z</t>
        </is>
      </c>
      <c r="AE75" s="31" t="inlineStr">
        <is>
          <t>Tie-aware Elo baseline; executable ask 0.5600 (market_slug=aec-npb-ygo-cdh-2026-09-10). Tie probability=0.0249.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Chunichi Dragons</t>
        </is>
      </c>
      <c r="AQ75" s="24" t="inlineStr">
        <is>
          <t>Chunichi Dragons</t>
        </is>
      </c>
      <c r="AR75" s="24" t="inlineStr">
        <is>
          <t>Chunichi Dragons</t>
        </is>
      </c>
      <c r="AS75" s="24" t="inlineStr">
        <is>
          <t>Yomiuri Giants</t>
        </is>
      </c>
      <c r="AT75" s="24" t="inlineStr">
        <is>
          <t>Yomiuri Giants</t>
        </is>
      </c>
      <c r="AU75" s="24" t="inlineStr">
        <is>
          <t>Yomiuri Giants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b07c14cfcf9ee2183513ba5f3c2e7ca1eaea1ed60af01b7cf91b3acbdde7a31f</t>
        </is>
      </c>
      <c r="BB75" s="24" t="inlineStr">
        <is>
          <t>tie_aware_elo</t>
        </is>
      </c>
      <c r="BC75" s="24" t="inlineStr">
        <is>
          <t>npb-tie-aware-elo-v2</t>
        </is>
      </c>
      <c r="BD75" s="24" t="inlineStr">
        <is>
          <t>b07c14cfcf9ee2183513ba5f3c2e7ca1eaea1ed60af01b7cf91b3acbdde7a31f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npb-tie-aware-elo-v2</t>
        </is>
      </c>
      <c r="BH75" s="24" t="inlineStr">
        <is>
          <t>2026-09-10T04:35:57.299205Z</t>
        </is>
      </c>
      <c r="BI75" s="24" t="inlineStr">
        <is>
          <t>["same_event","same_team_same_day","same_league_same_day"]</t>
        </is>
      </c>
      <c r="BJ75" s="25" t="n"/>
      <c r="BK75" s="26" t="n">
        <v>-127</v>
      </c>
      <c r="BL75" s="27" t="n">
        <v>1.787402</v>
      </c>
      <c r="BM75" s="28" t="n">
        <v>0.5594710000000001</v>
      </c>
      <c r="BN75" s="28" t="n"/>
      <c r="BO75" s="28" t="n"/>
      <c r="BP75" s="25" t="n"/>
      <c r="BQ75" s="27" t="n">
        <v>1.787402</v>
      </c>
      <c r="BR75" s="28" t="n">
        <v>0.5600000000000001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0.559471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"b07c14cfcf9ee2183513ba5f3c2e7ca1eaea1ed60af01b7cf91b3acbdde7a31f", "away_team": "Chunichi Dragons", "draw_settlement_value": 0.5, "event_id": "105511", "event_start_utc": "2026-09-10T09:00:00Z", "features": {"away_elo": 1454.963738, "base_tie_rate": 0.02403496, "home_advantage": 35.0, "home_elo": 1512.563517}, "historical_source_observation_times_verified": false, "home_team": "Yomiuri Giants", "inference_inputs": {"away_id": "D", "base_tie_rate": 0.02403496, "book_state": {"_games_played": null, "_last_active": null, "decay_rate": 0.0, "home_advantage": 35.0, "k": 8.0, "margin_weight": 0.0, "ratings": {"D": 1454.963738, "G": 1512.563517}},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"2026-09-10T04:35:56.944412+00:00", "outcome_probabilities": {"away": 0.3605893033983939, "draw": 0.024924280078630786, "home": 0.6144864165229753}, "replay_scope": "Exact Elo and tie model; logged value is expected contract settlement, not outright win probability.", "schema": "international-elo-replay-v1", "settlement_values": {"away": 0.373051, "home": 0.626949}, "snapshot_hash": "3e1d71370af721f225ebe7ced628c939391e3a84083260d5533b788879d2ebc2", "sport": "NPB"}</t>
        </is>
      </c>
    </row>
    <row r="76" ht="36" customHeight="1">
      <c r="A76" s="24" t="inlineStr">
        <is>
          <t>fca1ccedb47b4ea2</t>
        </is>
      </c>
      <c r="B76" s="24" t="inlineStr">
        <is>
          <t>2026-09-10T04:35:57.829262Z</t>
        </is>
      </c>
      <c r="C76" s="24" t="inlineStr">
        <is>
          <t>2026-09-10T09:00:00Z</t>
        </is>
      </c>
      <c r="D76" s="24" t="inlineStr">
        <is>
          <t>105512</t>
        </is>
      </c>
      <c r="E76" s="24" t="inlineStr">
        <is>
          <t>NPB</t>
        </is>
      </c>
      <c r="F76" s="24" t="inlineStr">
        <is>
          <t>Tokyo Yakult Swallows</t>
        </is>
      </c>
      <c r="G76" s="24" t="inlineStr">
        <is>
          <t>Yokohama BayStars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0.6360710000000001</v>
      </c>
      <c r="P76" s="28" t="n"/>
      <c r="Q76" s="28" t="n">
        <v>-0.033896</v>
      </c>
      <c r="R76" s="26" t="n">
        <v>3</v>
      </c>
      <c r="S76" s="29" t="n">
        <v>1</v>
      </c>
      <c r="T76" s="24" t="inlineStr">
        <is>
          <t>npb-tie-aware-elo-v2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8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0.4926</v>
      </c>
      <c r="AD76" s="24" t="inlineStr">
        <is>
          <t>2026-09-10T22:03:20.208031Z</t>
        </is>
      </c>
      <c r="AE76" s="31" t="inlineStr">
        <is>
          <t>Tie-aware Elo baseline; executable ask 0.6700 (market_slug=aec-npb-ybo-tys-2026-09-10). Tie probability=0.0241.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Tokyo Yakult Swallows</t>
        </is>
      </c>
      <c r="AQ76" s="24" t="inlineStr">
        <is>
          <t>Tokyo Yakult Swallows</t>
        </is>
      </c>
      <c r="AR76" s="24" t="inlineStr">
        <is>
          <t>Tokyo Yakult Swallows</t>
        </is>
      </c>
      <c r="AS76" s="24" t="inlineStr">
        <is>
          <t>Yokohama BayStars</t>
        </is>
      </c>
      <c r="AT76" s="24" t="inlineStr">
        <is>
          <t>Yokohama BayStars</t>
        </is>
      </c>
      <c r="AU76" s="24" t="inlineStr">
        <is>
          <t>Yokohama BayStars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b07c14cfcf9ee2183513ba5f3c2e7ca1eaea1ed60af01b7cf91b3acbdde7a31f</t>
        </is>
      </c>
      <c r="BB76" s="24" t="inlineStr">
        <is>
          <t>tie_aware_elo</t>
        </is>
      </c>
      <c r="BC76" s="24" t="inlineStr">
        <is>
          <t>npb-tie-aware-elo-v2</t>
        </is>
      </c>
      <c r="BD76" s="24" t="inlineStr">
        <is>
          <t>b07c14cfcf9ee2183513ba5f3c2e7ca1eaea1ed60af01b7cf91b3acbdde7a31f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npb-tie-aware-elo-v2</t>
        </is>
      </c>
      <c r="BH76" s="24" t="inlineStr">
        <is>
          <t>2026-09-10T04:35:57.415411Z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0.669967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"b07c14cfcf9ee2183513ba5f3c2e7ca1eaea1ed60af01b7cf91b3acbdde7a31f", "away_team": "Tokyo Yakult Swallows", "draw_settlement_value": 0.5, "event_id": "105512", "event_start_utc": "2026-09-10T09:00:00Z", "features": {"away_elo": 1429.870023, "base_tie_rate": 0.02403496, "home_advantage": 35.0, "home_elo": 1494.391688}, "historical_source_observation_times_verified": false, "home_team": "Yokohama BayStars", "inference_inputs": {"away_id": "S", "base_tie_rate": 0.02403496, "book_state": {"_games_played": null, "_last_active": null, "decay_rate": 0.0, "home_advantage": 35.0, "k": 8.0, "margin_weight": 0.0, "ratings": {"DB": 1494.391688, "S": 1429.870023}},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"2026-09-10T04:35:56.944412+00:00", "outcome_probabilities": {"away": 0.3518826019287528, "draw": 0.024092443812958005, "home": 0.6240249542582891}, "replay_scope": "Exact Elo and tie model; logged value is expected contract settlement, not outright win probability.", "schema": "international-elo-replay-v1", "settlement_values": {"away": 0.363929, "home": 0.636071}, "snapshot_hash": "b5a326a8efd1e9c37c5d3b1bac89af117e632b079254ddeade8a2b379b1ce0d9", "sport": "NPB"}</t>
        </is>
      </c>
    </row>
    <row r="77" ht="36" customHeight="1">
      <c r="A77" s="24" t="inlineStr">
        <is>
          <t>4dd05c89bc3a400f</t>
        </is>
      </c>
      <c r="B77" s="24" t="inlineStr">
        <is>
          <t>2026-09-10T04:35:57.829262Z</t>
        </is>
      </c>
      <c r="C77" s="24" t="inlineStr">
        <is>
          <t>2026-09-10T09:00:00Z</t>
        </is>
      </c>
      <c r="D77" s="24" t="inlineStr">
        <is>
          <t>105513</t>
        </is>
      </c>
      <c r="E77" s="24" t="inlineStr">
        <is>
          <t>NPB</t>
        </is>
      </c>
      <c r="F77" s="24" t="inlineStr">
        <is>
          <t>Hiroshima Carp</t>
        </is>
      </c>
      <c r="G77" s="24" t="inlineStr">
        <is>
          <t>Hanshin Tigers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-150</v>
      </c>
      <c r="M77" s="27" t="n">
        <v>1.666667</v>
      </c>
      <c r="N77" s="28" t="n">
        <v>0.6</v>
      </c>
      <c r="O77" s="28" t="n">
        <v>0.665785</v>
      </c>
      <c r="P77" s="28" t="n"/>
      <c r="Q77" s="28" t="n">
        <v>0.065785</v>
      </c>
      <c r="R77" s="26" t="n">
        <v>53</v>
      </c>
      <c r="S77" s="29" t="n">
        <v>1</v>
      </c>
      <c r="T77" s="24" t="inlineStr">
        <is>
          <t>npb-tie-aware-elo-v2</t>
        </is>
      </c>
      <c r="U77" s="24" t="inlineStr">
        <is>
          <t>settled</t>
        </is>
      </c>
      <c r="V77" s="24" t="inlineStr">
        <is>
          <t>push</t>
        </is>
      </c>
      <c r="W77" s="26" t="n"/>
      <c r="X77" s="26" t="n"/>
      <c r="Y77" s="25" t="n"/>
      <c r="Z77" s="26" t="n"/>
      <c r="AA77" s="28" t="n"/>
      <c r="AB77" s="28" t="n"/>
      <c r="AC77" s="30" t="n">
        <v>0</v>
      </c>
      <c r="AD77" s="24" t="inlineStr">
        <is>
          <t>2026-10-06T23:00:27.544812Z</t>
        </is>
      </c>
      <c r="AE77" s="31" t="inlineStr">
        <is>
          <t>Tie-aware Elo baseline; executable ask 0.6000 (market_slug=aec-npb-hta-hci-2026-09-10). Tie probability=0.0213.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Hiroshima Carp</t>
        </is>
      </c>
      <c r="AQ77" s="24" t="inlineStr">
        <is>
          <t>Hiroshima Carp</t>
        </is>
      </c>
      <c r="AR77" s="24" t="inlineStr">
        <is>
          <t>Hiroshima Carp</t>
        </is>
      </c>
      <c r="AS77" s="24" t="inlineStr">
        <is>
          <t>Hanshin Tigers</t>
        </is>
      </c>
      <c r="AT77" s="24" t="inlineStr">
        <is>
          <t>Hanshin Tigers</t>
        </is>
      </c>
      <c r="AU77" s="24" t="inlineStr">
        <is>
          <t>Hanshin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b07c14cfcf9ee2183513ba5f3c2e7ca1eaea1ed60af01b7cf91b3acbdde7a31f</t>
        </is>
      </c>
      <c r="BB77" s="24" t="inlineStr">
        <is>
          <t>tie_aware_elo</t>
        </is>
      </c>
      <c r="BC77" s="24" t="inlineStr">
        <is>
          <t>npb-tie-aware-elo-v2</t>
        </is>
      </c>
      <c r="BD77" s="24" t="inlineStr">
        <is>
          <t>b07c14cfcf9ee2183513ba5f3c2e7ca1eaea1ed60af01b7cf91b3acbdde7a31f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npb-tie-aware-elo-v2</t>
        </is>
      </c>
      <c r="BH77" s="24" t="inlineStr">
        <is>
          <t>2026-09-10T04:35:57.505807Z</t>
        </is>
      </c>
      <c r="BI77" s="24" t="inlineStr">
        <is>
          <t>["same_event","same_team_same_day","same_league_same_day"]</t>
        </is>
      </c>
      <c r="BJ77" s="25" t="n"/>
      <c r="BK77" s="26" t="n">
        <v>-150</v>
      </c>
      <c r="BL77" s="27" t="n">
        <v>1.666667</v>
      </c>
      <c r="BM77" s="28" t="n">
        <v>0.6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NPB game scheduled on 2026-09-10 cancelled/postponed (no final score posted after &gt;7 days)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"b07c14cfcf9ee2183513ba5f3c2e7ca1eaea1ed60af01b7cf91b3acbdde7a31f", "away_team": "Hiroshima Carp", "draw_settlement_value": 0.5, "event_id": "105513", "event_start_utc": "2026-09-10T09:00:00Z", "features": {"away_elo": 1442.682033, "base_tie_rate": 0.02403496, "home_advantage": 35.0, "home_elo": 1530.23304}, "historical_source_observation_times_verified": false, "home_team": "Hanshin Tigers", "inference_inputs": {"away_id": "C", "base_tie_rate": 0.02403496, "book_state": {"_games_played": null, "_last_active": null, "decay_rate": 0.0, "home_advantage": 35.0, "k": 8.0, "margin_weight": 0.0, "ratings": {"C": 1442.682033, "T": 1530.23304}},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"2026-09-10T04:35:56.944412+00:00", "outcome_probabilities": {"away": 0.3235526526971467, "draw": 0.021324897243976397, "home": 0.6551224500588769}, "replay_scope": "Exact Elo and tie model; logged value is expected contract settlement, not outright win probability.", "schema": "international-elo-replay-v1", "settlement_values": {"away": 0.334215, "home": 0.665785}, "snapshot_hash": "31478a12a1ec910097a6d6c2e71dda373d0bfa44f8c5cf8992b43ae99570b3a2", "sport": "NPB"}</t>
        </is>
      </c>
    </row>
    <row r="78" ht="36" customHeight="1">
      <c r="A78" s="24" t="inlineStr">
        <is>
          <t>7ed28c201a6a494c</t>
        </is>
      </c>
      <c r="B78" s="24" t="inlineStr">
        <is>
          <t>2026-09-10T04:35:57.829262Z</t>
        </is>
      </c>
      <c r="C78" s="24" t="inlineStr">
        <is>
          <t>2026-09-10T09:00:00Z</t>
        </is>
      </c>
      <c r="D78" s="24" t="inlineStr">
        <is>
          <t>105514</t>
        </is>
      </c>
      <c r="E78" s="24" t="inlineStr">
        <is>
          <t>NPB</t>
        </is>
      </c>
      <c r="F78" s="24" t="inlineStr">
        <is>
          <t>Tohoku Rakuten Golden Eagles</t>
        </is>
      </c>
      <c r="G78" s="24" t="inlineStr">
        <is>
          <t>Chiba Lotte Marines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-104</v>
      </c>
      <c r="M78" s="27" t="n">
        <v>1.961538</v>
      </c>
      <c r="N78" s="28" t="n">
        <v>0.509804</v>
      </c>
      <c r="O78" s="28" t="n">
        <v>0.617061</v>
      </c>
      <c r="P78" s="28" t="n"/>
      <c r="Q78" s="28" t="n">
        <v>0.107257</v>
      </c>
      <c r="R78" s="26" t="n">
        <v>74</v>
      </c>
      <c r="S78" s="29" t="n">
        <v>1.5</v>
      </c>
      <c r="T78" s="24" t="inlineStr">
        <is>
          <t>npb-tie-aware-elo-v2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6</v>
      </c>
      <c r="Y78" s="25" t="n"/>
      <c r="Z78" s="26" t="n">
        <v>-104</v>
      </c>
      <c r="AA78" s="28" t="n">
        <v>0.51</v>
      </c>
      <c r="AB78" s="28" t="n">
        <v>0.000196</v>
      </c>
      <c r="AC78" s="30" t="n">
        <v>1.4423</v>
      </c>
      <c r="AD78" s="24" t="inlineStr">
        <is>
          <t>2026-09-10T22:03:22.226165Z</t>
        </is>
      </c>
      <c r="AE78" s="31" t="inlineStr">
        <is>
          <t>Tie-aware Elo baseline; executable ask 0.5100 (market_slug=aec-npb-clm-trge-2026-09-10). Tie probability=0.0258.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Tohoku Rakuten Golden Eagles</t>
        </is>
      </c>
      <c r="AQ78" s="24" t="inlineStr">
        <is>
          <t>Tohoku Rakuten Golden Eagles</t>
        </is>
      </c>
      <c r="AR78" s="24" t="inlineStr">
        <is>
          <t>Tohoku Rakuten Golden Eagles</t>
        </is>
      </c>
      <c r="AS78" s="24" t="inlineStr">
        <is>
          <t>Chiba Lotte Marines</t>
        </is>
      </c>
      <c r="AT78" s="24" t="inlineStr">
        <is>
          <t>Chiba Lotte Marines</t>
        </is>
      </c>
      <c r="AU78" s="24" t="inlineStr">
        <is>
          <t>Chiba Lotte Marines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b07c14cfcf9ee2183513ba5f3c2e7ca1eaea1ed60af01b7cf91b3acbdde7a31f</t>
        </is>
      </c>
      <c r="BB78" s="24" t="inlineStr">
        <is>
          <t>tie_aware_elo</t>
        </is>
      </c>
      <c r="BC78" s="24" t="inlineStr">
        <is>
          <t>npb-tie-aware-elo-v2</t>
        </is>
      </c>
      <c r="BD78" s="24" t="inlineStr">
        <is>
          <t>b07c14cfcf9ee2183513ba5f3c2e7ca1eaea1ed60af01b7cf91b3acbdde7a31f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npb-tie-aware-elo-v2</t>
        </is>
      </c>
      <c r="BH78" s="24" t="inlineStr">
        <is>
          <t>2026-09-10T04:35:57.653579Z</t>
        </is>
      </c>
      <c r="BI78" s="24" t="inlineStr">
        <is>
          <t>["same_event","same_team_same_day","same_league_same_day"]</t>
        </is>
      </c>
      <c r="BJ78" s="25" t="n"/>
      <c r="BK78" s="26" t="n">
        <v>-104</v>
      </c>
      <c r="BL78" s="27" t="n">
        <v>1.961538</v>
      </c>
      <c r="BM78" s="28" t="n">
        <v>0.509804</v>
      </c>
      <c r="BN78" s="28" t="n"/>
      <c r="BO78" s="28" t="n"/>
      <c r="BP78" s="25" t="n"/>
      <c r="BQ78" s="27" t="n">
        <v>1.961538</v>
      </c>
      <c r="BR78" s="28" t="n">
        <v>0.51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0.509804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"b07c14cfcf9ee2183513ba5f3c2e7ca1eaea1ed60af01b7cf91b3acbdde7a31f", "away_team": "Tohoku Rakuten Golden Eagles", "draw_settlement_value": 0.5, "event_id": "105514", "event_start_utc": "2026-09-10T09:00:00Z", "features": {"away_elo": 1443.716933, "base_tie_rate": 0.02403496, "home_advantage": 35.0, "home_elo": 1493.880278}, "historical_source_observation_times_verified": false, "home_team": "Chiba Lotte Marines", "inference_inputs": {"away_id": "E", "base_tie_rate": 0.02403496, "book_state": {"_games_played": null, "_last_active": null, "decay_rate": 0.0, "home_advantage": 35.0, "k": 8.0, "margin_weight": 0.0, "ratings": {"E": 1443.716933, "M": 1493.880278}},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"2026-09-10T04:35:56.944412+00:00", "outcome_probabilities": {"away": 0.3700305039768108, "draw": 0.02581795204729398, "home": 0.6041515439758952}, "replay_scope": "Exact Elo and tie model; logged value is expected contract settlement, not outright win probability.", "schema": "international-elo-replay-v1", "settlement_values": {"away": 0.382939, "home": 0.617061}, "snapshot_hash": "65d2137403383ed9c76efc6ccb2c8859d9151fd72d7842485433b7a13536cc49", "sport": "NPB"}</t>
        </is>
      </c>
    </row>
    <row r="79" ht="36" customHeight="1">
      <c r="A79" s="24" t="inlineStr">
        <is>
          <t>056232c2d80445da</t>
        </is>
      </c>
      <c r="B79" s="24" t="inlineStr">
        <is>
          <t>2026-09-10T04:35:57.829262Z</t>
        </is>
      </c>
      <c r="C79" s="24" t="inlineStr">
        <is>
          <t>2026-09-10T09:00:00Z</t>
        </is>
      </c>
      <c r="D79" s="24" t="inlineStr">
        <is>
          <t>105515</t>
        </is>
      </c>
      <c r="E79" s="24" t="inlineStr">
        <is>
          <t>NPB</t>
        </is>
      </c>
      <c r="F79" s="24" t="inlineStr">
        <is>
          <t>Saitama Seibu Lions</t>
        </is>
      </c>
      <c r="G79" s="24" t="inlineStr">
        <is>
          <t>Orix Buffaloes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0.546687</v>
      </c>
      <c r="P79" s="28" t="n"/>
      <c r="Q79" s="28" t="n">
        <v>0.007516</v>
      </c>
      <c r="R79" s="26" t="n">
        <v>24</v>
      </c>
      <c r="S79" s="29" t="n">
        <v>1</v>
      </c>
      <c r="T79" s="24" t="inlineStr">
        <is>
          <t>npb-tie-aware-elo-v2</t>
        </is>
      </c>
      <c r="U79" s="24" t="inlineStr">
        <is>
          <t>settled</t>
        </is>
      </c>
      <c r="V79" s="24" t="inlineStr">
        <is>
          <t>win</t>
        </is>
      </c>
      <c r="W79" s="26" t="n">
        <v>8</v>
      </c>
      <c r="X79" s="26" t="n">
        <v>4</v>
      </c>
      <c r="Y79" s="25" t="n"/>
      <c r="Z79" s="26" t="n">
        <v>-117</v>
      </c>
      <c r="AA79" s="28" t="n">
        <v>0.54</v>
      </c>
      <c r="AB79" s="28" t="n">
        <v>0.000829</v>
      </c>
      <c r="AC79" s="30" t="n">
        <v>0.8547</v>
      </c>
      <c r="AD79" s="24" t="inlineStr">
        <is>
          <t>2026-09-10T22:03:22.313776Z</t>
        </is>
      </c>
      <c r="AE79" s="31" t="inlineStr">
        <is>
          <t>Tie-aware Elo baseline; executable ask 0.5400 (market_slug=aec-npb-obr-ssl-2026-09-10). Tie probability=0.0320.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Saitama Seibu Lions</t>
        </is>
      </c>
      <c r="AQ79" s="24" t="inlineStr">
        <is>
          <t>Saitama Seibu Lions</t>
        </is>
      </c>
      <c r="AR79" s="24" t="inlineStr">
        <is>
          <t>Saitama Seibu Lions</t>
        </is>
      </c>
      <c r="AS79" s="24" t="inlineStr">
        <is>
          <t>Orix Buffaloes</t>
        </is>
      </c>
      <c r="AT79" s="24" t="inlineStr">
        <is>
          <t>Orix Buffaloes</t>
        </is>
      </c>
      <c r="AU79" s="24" t="inlineStr">
        <is>
          <t>Orix Buffaloes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b07c14cfcf9ee2183513ba5f3c2e7ca1eaea1ed60af01b7cf91b3acbdde7a31f</t>
        </is>
      </c>
      <c r="BB79" s="24" t="inlineStr">
        <is>
          <t>tie_aware_elo</t>
        </is>
      </c>
      <c r="BC79" s="24" t="inlineStr">
        <is>
          <t>npb-tie-aware-elo-v2</t>
        </is>
      </c>
      <c r="BD79" s="24" t="inlineStr">
        <is>
          <t>b07c14cfcf9ee2183513ba5f3c2e7ca1eaea1ed60af01b7cf91b3acbdde7a31f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npb-tie-aware-elo-v2</t>
        </is>
      </c>
      <c r="BH79" s="24" t="inlineStr">
        <is>
          <t>2026-09-10T04:35:57.829145Z</t>
        </is>
      </c>
      <c r="BI79" s="24" t="inlineStr">
        <is>
          <t>["same_event","same_team_same_day","same_league_same_day"]</t>
        </is>
      </c>
      <c r="BJ79" s="25" t="n"/>
      <c r="BK79" s="26" t="n">
        <v>-117</v>
      </c>
      <c r="BL79" s="27" t="n">
        <v>1.854701</v>
      </c>
      <c r="BM79" s="28" t="n">
        <v>0.539171</v>
      </c>
      <c r="BN79" s="28" t="n"/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0.539171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"b07c14cfcf9ee2183513ba5f3c2e7ca1eaea1ed60af01b7cf91b3acbdde7a31f", "away_team": "Saitama Seibu Lions", "draw_settlement_value": 0.5, "event_id": "105515", "event_start_utc": "2026-09-10T09:00:00Z", "features": {"away_elo": 1548.354001, "base_tie_rate": 0.02403496, "home_advantage": 35.0, "home_elo": 1479.735057}, "historical_source_observation_times_verified": false, "home_team": "Orix Buffaloes", "inference_inputs": {"away_id": "L", "base_tie_rate": 0.02403496, "book_state": {"_games_played": null, "_last_active": null, "decay_rate": 0.0, "home_advantage": 35.0, "k": 8.0, "margin_weight": 0.0, "ratings": {"B": 1479.735057, "L": 1548.354001}},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"2026-09-10T04:35:56.944412+00:00", "outcome_probabilities": {"away": 0.5306809791383917, "draw": 0.03201229012858882, "home": 0.4373067307330194}, "replay_scope": "Exact Elo and tie model; logged value is expected contract settlement, not outright win probability.", "schema": "international-elo-replay-v1", "settlement_values": {"away": 0.546687, "home": 0.453313}, "snapshot_hash": "52409ae4c63b7734248656003153e902a1c4f87e226b0f0b91b646c893d5eeeb", "sport": "NPB"}</t>
        </is>
      </c>
    </row>
    <row r="80" ht="36" customHeight="1">
      <c r="A80" s="24" t="inlineStr">
        <is>
          <t>a22c24258f534e35</t>
        </is>
      </c>
      <c r="B80" s="24" t="inlineStr">
        <is>
          <t>2026-09-11T04:33:55.174426Z</t>
        </is>
      </c>
      <c r="C80" s="24" t="inlineStr">
        <is>
          <t>2026-09-11T09:00:00Z</t>
        </is>
      </c>
      <c r="D80" s="24" t="inlineStr">
        <is>
          <t>106737</t>
        </is>
      </c>
      <c r="E80" s="24" t="inlineStr">
        <is>
          <t>NPB</t>
        </is>
      </c>
      <c r="F80" s="24" t="inlineStr">
        <is>
          <t>Yokohama BayStars</t>
        </is>
      </c>
      <c r="G80" s="24" t="inlineStr">
        <is>
          <t>Hiroshima Carp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-117</v>
      </c>
      <c r="M80" s="27" t="n">
        <v>1.854701</v>
      </c>
      <c r="N80" s="28" t="n">
        <v>0.539171</v>
      </c>
      <c r="O80" s="28" t="n">
        <v>0.52722</v>
      </c>
      <c r="P80" s="28" t="n"/>
      <c r="Q80" s="28" t="n">
        <v>-0.011951</v>
      </c>
      <c r="R80" s="26" t="n">
        <v>14</v>
      </c>
      <c r="S80" s="29" t="n">
        <v>1</v>
      </c>
      <c r="T80" s="24" t="inlineStr">
        <is>
          <t>npb-tie-aware-elo-v2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6</v>
      </c>
      <c r="X80" s="26" t="n">
        <v>1</v>
      </c>
      <c r="Y80" s="25" t="n"/>
      <c r="Z80" s="26" t="n">
        <v>-117</v>
      </c>
      <c r="AA80" s="28" t="n">
        <v>0.54</v>
      </c>
      <c r="AB80" s="28" t="n">
        <v>0.000829</v>
      </c>
      <c r="AC80" s="30" t="n">
        <v>0.8547</v>
      </c>
      <c r="AD80" s="24" t="inlineStr">
        <is>
          <t>2026-09-11T22:02:31.553721Z</t>
        </is>
      </c>
      <c r="AE80" s="31" t="inlineStr">
        <is>
          <t>Tie-aware Elo baseline; executable ask 0.5400 (market_slug=aec-npb-hci-ybo-2026-09-11). Tie probability=0.0337.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Yokohama BayStars</t>
        </is>
      </c>
      <c r="AQ80" s="24" t="inlineStr">
        <is>
          <t>Yokohama BayStars</t>
        </is>
      </c>
      <c r="AR80" s="24" t="inlineStr">
        <is>
          <t>Yokohama BayStars</t>
        </is>
      </c>
      <c r="AS80" s="24" t="inlineStr">
        <is>
          <t>Hiroshima Carp</t>
        </is>
      </c>
      <c r="AT80" s="24" t="inlineStr">
        <is>
          <t>Hiroshima Carp</t>
        </is>
      </c>
      <c r="AU80" s="24" t="inlineStr">
        <is>
          <t>Hiroshima Carp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c744cfa1f24e8e8d582cca8f759c57fa755b41102aa8729552d8a28033ab0d18</t>
        </is>
      </c>
      <c r="BB80" s="24" t="inlineStr">
        <is>
          <t>tie_aware_elo</t>
        </is>
      </c>
      <c r="BC80" s="24" t="inlineStr">
        <is>
          <t>npb-tie-aware-elo-v2</t>
        </is>
      </c>
      <c r="BD80" s="24" t="inlineStr">
        <is>
          <t>c744cfa1f24e8e8d582cca8f759c57fa755b41102aa8729552d8a28033ab0d18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npb-tie-aware-elo-v2</t>
        </is>
      </c>
      <c r="BH80" s="24" t="inlineStr">
        <is>
          <t>2026-09-11T04:33:55.174385Z</t>
        </is>
      </c>
      <c r="BI80" s="24" t="inlineStr">
        <is>
          <t>["same_event","same_team_same_day","same_league_same_day"]</t>
        </is>
      </c>
      <c r="BJ80" s="25" t="n"/>
      <c r="BK80" s="26" t="n">
        <v>-117</v>
      </c>
      <c r="BL80" s="27" t="n">
        <v>1.854701</v>
      </c>
      <c r="BM80" s="28" t="n">
        <v>0.539171</v>
      </c>
      <c r="BN80" s="28" t="n"/>
      <c r="BO80" s="28" t="n"/>
      <c r="BP80" s="25" t="n"/>
      <c r="BQ80" s="27" t="n">
        <v>1.854701</v>
      </c>
      <c r="BR80" s="28" t="n">
        <v>0.54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0.539171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"c744cfa1f24e8e8d582cca8f759c57fa755b41102aa8729552d8a28033ab0d18", "away_team": "Yokohama BayStars", "draw_settlement_value": 0.5, "event_id": "106737", "event_start_utc": "2026-09-11T09:00:00Z", "features": {"away_elo": 1497.276244, "base_tie_rate": 0.02400582, "home_advantage": 35.0, "home_elo": 1442.682033}, "historical_source_observation_times_verified": false, "home_team": "Hiroshima Carp", "inference_inputs": {"away_id": "DB", "base_tie_rate": 0.02400582, "book_state": {"_games_played": null, "_last_active": null, "decay_rate": 0.0, "home_advantage": 35.0, "k": 8.0, "margin_weight": 0.0, "ratings": {"C": 1442.682033, "DB": 1497.276244}},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"2026-09-11T04:33:54.905384+00:00", "outcome_probabilities": {"away": 0.5103919889719589, "draw": 0.03365685448845992, "home": 0.4559511565395812}, "replay_scope": "Exact Elo and tie model; logged value is expected contract settlement, not outright win probability.", "schema": "international-elo-replay-v1", "settlement_values": {"away": 0.52722, "home": 0.47278}, "snapshot_hash": "ab80338aa09efd5dfd42646909cc7fb74f9af0412f509381d802dea1e3181b6f", "sport": "NPB"}</t>
        </is>
      </c>
    </row>
    <row r="81" ht="36" customHeight="1">
      <c r="A81" s="24" t="inlineStr">
        <is>
          <t>a9de7840efc94b83</t>
        </is>
      </c>
      <c r="B81" s="24" t="inlineStr">
        <is>
          <t>2026-09-12T04:37:57.444773Z</t>
        </is>
      </c>
      <c r="C81" s="24" t="inlineStr">
        <is>
          <t>2026-09-12T05:00:00Z</t>
        </is>
      </c>
      <c r="D81" s="24" t="inlineStr">
        <is>
          <t>107638</t>
        </is>
      </c>
      <c r="E81" s="24" t="inlineStr">
        <is>
          <t>NPB</t>
        </is>
      </c>
      <c r="F81" s="24" t="inlineStr">
        <is>
          <t>Hanshin Tigers</t>
        </is>
      </c>
      <c r="G81" s="24" t="inlineStr">
        <is>
          <t>Yomiuri Giants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138</v>
      </c>
      <c r="M81" s="27" t="n">
        <v>2.38</v>
      </c>
      <c r="N81" s="28" t="n">
        <v>0.420168</v>
      </c>
      <c r="O81" s="28" t="n">
        <v>0.528187</v>
      </c>
      <c r="P81" s="28" t="n"/>
      <c r="Q81" s="28" t="n">
        <v>0.108019</v>
      </c>
      <c r="R81" s="26" t="n">
        <v>74</v>
      </c>
      <c r="S81" s="29" t="n">
        <v>1.5</v>
      </c>
      <c r="T81" s="24" t="inlineStr">
        <is>
          <t>npb-tie-aware-elo-v2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138</v>
      </c>
      <c r="AA81" s="28" t="n">
        <v>0.42</v>
      </c>
      <c r="AB81" s="28" t="n">
        <v>-0.000168</v>
      </c>
      <c r="AC81" s="30" t="n">
        <v>2.07</v>
      </c>
      <c r="AD81" s="24" t="inlineStr">
        <is>
          <t>2026-09-12T22:04:13.619114Z</t>
        </is>
      </c>
      <c r="AE81" s="31" t="inlineStr">
        <is>
          <t>Tie-aware Elo baseline; executable ask 0.4200 (market_slug=aec-npb-ygo-hta-2026-09-12). Tie probability=0.0335.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Hanshin Tigers</t>
        </is>
      </c>
      <c r="AQ81" s="24" t="inlineStr">
        <is>
          <t>Hanshin Tigers</t>
        </is>
      </c>
      <c r="AR81" s="24" t="inlineStr">
        <is>
          <t>Hanshin Tigers</t>
        </is>
      </c>
      <c r="AS81" s="24" t="inlineStr">
        <is>
          <t>Yomiuri Giants</t>
        </is>
      </c>
      <c r="AT81" s="24" t="inlineStr">
        <is>
          <t>Yomiuri Giants</t>
        </is>
      </c>
      <c r="AU81" s="24" t="inlineStr">
        <is>
          <t>Yomiuri Giants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aeeed8c4e45fb90aa03928973cdef00bb9223381ab4c6bb3ae4d2f37ce590719</t>
        </is>
      </c>
      <c r="BB81" s="24" t="inlineStr">
        <is>
          <t>tie_aware_elo</t>
        </is>
      </c>
      <c r="BC81" s="24" t="inlineStr">
        <is>
          <t>npb-tie-aware-elo-v2</t>
        </is>
      </c>
      <c r="BD81" s="24" t="inlineStr">
        <is>
          <t>aeeed8c4e45fb90aa03928973cdef00bb9223381ab4c6bb3ae4d2f37ce590719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npb-tie-aware-elo-v2</t>
        </is>
      </c>
      <c r="BH81" s="24" t="inlineStr">
        <is>
          <t>2026-09-12T04:37:56.838127Z</t>
        </is>
      </c>
      <c r="BI81" s="24" t="inlineStr">
        <is>
          <t>["same_event","same_team_same_day","same_league_same_day"]</t>
        </is>
      </c>
      <c r="BJ81" s="25" t="n"/>
      <c r="BK81" s="26" t="n">
        <v>138</v>
      </c>
      <c r="BL81" s="27" t="n">
        <v>2.38</v>
      </c>
      <c r="BM81" s="28" t="n">
        <v>0.420168</v>
      </c>
      <c r="BN81" s="28" t="n"/>
      <c r="BO81" s="28" t="n"/>
      <c r="BP81" s="25" t="n"/>
      <c r="BQ81" s="27" t="n">
        <v>2.38</v>
      </c>
      <c r="BR81" s="28" t="n">
        <v>0.42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0.420168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"aeeed8c4e45fb90aa03928973cdef00bb9223381ab4c6bb3ae4d2f37ce590719", "away_team": "Hanshin Tigers", "draw_settlement_value": 0.5, "event_id": "107638", "event_start_utc": "2026-09-12T05:00:00Z", "features": {"away_elo": 1530.23304, "base_tie_rate": 0.02398837, "home_advantage": 35.0, "home_elo": 1515.521969}, "historical_source_observation_times_verified": false, "home_team": "Yomiuri Giants", "inference_inputs": {"away_id": "T", "base_tie_rate": 0.02398837, "book_state": {"_games_played": null, "_last_active": null, "decay_rate": 0.0, "home_advantage": 35.0, "k": 8.0, "margin_weight": 0.0, "ratings": {"G": 1515.521969, "T": 1530.23304}},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"2026-09-12T04:37:56.789145+00:00", "outcome_probabilities": {"away": 0.4550389543772526, "draw": 0.03354906332122137, "home": 0.511411982301526}, "replay_scope": "Exact Elo and tie model; logged value is expected contract settlement, not outright win probability.", "schema": "international-elo-replay-v1", "settlement_values": {"away": 0.471813, "home": 0.528187}, "snapshot_hash": "8ad25c1e668698687a7bb52d4cf8632a47a23d918229f70cb4e55dbc7adf783c", "sport": "NPB"}</t>
        </is>
      </c>
    </row>
    <row r="82" ht="36" customHeight="1">
      <c r="A82" s="24" t="inlineStr">
        <is>
          <t>4bcd1bf322f6417f</t>
        </is>
      </c>
      <c r="B82" s="24" t="inlineStr">
        <is>
          <t>2026-09-12T04:37:57.444773Z</t>
        </is>
      </c>
      <c r="C82" s="24" t="inlineStr">
        <is>
          <t>2026-09-12T05:00:00Z</t>
        </is>
      </c>
      <c r="D82" s="24" t="inlineStr">
        <is>
          <t>107639</t>
        </is>
      </c>
      <c r="E82" s="24" t="inlineStr">
        <is>
          <t>NPB</t>
        </is>
      </c>
      <c r="F82" s="24" t="inlineStr">
        <is>
          <t>Tokyo Yakult Swallows</t>
        </is>
      </c>
      <c r="G82" s="24" t="inlineStr">
        <is>
          <t>Chunichi Dragons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0.5830650000000001</v>
      </c>
      <c r="P82" s="28" t="n"/>
      <c r="Q82" s="28" t="n">
        <v>0.003233</v>
      </c>
      <c r="R82" s="26" t="n">
        <v>22</v>
      </c>
      <c r="S82" s="29" t="n">
        <v>1</v>
      </c>
      <c r="T82" s="24" t="inlineStr">
        <is>
          <t>npb-tie-aware-elo-v2</t>
        </is>
      </c>
      <c r="U82" s="24" t="inlineStr">
        <is>
          <t>settled</t>
        </is>
      </c>
      <c r="V82" s="24" t="inlineStr">
        <is>
          <t>loss</t>
        </is>
      </c>
      <c r="W82" s="26" t="n">
        <v>6</v>
      </c>
      <c r="X82" s="26" t="n">
        <v>5</v>
      </c>
      <c r="Y82" s="25" t="n"/>
      <c r="Z82" s="26" t="n">
        <v>-138</v>
      </c>
      <c r="AA82" s="28" t="n">
        <v>0.58</v>
      </c>
      <c r="AB82" s="28" t="n">
        <v>0.000168</v>
      </c>
      <c r="AC82" s="30" t="n">
        <v>-1</v>
      </c>
      <c r="AD82" s="24" t="inlineStr">
        <is>
          <t>2026-09-12T22:04:13.709869Z</t>
        </is>
      </c>
      <c r="AE82" s="31" t="inlineStr">
        <is>
          <t>Tie-aware Elo baseline; executable ask 0.5800 (market_slug=aec-npb-cdh-tys-2026-09-12). Tie probability=0.0288.</t>
        </is>
      </c>
      <c r="AF82" s="31" t="inlineStr">
        <is>
          <t>Config-promoted international baseball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Tokyo Yakult Swallows</t>
        </is>
      </c>
      <c r="AQ82" s="24" t="inlineStr">
        <is>
          <t>Tokyo Yakult Swallows</t>
        </is>
      </c>
      <c r="AR82" s="24" t="inlineStr">
        <is>
          <t>Tokyo Yakult Swallows</t>
        </is>
      </c>
      <c r="AS82" s="24" t="inlineStr">
        <is>
          <t>Chunichi Dragons</t>
        </is>
      </c>
      <c r="AT82" s="24" t="inlineStr">
        <is>
          <t>Chunichi Dragons</t>
        </is>
      </c>
      <c r="AU82" s="24" t="inlineStr">
        <is>
          <t>Chunichi Dragons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aeeed8c4e45fb90aa03928973cdef00bb9223381ab4c6bb3ae4d2f37ce590719</t>
        </is>
      </c>
      <c r="BB82" s="24" t="inlineStr">
        <is>
          <t>tie_aware_elo</t>
        </is>
      </c>
      <c r="BC82" s="24" t="inlineStr">
        <is>
          <t>npb-tie-aware-elo-v2</t>
        </is>
      </c>
      <c r="BD82" s="24" t="inlineStr">
        <is>
          <t>aeeed8c4e45fb90aa03928973cdef00bb9223381ab4c6bb3ae4d2f37ce590719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npb-tie-aware-elo-v2</t>
        </is>
      </c>
      <c r="BH82" s="24" t="inlineStr">
        <is>
          <t>2026-09-12T04:37:56.943929Z</t>
        </is>
      </c>
      <c r="BI82" s="24" t="inlineStr">
        <is>
          <t>["same_event","same_team_same_day","same_league_same_day"]</t>
        </is>
      </c>
      <c r="BJ82" s="25" t="n"/>
      <c r="BK82" s="26" t="n">
        <v>-138</v>
      </c>
      <c r="BL82" s="27" t="n">
        <v>1.724638</v>
      </c>
      <c r="BM82" s="28" t="n">
        <v>0.579832</v>
      </c>
      <c r="BN82" s="28" t="n"/>
      <c r="BO82" s="28" t="n"/>
      <c r="BP82" s="25" t="n"/>
      <c r="BQ82" s="27" t="n">
        <v>1.724638</v>
      </c>
      <c r="BR82" s="28" t="n">
        <v>0.58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0.579832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"aeeed8c4e45fb90aa03928973cdef00bb9223381ab4c6bb3ae4d2f37ce590719", "away_team": "Tokyo Yakult Swallows", "draw_settlement_value": 0.5, "event_id": "107639", "event_start_utc": "2026-09-12T05:00:00Z", "features": {"away_elo": 1426.985466, "base_tie_rate": 0.02398837, "home_advantage": 35.0, "home_elo": 1452.005287}, "historical_source_observation_times_verified": false, "home_team": "Chunichi Dragons", "inference_inputs": {"away_id": "S", "base_tie_rate": 0.02398837, "book_state": {"_games_played": null, "_last_active": null, "decay_rate": 0.0, "home_advantage": 35.0, "k": 8.0, "margin_weight": 0.0, "ratings": {"D": 1452.005287, "S": 1426.985466}},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"2026-09-12T04:37:56.789145+00:00", "outcome_probabilities": {"away": 0.40254356013040193, "draw": 0.028783666632591166, "home": 0.5686727732370069}, "replay_scope": "Exact Elo and tie model; logged value is expected contract settlement, not outright win probability.", "schema": "international-elo-replay-v1", "settlement_values": {"away": 0.416935, "home": 0.583065}, "snapshot_hash": "69fba8ae9d22978a2cd0db9be6d4ef52da6a753a4855357e4eb051b4193edbab", "sport": "NPB"}</t>
        </is>
      </c>
    </row>
    <row r="83" ht="36" customHeight="1">
      <c r="A83" s="24" t="inlineStr">
        <is>
          <t>a9d94a804b4a4b74</t>
        </is>
      </c>
      <c r="B83" s="24" t="inlineStr">
        <is>
          <t>2026-09-12T04:37:57.444773Z</t>
        </is>
      </c>
      <c r="C83" s="24" t="inlineStr">
        <is>
          <t>2026-09-12T05:00:00Z</t>
        </is>
      </c>
      <c r="D83" s="24" t="inlineStr">
        <is>
          <t>107640</t>
        </is>
      </c>
      <c r="E83" s="24" t="inlineStr">
        <is>
          <t>NPB</t>
        </is>
      </c>
      <c r="F83" s="24" t="inlineStr">
        <is>
          <t>Yokohama BayStars</t>
        </is>
      </c>
      <c r="G83" s="24" t="inlineStr">
        <is>
          <t>Hiroshima Carp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100</v>
      </c>
      <c r="M83" s="27" t="n">
        <v>2</v>
      </c>
      <c r="N83" s="28" t="n">
        <v>0.5</v>
      </c>
      <c r="O83" s="28" t="n">
        <v>0.537708</v>
      </c>
      <c r="P83" s="28" t="n"/>
      <c r="Q83" s="28" t="n">
        <v>0.037708</v>
      </c>
      <c r="R83" s="26" t="n">
        <v>39</v>
      </c>
      <c r="S83" s="29" t="n">
        <v>1</v>
      </c>
      <c r="T83" s="24" t="inlineStr">
        <is>
          <t>npb-tie-aware-elo-v2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2</v>
      </c>
      <c r="Y83" s="25" t="n"/>
      <c r="Z83" s="26" t="n">
        <v>100</v>
      </c>
      <c r="AA83" s="28" t="n">
        <v>0.5</v>
      </c>
      <c r="AB83" s="28" t="n">
        <v>0</v>
      </c>
      <c r="AC83" s="30" t="n">
        <v>1</v>
      </c>
      <c r="AD83" s="24" t="inlineStr">
        <is>
          <t>2026-09-12T22:04:13.893545Z</t>
        </is>
      </c>
      <c r="AE83" s="31" t="inlineStr">
        <is>
          <t>Tie-aware Elo baseline; executable ask 0.5000 (market_slug=aec-npb-hci-ybo-2026-09-12). Tie probability=0.0327.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Yokohama BayStars</t>
        </is>
      </c>
      <c r="AQ83" s="24" t="inlineStr">
        <is>
          <t>Yokohama BayStars</t>
        </is>
      </c>
      <c r="AR83" s="24" t="inlineStr">
        <is>
          <t>Yokohama BayStars</t>
        </is>
      </c>
      <c r="AS83" s="24" t="inlineStr">
        <is>
          <t>Hiroshima Carp</t>
        </is>
      </c>
      <c r="AT83" s="24" t="inlineStr">
        <is>
          <t>Hiroshima Carp</t>
        </is>
      </c>
      <c r="AU83" s="24" t="inlineStr">
        <is>
          <t>Hiroshima Carp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aeeed8c4e45fb90aa03928973cdef00bb9223381ab4c6bb3ae4d2f37ce590719</t>
        </is>
      </c>
      <c r="BB83" s="24" t="inlineStr">
        <is>
          <t>tie_aware_elo</t>
        </is>
      </c>
      <c r="BC83" s="24" t="inlineStr">
        <is>
          <t>npb-tie-aware-elo-v2</t>
        </is>
      </c>
      <c r="BD83" s="24" t="inlineStr">
        <is>
          <t>aeeed8c4e45fb90aa03928973cdef00bb9223381ab4c6bb3ae4d2f37ce590719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npb-tie-aware-elo-v2</t>
        </is>
      </c>
      <c r="BH83" s="24" t="inlineStr">
        <is>
          <t>2026-09-12T04:37:57.241992Z</t>
        </is>
      </c>
      <c r="BI83" s="24" t="inlineStr">
        <is>
          <t>["same_event","same_team_same_day","same_league_same_day"]</t>
        </is>
      </c>
      <c r="BJ83" s="25" t="n"/>
      <c r="BK83" s="26" t="n">
        <v>100</v>
      </c>
      <c r="BL83" s="27" t="n">
        <v>2</v>
      </c>
      <c r="BM83" s="28" t="n">
        <v>0.5</v>
      </c>
      <c r="BN83" s="28" t="n"/>
      <c r="BO83" s="28" t="n"/>
      <c r="BP83" s="25" t="n"/>
      <c r="BQ83" s="27" t="n">
        <v>2</v>
      </c>
      <c r="BR83" s="28" t="n">
        <v>0.5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"aeeed8c4e45fb90aa03928973cdef00bb9223381ab4c6bb3ae4d2f37ce590719", "away_team": "Yokohama BayStars", "draw_settlement_value": 0.5, "event_id": "107640", "event_start_utc": "2026-09-12T05:00:00Z", "features": {"away_elo": 1501.050897, "base_tie_rate": 0.02398837, "home_advantage": 35.0, "home_elo": 1438.907381}, "historical_source_observation_times_verified": false, "home_team": "Hiroshima Carp", "inference_inputs": {"away_id": "DB", "base_tie_rate": 0.02398837, "book_state": {"_games_played": null, "_last_active": null, "decay_rate": 0.0, "home_advantage": 35.0, "k": 8.0, "margin_weight": 0.0, "ratings": {"C": 1438.907381, "DB": 1501.050897}},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"2026-09-12T04:37:56.789145+00:00", "outcome_probabilities": {"away": 0.5213441179476296, "draw": 0.03272691147545539, "home": 0.445928970576915}, "replay_scope": "Exact Elo and tie model; logged value is expected contract settlement, not outright win probability.", "schema": "international-elo-replay-v1", "settlement_values": {"away": 0.537708, "home": 0.462292}, "snapshot_hash": "9fd6b0b376792feb2fb2f68f53dae0ae1f2ba58b9c1277e3ac185ef8f071c69f", "sport": "NPB"}</t>
        </is>
      </c>
    </row>
    <row r="84" ht="36" customHeight="1">
      <c r="A84" s="24" t="inlineStr">
        <is>
          <t>c1259d3e13064084</t>
        </is>
      </c>
      <c r="B84" s="24" t="inlineStr">
        <is>
          <t>2026-09-12T04:37:57.444773Z</t>
        </is>
      </c>
      <c r="C84" s="24" t="inlineStr">
        <is>
          <t>2026-09-12T05:00:00Z</t>
        </is>
      </c>
      <c r="D84" s="24" t="inlineStr">
        <is>
          <t>107641</t>
        </is>
      </c>
      <c r="E84" s="24" t="inlineStr">
        <is>
          <t>NPB</t>
        </is>
      </c>
      <c r="F84" s="24" t="inlineStr">
        <is>
          <t>Tohoku Rakuten Golden Eagles</t>
        </is>
      </c>
      <c r="G84" s="24" t="inlineStr">
        <is>
          <t>Orix Buffaloes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-113</v>
      </c>
      <c r="M84" s="27" t="n">
        <v>1.884956</v>
      </c>
      <c r="N84" s="28" t="n">
        <v>0.530516</v>
      </c>
      <c r="O84" s="28" t="n">
        <v>0.603299</v>
      </c>
      <c r="P84" s="28" t="n"/>
      <c r="Q84" s="28" t="n">
        <v>0.072783</v>
      </c>
      <c r="R84" s="26" t="n">
        <v>56</v>
      </c>
      <c r="S84" s="29" t="n">
        <v>1.25</v>
      </c>
      <c r="T84" s="24" t="inlineStr">
        <is>
          <t>npb-tie-aware-elo-v2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5</v>
      </c>
      <c r="Y84" s="25" t="n"/>
      <c r="Z84" s="26" t="n">
        <v>-113</v>
      </c>
      <c r="AA84" s="28" t="n">
        <v>0.53</v>
      </c>
      <c r="AB84" s="28" t="n">
        <v>-0.000516</v>
      </c>
      <c r="AC84" s="30" t="n">
        <v>1.1062</v>
      </c>
      <c r="AD84" s="24" t="inlineStr">
        <is>
          <t>2026-09-12T22:04:13.976174Z</t>
        </is>
      </c>
      <c r="AE84" s="31" t="inlineStr">
        <is>
          <t>Tie-aware Elo baseline; executable ask 0.5300 (market_slug=aec-npb-obr-trge-2026-09-12). Tie probability=0.0270.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Tohoku Rakuten Golden Eagles</t>
        </is>
      </c>
      <c r="AQ84" s="24" t="inlineStr">
        <is>
          <t>Tohoku Rakuten Golden Eagles</t>
        </is>
      </c>
      <c r="AR84" s="24" t="inlineStr">
        <is>
          <t>Tohoku Rakuten Golden Eagles</t>
        </is>
      </c>
      <c r="AS84" s="24" t="inlineStr">
        <is>
          <t>Orix Buffaloes</t>
        </is>
      </c>
      <c r="AT84" s="24" t="inlineStr">
        <is>
          <t>Orix Buffaloes</t>
        </is>
      </c>
      <c r="AU84" s="24" t="inlineStr">
        <is>
          <t>Orix Buffaloes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aeeed8c4e45fb90aa03928973cdef00bb9223381ab4c6bb3ae4d2f37ce590719</t>
        </is>
      </c>
      <c r="BB84" s="24" t="inlineStr">
        <is>
          <t>tie_aware_elo</t>
        </is>
      </c>
      <c r="BC84" s="24" t="inlineStr">
        <is>
          <t>npb-tie-aware-elo-v2</t>
        </is>
      </c>
      <c r="BD84" s="24" t="inlineStr">
        <is>
          <t>aeeed8c4e45fb90aa03928973cdef00bb9223381ab4c6bb3ae4d2f37ce590719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npb-tie-aware-elo-v2</t>
        </is>
      </c>
      <c r="BH84" s="24" t="inlineStr">
        <is>
          <t>2026-09-12T04:37:57.325866Z</t>
        </is>
      </c>
      <c r="BI84" s="24" t="inlineStr">
        <is>
          <t>["same_event","same_team_same_day","same_league_same_day"]</t>
        </is>
      </c>
      <c r="BJ84" s="25" t="n"/>
      <c r="BK84" s="26" t="n">
        <v>-113</v>
      </c>
      <c r="BL84" s="27" t="n">
        <v>1.884956</v>
      </c>
      <c r="BM84" s="28" t="n">
        <v>0.530516</v>
      </c>
      <c r="BN84" s="28" t="n"/>
      <c r="BO84" s="28" t="n"/>
      <c r="BP84" s="25" t="n"/>
      <c r="BQ84" s="27" t="n">
        <v>1.884956</v>
      </c>
      <c r="BR84" s="28" t="n">
        <v>0.53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0.530516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"aeeed8c4e45fb90aa03928973cdef00bb9223381ab4c6bb3ae4d2f37ce590719", "away_team": "Tohoku Rakuten Golden Eagles", "draw_settlement_value": 0.5, "event_id": "107641", "event_start_utc": "2026-09-12T05:00:00Z", "features": {"away_elo": 1440.678236, "base_tie_rate": 0.02398837, "home_advantage": 35.0, "home_elo": 1480.589023}, "historical_source_observation_times_verified": false, "home_team": "Orix Buffaloes", "inference_inputs": {"away_id": "E", "base_tie_rate": 0.02398837, "book_state": {"_games_played": null, "_last_active": null, "decay_rate": 0.0, "home_advantage": 35.0, "k": 8.0, "margin_weight": 0.0, "ratings": {"B": 1480.589023, "E": 1440.678236}},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"2026-09-12T04:37:56.789145+00:00", "outcome_probabilities": {"away": 0.38320216898129056, "draw": 0.026997616622264044, "home": 0.5898002143964454}, "replay_scope": "Exact Elo and tie model; logged value is expected contract settlement, not outright win probability.", "schema": "international-elo-replay-v1", "settlement_values": {"away": 0.396701, "home": 0.603299}, "snapshot_hash": "9d53bcce29f41807b9246bab75f2cc41f6e688eafa7568ce8c7014823a2fba48", "sport": "NPB"}</t>
        </is>
      </c>
    </row>
    <row r="85" ht="36" customHeight="1">
      <c r="A85" s="24" t="inlineStr">
        <is>
          <t>9cc735a2be6544f8</t>
        </is>
      </c>
      <c r="B85" s="24" t="inlineStr">
        <is>
          <t>2026-09-12T04:37:57.444773Z</t>
        </is>
      </c>
      <c r="C85" s="24" t="inlineStr">
        <is>
          <t>2026-09-12T05:00:00Z</t>
        </is>
      </c>
      <c r="D85" s="24" t="inlineStr">
        <is>
          <t>107642</t>
        </is>
      </c>
      <c r="E85" s="24" t="inlineStr">
        <is>
          <t>NPB</t>
        </is>
      </c>
      <c r="F85" s="24" t="inlineStr">
        <is>
          <t>Chiba Lotte Marines</t>
        </is>
      </c>
      <c r="G85" s="24" t="inlineStr">
        <is>
          <t>Fukuoka SoftBank Hawks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-194</v>
      </c>
      <c r="M85" s="27" t="n">
        <v>1.515464</v>
      </c>
      <c r="N85" s="28" t="n">
        <v>0.659864</v>
      </c>
      <c r="O85" s="28" t="n">
        <v>0.699439</v>
      </c>
      <c r="P85" s="28" t="n"/>
      <c r="Q85" s="28" t="n">
        <v>0.039575</v>
      </c>
      <c r="R85" s="26" t="n">
        <v>40</v>
      </c>
      <c r="S85" s="29" t="n">
        <v>1</v>
      </c>
      <c r="T85" s="24" t="inlineStr">
        <is>
          <t>npb-tie-aware-elo-v2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4</v>
      </c>
      <c r="X85" s="26" t="n">
        <v>5</v>
      </c>
      <c r="Y85" s="25" t="n"/>
      <c r="Z85" s="26" t="n">
        <v>-194</v>
      </c>
      <c r="AA85" s="28" t="n">
        <v>0.66</v>
      </c>
      <c r="AB85" s="28" t="n">
        <v>0.000136</v>
      </c>
      <c r="AC85" s="30" t="n">
        <v>0.5155</v>
      </c>
      <c r="AD85" s="24" t="inlineStr">
        <is>
          <t>2026-09-12T22:04:14.058363Z</t>
        </is>
      </c>
      <c r="AE85" s="31" t="inlineStr">
        <is>
          <t>Tie-aware Elo baseline; executable ask 0.6600 (market_slug=aec-npb-fsh-clm-2026-09-12). Tie probability=0.0180.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Chiba Lotte Marines</t>
        </is>
      </c>
      <c r="AQ85" s="24" t="inlineStr">
        <is>
          <t>Chiba Lotte Marines</t>
        </is>
      </c>
      <c r="AR85" s="24" t="inlineStr">
        <is>
          <t>Chiba Lotte Marines</t>
        </is>
      </c>
      <c r="AS85" s="24" t="inlineStr">
        <is>
          <t>Fukuoka SoftBank Hawks</t>
        </is>
      </c>
      <c r="AT85" s="24" t="inlineStr">
        <is>
          <t>Fukuoka SoftBank Hawks</t>
        </is>
      </c>
      <c r="AU85" s="24" t="inlineStr">
        <is>
          <t>Fukuoka SoftBank Hawks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aeeed8c4e45fb90aa03928973cdef00bb9223381ab4c6bb3ae4d2f37ce590719</t>
        </is>
      </c>
      <c r="BB85" s="24" t="inlineStr">
        <is>
          <t>tie_aware_elo</t>
        </is>
      </c>
      <c r="BC85" s="24" t="inlineStr">
        <is>
          <t>npb-tie-aware-elo-v2</t>
        </is>
      </c>
      <c r="BD85" s="24" t="inlineStr">
        <is>
          <t>aeeed8c4e45fb90aa03928973cdef00bb9223381ab4c6bb3ae4d2f37ce590719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npb-tie-aware-elo-v2</t>
        </is>
      </c>
      <c r="BH85" s="24" t="inlineStr">
        <is>
          <t>2026-09-12T04:37:57.371528Z</t>
        </is>
      </c>
      <c r="BI85" s="24" t="inlineStr">
        <is>
          <t>["same_event","same_team_same_day","same_league_same_day"]</t>
        </is>
      </c>
      <c r="BJ85" s="25" t="n"/>
      <c r="BK85" s="26" t="n">
        <v>-194</v>
      </c>
      <c r="BL85" s="27" t="n">
        <v>1.515464</v>
      </c>
      <c r="BM85" s="28" t="n">
        <v>0.659864</v>
      </c>
      <c r="BN85" s="28" t="n"/>
      <c r="BO85" s="28" t="n"/>
      <c r="BP85" s="25" t="n"/>
      <c r="BQ85" s="27" t="n">
        <v>1.515464</v>
      </c>
      <c r="BR85" s="28" t="n">
        <v>0.66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0.659864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"aeeed8c4e45fb90aa03928973cdef00bb9223381ab4c6bb3ae4d2f37ce590719", "away_team": "Chiba Lotte Marines", "draw_settlement_value": 0.5, "event_id": "107642", "event_start_utc": "2026-09-12T05:00:00Z", "features": {"away_elo": 1494.496935, "base_tie_rate": 0.02398837, "home_advantage": 35.0, "home_elo": 1609.258626}, "historical_source_observation_times_verified": false, "home_team": "Fukuoka SoftBank Hawks", "inference_inputs": {"away_id": "M", "base_tie_rate": 0.02398837, "book_state": {"_games_played": null, "_last_active": null, "decay_rate": 0.0, "home_advantage": 35.0, "k": 8.0, "margin_weight": 0.0, "ratings": {"H": 1609.258626, "M": 1494.496935}},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"2026-09-12T04:37:56.789145+00:00", "outcome_probabilities": {"away": 0.291551164943989, "draw": 0.01801986072233163, "home": 0.6904289743336793}, "replay_scope": "Exact Elo and tie model; logged value is expected contract settlement, not outright win probability.", "schema": "international-elo-replay-v1", "settlement_values": {"away": 0.300561, "home": 0.699439}, "snapshot_hash": "7f0f6d5b293bcc5ffd4a0ae1a3990ea5fb637b057c83d4994f2c54fde318db9a", "sport": "NPB"}</t>
        </is>
      </c>
    </row>
    <row r="86" ht="36" customHeight="1">
      <c r="A86" s="24" t="inlineStr">
        <is>
          <t>34fca90018b7478f</t>
        </is>
      </c>
      <c r="B86" s="24" t="inlineStr">
        <is>
          <t>2026-09-12T04:37:57.444773Z</t>
        </is>
      </c>
      <c r="C86" s="24" t="inlineStr">
        <is>
          <t>2026-09-12T09:00:00Z</t>
        </is>
      </c>
      <c r="D86" s="24" t="inlineStr">
        <is>
          <t>107849</t>
        </is>
      </c>
      <c r="E86" s="24" t="inlineStr">
        <is>
          <t>NPB</t>
        </is>
      </c>
      <c r="F86" s="24" t="inlineStr">
        <is>
          <t>Nippon Ham Fighters</t>
        </is>
      </c>
      <c r="G86" s="24" t="inlineStr">
        <is>
          <t>Saitama Seibu Lions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-108</v>
      </c>
      <c r="M86" s="27" t="n">
        <v>1.925926</v>
      </c>
      <c r="N86" s="28" t="n">
        <v>0.519231</v>
      </c>
      <c r="O86" s="28" t="n">
        <v>0.527406</v>
      </c>
      <c r="P86" s="28" t="n"/>
      <c r="Q86" s="28" t="n">
        <v>0.008175</v>
      </c>
      <c r="R86" s="26" t="n">
        <v>24</v>
      </c>
      <c r="S86" s="29" t="n">
        <v>1</v>
      </c>
      <c r="T86" s="24" t="inlineStr">
        <is>
          <t>npb-tie-aware-elo-v2</t>
        </is>
      </c>
      <c r="U86" s="24" t="inlineStr">
        <is>
          <t>settled</t>
        </is>
      </c>
      <c r="V86" s="24" t="inlineStr">
        <is>
          <t>push</t>
        </is>
      </c>
      <c r="W86" s="26" t="n">
        <v>3</v>
      </c>
      <c r="X86" s="26" t="n">
        <v>3</v>
      </c>
      <c r="Y86" s="25" t="n"/>
      <c r="Z86" s="26" t="n">
        <v>-108</v>
      </c>
      <c r="AA86" s="28" t="n">
        <v>0.52</v>
      </c>
      <c r="AB86" s="28" t="n">
        <v>0.000769</v>
      </c>
      <c r="AC86" s="30" t="n">
        <v>-0.037</v>
      </c>
      <c r="AD86" s="24" t="inlineStr">
        <is>
          <t>2026-09-12T22:04:14.141949Z</t>
        </is>
      </c>
      <c r="AE86" s="31" t="inlineStr">
        <is>
          <t>Tie-aware Elo baseline; executable ask 0.5200 (market_slug=aec-npb-ssl-nhf-2026-09-12). Tie probability=0.0336.</t>
        </is>
      </c>
      <c r="AF86" s="31" t="inlineStr">
        <is>
          <t>Config-promoted international baseball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Nippon Ham Fighters</t>
        </is>
      </c>
      <c r="AQ86" s="24" t="inlineStr">
        <is>
          <t>Nippon Ham Fighters</t>
        </is>
      </c>
      <c r="AR86" s="24" t="inlineStr">
        <is>
          <t>Nippon Ham Fighters</t>
        </is>
      </c>
      <c r="AS86" s="24" t="inlineStr">
        <is>
          <t>Saitama Seibu Lions</t>
        </is>
      </c>
      <c r="AT86" s="24" t="inlineStr">
        <is>
          <t>Saitama Seibu Lions</t>
        </is>
      </c>
      <c r="AU86" s="24" t="inlineStr">
        <is>
          <t>Saitama Seibu Lions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aeeed8c4e45fb90aa03928973cdef00bb9223381ab4c6bb3ae4d2f37ce590719</t>
        </is>
      </c>
      <c r="BB86" s="24" t="inlineStr">
        <is>
          <t>tie_aware_elo</t>
        </is>
      </c>
      <c r="BC86" s="24" t="inlineStr">
        <is>
          <t>npb-tie-aware-elo-v2</t>
        </is>
      </c>
      <c r="BD86" s="24" t="inlineStr">
        <is>
          <t>aeeed8c4e45fb90aa03928973cdef00bb9223381ab4c6bb3ae4d2f37ce590719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npb-tie-aware-elo-v2</t>
        </is>
      </c>
      <c r="BH86" s="24" t="inlineStr">
        <is>
          <t>2026-09-12T04:37:57.444729Z</t>
        </is>
      </c>
      <c r="BI86" s="24" t="inlineStr">
        <is>
          <t>["same_event","same_team_same_day","same_league_same_day"]</t>
        </is>
      </c>
      <c r="BJ86" s="25" t="n"/>
      <c r="BK86" s="26" t="n">
        <v>-108</v>
      </c>
      <c r="BL86" s="27" t="n">
        <v>1.925926</v>
      </c>
      <c r="BM86" s="28" t="n">
        <v>0.519231</v>
      </c>
      <c r="BN86" s="28" t="n"/>
      <c r="BO86" s="28" t="n"/>
      <c r="BP86" s="25" t="n"/>
      <c r="BQ86" s="27" t="n">
        <v>1.925926</v>
      </c>
      <c r="BR86" s="28" t="n">
        <v>0.52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0.519231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"aeeed8c4e45fb90aa03928973cdef00bb9223381ab4c6bb3ae4d2f37ce590719", "away_team": "Nippon Ham Fighters", "draw_settlement_value": 0.5, "event_id": "107849", "event_start_utc": "2026-09-12T09:00:00Z", "features": {"away_elo": 1562.773105, "base_tie_rate": 0.02398837, "home_advantage": 35.0, "home_elo": 1547.500036}, "historical_source_observation_times_verified": false, "home_team": "Saitama Seibu Lions", "inference_inputs": {"away_id": "F", "base_tie_rate": 0.02398837, "book_state": {"_games_played": null, "_last_active": null, "decay_rate": 0.0, "home_advantage": 35.0, "k": 8.0, "margin_weight": 0.0, "ratings": {"F": 1562.773105, "L": 1547.500036}}, "code_sha256": {"features/elo_ratings.py": "8525faf022a6343c452286dbfeb17dbb043744c6bdabbe448b6b371216da439b", "international_baseball.py": "f345eb917316d2e897f62c1cdd0f73153115c65da54c30c6137ad76bb7b27869"}, "home_id": "L", "tie_method": "elo_gap"}, "market_type": "moneyline", "model_version": "npb-tie-aware-elo-v2", "observed_at_utc": "2026-09-12T04:37:56.789145+00:00", "outcome_probabilities": {"away": 0.4557862221124738, "draw": 0.03361647040103766, "home": 0.5105973074864885}, "replay_scope": "Exact Elo and tie model; logged value is expected contract settlement, not outright win probability.", "schema": "international-elo-replay-v1", "settlement_values": {"away": 0.472594, "home": 0.527406}, "snapshot_hash": "633a5337d61e9f5f4f17612e3ae6a6d438bb7743198b9b69b5ceba4402343fba", "sport": "NPB"}</t>
        </is>
      </c>
    </row>
    <row r="87" ht="36" customHeight="1">
      <c r="A87" s="24" t="inlineStr">
        <is>
          <t>b69bc181cb8c4985</t>
        </is>
      </c>
      <c r="B87" s="24" t="inlineStr">
        <is>
          <t>2026-09-12T22:42:22.924318Z</t>
        </is>
      </c>
      <c r="C87" s="24" t="inlineStr">
        <is>
          <t>2026-09-13T04:30:00Z</t>
        </is>
      </c>
      <c r="D87" s="24" t="inlineStr">
        <is>
          <t>108671</t>
        </is>
      </c>
      <c r="E87" s="24" t="inlineStr">
        <is>
          <t>NPB</t>
        </is>
      </c>
      <c r="F87" s="24" t="inlineStr">
        <is>
          <t>Chiba Lotte Marines</t>
        </is>
      </c>
      <c r="G87" s="24" t="inlineStr">
        <is>
          <t>Fukuoka SoftBank Hawks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-203</v>
      </c>
      <c r="M87" s="27" t="n">
        <v>1.492611</v>
      </c>
      <c r="N87" s="28" t="n">
        <v>0.669967</v>
      </c>
      <c r="O87" s="28" t="n">
        <v>0.705101</v>
      </c>
      <c r="P87" s="28" t="n"/>
      <c r="Q87" s="28" t="n">
        <v>0.035134</v>
      </c>
      <c r="R87" s="26" t="n">
        <v>38</v>
      </c>
      <c r="S87" s="29" t="n">
        <v>1</v>
      </c>
      <c r="T87" s="24" t="inlineStr">
        <is>
          <t>npb-tie-aware-elo-v2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4</v>
      </c>
      <c r="X87" s="26" t="n">
        <v>7</v>
      </c>
      <c r="Y87" s="25" t="n"/>
      <c r="Z87" s="26" t="n"/>
      <c r="AA87" s="28" t="n"/>
      <c r="AB87" s="28" t="n"/>
      <c r="AC87" s="30" t="n">
        <v>0.4926</v>
      </c>
      <c r="AD87" s="24" t="inlineStr">
        <is>
          <t>2026-09-13T22:03:41.351532Z</t>
        </is>
      </c>
      <c r="AE87" s="31" t="inlineStr">
        <is>
          <t>Tie-aware Elo baseline; executable ask 0.6700 (market_slug=aec-npb-fsh-clm-2026-09-13). Tie probability=0.0176.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Chiba Lotte Marines</t>
        </is>
      </c>
      <c r="AQ87" s="24" t="inlineStr">
        <is>
          <t>Chiba Lotte Marines</t>
        </is>
      </c>
      <c r="AR87" s="24" t="inlineStr">
        <is>
          <t>Chiba Lotte Marines</t>
        </is>
      </c>
      <c r="AS87" s="24" t="inlineStr">
        <is>
          <t>Fukuoka SoftBank Hawks</t>
        </is>
      </c>
      <c r="AT87" s="24" t="inlineStr">
        <is>
          <t>Fukuoka SoftBank Hawks</t>
        </is>
      </c>
      <c r="AU87" s="24" t="inlineStr">
        <is>
          <t>Fukuoka SoftBank Hawks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02444963c46867099d3689f0d8b266928525cf1fd0a214ee44eb26c371b1af1b</t>
        </is>
      </c>
      <c r="BB87" s="24" t="inlineStr">
        <is>
          <t>tie_aware_elo</t>
        </is>
      </c>
      <c r="BC87" s="24" t="inlineStr">
        <is>
          <t>npb-tie-aware-elo-v2</t>
        </is>
      </c>
      <c r="BD87" s="24" t="inlineStr">
        <is>
          <t>02444963c46867099d3689f0d8b266928525cf1fd0a214ee44eb26c371b1af1b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npb-tie-aware-elo-v2</t>
        </is>
      </c>
      <c r="BH87" s="24" t="inlineStr">
        <is>
          <t>2026-09-12T22:42:10.517935Z</t>
        </is>
      </c>
      <c r="BI87" s="24" t="inlineStr">
        <is>
          <t>["same_event","same_team_same_day","same_league_same_day"]</t>
        </is>
      </c>
      <c r="BJ87" s="25" t="n"/>
      <c r="BK87" s="26" t="n">
        <v>-203</v>
      </c>
      <c r="BL87" s="27" t="n">
        <v>1.492611</v>
      </c>
      <c r="BM87" s="28" t="n">
        <v>0.669967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0.669967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"02444963c46867099d3689f0d8b266928525cf1fd0a214ee44eb26c371b1af1b", "away_team": "Chiba Lotte Marines", "draw_settlement_value": 0.5, "event_id": "108671", "event_start_utc": "2026-09-13T04:30:00Z", "features": {"away_elo": 1492.121724, "base_tie_rate": 0.0241955, "home_advantage": 35.0, "home_elo": 1611.633837}, "historical_source_observation_times_verified": false, "home_team": "Fukuoka SoftBank Hawks", "inference_inputs": {"away_id": "M", "base_tie_rate": 0.0241955, "book_state": {"_games_played": null, "_last_active": null, "decay_rate": 0.0, "home_advantage": 35.0, "k": 8.0, "margin_weight": 0.0, "ratings": {"H": 1611.633837, "M": 1492.121724}},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"2026-09-12T22:42:10.449106+00:00", "outcome_probabilities": {"away": 0.28609896358818937, "draw": 0.0176007608495425, "home": 0.696300275562268}, "replay_scope": "Exact Elo and tie model; logged value is expected contract settlement, not outright win probability.", "schema": "international-elo-replay-v1", "settlement_values": {"away": 0.294899, "home": 0.705101}, "snapshot_hash": "63523835b672621dfc8dbca3f3ab1f40d9d23a865a0c46e54af790b869d6a284", "sport": "NPB"}</t>
        </is>
      </c>
    </row>
    <row r="88" ht="36" customHeight="1">
      <c r="A88" s="24" t="inlineStr">
        <is>
          <t>3c702374f19a448a</t>
        </is>
      </c>
      <c r="B88" s="24" t="inlineStr">
        <is>
          <t>2026-09-13T05:00:47.810835Z</t>
        </is>
      </c>
      <c r="C88" s="24" t="inlineStr">
        <is>
          <t>2026-09-13T09:00:00Z</t>
        </is>
      </c>
      <c r="D88" s="24" t="inlineStr">
        <is>
          <t>108750</t>
        </is>
      </c>
      <c r="E88" s="24" t="inlineStr">
        <is>
          <t>NPB</t>
        </is>
      </c>
      <c r="F88" s="24" t="inlineStr">
        <is>
          <t>Chunichi Dragons</t>
        </is>
      </c>
      <c r="G88" s="24" t="inlineStr">
        <is>
          <t>Hanshin Tigers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-163</v>
      </c>
      <c r="M88" s="27" t="n">
        <v>1.613497</v>
      </c>
      <c r="N88" s="28" t="n">
        <v>0.619772</v>
      </c>
      <c r="O88" s="28" t="n">
        <v>0.655037</v>
      </c>
      <c r="P88" s="28" t="n"/>
      <c r="Q88" s="28" t="n">
        <v>0.035265</v>
      </c>
      <c r="R88" s="26" t="n">
        <v>38</v>
      </c>
      <c r="S88" s="29" t="n">
        <v>1</v>
      </c>
      <c r="T88" s="24" t="inlineStr">
        <is>
          <t>npb-tie-aware-elo-v2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/>
      <c r="AA88" s="28" t="n"/>
      <c r="AB88" s="28" t="n"/>
      <c r="AC88" s="30" t="n">
        <v>-1</v>
      </c>
      <c r="AD88" s="24" t="inlineStr">
        <is>
          <t>2026-09-13T22:03:41.520501Z</t>
        </is>
      </c>
      <c r="AE88" s="31" t="inlineStr">
        <is>
          <t>Tie-aware Elo baseline; executable ask 0.6200 (market_slug=aec-npb-hta-cdh-2026-09-13). Tie probability=0.0225.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Chunichi Dragons</t>
        </is>
      </c>
      <c r="AQ88" s="24" t="inlineStr">
        <is>
          <t>Chunichi Dragons</t>
        </is>
      </c>
      <c r="AR88" s="24" t="inlineStr">
        <is>
          <t>Chunichi Dragons</t>
        </is>
      </c>
      <c r="AS88" s="24" t="inlineStr">
        <is>
          <t>Hanshin Tigers</t>
        </is>
      </c>
      <c r="AT88" s="24" t="inlineStr">
        <is>
          <t>Hanshin Tigers</t>
        </is>
      </c>
      <c r="AU88" s="24" t="inlineStr">
        <is>
          <t>Hanshin Tigers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7372dd00d8590de2a6c87271faecf26014759bab97eb731f0aa8ac1551e38eef</t>
        </is>
      </c>
      <c r="BB88" s="24" t="inlineStr">
        <is>
          <t>tie_aware_elo</t>
        </is>
      </c>
      <c r="BC88" s="24" t="inlineStr">
        <is>
          <t>npb-tie-aware-elo-v2</t>
        </is>
      </c>
      <c r="BD88" s="24" t="inlineStr">
        <is>
          <t>7372dd00d8590de2a6c87271faecf26014759bab97eb731f0aa8ac1551e38eef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npb-tie-aware-elo-v2</t>
        </is>
      </c>
      <c r="BH88" s="24" t="inlineStr">
        <is>
          <t>2026-09-13T05:00:47.379290Z</t>
        </is>
      </c>
      <c r="BI88" s="24" t="inlineStr">
        <is>
          <t>["same_event","same_team_same_day","same_league_same_day"]</t>
        </is>
      </c>
      <c r="BJ88" s="25" t="n"/>
      <c r="BK88" s="26" t="n">
        <v>-163</v>
      </c>
      <c r="BL88" s="27" t="n">
        <v>1.613497</v>
      </c>
      <c r="BM88" s="28" t="n">
        <v>0.619772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0.619772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"7372dd00d8590de2a6c87271faecf26014759bab97eb731f0aa8ac1551e38eef", "away_team": "Chunichi Dragons", "draw_settlement_value": 0.5, "event_id": "108750", "event_start_utc": "2026-09-13T09:00:00Z", "features": {"away_elo": 1447.321076, "base_tie_rate": 0.0241955, "home_advantage": 35.0, "home_elo": 1526.466359}, "historical_source_observation_times_verified": false, "home_team": "Hanshin Tigers", "inference_inputs": {"away_id": "D", "base_tie_rate": 0.0241955, "book_state": {"_games_played": null, "_last_active": null, "decay_rate": 0.0, "home_advantage": 35.0, "k": 8.0, "margin_weight": 0.0, "ratings": {"D": 1447.321076, "T": 1526.466359}},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"2026-09-13T05:00:37.152724+00:00", "outcome_probabilities": {"away": 0.33372135143034093, "draw": 0.022484239025867495, "home": 0.6437944095437915}, "replay_scope": "Exact Elo and tie model; logged value is expected contract settlement, not outright win probability.", "schema": "international-elo-replay-v1", "settlement_values": {"away": 0.344963, "home": 0.655037}, "snapshot_hash": "62b4408ad0a048e6cc01cbbffdf42aa4736784d0babe301ce5959ff89c0a4318", "sport": "NPB"}</t>
        </is>
      </c>
    </row>
    <row r="89" ht="36" customHeight="1">
      <c r="A89" s="24" t="inlineStr">
        <is>
          <t>1be63991159547ba</t>
        </is>
      </c>
      <c r="B89" s="24" t="inlineStr">
        <is>
          <t>2026-09-13T05:00:47.810835Z</t>
        </is>
      </c>
      <c r="C89" s="24" t="inlineStr">
        <is>
          <t>2026-09-13T09:00:00Z</t>
        </is>
      </c>
      <c r="D89" s="24" t="inlineStr">
        <is>
          <t>108748</t>
        </is>
      </c>
      <c r="E89" s="24" t="inlineStr">
        <is>
          <t>NPB</t>
        </is>
      </c>
      <c r="F89" s="24" t="inlineStr">
        <is>
          <t>Yomiuri Giants</t>
        </is>
      </c>
      <c r="G89" s="24" t="inlineStr">
        <is>
          <t>Yokohama BayStars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-117</v>
      </c>
      <c r="M89" s="27" t="n">
        <v>1.854701</v>
      </c>
      <c r="N89" s="28" t="n">
        <v>0.539171</v>
      </c>
      <c r="O89" s="28" t="n">
        <v>0.528402</v>
      </c>
      <c r="P89" s="28" t="n"/>
      <c r="Q89" s="28" t="n">
        <v>-0.010769</v>
      </c>
      <c r="R89" s="26" t="n">
        <v>15</v>
      </c>
      <c r="S89" s="29" t="n">
        <v>1</v>
      </c>
      <c r="T89" s="24" t="inlineStr">
        <is>
          <t>npb-tie-aware-elo-v2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5</v>
      </c>
      <c r="Y89" s="25" t="n"/>
      <c r="Z89" s="26" t="n"/>
      <c r="AA89" s="28" t="n"/>
      <c r="AB89" s="28" t="n"/>
      <c r="AC89" s="30" t="n">
        <v>0.8547</v>
      </c>
      <c r="AD89" s="24" t="inlineStr">
        <is>
          <t>2026-09-13T22:03:41.603719Z</t>
        </is>
      </c>
      <c r="AE89" s="31" t="inlineStr">
        <is>
          <t>Tie-aware Elo baseline; executable ask 0.5400 (market_slug=aec-npb-ybo-ygo-2026-09-13). Tie probability=0.0338.</t>
        </is>
      </c>
      <c r="AF89" s="31" t="inlineStr">
        <is>
          <t>Config-promoted international baseball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Yomiuri Giants</t>
        </is>
      </c>
      <c r="AQ89" s="24" t="inlineStr">
        <is>
          <t>Yomiuri Giants</t>
        </is>
      </c>
      <c r="AR89" s="24" t="inlineStr">
        <is>
          <t>Yomiuri Giants</t>
        </is>
      </c>
      <c r="AS89" s="24" t="inlineStr">
        <is>
          <t>Yokohama BayStars</t>
        </is>
      </c>
      <c r="AT89" s="24" t="inlineStr">
        <is>
          <t>Yokohama BayStars</t>
        </is>
      </c>
      <c r="AU89" s="24" t="inlineStr">
        <is>
          <t>Yokohama BayStars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7372dd00d8590de2a6c87271faecf26014759bab97eb731f0aa8ac1551e38eef</t>
        </is>
      </c>
      <c r="BB89" s="24" t="inlineStr">
        <is>
          <t>tie_aware_elo</t>
        </is>
      </c>
      <c r="BC89" s="24" t="inlineStr">
        <is>
          <t>npb-tie-aware-elo-v2</t>
        </is>
      </c>
      <c r="BD89" s="24" t="inlineStr">
        <is>
          <t>7372dd00d8590de2a6c87271faecf26014759bab97eb731f0aa8ac1551e38eef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npb-tie-aware-elo-v2</t>
        </is>
      </c>
      <c r="BH89" s="24" t="inlineStr">
        <is>
          <t>2026-09-13T05:00:47.810788Z</t>
        </is>
      </c>
      <c r="BI89" s="24" t="inlineStr">
        <is>
          <t>["same_event","same_team_same_day","same_league_same_day"]</t>
        </is>
      </c>
      <c r="BJ89" s="25" t="n"/>
      <c r="BK89" s="26" t="n">
        <v>-117</v>
      </c>
      <c r="BL89" s="27" t="n">
        <v>1.854701</v>
      </c>
      <c r="BM89" s="28" t="n">
        <v>0.539171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0.539171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"7372dd00d8590de2a6c87271faecf26014759bab97eb731f0aa8ac1551e38eef", "away_team": "Yomiuri Giants", "draw_settlement_value": 0.5, "event_id": "108748", "event_start_utc": "2026-09-13T09:00:00Z", "features": {"away_elo": 1519.288649, "base_tie_rate": 0.0241955, "home_advantage": 35.0, "home_elo": 1504.73903}, "historical_source_observation_times_verified": false, "home_team": "Yokohama BayStars", "inference_inputs": {"away_id": "G", "base_tie_rate": 0.0241955, "book_state": {"_games_played": null, "_last_active": null, "decay_rate": 0.0, "home_advantage": 35.0, "k": 8.0, "margin_weight": 0.0, "ratings": {"DB": 1504.73903, "G": 1519.288649}},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"2026-09-13T05:00:37.152724+00:00", "outcome_probabilities": {"away": 0.45468803756631365, "draw": 0.03381921403257252, "home": 0.5114927484011139}, "replay_scope": "Exact Elo and tie model; logged value is expected contract settlement, not outright win probability.", "schema": "international-elo-replay-v1", "settlement_values": {"away": 0.471598, "home": 0.528402}, "snapshot_hash": "4c1ebeb5154a35628b1d92ba1f4cbe4eda9289810a82d62e1697bedc1b679852", "sport": "NPB"}</t>
        </is>
      </c>
    </row>
    <row r="90" ht="36" customHeight="1">
      <c r="A90" s="24" t="inlineStr">
        <is>
          <t>82e403650a0c4ae0</t>
        </is>
      </c>
      <c r="B90" s="24" t="inlineStr">
        <is>
          <t>2026-09-15T04:40:03.917551Z</t>
        </is>
      </c>
      <c r="C90" s="24" t="inlineStr">
        <is>
          <t>2026-09-15T09:00:00Z</t>
        </is>
      </c>
      <c r="D90" s="24" t="inlineStr">
        <is>
          <t>110208</t>
        </is>
      </c>
      <c r="E90" s="24" t="inlineStr">
        <is>
          <t>NPB</t>
        </is>
      </c>
      <c r="F90" s="24" t="inlineStr">
        <is>
          <t>Saitama Seibu Lions</t>
        </is>
      </c>
      <c r="G90" s="24" t="inlineStr">
        <is>
          <t>Tohoku Rakuten Golden Eagles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-104</v>
      </c>
      <c r="M90" s="27" t="n">
        <v>1.961538</v>
      </c>
      <c r="N90" s="28" t="n">
        <v>0.509804</v>
      </c>
      <c r="O90" s="28" t="n">
        <v>0.597347</v>
      </c>
      <c r="P90" s="28" t="n"/>
      <c r="Q90" s="28" t="n">
        <v>0.087543</v>
      </c>
      <c r="R90" s="26" t="n">
        <v>64</v>
      </c>
      <c r="S90" s="29" t="n">
        <v>1.25</v>
      </c>
      <c r="T90" s="24" t="inlineStr">
        <is>
          <t>npb-tie-aware-elo-v2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-104</v>
      </c>
      <c r="AA90" s="28" t="n">
        <v>0.51</v>
      </c>
      <c r="AB90" s="28" t="n">
        <v>0.000196</v>
      </c>
      <c r="AC90" s="30" t="n">
        <v>-1.25</v>
      </c>
      <c r="AD90" s="24" t="inlineStr">
        <is>
          <t>2026-09-16T06:37:19.879134Z</t>
        </is>
      </c>
      <c r="AE90" s="31" t="inlineStr">
        <is>
          <t>Tie-aware Elo baseline; executable ask 0.5100 (market_slug=aec-npb-trge-ssl-2026-09-15). Tie probability=0.0277.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Saitama Seibu Lions</t>
        </is>
      </c>
      <c r="AQ90" s="24" t="inlineStr">
        <is>
          <t>Saitama Seibu Lions</t>
        </is>
      </c>
      <c r="AR90" s="24" t="inlineStr">
        <is>
          <t>Saitama Seibu Lions</t>
        </is>
      </c>
      <c r="AS90" s="24" t="inlineStr">
        <is>
          <t>Tohoku Rakuten Golden Eagles</t>
        </is>
      </c>
      <c r="AT90" s="24" t="inlineStr">
        <is>
          <t>Tohoku Rakuten Golden Eagles</t>
        </is>
      </c>
      <c r="AU90" s="24" t="inlineStr">
        <is>
          <t>Tohoku Rakuten Golden Eagles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83a0d43cb400359d27600e0fa07db5a71d664a66301eefa9bf7f0f0566d7b1d6</t>
        </is>
      </c>
      <c r="BB90" s="24" t="inlineStr">
        <is>
          <t>tie_aware_elo</t>
        </is>
      </c>
      <c r="BC90" s="24" t="inlineStr">
        <is>
          <t>npb-tie-aware-elo-v2</t>
        </is>
      </c>
      <c r="BD90" s="24" t="inlineStr">
        <is>
          <t>83a0d43cb400359d27600e0fa07db5a71d664a66301eefa9bf7f0f0566d7b1d6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npb-tie-aware-elo-v2</t>
        </is>
      </c>
      <c r="BH90" s="24" t="inlineStr">
        <is>
          <t>2026-09-15T04:39:55.411954Z</t>
        </is>
      </c>
      <c r="BI90" s="24" t="inlineStr">
        <is>
          <t>["same_event","same_team_same_day","same_league_same_day"]</t>
        </is>
      </c>
      <c r="BJ90" s="25" t="n"/>
      <c r="BK90" s="26" t="n">
        <v>-104</v>
      </c>
      <c r="BL90" s="27" t="n">
        <v>1.961538</v>
      </c>
      <c r="BM90" s="28" t="n">
        <v>0.509804</v>
      </c>
      <c r="BN90" s="28" t="n"/>
      <c r="BO90" s="28" t="n"/>
      <c r="BP90" s="25" t="n"/>
      <c r="BQ90" s="27" t="n">
        <v>1.961538</v>
      </c>
      <c r="BR90" s="28" t="n">
        <v>0.51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0.509804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"83a0d43cb400359d27600e0fa07db5a71d664a66301eefa9bf7f0f0566d7b1d6", "away_team": "Saitama Seibu Lions", "draw_settlement_value": 0.5, "event_id": "110208", "event_start_utc": "2026-09-15T09:00:00Z", "features": {"away_elo": 1543.051501, "base_tie_rate": 0.02414876, "home_advantage": 35.0, "home_elo": 1437.527558}, "historical_source_observation_times_verified": false, "home_team": "Tohoku Rakuten Golden Eagles", "inference_inputs": {"away_id": "L", "base_tie_rate": 0.02414876, "book_state": {"_games_played": null, "_last_active": null, "decay_rate": 0.0, "home_advantage": 35.0, "k": 8.0, "margin_weight": 0.0, "ratings": {"E": 1437.527558, "L": 1543.051501}},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"2026-09-15T04:39:53.495904+00:00", "outcome_probabilities": {"away": 0.5834927622137095, "draw": 0.027707811131196605, "home": 0.38879942665509387}, "replay_scope": "Exact Elo and tie model; logged value is expected contract settlement, not outright win probability.", "schema": "international-elo-replay-v1", "settlement_values": {"away": 0.597347, "home": 0.402653}, "snapshot_hash": "c22c9068231921d64f59ee161c6c0e1824a712e3e05b8536cb4a7d8e55a15d8a", "sport": "NPB"}</t>
        </is>
      </c>
    </row>
    <row r="91" ht="36" customHeight="1">
      <c r="A91" s="24" t="inlineStr">
        <is>
          <t>fd33db0763ab4a17</t>
        </is>
      </c>
      <c r="B91" s="24" t="inlineStr">
        <is>
          <t>2026-09-15T04:40:03.917551Z</t>
        </is>
      </c>
      <c r="C91" s="24" t="inlineStr">
        <is>
          <t>2026-09-15T09:00:00Z</t>
        </is>
      </c>
      <c r="D91" s="24" t="inlineStr">
        <is>
          <t>110206</t>
        </is>
      </c>
      <c r="E91" s="24" t="inlineStr">
        <is>
          <t>NPB</t>
        </is>
      </c>
      <c r="F91" s="24" t="inlineStr">
        <is>
          <t>Fukuoka SoftBank Hawks</t>
        </is>
      </c>
      <c r="G91" s="24" t="inlineStr">
        <is>
          <t>Orix Buffaloes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-245</v>
      </c>
      <c r="M91" s="27" t="n">
        <v>1.408163</v>
      </c>
      <c r="N91" s="28" t="n">
        <v>0.710145</v>
      </c>
      <c r="O91" s="28" t="n">
        <v>0.630401</v>
      </c>
      <c r="P91" s="28" t="n"/>
      <c r="Q91" s="28" t="n">
        <v>-0.079744</v>
      </c>
      <c r="R91" s="26" t="n">
        <v>0</v>
      </c>
      <c r="S91" s="29" t="n">
        <v>1</v>
      </c>
      <c r="T91" s="24" t="inlineStr">
        <is>
          <t>npb-tie-aware-elo-v2</t>
        </is>
      </c>
      <c r="U91" s="24" t="inlineStr">
        <is>
          <t>settled</t>
        </is>
      </c>
      <c r="V91" s="24" t="inlineStr">
        <is>
          <t>win</t>
        </is>
      </c>
      <c r="W91" s="26" t="n">
        <v>5</v>
      </c>
      <c r="X91" s="26" t="n">
        <v>3</v>
      </c>
      <c r="Y91" s="25" t="n"/>
      <c r="Z91" s="26" t="n">
        <v>-245</v>
      </c>
      <c r="AA91" s="28" t="n">
        <v>0.71</v>
      </c>
      <c r="AB91" s="28" t="n">
        <v>-0.000145</v>
      </c>
      <c r="AC91" s="30" t="n">
        <v>0.4082</v>
      </c>
      <c r="AD91" s="24" t="inlineStr">
        <is>
          <t>2026-09-16T06:37:21.004654Z</t>
        </is>
      </c>
      <c r="AE91" s="31" t="inlineStr">
        <is>
          <t>Tie-aware Elo baseline; executable ask 0.7100 (market_slug=aec-npb-obr-fsh-2026-09-15). Tie probability=0.0247.</t>
        </is>
      </c>
      <c r="AF91" s="31" t="inlineStr">
        <is>
          <t>Config-promoted international baseball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Fukuoka SoftBank Hawks</t>
        </is>
      </c>
      <c r="AQ91" s="24" t="inlineStr">
        <is>
          <t>Fukuoka SoftBank Hawks</t>
        </is>
      </c>
      <c r="AR91" s="24" t="inlineStr">
        <is>
          <t>Fukuoka SoftBank Hawks</t>
        </is>
      </c>
      <c r="AS91" s="24" t="inlineStr">
        <is>
          <t>Orix Buffaloes</t>
        </is>
      </c>
      <c r="AT91" s="24" t="inlineStr">
        <is>
          <t>Orix Buffaloes</t>
        </is>
      </c>
      <c r="AU91" s="24" t="inlineStr">
        <is>
          <t>Orix Buffaloes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83a0d43cb400359d27600e0fa07db5a71d664a66301eefa9bf7f0f0566d7b1d6</t>
        </is>
      </c>
      <c r="BB91" s="24" t="inlineStr">
        <is>
          <t>tie_aware_elo</t>
        </is>
      </c>
      <c r="BC91" s="24" t="inlineStr">
        <is>
          <t>npb-tie-aware-elo-v2</t>
        </is>
      </c>
      <c r="BD91" s="24" t="inlineStr">
        <is>
          <t>83a0d43cb400359d27600e0fa07db5a71d664a66301eefa9bf7f0f0566d7b1d6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npb-tie-aware-elo-v2</t>
        </is>
      </c>
      <c r="BH91" s="24" t="inlineStr">
        <is>
          <t>2026-09-15T04:39:55.483504Z</t>
        </is>
      </c>
      <c r="BI91" s="24" t="inlineStr">
        <is>
          <t>["same_event","same_team_same_day","same_league_same_day"]</t>
        </is>
      </c>
      <c r="BJ91" s="25" t="n"/>
      <c r="BK91" s="26" t="n">
        <v>-245</v>
      </c>
      <c r="BL91" s="27" t="n">
        <v>1.408163</v>
      </c>
      <c r="BM91" s="28" t="n">
        <v>0.710145</v>
      </c>
      <c r="BN91" s="28" t="n"/>
      <c r="BO91" s="28" t="n"/>
      <c r="BP91" s="25" t="n"/>
      <c r="BQ91" s="27" t="n">
        <v>1.408163</v>
      </c>
      <c r="BR91" s="28" t="n">
        <v>0.71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0.710145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"83a0d43cb400359d27600e0fa07db5a71d664a66301eefa9bf7f0f0566d7b1d6", "away_team": "Fukuoka SoftBank Hawks", "draw_settlement_value": 0.5, "event_id": "110206", "event_start_utc": "2026-09-15T09:00:00Z", "features": {"away_elo": 1613.963635, "base_tie_rate": 0.02414876, "home_advantage": 35.0, "home_elo": 1483.739701}, "historical_source_observation_times_verified": false, "home_team": "Orix Buffaloes", "inference_inputs": {"away_id": "H", "base_tie_rate": 0.02414876, "book_state": {"_games_played": null, "_last_active": null, "decay_rate": 0.0, "home_advantage": 35.0, "k": 8.0, "margin_weight": 0.0, "ratings": {"B": 1483.739701, "H": 1613.963635}},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"2026-09-15T04:39:53.495904+00:00", "outcome_probabilities": {"away": 0.6180382891949322, "draw": 0.024725440357890784, "home": 0.35723627044717693}, "replay_scope": "Exact Elo and tie model; logged value is expected contract settlement, not outright win probability.", "schema": "international-elo-replay-v1", "settlement_values": {"away": 0.630401, "home": 0.369599}, "snapshot_hash": "b28922d18af79b2b222076f434fdfe24cc4cd3ff4cca522b794fb44aef1a95a8", "sport": "NPB"}</t>
        </is>
      </c>
    </row>
    <row r="92" ht="36" customHeight="1">
      <c r="A92" s="24" t="inlineStr">
        <is>
          <t>b0b666efd1e74044</t>
        </is>
      </c>
      <c r="B92" s="24" t="inlineStr">
        <is>
          <t>2026-09-18T07:43:23.416905Z</t>
        </is>
      </c>
      <c r="C92" s="24" t="inlineStr">
        <is>
          <t>2026-09-18T09:00:00Z</t>
        </is>
      </c>
      <c r="D92" s="24" t="inlineStr">
        <is>
          <t>113387</t>
        </is>
      </c>
      <c r="E92" s="24" t="inlineStr">
        <is>
          <t>NPB</t>
        </is>
      </c>
      <c r="F92" s="24" t="inlineStr">
        <is>
          <t>Chunichi Dragons</t>
        </is>
      </c>
      <c r="G92" s="24" t="inlineStr">
        <is>
          <t>Yomiuri Giants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0.610749</v>
      </c>
      <c r="P92" s="28" t="n"/>
      <c r="Q92" s="28" t="n">
        <v>0.030917</v>
      </c>
      <c r="R92" s="26" t="n">
        <v>35</v>
      </c>
      <c r="S92" s="29" t="n">
        <v>1</v>
      </c>
      <c r="T92" s="24" t="inlineStr">
        <is>
          <t>npb-tie-aware-elo-v2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2</v>
      </c>
      <c r="Y92" s="25" t="n"/>
      <c r="Z92" s="26" t="n"/>
      <c r="AA92" s="28" t="n"/>
      <c r="AB92" s="28" t="n"/>
      <c r="AC92" s="30" t="n">
        <v>0.7246</v>
      </c>
      <c r="AD92" s="24" t="inlineStr">
        <is>
          <t>2026-09-18T22:02:10.048262Z</t>
        </is>
      </c>
      <c r="AE92" s="31" t="inlineStr">
        <is>
          <t>Tie-aware Elo baseline; executable ask 0.5800 (market_slug=aec-npb-ygo-cdh-2026-09-18). Tie probability=0.0264.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Chunichi Dragons</t>
        </is>
      </c>
      <c r="AQ92" s="24" t="inlineStr">
        <is>
          <t>Chunichi Dragons</t>
        </is>
      </c>
      <c r="AR92" s="24" t="inlineStr">
        <is>
          <t>Chunichi Dragons</t>
        </is>
      </c>
      <c r="AS92" s="24" t="inlineStr">
        <is>
          <t>Yomiuri Giants</t>
        </is>
      </c>
      <c r="AT92" s="24" t="inlineStr">
        <is>
          <t>Yomiuri Giants</t>
        </is>
      </c>
      <c r="AU92" s="24" t="inlineStr">
        <is>
          <t>Yomiuri Giants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0d92a6f9072a32fcbc91ff0bc4839b22dd43ac55e239ff6e19aebbebf190eee1</t>
        </is>
      </c>
      <c r="BB92" s="24" t="inlineStr">
        <is>
          <t>tie_aware_elo</t>
        </is>
      </c>
      <c r="BC92" s="24" t="inlineStr">
        <is>
          <t>npb-tie-aware-elo-v2</t>
        </is>
      </c>
      <c r="BD92" s="24" t="inlineStr">
        <is>
          <t>0d92a6f9072a32fcbc91ff0bc4839b22dd43ac55e239ff6e19aebbebf190eee1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npb-tie-aware-elo-v2</t>
        </is>
      </c>
      <c r="BH92" s="24" t="inlineStr">
        <is>
          <t>2026-09-18T07:43:22.892329Z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0.579832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"0d92a6f9072a32fcbc91ff0bc4839b22dd43ac55e239ff6e19aebbebf190eee1", "away_team": "Chunichi Dragons", "draw_settlement_value": 0.5, "event_id": "113387", "event_start_utc": "2026-09-18T09:00:00Z", "features": {"away_elo": 1462.797534, "base_tie_rate": 0.02407318, "home_advantage": 35.0, "home_elo": 1508.250696}, "historical_source_observation_times_verified": false, "home_team": "Yomiuri Giants", "inference_inputs": {"away_id": "D", "base_tie_rate": 0.02407318, "book_state": {"_games_played": null, "_last_active": null, "decay_rate": 0.0, "home_advantage": 35.0, "k": 8.0, "margin_weight": 0.0, "ratings": {"D": 1462.797534, "G": 1508.250696}},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"2026-09-18T07:43:22.631719+00:00", "outcome_probabilities": {"away": 0.376037718715575, "draw": 0.026425952748024197, "home": 0.5975363285364008}, "replay_scope": "Exact Elo and tie model; logged value is expected contract settlement, not outright win probability.", "schema": "international-elo-replay-v1", "settlement_values": {"away": 0.389251, "home": 0.610749}, "snapshot_hash": "9f4d1c7388d8645dc6538414dbd267c8ebc13965d40ab5d8644eaae279ea9da6", "sport": "NPB"}</t>
        </is>
      </c>
    </row>
    <row r="93" ht="36" customHeight="1">
      <c r="A93" s="24" t="inlineStr">
        <is>
          <t>0f83a767fabb4b5d</t>
        </is>
      </c>
      <c r="B93" s="24" t="inlineStr">
        <is>
          <t>2026-09-18T07:43:23.416905Z</t>
        </is>
      </c>
      <c r="C93" s="24" t="inlineStr">
        <is>
          <t>2026-09-18T09:00:00Z</t>
        </is>
      </c>
      <c r="D93" s="24" t="inlineStr">
        <is>
          <t>113389</t>
        </is>
      </c>
      <c r="E93" s="24" t="inlineStr">
        <is>
          <t>NPB</t>
        </is>
      </c>
      <c r="F93" s="24" t="inlineStr">
        <is>
          <t>Tokyo Yakult Swallows</t>
        </is>
      </c>
      <c r="G93" s="24" t="inlineStr">
        <is>
          <t>Yokohama BayStars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-133</v>
      </c>
      <c r="M93" s="27" t="n">
        <v>1.75188</v>
      </c>
      <c r="N93" s="28" t="n">
        <v>0.570815</v>
      </c>
      <c r="O93" s="28" t="n">
        <v>0.676428</v>
      </c>
      <c r="P93" s="28" t="n"/>
      <c r="Q93" s="28" t="n">
        <v>0.105613</v>
      </c>
      <c r="R93" s="26" t="n">
        <v>73</v>
      </c>
      <c r="S93" s="29" t="n">
        <v>1.25</v>
      </c>
      <c r="T93" s="24" t="inlineStr">
        <is>
          <t>npb-tie-aware-elo-v2</t>
        </is>
      </c>
      <c r="U93" s="24" t="inlineStr">
        <is>
          <t>settled</t>
        </is>
      </c>
      <c r="V93" s="24" t="inlineStr">
        <is>
          <t>loss</t>
        </is>
      </c>
      <c r="W93" s="26" t="n">
        <v>3</v>
      </c>
      <c r="X93" s="26" t="n">
        <v>1</v>
      </c>
      <c r="Y93" s="25" t="n"/>
      <c r="Z93" s="26" t="n"/>
      <c r="AA93" s="28" t="n"/>
      <c r="AB93" s="28" t="n"/>
      <c r="AC93" s="30" t="n">
        <v>-1.25</v>
      </c>
      <c r="AD93" s="24" t="inlineStr">
        <is>
          <t>2026-09-18T22:02:10.204674Z</t>
        </is>
      </c>
      <c r="AE93" s="31" t="inlineStr">
        <is>
          <t>Tie-aware Elo baseline; executable ask 0.5700 (market_slug=aec-npb-ybo-tys-2026-09-18). Tie probability=0.0203.</t>
        </is>
      </c>
      <c r="AF93" s="31" t="inlineStr">
        <is>
          <t>Config-promoted international baseball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Tokyo Yakult Swallows</t>
        </is>
      </c>
      <c r="AQ93" s="24" t="inlineStr">
        <is>
          <t>Tokyo Yakult Swallows</t>
        </is>
      </c>
      <c r="AR93" s="24" t="inlineStr">
        <is>
          <t>Tokyo Yakult Swallows</t>
        </is>
      </c>
      <c r="AS93" s="24" t="inlineStr">
        <is>
          <t>Yokohama BayStars</t>
        </is>
      </c>
      <c r="AT93" s="24" t="inlineStr">
        <is>
          <t>Yokohama BayStars</t>
        </is>
      </c>
      <c r="AU93" s="24" t="inlineStr">
        <is>
          <t>Yokohama BayStars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0d92a6f9072a32fcbc91ff0bc4839b22dd43ac55e239ff6e19aebbebf190eee1</t>
        </is>
      </c>
      <c r="BB93" s="24" t="inlineStr">
        <is>
          <t>tie_aware_elo</t>
        </is>
      </c>
      <c r="BC93" s="24" t="inlineStr">
        <is>
          <t>npb-tie-aware-elo-v2</t>
        </is>
      </c>
      <c r="BD93" s="24" t="inlineStr">
        <is>
          <t>0d92a6f9072a32fcbc91ff0bc4839b22dd43ac55e239ff6e19aebbebf190eee1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npb-tie-aware-elo-v2</t>
        </is>
      </c>
      <c r="BH93" s="24" t="inlineStr">
        <is>
          <t>2026-09-18T07:43:23.246991Z</t>
        </is>
      </c>
      <c r="BI93" s="24" t="inlineStr">
        <is>
          <t>["same_event","same_team_same_day","same_league_same_day"]</t>
        </is>
      </c>
      <c r="BJ93" s="25" t="n"/>
      <c r="BK93" s="26" t="n">
        <v>-133</v>
      </c>
      <c r="BL93" s="27" t="n">
        <v>1.75188</v>
      </c>
      <c r="BM93" s="28" t="n">
        <v>0.570815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0.570815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"0d92a6f9072a32fcbc91ff0bc4839b22dd43ac55e239ff6e19aebbebf190eee1", "away_team": "Tokyo Yakult Swallows", "draw_settlement_value": 0.5, "event_id": "113389", "event_start_utc": "2026-09-18T09:00:00Z", "features": {"away_elo": 1423.141441, "base_tie_rate": 0.02407318, "home_advantage": 35.0, "home_elo": 1519.157376}, "historical_source_observation_times_verified": false, "home_team": "Yokohama BayStars", "inference_inputs": {"away_id": "S", "base_tie_rate": 0.02407318, "book_state": {"_games_played": null, "_last_active": null, "decay_rate": 0.0, "home_advantage": 35.0, "k": 8.0, "margin_weight": 0.0, "ratings": {"DB": 1519.157376, "S": 1423.141441}},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"2026-09-18T07:43:22.631719+00:00", "outcome_probabilities": {"away": 0.3134024360184478, "draw": 0.020339919069383483, "home": 0.6662576449121688}, "replay_scope": "Exact Elo and tie model; logged value is expected contract settlement, not outright win probability.", "schema": "international-elo-replay-v1", "settlement_values": {"away": 0.323572, "home": 0.676428}, "snapshot_hash": "ea1e874498586e6f44090c7b534f403aa566e283dc4007c678f85fcd8d73747a", "sport": "NPB"}</t>
        </is>
      </c>
    </row>
    <row r="94" ht="36" customHeight="1">
      <c r="A94" s="24" t="inlineStr">
        <is>
          <t>64ce721879214785</t>
        </is>
      </c>
      <c r="B94" s="24" t="inlineStr">
        <is>
          <t>2026-09-18T07:43:23.416905Z</t>
        </is>
      </c>
      <c r="C94" s="24" t="inlineStr">
        <is>
          <t>2026-09-18T09:00:00Z</t>
        </is>
      </c>
      <c r="D94" s="24" t="inlineStr">
        <is>
          <t>113390</t>
        </is>
      </c>
      <c r="E94" s="24" t="inlineStr">
        <is>
          <t>NPB</t>
        </is>
      </c>
      <c r="F94" s="24" t="inlineStr">
        <is>
          <t>Hiroshima Carp</t>
        </is>
      </c>
      <c r="G94" s="24" t="inlineStr">
        <is>
          <t>Hanshin Tigers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0.651344</v>
      </c>
      <c r="P94" s="28" t="n"/>
      <c r="Q94" s="28" t="n">
        <v>0.021714</v>
      </c>
      <c r="R94" s="26" t="n">
        <v>31</v>
      </c>
      <c r="S94" s="29" t="n">
        <v>1</v>
      </c>
      <c r="T94" s="24" t="inlineStr">
        <is>
          <t>npb-tie-aware-elo-v2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2</v>
      </c>
      <c r="Y94" s="25" t="n"/>
      <c r="Z94" s="26" t="n"/>
      <c r="AA94" s="28" t="n"/>
      <c r="AB94" s="28" t="n"/>
      <c r="AC94" s="30" t="n">
        <v>0.5881999999999999</v>
      </c>
      <c r="AD94" s="24" t="inlineStr">
        <is>
          <t>2026-09-18T22:02:10.320587Z</t>
        </is>
      </c>
      <c r="AE94" s="31" t="inlineStr">
        <is>
          <t>Tie-aware Elo baseline; executable ask 0.6300 (market_slug=aec-npb-hta-hci-2026-09-18). Tie probability=0.0227.</t>
        </is>
      </c>
      <c r="AF94" s="31" t="inlineStr">
        <is>
          <t>Config-promoted international baseball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Hiroshima Carp</t>
        </is>
      </c>
      <c r="AQ94" s="24" t="inlineStr">
        <is>
          <t>Hiroshima Carp</t>
        </is>
      </c>
      <c r="AR94" s="24" t="inlineStr">
        <is>
          <t>Hiroshima Carp</t>
        </is>
      </c>
      <c r="AS94" s="24" t="inlineStr">
        <is>
          <t>Hanshin Tigers</t>
        </is>
      </c>
      <c r="AT94" s="24" t="inlineStr">
        <is>
          <t>Hanshin Tigers</t>
        </is>
      </c>
      <c r="AU94" s="24" t="inlineStr">
        <is>
          <t>Hanshin Tigers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0d92a6f9072a32fcbc91ff0bc4839b22dd43ac55e239ff6e19aebbebf190eee1</t>
        </is>
      </c>
      <c r="BB94" s="24" t="inlineStr">
        <is>
          <t>tie_aware_elo</t>
        </is>
      </c>
      <c r="BC94" s="24" t="inlineStr">
        <is>
          <t>npb-tie-aware-elo-v2</t>
        </is>
      </c>
      <c r="BD94" s="24" t="inlineStr">
        <is>
          <t>0d92a6f9072a32fcbc91ff0bc4839b22dd43ac55e239ff6e19aebbebf190eee1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npb-tie-aware-elo-v2</t>
        </is>
      </c>
      <c r="BH94" s="24" t="inlineStr">
        <is>
          <t>2026-09-18T07:43:23.416797Z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0.62963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"0d92a6f9072a32fcbc91ff0bc4839b22dd43ac55e239ff6e19aebbebf190eee1", "away_team": "Hiroshima Carp", "draw_settlement_value": 0.5, "event_id": "113390", "event_start_utc": "2026-09-18T09:00:00Z", "features": {"away_elo": 1437.546992, "base_tie_rate": 0.02407318, "home_advantage": 35.0, "home_elo": 1513.81}, "historical_source_observation_times_verified": false, "home_team": "Hanshin Tigers", "inference_inputs": {"away_id": "C", "base_tie_rate": 0.02407318, "book_state": {"_games_played": null, "_last_active": null, "decay_rate": 0.0, "home_advantage": 35.0, "k": 8.0, "margin_weight": 0.0, "ratings": {"C": 1437.546992, "T": 1513.81}},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"2026-09-18T07:43:22.631719+00:00", "outcome_probabilities": {"away": 0.33729706984219043, "draw": 0.02271749790537281, "home": 0.6399854322524368}, "replay_scope": "Exact Elo and tie model; logged value is expected contract settlement, not outright win probability.", "schema": "international-elo-replay-v1", "settlement_values": {"away": 0.348656, "home": 0.651344}, "snapshot_hash": "77e9293de9d62f825665e15e5516548034e7ad858d82ade04bd0e961da1e4bf8", "sport": "NPB"}</t>
        </is>
      </c>
    </row>
    <row r="95" ht="36" customHeight="1">
      <c r="A95" s="24" t="inlineStr">
        <is>
          <t>cae7b4f96220450d</t>
        </is>
      </c>
      <c r="B95" s="24" t="inlineStr">
        <is>
          <t>2026-09-18T22:09:11.651667Z</t>
        </is>
      </c>
      <c r="C95" s="24" t="inlineStr">
        <is>
          <t>2026-09-19T05:00:00Z</t>
        </is>
      </c>
      <c r="D95" s="24" t="inlineStr">
        <is>
          <t>114327</t>
        </is>
      </c>
      <c r="E95" s="24" t="inlineStr">
        <is>
          <t>NPB</t>
        </is>
      </c>
      <c r="F95" s="24" t="inlineStr">
        <is>
          <t>Chunichi Dragons</t>
        </is>
      </c>
      <c r="G95" s="24" t="inlineStr">
        <is>
          <t>Yomiuri Giants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-127</v>
      </c>
      <c r="M95" s="27" t="n">
        <v>1.787402</v>
      </c>
      <c r="N95" s="28" t="n">
        <v>0.5594710000000001</v>
      </c>
      <c r="O95" s="28" t="n">
        <v>0.619215</v>
      </c>
      <c r="P95" s="28" t="n"/>
      <c r="Q95" s="28" t="n">
        <v>0.059744</v>
      </c>
      <c r="R95" s="26" t="n">
        <v>50</v>
      </c>
      <c r="S95" s="29" t="n">
        <v>1</v>
      </c>
      <c r="T95" s="24" t="inlineStr">
        <is>
          <t>npb-tie-aware-elo-v2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14</v>
      </c>
      <c r="Y95" s="25" t="n"/>
      <c r="Z95" s="26" t="n"/>
      <c r="AA95" s="28" t="n"/>
      <c r="AB95" s="28" t="n"/>
      <c r="AC95" s="30" t="n">
        <v>0.7874</v>
      </c>
      <c r="AD95" s="24" t="inlineStr">
        <is>
          <t>2026-09-19T22:03:03.076825Z</t>
        </is>
      </c>
      <c r="AE95" s="31" t="inlineStr">
        <is>
          <t>Tie-aware Elo baseline; executable ask 0.5600 (market_slug=aec-npb-ygo-cdh-2026-09-19). Tie probability=0.0241.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Chunichi Dragons</t>
        </is>
      </c>
      <c r="AQ95" s="24" t="inlineStr">
        <is>
          <t>Chunichi Dragons</t>
        </is>
      </c>
      <c r="AR95" s="24" t="inlineStr">
        <is>
          <t>Chunichi Dragons</t>
        </is>
      </c>
      <c r="AS95" s="24" t="inlineStr">
        <is>
          <t>Yomiuri Giants</t>
        </is>
      </c>
      <c r="AT95" s="24" t="inlineStr">
        <is>
          <t>Yomiuri Giants</t>
        </is>
      </c>
      <c r="AU95" s="24" t="inlineStr">
        <is>
          <t>Yomiuri Giants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ed60727dd07a4cdc7d2150b32e4822193576e9334ba7136b09a5a5b2eb1f2709</t>
        </is>
      </c>
      <c r="BB95" s="24" t="inlineStr">
        <is>
          <t>tie_aware_elo</t>
        </is>
      </c>
      <c r="BC95" s="24" t="inlineStr">
        <is>
          <t>npb-tie-aware-elo-v2</t>
        </is>
      </c>
      <c r="BD95" s="24" t="inlineStr">
        <is>
          <t>ed60727dd07a4cdc7d2150b32e4822193576e9334ba7136b09a5a5b2eb1f2709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npb-tie-aware-elo-v2</t>
        </is>
      </c>
      <c r="BH95" s="24" t="inlineStr">
        <is>
          <t>2026-09-18T22:08:54.967187Z</t>
        </is>
      </c>
      <c r="BI95" s="24" t="inlineStr">
        <is>
          <t>["same_event","same_team_same_day","same_league_same_day"]</t>
        </is>
      </c>
      <c r="BJ95" s="25" t="n"/>
      <c r="BK95" s="26" t="n">
        <v>-127</v>
      </c>
      <c r="BL95" s="27" t="n">
        <v>1.787402</v>
      </c>
      <c r="BM95" s="28" t="n">
        <v>0.5594710000000001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0.559471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"ed60727dd07a4cdc7d2150b32e4822193576e9334ba7136b09a5a5b2eb1f2709", "away_team": "Chunichi Dragons", "draw_settlement_value": 0.5, "event_id": "114327", "event_start_utc": "2026-09-19T05:00:00Z", "features": {"away_elo": 1459.707577, "base_tie_rate": 0.02405581, "home_advantage": 35.0, "home_elo": 1511.340652}, "historical_source_observation_times_verified": false, "home_team": "Yomiuri Giants", "inference_inputs": {"away_id": "D", "base_tie_rate": 0.02405581, "book_state": {"_games_played": null, "_last_active": null, "decay_rate": 0.0, "home_advantage": 35.0, "k": 8.0, "margin_weight": 0.0, "ratings": {"D": 1459.707577, "G": 1511.340652}},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"2026-09-18T22:08:54.874854+00:00", "outcome_probabilities": {"away": 0.36875680977539704, "draw": 0.02405581, "home": 0.607187380224603}, "replay_scope": "Exact Elo and tie model; logged value is expected contract settlement, not outright win probability.", "schema": "international-elo-replay-v1", "settlement_values": {"away": 0.380785, "home": 0.619215}, "snapshot_hash": "8787e707443d0a2ce56a47fc843a94d922f1447f10f60e9486c5a239e7159381", "sport": "NPB"}</t>
        </is>
      </c>
    </row>
    <row r="96" ht="36" customHeight="1">
      <c r="A96" s="24" t="inlineStr">
        <is>
          <t>e415cd63f08e42ea</t>
        </is>
      </c>
      <c r="B96" s="24" t="inlineStr">
        <is>
          <t>2026-09-19T05:45:09.668085Z</t>
        </is>
      </c>
      <c r="C96" s="24" t="inlineStr">
        <is>
          <t>2026-09-19T09:00:00Z</t>
        </is>
      </c>
      <c r="D96" s="24" t="inlineStr">
        <is>
          <t>114515</t>
        </is>
      </c>
      <c r="E96" s="24" t="inlineStr">
        <is>
          <t>NPB</t>
        </is>
      </c>
      <c r="F96" s="24" t="inlineStr">
        <is>
          <t>Saitama Seibu Lions</t>
        </is>
      </c>
      <c r="G96" s="24" t="inlineStr">
        <is>
          <t>Chiba Lotte Marines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-138</v>
      </c>
      <c r="M96" s="27" t="n">
        <v>1.724638</v>
      </c>
      <c r="N96" s="28" t="n">
        <v>0.579832</v>
      </c>
      <c r="O96" s="28" t="n">
        <v>0.520699</v>
      </c>
      <c r="P96" s="28" t="n"/>
      <c r="Q96" s="28" t="n">
        <v>-0.059133</v>
      </c>
      <c r="R96" s="26" t="n">
        <v>0</v>
      </c>
      <c r="S96" s="29" t="n">
        <v>1</v>
      </c>
      <c r="T96" s="24" t="inlineStr">
        <is>
          <t>npb-tie-aware-elo-v2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2</v>
      </c>
      <c r="Y96" s="25" t="n"/>
      <c r="Z96" s="26" t="n"/>
      <c r="AA96" s="28" t="n"/>
      <c r="AB96" s="28" t="n"/>
      <c r="AC96" s="30" t="n">
        <v>0.7246</v>
      </c>
      <c r="AD96" s="24" t="inlineStr">
        <is>
          <t>2026-09-19T22:03:03.249104Z</t>
        </is>
      </c>
      <c r="AE96" s="31" t="inlineStr">
        <is>
          <t>Tie-aware Elo baseline; executable ask 0.5800 (market_slug=aec-npb-clm-ssl-2026-09-19). Tie probability=0.0241.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Saitama Seibu Lions</t>
        </is>
      </c>
      <c r="AQ96" s="24" t="inlineStr">
        <is>
          <t>Saitama Seibu Lions</t>
        </is>
      </c>
      <c r="AR96" s="24" t="inlineStr">
        <is>
          <t>Saitama Seibu Lions</t>
        </is>
      </c>
      <c r="AS96" s="24" t="inlineStr">
        <is>
          <t>Chiba Lotte Marines</t>
        </is>
      </c>
      <c r="AT96" s="24" t="inlineStr">
        <is>
          <t>Chiba Lotte Marines</t>
        </is>
      </c>
      <c r="AU96" s="24" t="inlineStr">
        <is>
          <t>Chiba Lotte Marines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3d78eb9204283cd02633977f396600b2f7f10e83436604a2a1af07d678a19bd9</t>
        </is>
      </c>
      <c r="BB96" s="24" t="inlineStr">
        <is>
          <t>tie_aware_elo</t>
        </is>
      </c>
      <c r="BC96" s="24" t="inlineStr">
        <is>
          <t>npb-tie-aware-elo-v2</t>
        </is>
      </c>
      <c r="BD96" s="24" t="inlineStr">
        <is>
          <t>3d78eb9204283cd02633977f396600b2f7f10e83436604a2a1af07d678a19bd9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npb-tie-aware-elo-v2</t>
        </is>
      </c>
      <c r="BH96" s="24" t="inlineStr">
        <is>
          <t>2026-09-19T05:45:09.668024Z</t>
        </is>
      </c>
      <c r="BI96" s="24" t="inlineStr">
        <is>
          <t>["same_event","same_team_same_day","same_league_same_day"]</t>
        </is>
      </c>
      <c r="BJ96" s="25" t="n"/>
      <c r="BK96" s="26" t="n">
        <v>-138</v>
      </c>
      <c r="BL96" s="27" t="n">
        <v>1.724638</v>
      </c>
      <c r="BM96" s="28" t="n">
        <v>0.579832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0.579832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"3d78eb9204283cd02633977f396600b2f7f10e83436604a2a1af07d678a19bd9", "away_team": "Saitama Seibu Lions", "draw_settlement_value": 0.5, "event_id": "114515", "event_start_utc": "2026-09-19T09:00:00Z", "features": {"away_elo": 1534.920211, "base_tie_rate": 0.02405581, "home_advantage": 35.0, "home_elo": 1485.173694}, "historical_source_observation_times_verified": false, "home_team": "Chiba Lotte Marines", "inference_inputs": {"away_id": "L", "base_tie_rate": 0.02405581, "book_state": {"_games_played": null, "_last_active": null, "decay_rate": 0.0, "home_advantage": 35.0, "k": 8.0, "margin_weight": 0.0, "ratings": {"L": 1534.920211, "M": 1485.173694}},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"2026-09-19T05:45:00.192808+00:00", "outcome_probabilities": {"away": 0.5086710996894644, "draw": 0.02405581, "home": 0.46727309031053554}, "replay_scope": "Exact Elo and tie model; logged value is expected contract settlement, not outright win probability.", "schema": "international-elo-replay-v1", "settlement_values": {"away": 0.520699, "home": 0.479301}, "snapshot_hash": "81f40950eb80d57c5ea4a9bc4c0afb8740ec2cf7c39e392201ca81c77b23b7a0", "sport": "NPB"}</t>
        </is>
      </c>
    </row>
    <row r="97" ht="36" customHeight="1">
      <c r="A97" s="24" t="inlineStr">
        <is>
          <t>301d84c76a06412c</t>
        </is>
      </c>
      <c r="B97" s="24" t="inlineStr">
        <is>
          <t>2026-09-19T22:47:02.380459Z</t>
        </is>
      </c>
      <c r="C97" s="24" t="inlineStr">
        <is>
          <t>2026-09-20T05:00:00Z</t>
        </is>
      </c>
      <c r="D97" s="24" t="inlineStr">
        <is>
          <t>115742</t>
        </is>
      </c>
      <c r="E97" s="24" t="inlineStr">
        <is>
          <t>NPB</t>
        </is>
      </c>
      <c r="F97" s="24" t="inlineStr">
        <is>
          <t>Orix Buffaloes</t>
        </is>
      </c>
      <c r="G97" s="24" t="inlineStr">
        <is>
          <t>Nippon Ham Fighters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-203</v>
      </c>
      <c r="M97" s="27" t="n">
        <v>1.492611</v>
      </c>
      <c r="N97" s="28" t="n">
        <v>0.669967</v>
      </c>
      <c r="O97" s="28" t="n">
        <v>0.655119</v>
      </c>
      <c r="P97" s="28" t="n"/>
      <c r="Q97" s="28" t="n">
        <v>-0.014848</v>
      </c>
      <c r="R97" s="26" t="n">
        <v>13</v>
      </c>
      <c r="S97" s="29" t="n">
        <v>1</v>
      </c>
      <c r="T97" s="24" t="inlineStr">
        <is>
          <t>npb-tie-aware-elo-v2</t>
        </is>
      </c>
      <c r="U97" s="24" t="inlineStr">
        <is>
          <t>settled</t>
        </is>
      </c>
      <c r="V97" s="24" t="inlineStr">
        <is>
          <t>loss</t>
        </is>
      </c>
      <c r="W97" s="26" t="n">
        <v>9</v>
      </c>
      <c r="X97" s="26" t="n">
        <v>6</v>
      </c>
      <c r="Y97" s="25" t="n"/>
      <c r="Z97" s="26" t="n"/>
      <c r="AA97" s="28" t="n"/>
      <c r="AB97" s="28" t="n"/>
      <c r="AC97" s="30" t="n">
        <v>-1</v>
      </c>
      <c r="AD97" s="24" t="inlineStr">
        <is>
          <t>2026-09-20T22:19:18.453353Z</t>
        </is>
      </c>
      <c r="AE97" s="31" t="inlineStr">
        <is>
          <t>Tie-aware Elo baseline; executable ask 0.6700 (market_slug=aec-npb-nhf-obr-2026-09-20). Tie probability=0.0240.</t>
        </is>
      </c>
      <c r="AF97" s="31" t="inlineStr">
        <is>
          <t>Config-promoted international baseball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Orix Buffaloes</t>
        </is>
      </c>
      <c r="AQ97" s="24" t="inlineStr">
        <is>
          <t>Orix Buffaloes</t>
        </is>
      </c>
      <c r="AR97" s="24" t="inlineStr">
        <is>
          <t>Orix Buffaloes</t>
        </is>
      </c>
      <c r="AS97" s="24" t="inlineStr">
        <is>
          <t>Nippon Ham Fighters</t>
        </is>
      </c>
      <c r="AT97" s="24" t="inlineStr">
        <is>
          <t>Nippon Ham Fighters</t>
        </is>
      </c>
      <c r="AU97" s="24" t="inlineStr">
        <is>
          <t>Nippon Ham Fighters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9ea21947002a893284455332c6336d3a32271cb0e9469bc7ecb49250ead8ebef</t>
        </is>
      </c>
      <c r="BB97" s="24" t="inlineStr">
        <is>
          <t>tie_aware_elo</t>
        </is>
      </c>
      <c r="BC97" s="24" t="inlineStr">
        <is>
          <t>npb-tie-aware-elo-v2</t>
        </is>
      </c>
      <c r="BD97" s="24" t="inlineStr">
        <is>
          <t>9ea21947002a893284455332c6336d3a32271cb0e9469bc7ecb49250ead8ebef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npb-tie-aware-elo-v2</t>
        </is>
      </c>
      <c r="BH97" s="24" t="inlineStr">
        <is>
          <t>2026-09-19T22:46:58.041759Z</t>
        </is>
      </c>
      <c r="BI97" s="24" t="inlineStr">
        <is>
          <t>["same_event","same_team_same_day","same_league_same_day"]</t>
        </is>
      </c>
      <c r="BJ97" s="25" t="n"/>
      <c r="BK97" s="26" t="n">
        <v>-203</v>
      </c>
      <c r="BL97" s="27" t="n">
        <v>1.492611</v>
      </c>
      <c r="BM97" s="28" t="n">
        <v>0.669967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0.669967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"9ea21947002a893284455332c6336d3a32271cb0e9469bc7ecb49250ead8ebef", "away_team": "Orix Buffaloes", "draw_settlement_value": 0.5, "event_id": "115742", "event_start_utc": "2026-09-20T05:00:00Z", "features": {"away_elo": 1480.515623, "base_tie_rate": 0.02402114, "home_advantage": 35.0, "home_elo": 1559.919164}, "historical_source_observation_times_verified": false, "home_team": "Nippon Ham Fighters", "inference_inputs": {"away_id": "B", "base_tie_rate": 0.02402114, "book_state": {"_games_played": null, "_last_active": null, "decay_rate": 0.0, "home_advantage": 35.0, "k": 8.0, "margin_weight": 0.0, "ratings": {"B": 1480.515623, "F": 1559.919164}},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"2026-09-19T22:46:49.603977+00:00", "outcome_probabilities": {"away": 0.3328704971275901, "draw": 0.02402114, "home": 0.6431083628724099}, "replay_scope": "Exact Elo and tie model; logged value is expected contract settlement, not outright win probability.", "schema": "international-elo-replay-v1", "settlement_values": {"away": 0.344881, "home": 0.655119}, "snapshot_hash": "e9869a601e9002a8889c45eda686d8bee779a74dcca8c2f0a7597fc72dc3b503", "sport": "NPB"}</t>
        </is>
      </c>
    </row>
    <row r="98" ht="36" customHeight="1">
      <c r="A98" s="24" t="inlineStr">
        <is>
          <t>c96e651ef661432d</t>
        </is>
      </c>
      <c r="B98" s="24" t="inlineStr">
        <is>
          <t>2026-09-20T05:02:56.097588Z</t>
        </is>
      </c>
      <c r="C98" s="24" t="inlineStr">
        <is>
          <t>2026-09-20T09:00:00Z</t>
        </is>
      </c>
      <c r="D98" s="24" t="inlineStr">
        <is>
          <t>115812</t>
        </is>
      </c>
      <c r="E98" s="24" t="inlineStr">
        <is>
          <t>NPB</t>
        </is>
      </c>
      <c r="F98" s="24" t="inlineStr">
        <is>
          <t>Saitama Seibu Lions</t>
        </is>
      </c>
      <c r="G98" s="24" t="inlineStr">
        <is>
          <t>Chiba Lotte Marines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0.531428</v>
      </c>
      <c r="P98" s="28" t="n"/>
      <c r="Q98" s="28" t="n">
        <v>-0.018122</v>
      </c>
      <c r="R98" s="26" t="n">
        <v>11</v>
      </c>
      <c r="S98" s="29" t="n">
        <v>1</v>
      </c>
      <c r="T98" s="24" t="inlineStr">
        <is>
          <t>npb-tie-aware-elo-v2</t>
        </is>
      </c>
      <c r="U98" s="24" t="inlineStr">
        <is>
          <t>settled</t>
        </is>
      </c>
      <c r="V98" s="24" t="inlineStr">
        <is>
          <t>push</t>
        </is>
      </c>
      <c r="W98" s="26" t="n"/>
      <c r="X98" s="26" t="n"/>
      <c r="Y98" s="25" t="n"/>
      <c r="Z98" s="26" t="n"/>
      <c r="AA98" s="28" t="n"/>
      <c r="AB98" s="28" t="n"/>
      <c r="AC98" s="30" t="n">
        <v>0</v>
      </c>
      <c r="AD98" s="24" t="inlineStr">
        <is>
          <t>2026-10-06T23:00:30.304593Z</t>
        </is>
      </c>
      <c r="AE98" s="31" t="inlineStr">
        <is>
          <t>Tie-aware Elo baseline; executable ask 0.5500 (market_slug=aec-npb-clm-ssl-2026-09-20). Tie probability=0.0240.</t>
        </is>
      </c>
      <c r="AF98" s="31" t="inlineStr">
        <is>
          <t>Config-promoted international baseball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Saitama Seibu Lions</t>
        </is>
      </c>
      <c r="AQ98" s="24" t="inlineStr">
        <is>
          <t>Saitama Seibu Lions</t>
        </is>
      </c>
      <c r="AR98" s="24" t="inlineStr">
        <is>
          <t>Saitama Seibu Lions</t>
        </is>
      </c>
      <c r="AS98" s="24" t="inlineStr">
        <is>
          <t>Chiba Lotte Marines</t>
        </is>
      </c>
      <c r="AT98" s="24" t="inlineStr">
        <is>
          <t>Chiba Lotte Marines</t>
        </is>
      </c>
      <c r="AU98" s="24" t="inlineStr">
        <is>
          <t>Chiba Lotte Marines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b5bf98485c732421bdf3cf0b5a295b6e50bfbf20fc0ba4b99038f7c3769bab00</t>
        </is>
      </c>
      <c r="BB98" s="24" t="inlineStr">
        <is>
          <t>tie_aware_elo</t>
        </is>
      </c>
      <c r="BC98" s="24" t="inlineStr">
        <is>
          <t>npb-tie-aware-elo-v2</t>
        </is>
      </c>
      <c r="BD98" s="24" t="inlineStr">
        <is>
          <t>b5bf98485c732421bdf3cf0b5a295b6e50bfbf20fc0ba4b99038f7c3769bab00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npb-tie-aware-elo-v2</t>
        </is>
      </c>
      <c r="BH98" s="24" t="inlineStr">
        <is>
          <t>2026-09-20T05:02:47.657499Z</t>
        </is>
      </c>
      <c r="BI98" s="24" t="inlineStr">
        <is>
          <t>["same_event","same_team_same_day","same_league_same_day"]</t>
        </is>
      </c>
      <c r="BJ98" s="25" t="n"/>
      <c r="BK98" s="26" t="n">
        <v>-122</v>
      </c>
      <c r="BL98" s="27" t="n">
        <v>1.819672</v>
      </c>
      <c r="BM98" s="28" t="n">
        <v>0.54955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inlineStr">
        <is>
          <t>NPB game scheduled on 2026-09-20 cancelled/postponed (no final score posted after &gt;7 days)</t>
        </is>
      </c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0.54955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"b5bf98485c732421bdf3cf0b5a295b6e50bfbf20fc0ba4b99038f7c3769bab00", "away_team": "Saitama Seibu Lions", "draw_settlement_value": 0.5, "event_id": "115812", "event_start_utc": "2026-09-20T09:00:00Z", "features": {"away_elo": 1538.750537, "base_tie_rate": 0.02402114, "home_advantage": 35.0, "home_elo": 1481.343367}, "historical_source_observation_times_verified": false, "home_team": "Chiba Lotte Marines", "inference_inputs": {"away_id": "L", "base_tie_rate": 0.02402114, "book_state": {"_games_played": null, "_last_active": null, "decay_rate": 0.0, "home_advantage": 35.0, "k": 8.0, "margin_weight": 0.0, "ratings": {"L": 1538.750537,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"2026-09-20T05:02:47.603811+00:00", "outcome_probabilities": {"away": 0.5194177800822406, "draw": 0.02402114, "home": 0.4565610799177594}, "replay_scope": "Exact Elo and tie model; logged value is expected contract settlement, not outright win probability.", "schema": "international-elo-replay-v1", "settlement_values": {"away": 0.531428, "home": 0.468572}, "snapshot_hash": "2140de66ac074575025ed156ffa5f18242afd2d868bff2dbfb4a72f2fba9e01f", "sport": "NPB"}</t>
        </is>
      </c>
    </row>
    <row r="99" ht="36" customHeight="1">
      <c r="A99" s="24" t="inlineStr">
        <is>
          <t>bc59b00406ec40b2</t>
        </is>
      </c>
      <c r="B99" s="24" t="inlineStr">
        <is>
          <t>2026-09-20T23:09:33.694137Z</t>
        </is>
      </c>
      <c r="C99" s="24" t="inlineStr">
        <is>
          <t>2026-09-21T04:00:00Z</t>
        </is>
      </c>
      <c r="D99" s="24" t="inlineStr">
        <is>
          <t>116555</t>
        </is>
      </c>
      <c r="E99" s="24" t="inlineStr">
        <is>
          <t>NPB</t>
        </is>
      </c>
      <c r="F99" s="24" t="inlineStr">
        <is>
          <t>Fukuoka SoftBank Hawks</t>
        </is>
      </c>
      <c r="G99" s="24" t="inlineStr">
        <is>
          <t>Tohoku Rakuten Golden Eagles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-150</v>
      </c>
      <c r="M99" s="27" t="n">
        <v>1.666667</v>
      </c>
      <c r="N99" s="28" t="n">
        <v>0.6</v>
      </c>
      <c r="O99" s="28" t="n">
        <v>0.586602</v>
      </c>
      <c r="P99" s="28" t="n"/>
      <c r="Q99" s="28" t="n">
        <v>-0.013398</v>
      </c>
      <c r="R99" s="26" t="n">
        <v>13</v>
      </c>
      <c r="S99" s="29" t="n">
        <v>1</v>
      </c>
      <c r="T99" s="24" t="inlineStr">
        <is>
          <t>npb-tie-aware-elo-v2</t>
        </is>
      </c>
      <c r="U99" s="24" t="inlineStr">
        <is>
          <t>settled</t>
        </is>
      </c>
      <c r="V99" s="24" t="inlineStr">
        <is>
          <t>push</t>
        </is>
      </c>
      <c r="W99" s="26" t="n"/>
      <c r="X99" s="26" t="n"/>
      <c r="Y99" s="25" t="n"/>
      <c r="Z99" s="26" t="n"/>
      <c r="AA99" s="28" t="n"/>
      <c r="AB99" s="28" t="n"/>
      <c r="AC99" s="30" t="n">
        <v>0</v>
      </c>
      <c r="AD99" s="24" t="inlineStr">
        <is>
          <t>2026-10-06T23:00:33.102064Z</t>
        </is>
      </c>
      <c r="AE99" s="31" t="inlineStr">
        <is>
          <t>Tie-aware Elo baseline; executable ask 0.6000 (market_slug=aec-npb-trge-fsh-2026-09-21). Tie probability=0.0285.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Fukuoka SoftBank Hawks</t>
        </is>
      </c>
      <c r="AQ99" s="24" t="inlineStr">
        <is>
          <t>Fukuoka SoftBank Hawks</t>
        </is>
      </c>
      <c r="AR99" s="24" t="inlineStr">
        <is>
          <t>Fukuoka SoftBank Hawks</t>
        </is>
      </c>
      <c r="AS99" s="24" t="inlineStr">
        <is>
          <t>Tohoku Rakuten Golden Eagles</t>
        </is>
      </c>
      <c r="AT99" s="24" t="inlineStr">
        <is>
          <t>Tohoku Rakuten Golden Eagles</t>
        </is>
      </c>
      <c r="AU99" s="24" t="inlineStr">
        <is>
          <t>Tohoku Rakuten Golden Eagles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680d7a28b4f2b56700e7a914961c1b21b338d5f5cdbefc1f7e88a82e01b3308b</t>
        </is>
      </c>
      <c r="BB99" s="24" t="inlineStr">
        <is>
          <t>tie_aware_elo</t>
        </is>
      </c>
      <c r="BC99" s="24" t="inlineStr">
        <is>
          <t>npb-tie-aware-elo-v2</t>
        </is>
      </c>
      <c r="BD99" s="24" t="inlineStr">
        <is>
          <t>680d7a28b4f2b56700e7a914961c1b21b338d5f5cdbefc1f7e88a82e01b3308b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npb-tie-aware-elo-v2</t>
        </is>
      </c>
      <c r="BH99" s="24" t="inlineStr">
        <is>
          <t>2026-09-20T23:09:33.444560Z</t>
        </is>
      </c>
      <c r="BI99" s="24" t="inlineStr">
        <is>
          <t>["same_event","same_team_same_day","same_league_same_day"]</t>
        </is>
      </c>
      <c r="BJ99" s="25" t="n"/>
      <c r="BK99" s="26" t="n">
        <v>-150</v>
      </c>
      <c r="BL99" s="27" t="n">
        <v>1.666667</v>
      </c>
      <c r="BM99" s="28" t="n">
        <v>0.6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inlineStr">
        <is>
          <t>NPB game scheduled on 2026-09-21 cancelled/postponed (no final score posted after &gt;7 days)</t>
        </is>
      </c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"680d7a28b4f2b56700e7a914961c1b21b338d5f5cdbefc1f7e88a82e01b3308b", "away_team": "Fukuoka SoftBank Hawks", "draw_settlement_value": 0.5, "event_id": "116555", "event_start_utc": "2026-09-21T04:00:00Z", "features": {"away_elo": 1568.63959, "base_tie_rate": 0.02399232, "home_advantage": 35.0, "home_elo": 1471.029175}, "historical_source_observation_times_verified": false, "home_team": "Tohoku Rakuten Golden Eagles", "inference_inputs": {"away_id": "H", "base_tie_rate": 0.02399232, "book_state": {"_games_played": null, "_last_active": null, "decay_rate": 0.001, "home_advantage": 35.0, "k": 8.0, "margin_weight": 0.0, "ratings": {"E": 1471.029175, "H": 1568.63959}},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"2026-09-20T23:09:33.136125+00:00", "outcome_probabilities": {"away": 0.5723634385065066, "draw": 0.02847763443993599, "home": 0.3991589270535573}, "replay_scope": "Exact Elo and tie model; logged value is expected contract settlement, not outright win probability.", "schema": "international-elo-replay-v1", "settlement_values": {"away": 0.586602, "home": 0.413398}, "snapshot_hash": "0953bb5a0ff48952a3f9501a2096968a3ee4d9788ef3635c203e52ec57010e44", "sport": "NPB"}</t>
        </is>
      </c>
    </row>
    <row r="100" ht="36" customHeight="1">
      <c r="A100" s="24" t="inlineStr">
        <is>
          <t>388a8860f1e94d3a</t>
        </is>
      </c>
      <c r="B100" s="24" t="inlineStr">
        <is>
          <t>2026-09-21T04:39:08.769317Z</t>
        </is>
      </c>
      <c r="C100" s="24" t="inlineStr">
        <is>
          <t>2026-09-21T05:00:00Z</t>
        </is>
      </c>
      <c r="D100" s="24" t="inlineStr">
        <is>
          <t>116567</t>
        </is>
      </c>
      <c r="E100" s="24" t="inlineStr">
        <is>
          <t>NPB</t>
        </is>
      </c>
      <c r="F100" s="24" t="inlineStr">
        <is>
          <t>Yokohama BayStars</t>
        </is>
      </c>
      <c r="G100" s="24" t="inlineStr">
        <is>
          <t>Hanshin Tigers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-104</v>
      </c>
      <c r="M100" s="27" t="n">
        <v>1.961538</v>
      </c>
      <c r="N100" s="28" t="n">
        <v>0.509804</v>
      </c>
      <c r="O100" s="28" t="n">
        <v>0.536099</v>
      </c>
      <c r="P100" s="28" t="n"/>
      <c r="Q100" s="28" t="n">
        <v>0.026295</v>
      </c>
      <c r="R100" s="26" t="n">
        <v>33</v>
      </c>
      <c r="S100" s="29" t="n">
        <v>1</v>
      </c>
      <c r="T100" s="24" t="inlineStr">
        <is>
          <t>npb-tie-aware-elo-v2</t>
        </is>
      </c>
      <c r="U100" s="24" t="inlineStr">
        <is>
          <t>settled</t>
        </is>
      </c>
      <c r="V100" s="24" t="inlineStr">
        <is>
          <t>win</t>
        </is>
      </c>
      <c r="W100" s="26" t="n">
        <v>2</v>
      </c>
      <c r="X100" s="26" t="n">
        <v>3</v>
      </c>
      <c r="Y100" s="25" t="n"/>
      <c r="Z100" s="26" t="n"/>
      <c r="AA100" s="28" t="n"/>
      <c r="AB100" s="28" t="n"/>
      <c r="AC100" s="30" t="n">
        <v>0.9615</v>
      </c>
      <c r="AD100" s="24" t="inlineStr">
        <is>
          <t>2026-09-21T22:03:09.005232Z</t>
        </is>
      </c>
      <c r="AE100" s="31" t="inlineStr">
        <is>
          <t>Tie-aware Elo baseline; executable ask 0.5100 (market_slug=aec-npb-hta-ybo-2026-09-21). Tie probability=0.0329.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Yokohama BayStars</t>
        </is>
      </c>
      <c r="AQ100" s="24" t="inlineStr">
        <is>
          <t>Yokohama BayStars</t>
        </is>
      </c>
      <c r="AR100" s="24" t="inlineStr">
        <is>
          <t>Yokohama BayStars</t>
        </is>
      </c>
      <c r="AS100" s="24" t="inlineStr">
        <is>
          <t>Hanshin Tigers</t>
        </is>
      </c>
      <c r="AT100" s="24" t="inlineStr">
        <is>
          <t>Hanshin Tigers</t>
        </is>
      </c>
      <c r="AU100" s="24" t="inlineStr">
        <is>
          <t>Hanshin Tigers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13fed96c30e2a691cfc44cd8106e822060d66a2f8e95ed703e095bc83b82ebef</t>
        </is>
      </c>
      <c r="BB100" s="24" t="inlineStr">
        <is>
          <t>tie_aware_elo</t>
        </is>
      </c>
      <c r="BC100" s="24" t="inlineStr">
        <is>
          <t>npb-tie-aware-elo-v2</t>
        </is>
      </c>
      <c r="BD100" s="24" t="inlineStr">
        <is>
          <t>13fed96c30e2a691cfc44cd8106e822060d66a2f8e95ed703e095bc83b82ebef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npb-tie-aware-elo-v2</t>
        </is>
      </c>
      <c r="BH100" s="24" t="inlineStr">
        <is>
          <t>2026-09-21T04:39:08.595419Z</t>
        </is>
      </c>
      <c r="BI100" s="24" t="inlineStr">
        <is>
          <t>["same_event","same_team_same_day","same_league_same_day"]</t>
        </is>
      </c>
      <c r="BJ100" s="25" t="n"/>
      <c r="BK100" s="26" t="n">
        <v>-104</v>
      </c>
      <c r="BL100" s="27" t="n">
        <v>1.961538</v>
      </c>
      <c r="BM100" s="28" t="n">
        <v>0.509804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0.509804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"13fed96c30e2a691cfc44cd8106e822060d66a2f8e95ed703e095bc83b82ebef", "away_team": "Yokohama BayStars", "draw_settlement_value": 0.5, "event_id": "116567", "event_start_utc": "2026-09-21T05:00:00Z", "features": {"away_elo": 1519.683046, "base_tie_rate": 0.02399232, "home_advantage": 35.0, "home_elo": 1510.667793}, "historical_source_observation_times_verified": false, "home_team": "Hanshin Tigers", "inference_inputs": {"away_id": "DB", "base_tie_rate": 0.02399232, "book_state": {"_games_played": null, "_last_active": null, "decay_rate": 0.001, "home_advantage": 35.0, "k": 8.0, "margin_weight": 0.0, "ratings": {"DB": 1519.683046, "T": 1510.667793}},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"2026-09-21T04:39:08.538041+00:00", "outcome_probabilities": {"away": 0.44746579482233856, "draw": 0.032871308174284804, "home": 0.5196628970033766}, "replay_scope": "Exact Elo and tie model; logged value is expected contract settlement, not outright win probability.", "schema": "international-elo-replay-v1", "settlement_values": {"away": 0.463901, "home": 0.536099}, "snapshot_hash": "e964773a5a155f23fd2f0b81e30dc0413c6cb74dcc819be37d4155a1a6218bf4", "sport": "NPB"}</t>
        </is>
      </c>
    </row>
    <row r="101" ht="36" customHeight="1">
      <c r="A101" s="24" t="inlineStr">
        <is>
          <t>cfbe8fa579e948a3</t>
        </is>
      </c>
      <c r="B101" s="24" t="inlineStr">
        <is>
          <t>2026-09-21T04:39:08.769317Z</t>
        </is>
      </c>
      <c r="C101" s="24" t="inlineStr">
        <is>
          <t>2026-09-21T05:00:00Z</t>
        </is>
      </c>
      <c r="D101" s="24" t="inlineStr">
        <is>
          <t>116568</t>
        </is>
      </c>
      <c r="E101" s="24" t="inlineStr">
        <is>
          <t>NPB</t>
        </is>
      </c>
      <c r="F101" s="24" t="inlineStr">
        <is>
          <t>Orix Buffaloes</t>
        </is>
      </c>
      <c r="G101" s="24" t="inlineStr">
        <is>
          <t>Nippon Ham Fighters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-213</v>
      </c>
      <c r="M101" s="27" t="n">
        <v>1.469484</v>
      </c>
      <c r="N101" s="28" t="n">
        <v>0.680511</v>
      </c>
      <c r="O101" s="28" t="n">
        <v>0.616704</v>
      </c>
      <c r="P101" s="28" t="n"/>
      <c r="Q101" s="28" t="n">
        <v>-0.063807</v>
      </c>
      <c r="R101" s="26" t="n">
        <v>0</v>
      </c>
      <c r="S101" s="29" t="n">
        <v>1</v>
      </c>
      <c r="T101" s="24" t="inlineStr">
        <is>
          <t>npb-tie-aware-elo-v2</t>
        </is>
      </c>
      <c r="U101" s="24" t="inlineStr">
        <is>
          <t>settled</t>
        </is>
      </c>
      <c r="V101" s="24" t="inlineStr">
        <is>
          <t>win</t>
        </is>
      </c>
      <c r="W101" s="26" t="n">
        <v>3</v>
      </c>
      <c r="X101" s="26" t="n">
        <v>5</v>
      </c>
      <c r="Y101" s="25" t="n"/>
      <c r="Z101" s="26" t="n"/>
      <c r="AA101" s="28" t="n"/>
      <c r="AB101" s="28" t="n"/>
      <c r="AC101" s="30" t="n">
        <v>0.4695</v>
      </c>
      <c r="AD101" s="24" t="inlineStr">
        <is>
          <t>2026-09-21T22:03:09.474572Z</t>
        </is>
      </c>
      <c r="AE101" s="31" t="inlineStr">
        <is>
          <t>Tie-aware Elo baseline; executable ask 0.6800 (market_slug=aec-npb-nhf-obr-2026-09-21). Tie probability=0.0258.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Orix Buffaloes</t>
        </is>
      </c>
      <c r="AQ101" s="24" t="inlineStr">
        <is>
          <t>Orix Buffaloes</t>
        </is>
      </c>
      <c r="AR101" s="24" t="inlineStr">
        <is>
          <t>Orix Buffaloes</t>
        </is>
      </c>
      <c r="AS101" s="24" t="inlineStr">
        <is>
          <t>Nippon Ham Fighters</t>
        </is>
      </c>
      <c r="AT101" s="24" t="inlineStr">
        <is>
          <t>Nippon Ham Fighters</t>
        </is>
      </c>
      <c r="AU101" s="24" t="inlineStr">
        <is>
          <t>Nippon Ham Fighters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13fed96c30e2a691cfc44cd8106e822060d66a2f8e95ed703e095bc83b82ebef</t>
        </is>
      </c>
      <c r="BB101" s="24" t="inlineStr">
        <is>
          <t>tie_aware_elo</t>
        </is>
      </c>
      <c r="BC101" s="24" t="inlineStr">
        <is>
          <t>npb-tie-aware-elo-v2</t>
        </is>
      </c>
      <c r="BD101" s="24" t="inlineStr">
        <is>
          <t>13fed96c30e2a691cfc44cd8106e822060d66a2f8e95ed703e095bc83b82ebef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npb-tie-aware-elo-v2</t>
        </is>
      </c>
      <c r="BH101" s="24" t="inlineStr">
        <is>
          <t>2026-09-21T04:39:08.653517Z</t>
        </is>
      </c>
      <c r="BI101" s="24" t="inlineStr">
        <is>
          <t>["same_event","same_team_same_day","same_league_same_day"]</t>
        </is>
      </c>
      <c r="BJ101" s="25" t="n"/>
      <c r="BK101" s="26" t="n">
        <v>-213</v>
      </c>
      <c r="BL101" s="27" t="n">
        <v>1.469484</v>
      </c>
      <c r="BM101" s="28" t="n">
        <v>0.680511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0.680511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"13fed96c30e2a691cfc44cd8106e822060d66a2f8e95ed703e095bc83b82ebef", "away_team": "Orix Buffaloes", "draw_settlement_value": 0.5, "event_id": "116568", "event_start_utc": "2026-09-21T05:00:00Z", "features": {"away_elo": 1477.325996, "base_tie_rate": 0.02399232, "home_advantage": 35.0, "home_elo": 1527.217999}, "historical_source_observation_times_verified": false, "home_team": "Nippon Ham Fighters", "inference_inputs": {"away_id": "B", "base_tie_rate": 0.02399232, "book_state": {"_games_played": null, "_last_active": null, "decay_rate": 0.001, "home_advantage": 35.0, "k": 8.0, "margin_weight": 0.0, "ratings": {"B": 1477.325996, "F": 1527.217999}}, "code_sha256": {"features/elo_ratings.py": "8525faf022a6343c452286dbfeb17dbb043744c6bdabbe448b6b371216da439b", "international_baseball.py": "f345eb917316d2e897f62c1cdd0f73153115c65da54c30c6137ad76bb7b27869"}, "home_id": "F", "tie_method": "elo_gap"}, "market_type": "moneyline", "model_version": "npb-tie-aware-elo-v2", "observed_at_utc": "2026-09-21T04:39:08.538041+00:00", "outcome_probabilities": {"away": 0.3703940495061368, "draw": 0.025804699492915206, "home": 0.603801251000948}, "replay_scope": "Exact Elo and tie model; logged value is expected contract settlement, not outright win probability.", "schema": "international-elo-replay-v1", "settlement_values": {"away": 0.383296, "home": 0.616704}, "snapshot_hash": "1315d5bc11218bcc8479a9846b7972e0f165921f0dbc146594ca5ee0facc9f1e", "sport": "NPB"}</t>
        </is>
      </c>
    </row>
    <row r="102" ht="36" customHeight="1">
      <c r="A102" s="24" t="inlineStr">
        <is>
          <t>2627acb93b1f4b87</t>
        </is>
      </c>
      <c r="B102" s="24" t="inlineStr">
        <is>
          <t>2026-09-21T04:39:08.769317Z</t>
        </is>
      </c>
      <c r="C102" s="24" t="inlineStr">
        <is>
          <t>2026-09-21T05:00:00Z</t>
        </is>
      </c>
      <c r="D102" s="24" t="inlineStr">
        <is>
          <t>116566</t>
        </is>
      </c>
      <c r="E102" s="24" t="inlineStr">
        <is>
          <t>NPB</t>
        </is>
      </c>
      <c r="F102" s="24" t="inlineStr">
        <is>
          <t>Hiroshima Carp</t>
        </is>
      </c>
      <c r="G102" s="24" t="inlineStr">
        <is>
          <t>Chunichi Dragons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0.572769</v>
      </c>
      <c r="P102" s="28" t="n"/>
      <c r="Q102" s="28" t="n">
        <v>-0.08709500000000001</v>
      </c>
      <c r="R102" s="26" t="n">
        <v>0</v>
      </c>
      <c r="S102" s="29" t="n">
        <v>1</v>
      </c>
      <c r="T102" s="24" t="inlineStr">
        <is>
          <t>npb-tie-aware-elo-v2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10</v>
      </c>
      <c r="Y102" s="25" t="n"/>
      <c r="Z102" s="26" t="n"/>
      <c r="AA102" s="28" t="n"/>
      <c r="AB102" s="28" t="n"/>
      <c r="AC102" s="30" t="n">
        <v>0.5155</v>
      </c>
      <c r="AD102" s="24" t="inlineStr">
        <is>
          <t>2026-09-21T22:03:09.700632Z</t>
        </is>
      </c>
      <c r="AE102" s="31" t="inlineStr">
        <is>
          <t>Tie-aware Elo baseline; executable ask 0.6600 (market_slug=aec-npb-cdh-hci-2026-09-21). Tie probability=0.0297.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Hiroshima Carp</t>
        </is>
      </c>
      <c r="AQ102" s="24" t="inlineStr">
        <is>
          <t>Hiroshima Carp</t>
        </is>
      </c>
      <c r="AR102" s="24" t="inlineStr">
        <is>
          <t>Hiroshima Carp</t>
        </is>
      </c>
      <c r="AS102" s="24" t="inlineStr">
        <is>
          <t>Chunichi Dragons</t>
        </is>
      </c>
      <c r="AT102" s="24" t="inlineStr">
        <is>
          <t>Chunichi Dragons</t>
        </is>
      </c>
      <c r="AU102" s="24" t="inlineStr">
        <is>
          <t>Chunichi Dragons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13fed96c30e2a691cfc44cd8106e822060d66a2f8e95ed703e095bc83b82ebef</t>
        </is>
      </c>
      <c r="BB102" s="24" t="inlineStr">
        <is>
          <t>tie_aware_elo</t>
        </is>
      </c>
      <c r="BC102" s="24" t="inlineStr">
        <is>
          <t>npb-tie-aware-elo-v2</t>
        </is>
      </c>
      <c r="BD102" s="24" t="inlineStr">
        <is>
          <t>13fed96c30e2a691cfc44cd8106e822060d66a2f8e95ed703e095bc83b82ebef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npb-tie-aware-elo-v2</t>
        </is>
      </c>
      <c r="BH102" s="24" t="inlineStr">
        <is>
          <t>2026-09-21T04:39:08.702943Z</t>
        </is>
      </c>
      <c r="BI102" s="24" t="inlineStr">
        <is>
          <t>["same_event","same_team_same_day","same_league_same_day"]</t>
        </is>
      </c>
      <c r="BJ102" s="25" t="n"/>
      <c r="BK102" s="26" t="n">
        <v>-194</v>
      </c>
      <c r="BL102" s="27" t="n">
        <v>1.515464</v>
      </c>
      <c r="BM102" s="28" t="n">
        <v>0.659864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0.659864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"13fed96c30e2a691cfc44cd8106e822060d66a2f8e95ed703e095bc83b82ebef", "away_team": "Hiroshima Carp", "draw_settlement_value": 0.5, "event_id": "116566", "event_start_utc": "2026-09-21T05:00:00Z", "features": {"away_elo": 1458.787375, "base_tie_rate": 0.02399232, "home_advantage": 35.0, "home_elo": 1476.295863}, "historical_source_observation_times_verified": false, "home_team": "Chunichi Dragons", "inference_inputs": {"away_id": "C", "base_tie_rate": 0.02399232, "book_state": {"_games_played": null, "_last_active": null, "decay_rate": 0.001, "home_advantage": 35.0, "k": 8.0, "margin_weight": 0.0, "ratings": {"C": 1458.787375, "D": 1476.295863}},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"2026-09-21T04:39:08.538041+00:00", "outcome_probabilities": {"away": 0.4123861731368235, "draw": 0.029689477765939207, "home": 0.5579243490972373}, "replay_scope": "Exact Elo and tie model; logged value is expected contract settlement, not outright win probability.", "schema": "international-elo-replay-v1", "settlement_values": {"away": 0.427231, "home": 0.572769}, "snapshot_hash": "c44652c3da1c92f77c21f928ae74c4d10e8790d230fd6fcc8d72abe7da89055f", "sport": "NPB"}</t>
        </is>
      </c>
    </row>
    <row r="103" ht="36" customHeight="1">
      <c r="A103" s="24" t="inlineStr">
        <is>
          <t>1c9521483a9344a4</t>
        </is>
      </c>
      <c r="B103" s="24" t="inlineStr">
        <is>
          <t>2026-09-21T04:39:08.769317Z</t>
        </is>
      </c>
      <c r="C103" s="24" t="inlineStr">
        <is>
          <t>2026-09-21T09:00:00Z</t>
        </is>
      </c>
      <c r="D103" s="24" t="inlineStr">
        <is>
          <t>116720</t>
        </is>
      </c>
      <c r="E103" s="24" t="inlineStr">
        <is>
          <t>NPB</t>
        </is>
      </c>
      <c r="F103" s="24" t="inlineStr">
        <is>
          <t>Saitama Seibu Lions</t>
        </is>
      </c>
      <c r="G103" s="24" t="inlineStr">
        <is>
          <t>Chiba Lotte Marines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-122</v>
      </c>
      <c r="M103" s="27" t="n">
        <v>1.819672</v>
      </c>
      <c r="N103" s="28" t="n">
        <v>0.54955</v>
      </c>
      <c r="O103" s="28" t="n">
        <v>0.512957</v>
      </c>
      <c r="P103" s="28" t="n"/>
      <c r="Q103" s="28" t="n">
        <v>-0.036593</v>
      </c>
      <c r="R103" s="26" t="n">
        <v>2</v>
      </c>
      <c r="S103" s="29" t="n">
        <v>1</v>
      </c>
      <c r="T103" s="24" t="inlineStr">
        <is>
          <t>npb-tie-aware-elo-v2</t>
        </is>
      </c>
      <c r="U103" s="24" t="inlineStr">
        <is>
          <t>settled</t>
        </is>
      </c>
      <c r="V103" s="24" t="inlineStr">
        <is>
          <t>push</t>
        </is>
      </c>
      <c r="W103" s="26" t="n"/>
      <c r="X103" s="26" t="n"/>
      <c r="Y103" s="25" t="n"/>
      <c r="Z103" s="26" t="n"/>
      <c r="AA103" s="28" t="n"/>
      <c r="AB103" s="28" t="n"/>
      <c r="AC103" s="30" t="n">
        <v>0</v>
      </c>
      <c r="AD103" s="24" t="inlineStr">
        <is>
          <t>2026-10-06T23:00:36.091278Z</t>
        </is>
      </c>
      <c r="AE103" s="31" t="inlineStr">
        <is>
          <t>Tie-aware Elo baseline; executable ask 0.5500 (market_slug=aec-npb-clm-ssl-2026-09-21). Tie probability=0.0349.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Saitama Seibu Lions</t>
        </is>
      </c>
      <c r="AQ103" s="24" t="inlineStr">
        <is>
          <t>Saitama Seibu Lions</t>
        </is>
      </c>
      <c r="AR103" s="24" t="inlineStr">
        <is>
          <t>Saitama Seibu Lions</t>
        </is>
      </c>
      <c r="AS103" s="24" t="inlineStr">
        <is>
          <t>Chiba Lotte Marines</t>
        </is>
      </c>
      <c r="AT103" s="24" t="inlineStr">
        <is>
          <t>Chiba Lotte Marines</t>
        </is>
      </c>
      <c r="AU103" s="24" t="inlineStr">
        <is>
          <t>Chiba Lotte Marines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13fed96c30e2a691cfc44cd8106e822060d66a2f8e95ed703e095bc83b82ebef</t>
        </is>
      </c>
      <c r="BB103" s="24" t="inlineStr">
        <is>
          <t>tie_aware_elo</t>
        </is>
      </c>
      <c r="BC103" s="24" t="inlineStr">
        <is>
          <t>npb-tie-aware-elo-v2</t>
        </is>
      </c>
      <c r="BD103" s="24" t="inlineStr">
        <is>
          <t>13fed96c30e2a691cfc44cd8106e822060d66a2f8e95ed703e095bc83b82ebef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npb-tie-aware-elo-v2</t>
        </is>
      </c>
      <c r="BH103" s="24" t="inlineStr">
        <is>
          <t>2026-09-21T04:39:08.769262Z</t>
        </is>
      </c>
      <c r="BI103" s="24" t="inlineStr">
        <is>
          <t>["same_event","same_team_same_day","same_league_same_day"]</t>
        </is>
      </c>
      <c r="BJ103" s="25" t="n"/>
      <c r="BK103" s="26" t="n">
        <v>-122</v>
      </c>
      <c r="BL103" s="27" t="n">
        <v>1.819672</v>
      </c>
      <c r="BM103" s="28" t="n">
        <v>0.54955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inlineStr">
        <is>
          <t>NPB game scheduled on 2026-09-21 cancelled/postponed (no final score posted after &gt;7 days)</t>
        </is>
      </c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0.54955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"13fed96c30e2a691cfc44cd8106e822060d66a2f8e95ed703e095bc83b82ebef", "away_team": "Saitama Seibu Lions", "draw_settlement_value": 0.5, "event_id": "116720", "event_start_utc": "2026-09-21T09:00:00Z", "features": {"away_elo": 1525.491619, "base_tie_rate": 0.02399232, "home_advantage": 35.0, "home_elo": 1481.160658}, "historical_source_observation_times_verified": false, "home_team": "Chiba Lotte Marines", "inference_inputs": {"away_id": "L", "base_tie_rate": 0.02399232, "book_state": {"_games_played": null, "_last_active": null, "decay_rate": 0.001, "home_advantage": 35.0, "k": 8.0, "margin_weight": 0.0, "ratings": {"L": 1525.491619, "M": 1481.160658}},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"2026-09-21T04:39:08.538041+00:00", "outcome_probabilities": {"away": 0.4955224215919134, "draw": 0.03486912298890242, "home": 0.4696084554191842}, "replay_scope": "Exact Elo and tie model; logged value is expected contract settlement, not outright win probability.", "schema": "international-elo-replay-v1", "settlement_values": {"away": 0.512957, "home": 0.487043}, "snapshot_hash": "dd7c82d40414e47bafbe876c2cc27fa4265990d55762b5041eb26c388c71d8df", "sport": "NPB"}</t>
        </is>
      </c>
    </row>
    <row r="104" ht="36" customHeight="1">
      <c r="A104" s="24" t="inlineStr">
        <is>
          <t>5760063820d2463c</t>
        </is>
      </c>
      <c r="B104" s="24" t="inlineStr">
        <is>
          <t>2026-09-22T04:50:47.527699Z</t>
        </is>
      </c>
      <c r="C104" s="24" t="inlineStr">
        <is>
          <t>2026-09-22T09:00:00Z</t>
        </is>
      </c>
      <c r="D104" s="24" t="inlineStr">
        <is>
          <t>117866</t>
        </is>
      </c>
      <c r="E104" s="24" t="inlineStr">
        <is>
          <t>NPB</t>
        </is>
      </c>
      <c r="F104" s="24" t="inlineStr">
        <is>
          <t>Tohoku Rakuten Golden Eagles</t>
        </is>
      </c>
      <c r="G104" s="24" t="inlineStr">
        <is>
          <t>Nippon Ham Fighters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-194</v>
      </c>
      <c r="M104" s="27" t="n">
        <v>1.515464</v>
      </c>
      <c r="N104" s="28" t="n">
        <v>0.659864</v>
      </c>
      <c r="O104" s="28" t="n">
        <v>0.673832</v>
      </c>
      <c r="P104" s="28" t="n"/>
      <c r="Q104" s="28" t="n">
        <v>0.013968</v>
      </c>
      <c r="R104" s="26" t="n">
        <v>27</v>
      </c>
      <c r="S104" s="29" t="n">
        <v>1</v>
      </c>
      <c r="T104" s="24" t="inlineStr">
        <is>
          <t>npb-tie-aware-elo-v2</t>
        </is>
      </c>
      <c r="U104" s="24" t="inlineStr">
        <is>
          <t>settled</t>
        </is>
      </c>
      <c r="V104" s="24" t="inlineStr">
        <is>
          <t>win</t>
        </is>
      </c>
      <c r="W104" s="26" t="n">
        <v>5</v>
      </c>
      <c r="X104" s="26" t="n">
        <v>6</v>
      </c>
      <c r="Y104" s="25" t="n"/>
      <c r="Z104" s="26" t="n">
        <v>-194</v>
      </c>
      <c r="AA104" s="28" t="n">
        <v>0.66</v>
      </c>
      <c r="AB104" s="28" t="n">
        <v>0.000136</v>
      </c>
      <c r="AC104" s="30" t="n">
        <v>0.5155</v>
      </c>
      <c r="AD104" s="24" t="inlineStr">
        <is>
          <t>2026-09-23T04:34:59.809740Z</t>
        </is>
      </c>
      <c r="AE104" s="31" t="inlineStr">
        <is>
          <t>Tie-aware Elo baseline; executable ask 0.6600 (market_slug=aec-npb-nhf-trge-2026-09-22). Tie probability=0.0240.</t>
        </is>
      </c>
      <c r="AF104" s="31" t="inlineStr">
        <is>
          <t>Config-promoted international baseball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Tohoku Rakuten Golden Eagles</t>
        </is>
      </c>
      <c r="AQ104" s="24" t="inlineStr">
        <is>
          <t>Tohoku Rakuten Golden Eagles</t>
        </is>
      </c>
      <c r="AR104" s="24" t="inlineStr">
        <is>
          <t>Tohoku Rakuten Golden Eagles</t>
        </is>
      </c>
      <c r="AS104" s="24" t="inlineStr">
        <is>
          <t>Nippon Ham Fighters</t>
        </is>
      </c>
      <c r="AT104" s="24" t="inlineStr">
        <is>
          <t>Nippon Ham Fighters</t>
        </is>
      </c>
      <c r="AU104" s="24" t="inlineStr">
        <is>
          <t>Nippon Ham Fighters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63bf285155cafd44c6a8faec2d9b9559249fb77be0166629a627aaf77ac68266</t>
        </is>
      </c>
      <c r="BB104" s="24" t="inlineStr">
        <is>
          <t>tie_aware_elo</t>
        </is>
      </c>
      <c r="BC104" s="24" t="inlineStr">
        <is>
          <t>npb-tie-aware-elo-v2</t>
        </is>
      </c>
      <c r="BD104" s="24" t="inlineStr">
        <is>
          <t>63bf285155cafd44c6a8faec2d9b9559249fb77be0166629a627aaf77ac68266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npb-tie-aware-elo-v2</t>
        </is>
      </c>
      <c r="BH104" s="24" t="inlineStr">
        <is>
          <t>2026-09-22T04:50:46.794967Z</t>
        </is>
      </c>
      <c r="BI104" s="24" t="inlineStr">
        <is>
          <t>["same_event","same_team_same_day","same_league_same_day"]</t>
        </is>
      </c>
      <c r="BJ104" s="25" t="n"/>
      <c r="BK104" s="26" t="n">
        <v>-194</v>
      </c>
      <c r="BL104" s="27" t="n">
        <v>1.515464</v>
      </c>
      <c r="BM104" s="28" t="n">
        <v>0.659864</v>
      </c>
      <c r="BN104" s="28" t="n"/>
      <c r="BO104" s="28" t="n"/>
      <c r="BP104" s="25" t="n"/>
      <c r="BQ104" s="27" t="n">
        <v>1.515464</v>
      </c>
      <c r="BR104" s="28" t="n">
        <v>0.66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0.659864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"63bf285155cafd44c6a8faec2d9b9559249fb77be0166629a627aaf77ac68266", "away_team": "Tohoku Rakuten Golden Eagles", "draw_settlement_value": 0.5, "event_id": "117866", "event_start_utc": "2026-09-22T09:00:00Z", "features": {"away_elo": 1463.055977, "base_tie_rate": 0.02397507, "home_advantage": 35.0, "home_elo": 1557.48632}, "historical_source_observation_times_verified": false, "home_team": "Nippon Ham Fighters", "inference_inputs": {"away_id": "E", "base_tie_rate": 0.02397507, "book_state": {"_games_played": null, "_last_active": null, "decay_rate": 0.0, "home_advantage": 35.0, "k": 8.0, "margin_weight": 0.0, "ratings": {"E": 1463.055977, "F": 1557.48632}},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"2026-09-22T04:50:30.685745+00:00", "outcome_probabilities": {"away": 0.3141809092352482, "draw": 0.02397507, "home": 0.6618440207647518}, "replay_scope": "Exact Elo and tie model; logged value is expected contract settlement, not outright win probability.", "schema": "international-elo-replay-v1", "settlement_values": {"away": 0.326168, "home": 0.673832}, "snapshot_hash": "de5d87405774a6c4724c7d23f8300a5bfbee40221c9b5e269bd54f043534cc60", "sport": "NPB"}</t>
        </is>
      </c>
    </row>
    <row r="105" ht="36" customHeight="1">
      <c r="A105" s="24" t="inlineStr">
        <is>
          <t>2c235bb34e024c2c</t>
        </is>
      </c>
      <c r="B105" s="24" t="inlineStr">
        <is>
          <t>2026-09-22T04:50:47.527699Z</t>
        </is>
      </c>
      <c r="C105" s="24" t="inlineStr">
        <is>
          <t>2026-09-22T09:00:00Z</t>
        </is>
      </c>
      <c r="D105" s="24" t="inlineStr">
        <is>
          <t>117867</t>
        </is>
      </c>
      <c r="E105" s="24" t="inlineStr">
        <is>
          <t>NPB</t>
        </is>
      </c>
      <c r="F105" s="24" t="inlineStr">
        <is>
          <t>Hanshin Tigers</t>
        </is>
      </c>
      <c r="G105" s="24" t="inlineStr">
        <is>
          <t>Tokyo Yakult Swallows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-233</v>
      </c>
      <c r="M105" s="27" t="n">
        <v>1.429185</v>
      </c>
      <c r="N105" s="28" t="n">
        <v>0.6997</v>
      </c>
      <c r="O105" s="28" t="n">
        <v>0.5837599999999999</v>
      </c>
      <c r="P105" s="28" t="n"/>
      <c r="Q105" s="28" t="n">
        <v>-0.11594</v>
      </c>
      <c r="R105" s="26" t="n">
        <v>0</v>
      </c>
      <c r="S105" s="29" t="n">
        <v>1</v>
      </c>
      <c r="T105" s="24" t="inlineStr">
        <is>
          <t>npb-tie-aware-elo-v2</t>
        </is>
      </c>
      <c r="U105" s="24" t="inlineStr">
        <is>
          <t>settled</t>
        </is>
      </c>
      <c r="V105" s="24" t="inlineStr">
        <is>
          <t>win</t>
        </is>
      </c>
      <c r="W105" s="26" t="n">
        <v>9</v>
      </c>
      <c r="X105" s="26" t="n">
        <v>7</v>
      </c>
      <c r="Y105" s="25" t="n"/>
      <c r="Z105" s="26" t="n"/>
      <c r="AA105" s="28" t="n"/>
      <c r="AB105" s="28" t="n"/>
      <c r="AC105" s="30" t="n">
        <v>0.4292</v>
      </c>
      <c r="AD105" s="24" t="inlineStr">
        <is>
          <t>2026-09-23T04:35:00.114591Z</t>
        </is>
      </c>
      <c r="AE105" s="31" t="inlineStr">
        <is>
          <t>Tie-aware Elo baseline; executable ask 0.7000 (market_slug=aec-npb-tys-hta-2026-09-22). Tie probability=0.0240.</t>
        </is>
      </c>
      <c r="AF105" s="31" t="inlineStr">
        <is>
          <t>Config-promoted international baseball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Hanshin Tigers</t>
        </is>
      </c>
      <c r="AQ105" s="24" t="inlineStr">
        <is>
          <t>Hanshin Tigers</t>
        </is>
      </c>
      <c r="AR105" s="24" t="inlineStr">
        <is>
          <t>Hanshin Tigers</t>
        </is>
      </c>
      <c r="AS105" s="24" t="inlineStr">
        <is>
          <t>Tokyo Yakult Swallows</t>
        </is>
      </c>
      <c r="AT105" s="24" t="inlineStr">
        <is>
          <t>Tokyo Yakult Swallows</t>
        </is>
      </c>
      <c r="AU105" s="24" t="inlineStr">
        <is>
          <t>Tokyo Yakult Swallows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63bf285155cafd44c6a8faec2d9b9559249fb77be0166629a627aaf77ac68266</t>
        </is>
      </c>
      <c r="BB105" s="24" t="inlineStr">
        <is>
          <t>tie_aware_elo</t>
        </is>
      </c>
      <c r="BC105" s="24" t="inlineStr">
        <is>
          <t>npb-tie-aware-elo-v2</t>
        </is>
      </c>
      <c r="BD105" s="24" t="inlineStr">
        <is>
          <t>63bf285155cafd44c6a8faec2d9b9559249fb77be0166629a627aaf77ac68266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npb-tie-aware-elo-v2</t>
        </is>
      </c>
      <c r="BH105" s="24" t="inlineStr">
        <is>
          <t>2026-09-22T04:50:46.980258Z</t>
        </is>
      </c>
      <c r="BI105" s="24" t="inlineStr">
        <is>
          <t>["same_event","same_team_same_day","same_league_same_day"]</t>
        </is>
      </c>
      <c r="BJ105" s="25" t="n"/>
      <c r="BK105" s="26" t="n">
        <v>-233</v>
      </c>
      <c r="BL105" s="27" t="n">
        <v>1.429185</v>
      </c>
      <c r="BM105" s="28" t="n">
        <v>0.6997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0.6997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"63bf285155cafd44c6a8faec2d9b9559249fb77be0166629a627aaf77ac68266", "away_team": "Hanshin Tigers", "draw_settlement_value": 0.5, "event_id": "117867", "event_start_utc": "2026-09-22T09:00:00Z", "features": {"away_elo": 1518.505072, "base_tie_rate": 0.02397507, "home_advantage": 35.0, "home_elo": 1423.276999}, "historical_source_observation_times_verified": false, "home_team": "Tokyo Yakult Swallows", "inference_inputs": {"away_id": "T", "base_tie_rate": 0.02397507, "book_state": {"_games_played": null, "_last_active": null, "decay_rate": 0.0, "home_advantage": 35.0, "k": 8.0, "margin_weight": 0.0, "ratings": {"S": 1423.276999, "T": 1518.505072}},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"2026-09-22T04:50:30.685745+00:00", "outcome_probabilities": {"away": 0.5717722589788155, "draw": 0.02397507, "home": 0.4042526710211845}, "replay_scope": "Exact Elo and tie model; logged value is expected contract settlement, not outright win probability.", "schema": "international-elo-replay-v1", "settlement_values": {"away": 0.58376, "home": 0.41624}, "snapshot_hash": "e66f707a79b31974c6a30637457198624ba14d7cefdb8c78fa4c346f01edc6d4", "sport": "NPB"}</t>
        </is>
      </c>
    </row>
    <row r="106" ht="36" customHeight="1">
      <c r="A106" s="24" t="inlineStr">
        <is>
          <t>c7fd70c3ca5643ca</t>
        </is>
      </c>
      <c r="B106" s="24" t="inlineStr">
        <is>
          <t>2026-09-22T04:50:47.527699Z</t>
        </is>
      </c>
      <c r="C106" s="24" t="inlineStr">
        <is>
          <t>2026-09-22T09:00:00Z</t>
        </is>
      </c>
      <c r="D106" s="24" t="inlineStr">
        <is>
          <t>117865</t>
        </is>
      </c>
      <c r="E106" s="24" t="inlineStr">
        <is>
          <t>NPB</t>
        </is>
      </c>
      <c r="F106" s="24" t="inlineStr">
        <is>
          <t>Orix Buffaloes</t>
        </is>
      </c>
      <c r="G106" s="24" t="inlineStr">
        <is>
          <t>Chiba Lotte Marines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-127</v>
      </c>
      <c r="M106" s="27" t="n">
        <v>1.787402</v>
      </c>
      <c r="N106" s="28" t="n">
        <v>0.5594710000000001</v>
      </c>
      <c r="O106" s="28" t="n">
        <v>0.546763</v>
      </c>
      <c r="P106" s="28" t="n"/>
      <c r="Q106" s="28" t="n">
        <v>-0.012708</v>
      </c>
      <c r="R106" s="26" t="n">
        <v>14</v>
      </c>
      <c r="S106" s="29" t="n">
        <v>1</v>
      </c>
      <c r="T106" s="24" t="inlineStr">
        <is>
          <t>npb-tie-aware-elo-v2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6</v>
      </c>
      <c r="X106" s="26" t="n">
        <v>4</v>
      </c>
      <c r="Y106" s="25" t="n"/>
      <c r="Z106" s="26" t="n"/>
      <c r="AA106" s="28" t="n"/>
      <c r="AB106" s="28" t="n"/>
      <c r="AC106" s="30" t="n">
        <v>-1</v>
      </c>
      <c r="AD106" s="24" t="inlineStr">
        <is>
          <t>2026-09-23T04:35:00.254213Z</t>
        </is>
      </c>
      <c r="AE106" s="31" t="inlineStr">
        <is>
          <t>Tie-aware Elo baseline; executable ask 0.5600 (market_slug=aec-npb-clm-obr-2026-09-22). Tie probability=0.0240.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Orix Buffaloes</t>
        </is>
      </c>
      <c r="AQ106" s="24" t="inlineStr">
        <is>
          <t>Orix Buffaloes</t>
        </is>
      </c>
      <c r="AR106" s="24" t="inlineStr">
        <is>
          <t>Orix Buffaloes</t>
        </is>
      </c>
      <c r="AS106" s="24" t="inlineStr">
        <is>
          <t>Chiba Lotte Marines</t>
        </is>
      </c>
      <c r="AT106" s="24" t="inlineStr">
        <is>
          <t>Chiba Lotte Marines</t>
        </is>
      </c>
      <c r="AU106" s="24" t="inlineStr">
        <is>
          <t>Chiba Lotte Marines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63bf285155cafd44c6a8faec2d9b9559249fb77be0166629a627aaf77ac68266</t>
        </is>
      </c>
      <c r="BB106" s="24" t="inlineStr">
        <is>
          <t>tie_aware_elo</t>
        </is>
      </c>
      <c r="BC106" s="24" t="inlineStr">
        <is>
          <t>npb-tie-aware-elo-v2</t>
        </is>
      </c>
      <c r="BD106" s="24" t="inlineStr">
        <is>
          <t>63bf285155cafd44c6a8faec2d9b9559249fb77be0166629a627aaf77ac68266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npb-tie-aware-elo-v2</t>
        </is>
      </c>
      <c r="BH106" s="24" t="inlineStr">
        <is>
          <t>2026-09-22T04:50:47.527634Z</t>
        </is>
      </c>
      <c r="BI106" s="24" t="inlineStr">
        <is>
          <t>["same_event","same_team_same_day","same_league_same_day"]</t>
        </is>
      </c>
      <c r="BJ106" s="25" t="n"/>
      <c r="BK106" s="26" t="n">
        <v>-127</v>
      </c>
      <c r="BL106" s="27" t="n">
        <v>1.787402</v>
      </c>
      <c r="BM106" s="28" t="n">
        <v>0.5594710000000001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0.559471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"63bf285155cafd44c6a8faec2d9b9559249fb77be0166629a627aaf77ac68266", "away_team": "Orix Buffaloes", "draw_settlement_value": 0.5, "event_id": "117865", "event_start_utc": "2026-09-22T09:00:00Z", "features": {"away_elo": 1482.948467, "base_tie_rate": 0.02397507, "home_advantage": 35.0, "home_elo": 1481.343367}, "historical_source_observation_times_verified": false, "home_team": "Chiba Lotte Marines", "inference_inputs": {"away_id": "B", "base_tie_rate": 0.02397507, "book_state": {"_games_played": null, "_last_active": null, "decay_rate": 0.0, "home_advantage": 35.0, "k": 8.0, "margin_weight": 0.0, "ratings": {"B": 1482.948467,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"2026-09-22T04:50:30.685745+00:00", "outcome_probabilities": {"away": 0.44124948292083893, "draw": 0.02397507, "home": 0.534775447079161}, "replay_scope": "Exact Elo and tie model; logged value is expected contract settlement, not outright win probability.", "schema": "international-elo-replay-v1", "settlement_values": {"away": 0.453237, "home": 0.546763}, "snapshot_hash": "ad35f8259728f462c0c1a85effc1492b1e1e70e5914ed26b7b4c7b05988dd4ba", "sport": "NPB"}</t>
        </is>
      </c>
    </row>
    <row r="107" ht="36" customHeight="1">
      <c r="A107" s="24" t="inlineStr">
        <is>
          <t>f84cea6fb7f74688</t>
        </is>
      </c>
      <c r="B107" s="24" t="inlineStr">
        <is>
          <t>2026-09-23T04:43:38.557253Z</t>
        </is>
      </c>
      <c r="C107" s="24" t="inlineStr">
        <is>
          <t>2026-09-23T05:00:00Z</t>
        </is>
      </c>
      <c r="D107" s="24" t="inlineStr">
        <is>
          <t>118971</t>
        </is>
      </c>
      <c r="E107" s="24" t="inlineStr">
        <is>
          <t>NPB</t>
        </is>
      </c>
      <c r="F107" s="24" t="inlineStr">
        <is>
          <t>Saitama Seibu Lions</t>
        </is>
      </c>
      <c r="G107" s="24" t="inlineStr">
        <is>
          <t>Fukuoka SoftBank Hawks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-156</v>
      </c>
      <c r="M107" s="27" t="n">
        <v>1.641026</v>
      </c>
      <c r="N107" s="28" t="n">
        <v>0.609375</v>
      </c>
      <c r="O107" s="28" t="n">
        <v>0.654056</v>
      </c>
      <c r="P107" s="28" t="n"/>
      <c r="Q107" s="28" t="n">
        <v>0.044681</v>
      </c>
      <c r="R107" s="26" t="n">
        <v>42</v>
      </c>
      <c r="S107" s="29" t="n">
        <v>1</v>
      </c>
      <c r="T107" s="24" t="inlineStr">
        <is>
          <t>npb-tie-aware-elo-v2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10</v>
      </c>
      <c r="Y107" s="25" t="n"/>
      <c r="Z107" s="26" t="n"/>
      <c r="AA107" s="28" t="n"/>
      <c r="AB107" s="28" t="n"/>
      <c r="AC107" s="30" t="n">
        <v>0.641</v>
      </c>
      <c r="AD107" s="24" t="inlineStr">
        <is>
          <t>2026-09-23T22:28:35.579500Z</t>
        </is>
      </c>
      <c r="AE107" s="31" t="inlineStr">
        <is>
          <t>Tie-aware Elo baseline; executable ask 0.6100 (market_slug=aec-npb-fsh-ssl-2026-09-23). Tie probability=0.0239.</t>
        </is>
      </c>
      <c r="AF107" s="31" t="inlineStr">
        <is>
          <t>Config-promoted international baseball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4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Saitama Seibu Lions</t>
        </is>
      </c>
      <c r="AQ107" s="24" t="inlineStr">
        <is>
          <t>Saitama Seibu Lions</t>
        </is>
      </c>
      <c r="AR107" s="24" t="inlineStr">
        <is>
          <t>Saitama Seibu Lions</t>
        </is>
      </c>
      <c r="AS107" s="24" t="inlineStr">
        <is>
          <t>Fukuoka SoftBank Hawks</t>
        </is>
      </c>
      <c r="AT107" s="24" t="inlineStr">
        <is>
          <t>Fukuoka SoftBank Hawks</t>
        </is>
      </c>
      <c r="AU107" s="24" t="inlineStr">
        <is>
          <t>Fukuoka SoftBank Hawks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e910133b9d2031b7b471f552b7f7dce97014a2295738ae399802b0aea5699a6f</t>
        </is>
      </c>
      <c r="BB107" s="24" t="inlineStr">
        <is>
          <t>tie_aware_elo</t>
        </is>
      </c>
      <c r="BC107" s="24" t="inlineStr">
        <is>
          <t>npb-tie-aware-elo-v2</t>
        </is>
      </c>
      <c r="BD107" s="24" t="inlineStr">
        <is>
          <t>e910133b9d2031b7b471f552b7f7dce97014a2295738ae399802b0aea5699a6f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npb-tie-aware-elo-v2</t>
        </is>
      </c>
      <c r="BH107" s="24" t="inlineStr">
        <is>
          <t>2026-09-23T04:43:27.597859Z</t>
        </is>
      </c>
      <c r="BI107" s="24" t="inlineStr">
        <is>
          <t>["same_event","same_team_same_day","same_league_same_day"]</t>
        </is>
      </c>
      <c r="BJ107" s="25" t="n"/>
      <c r="BK107" s="26" t="n">
        <v>-156</v>
      </c>
      <c r="BL107" s="27" t="n">
        <v>1.641026</v>
      </c>
      <c r="BM107" s="28" t="n">
        <v>0.609375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0.609375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"e910133b9d2031b7b471f552b7f7dce97014a2295738ae399802b0aea5699a6f", "away_team": "Saitama Seibu Lions", "draw_settlement_value": 0.5, "event_id": "118971", "event_start_utc": "2026-09-23T05:00:00Z", "features": {"away_elo": 1535.954963, "base_tie_rate": 0.02394063, "home_advantage": 35.0, "home_elo": 1614.506867}, "historical_source_observation_times_verified": false, "home_team": "Fukuoka SoftBank Hawks", "inference_inputs": {"away_id": "L", "base_tie_rate": 0.02394063, "book_state": {"_games_played": null, "_last_active": null, "decay_rate": 0.0, "home_advantage": 35.0, "k": 8.0, "margin_weight": 0.0, "ratings": {"H": 1614.506867, "L": 1535.954963}},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"2026-09-23T04:43:19.257123+00:00", "outcome_probabilities": {"away": 0.33397418031040393, "draw": 0.02394063, "home": 0.642085189689596}, "replay_scope": "Exact Elo and tie model; logged value is expected contract settlement, not outright win probability.", "schema": "international-elo-replay-v1", "settlement_values": {"away": 0.345944, "home": 0.654056}, "snapshot_hash": "b0cf721775e3a38136b5990a28827f1401d9fa0e11b87fbd73e03b64df48f95e", "sport": "NPB"}</t>
        </is>
      </c>
    </row>
    <row r="108" ht="36" customHeight="1">
      <c r="A108" s="24" t="inlineStr">
        <is>
          <t>5877be4d6209484d</t>
        </is>
      </c>
      <c r="B108" s="24" t="inlineStr">
        <is>
          <t>2026-09-23T04:43:38.557253Z</t>
        </is>
      </c>
      <c r="C108" s="24" t="inlineStr">
        <is>
          <t>2026-09-23T09:00:00Z</t>
        </is>
      </c>
      <c r="D108" s="24" t="inlineStr">
        <is>
          <t>119094</t>
        </is>
      </c>
      <c r="E108" s="24" t="inlineStr">
        <is>
          <t>NPB</t>
        </is>
      </c>
      <c r="F108" s="24" t="inlineStr">
        <is>
          <t>Chunichi Dragons</t>
        </is>
      </c>
      <c r="G108" s="24" t="inlineStr">
        <is>
          <t>Yokohama BayStars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-170</v>
      </c>
      <c r="M108" s="27" t="n">
        <v>1.588235</v>
      </c>
      <c r="N108" s="28" t="n">
        <v>0.62963</v>
      </c>
      <c r="O108" s="28" t="n">
        <v>0.619584</v>
      </c>
      <c r="P108" s="28" t="n"/>
      <c r="Q108" s="28" t="n">
        <v>-0.010046</v>
      </c>
      <c r="R108" s="26" t="n">
        <v>15</v>
      </c>
      <c r="S108" s="29" t="n">
        <v>1</v>
      </c>
      <c r="T108" s="24" t="inlineStr">
        <is>
          <t>npb-tie-aware-elo-v2</t>
        </is>
      </c>
      <c r="U108" s="24" t="inlineStr">
        <is>
          <t>settled</t>
        </is>
      </c>
      <c r="V108" s="24" t="inlineStr">
        <is>
          <t>win</t>
        </is>
      </c>
      <c r="W108" s="26" t="n">
        <v>3</v>
      </c>
      <c r="X108" s="26" t="n">
        <v>4</v>
      </c>
      <c r="Y108" s="25" t="n"/>
      <c r="Z108" s="26" t="n"/>
      <c r="AA108" s="28" t="n"/>
      <c r="AB108" s="28" t="n"/>
      <c r="AC108" s="30" t="n">
        <v>0.5881999999999999</v>
      </c>
      <c r="AD108" s="24" t="inlineStr">
        <is>
          <t>2026-09-23T22:28:36.031926Z</t>
        </is>
      </c>
      <c r="AE108" s="31" t="inlineStr">
        <is>
          <t>Tie-aware Elo baseline; executable ask 0.6300 (market_slug=aec-npb-ybo-cdh-2026-09-23). Tie probability=0.0239.</t>
        </is>
      </c>
      <c r="AF108" s="31" t="inlineStr">
        <is>
          <t>Config-promoted international baseball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Chunichi Dragons</t>
        </is>
      </c>
      <c r="AQ108" s="24" t="inlineStr">
        <is>
          <t>Chunichi Dragons</t>
        </is>
      </c>
      <c r="AR108" s="24" t="inlineStr">
        <is>
          <t>Chunichi Dragons</t>
        </is>
      </c>
      <c r="AS108" s="24" t="inlineStr">
        <is>
          <t>Yokohama BayStars</t>
        </is>
      </c>
      <c r="AT108" s="24" t="inlineStr">
        <is>
          <t>Yokohama BayStars</t>
        </is>
      </c>
      <c r="AU108" s="24" t="inlineStr">
        <is>
          <t>Yokohama BayStars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e910133b9d2031b7b471f552b7f7dce97014a2295738ae399802b0aea5699a6f</t>
        </is>
      </c>
      <c r="BB108" s="24" t="inlineStr">
        <is>
          <t>tie_aware_elo</t>
        </is>
      </c>
      <c r="BC108" s="24" t="inlineStr">
        <is>
          <t>npb-tie-aware-elo-v2</t>
        </is>
      </c>
      <c r="BD108" s="24" t="inlineStr">
        <is>
          <t>e910133b9d2031b7b471f552b7f7dce97014a2295738ae399802b0aea5699a6f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npb-tie-aware-elo-v2</t>
        </is>
      </c>
      <c r="BH108" s="24" t="inlineStr">
        <is>
          <t>2026-09-23T04:43:38.456315Z</t>
        </is>
      </c>
      <c r="BI108" s="24" t="inlineStr">
        <is>
          <t>["same_event","same_team_same_day","same_league_same_day"]</t>
        </is>
      </c>
      <c r="BJ108" s="25" t="n"/>
      <c r="BK108" s="26" t="n">
        <v>-170</v>
      </c>
      <c r="BL108" s="27" t="n">
        <v>1.588235</v>
      </c>
      <c r="BM108" s="28" t="n">
        <v>0.62963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0.62963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"e910133b9d2031b7b471f552b7f7dce97014a2295738ae399802b0aea5699a6f", "away_team": "Chunichi Dragons", "draw_settlement_value": 0.5, "event_id": "119094", "event_start_utc": "2026-09-23T09:00:00Z", "features": {"away_elo": 1460.341721, "base_tie_rate": 0.02394063, "home_advantage": 35.0, "home_elo": 1512.243061}, "historical_source_observation_times_verified": false, "home_team": "Yokohama BayStars", "inference_inputs": {"away_id": "D", "base_tie_rate": 0.02394063, "book_state": {"_games_played": null, "_last_active": null, "decay_rate": 0.0, "home_advantage": 35.0, "k": 8.0, "margin_weight": 0.0, "ratings": {"D": 1460.341721, "DB": 1512.243061}},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"2026-09-23T04:43:19.257123+00:00", "outcome_probabilities": {"away": 0.3684460663115128, "draw": 0.02394063, "home": 0.6076133036884872}, "replay_scope": "Exact Elo and tie model; logged value is expected contract settlement, not outright win probability.", "schema": "international-elo-replay-v1", "settlement_values": {"away": 0.380416, "home": 0.619584}, "snapshot_hash": "1ff75256643a107c829d74a2a37d7995768f92a66ad31f5a09ef4de5abdcba99", "sport": "NPB"}</t>
        </is>
      </c>
    </row>
    <row r="109" ht="36" customHeight="1">
      <c r="A109" s="24" t="inlineStr">
        <is>
          <t>b2be1ea0cf634315</t>
        </is>
      </c>
      <c r="B109" s="24" t="inlineStr">
        <is>
          <t>2026-09-23T04:43:38.557253Z</t>
        </is>
      </c>
      <c r="C109" s="24" t="inlineStr">
        <is>
          <t>2026-09-23T09:00:00Z</t>
        </is>
      </c>
      <c r="D109" s="24" t="inlineStr">
        <is>
          <t>119095</t>
        </is>
      </c>
      <c r="E109" s="24" t="inlineStr">
        <is>
          <t>NPB</t>
        </is>
      </c>
      <c r="F109" s="24" t="inlineStr">
        <is>
          <t>Tohoku Rakuten Golden Eagles</t>
        </is>
      </c>
      <c r="G109" s="24" t="inlineStr">
        <is>
          <t>Nippon Ham Fighters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0.680121</v>
      </c>
      <c r="P109" s="28" t="n"/>
      <c r="Q109" s="28" t="n">
        <v>0.109306</v>
      </c>
      <c r="R109" s="26" t="n">
        <v>75</v>
      </c>
      <c r="S109" s="29" t="n">
        <v>1.5</v>
      </c>
      <c r="T109" s="24" t="inlineStr">
        <is>
          <t>npb-tie-aware-elo-v2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3</v>
      </c>
      <c r="Y109" s="25" t="n"/>
      <c r="Z109" s="26" t="n"/>
      <c r="AA109" s="28" t="n"/>
      <c r="AB109" s="28" t="n"/>
      <c r="AC109" s="30" t="n">
        <v>-1.5</v>
      </c>
      <c r="AD109" s="24" t="inlineStr">
        <is>
          <t>2026-09-23T22:28:36.297699Z</t>
        </is>
      </c>
      <c r="AE109" s="31" t="inlineStr">
        <is>
          <t>Tie-aware Elo baseline; executable ask 0.5700 (market_slug=aec-npb-nhf-trge-2026-09-23). Tie probability=0.0239.</t>
        </is>
      </c>
      <c r="AF109" s="31" t="inlineStr">
        <is>
          <t>Config-promoted international baseball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4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Tohoku Rakuten Golden Eagles</t>
        </is>
      </c>
      <c r="AQ109" s="24" t="inlineStr">
        <is>
          <t>Tohoku Rakuten Golden Eagles</t>
        </is>
      </c>
      <c r="AR109" s="24" t="inlineStr">
        <is>
          <t>Tohoku Rakuten Golden Eagles</t>
        </is>
      </c>
      <c r="AS109" s="24" t="inlineStr">
        <is>
          <t>Nippon Ham Fighters</t>
        </is>
      </c>
      <c r="AT109" s="24" t="inlineStr">
        <is>
          <t>Nippon Ham Fighters</t>
        </is>
      </c>
      <c r="AU109" s="24" t="inlineStr">
        <is>
          <t>Nippon Ham Fighters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e910133b9d2031b7b471f552b7f7dce97014a2295738ae399802b0aea5699a6f</t>
        </is>
      </c>
      <c r="BB109" s="24" t="inlineStr">
        <is>
          <t>tie_aware_elo</t>
        </is>
      </c>
      <c r="BC109" s="24" t="inlineStr">
        <is>
          <t>npb-tie-aware-elo-v2</t>
        </is>
      </c>
      <c r="BD109" s="24" t="inlineStr">
        <is>
          <t>e910133b9d2031b7b471f552b7f7dce97014a2295738ae399802b0aea5699a6f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npb-tie-aware-elo-v2</t>
        </is>
      </c>
      <c r="BH109" s="24" t="inlineStr">
        <is>
          <t>2026-09-23T04:43:38.557198Z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"e910133b9d2031b7b471f552b7f7dce97014a2295738ae399802b0aea5699a6f", "away_team": "Tohoku Rakuten Golden Eagles", "draw_settlement_value": 0.5, "event_id": "119095", "event_start_utc": "2026-09-23T09:00:00Z", "features": {"away_elo": 1460.480789, "base_tie_rate": 0.02394063, "home_advantage": 35.0, "home_elo": 1560.061507}, "historical_source_observation_times_verified": false, "home_team": "Nippon Ham Fighters", "inference_inputs": {"away_id": "E", "base_tie_rate": 0.02394063, "book_state": {"_games_played": null, "_last_active": null, "decay_rate": 0.0, "home_advantage": 35.0, "k": 8.0, "margin_weight": 0.0, "ratings": {"E": 1460.480789, "F": 1560.061507}},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"2026-09-23T04:43:19.257123+00:00", "outcome_probabilities": {"away": 0.30790901697668344, "draw": 0.02394063, "home": 0.6681503530233166}, "replay_scope": "Exact Elo and tie model; logged value is expected contract settlement, not outright win probability.", "schema": "international-elo-replay-v1", "settlement_values": {"away": 0.319879, "home": 0.680121}, "snapshot_hash": "441954d46da324063b22d6807dd70de2b28920bed27e36715d1155bbb87a751f", "sport": "NPB"}</t>
        </is>
      </c>
    </row>
    <row r="110" ht="36" customHeight="1">
      <c r="A110" s="24" t="inlineStr">
        <is>
          <t>8cec1ade54104cc7</t>
        </is>
      </c>
      <c r="B110" s="24" t="inlineStr">
        <is>
          <t>2026-09-25T04:43:08.714598Z</t>
        </is>
      </c>
      <c r="C110" s="24" t="inlineStr">
        <is>
          <t>2026-09-25T09:00:00Z</t>
        </is>
      </c>
      <c r="D110" s="24" t="inlineStr">
        <is>
          <t>121736</t>
        </is>
      </c>
      <c r="E110" s="24" t="inlineStr">
        <is>
          <t>NPB</t>
        </is>
      </c>
      <c r="F110" s="24" t="inlineStr">
        <is>
          <t>Hanshin Tigers</t>
        </is>
      </c>
      <c r="G110" s="24" t="inlineStr">
        <is>
          <t>Yokohama BayStars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117</v>
      </c>
      <c r="M110" s="27" t="n">
        <v>2.17</v>
      </c>
      <c r="N110" s="28" t="n">
        <v>0.460829</v>
      </c>
      <c r="O110" s="28" t="n">
        <v>0.535344</v>
      </c>
      <c r="P110" s="28" t="n"/>
      <c r="Q110" s="28" t="n">
        <v>0.074515</v>
      </c>
      <c r="R110" s="26" t="n">
        <v>57</v>
      </c>
      <c r="S110" s="29" t="n">
        <v>1.25</v>
      </c>
      <c r="T110" s="24" t="inlineStr">
        <is>
          <t>npb-tie-aware-elo-v2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2</v>
      </c>
      <c r="Y110" s="25" t="n"/>
      <c r="Z110" s="26" t="n"/>
      <c r="AA110" s="28" t="n"/>
      <c r="AB110" s="28" t="n"/>
      <c r="AC110" s="30" t="n">
        <v>1.4625</v>
      </c>
      <c r="AD110" s="24" t="inlineStr">
        <is>
          <t>2026-09-25T22:02:56.116274Z</t>
        </is>
      </c>
      <c r="AE110" s="31" t="inlineStr">
        <is>
          <t>Tie-aware Elo baseline; executable ask 0.4600 (market_slug=aec-npb-ybo-hta-2026-09-25). Tie probability=0.0239.</t>
        </is>
      </c>
      <c r="AF110" s="31" t="inlineStr">
        <is>
          <t>Config-promoted international baseball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Hanshin Tigers</t>
        </is>
      </c>
      <c r="AQ110" s="24" t="inlineStr">
        <is>
          <t>Hanshin Tigers</t>
        </is>
      </c>
      <c r="AR110" s="24" t="inlineStr">
        <is>
          <t>Hanshin Tigers</t>
        </is>
      </c>
      <c r="AS110" s="24" t="inlineStr">
        <is>
          <t>Yokohama BayStars</t>
        </is>
      </c>
      <c r="AT110" s="24" t="inlineStr">
        <is>
          <t>Yokohama BayStars</t>
        </is>
      </c>
      <c r="AU110" s="24" t="inlineStr">
        <is>
          <t>Yokohama BayStars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2f3102a092b9e3280ef0fd6954f35e4638bb1df763d298db96288bbbfee4ea46</t>
        </is>
      </c>
      <c r="BB110" s="24" t="inlineStr">
        <is>
          <t>tie_aware_elo</t>
        </is>
      </c>
      <c r="BC110" s="24" t="inlineStr">
        <is>
          <t>npb-tie-aware-elo-v2</t>
        </is>
      </c>
      <c r="BD110" s="24" t="inlineStr">
        <is>
          <t>2f3102a092b9e3280ef0fd6954f35e4638bb1df763d298db96288bbbfee4ea46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npb-tie-aware-elo-v2</t>
        </is>
      </c>
      <c r="BH110" s="24" t="inlineStr">
        <is>
          <t>2026-09-25T04:42:56.396193Z</t>
        </is>
      </c>
      <c r="BI110" s="24" t="inlineStr">
        <is>
          <t>["same_event","same_team_same_day","same_league_same_day"]</t>
        </is>
      </c>
      <c r="BJ110" s="25" t="n"/>
      <c r="BK110" s="26" t="n">
        <v>117</v>
      </c>
      <c r="BL110" s="27" t="n">
        <v>2.17</v>
      </c>
      <c r="BM110" s="28" t="n">
        <v>0.460829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0.460829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"2f3102a092b9e3280ef0fd6954f35e4638bb1df763d298db96288bbbfee4ea46", "away_team": "Hanshin Tigers", "draw_settlement_value": 0.5, "event_id": "121736", "event_start_utc": "2026-09-25T09:00:00Z", "features": {"away_elo": 1525.058199, "base_tie_rate": 0.02389486, "home_advantage": 35.0, "home_elo": 1515.262927}, "historical_source_observation_times_verified": false, "home_team": "Yokohama BayStars", "inference_inputs": {"away_id": "T", "base_tie_rate": 0.02389486, "book_state": {"_games_played": null, "_last_active": null, "decay_rate": 0.0, "home_advantage": 35.0, "k": 8.0, "margin_weight": 0.0, "ratings": {"DB": 1515.262927, "T": 1525.058199}},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"2026-09-25T04:42:50.794137+00:00", "outcome_probabilities": {"away": 0.45270875794231813, "draw": 0.02389486, "home": 0.5233963820576819}, "replay_scope": "Exact Elo and tie model; logged value is expected contract settlement, not outright win probability.", "schema": "international-elo-replay-v1", "settlement_values": {"away": 0.464656, "home": 0.535344}, "snapshot_hash": "438d6a546cbca9bdc29782b6332487d6fa7ad3625e07dcd81217a04e951558dd", "sport": "NPB"}</t>
        </is>
      </c>
    </row>
    <row r="111" ht="36" customHeight="1">
      <c r="A111" s="24" t="inlineStr">
        <is>
          <t>dab082d340bb475f</t>
        </is>
      </c>
      <c r="B111" s="24" t="inlineStr">
        <is>
          <t>2026-09-25T04:43:08.714598Z</t>
        </is>
      </c>
      <c r="C111" s="24" t="inlineStr">
        <is>
          <t>2026-09-25T09:00:00Z</t>
        </is>
      </c>
      <c r="D111" s="24" t="inlineStr">
        <is>
          <t>125966</t>
        </is>
      </c>
      <c r="E111" s="24" t="inlineStr">
        <is>
          <t>NPB</t>
        </is>
      </c>
      <c r="F111" s="24" t="inlineStr">
        <is>
          <t>Chunichi Dragons</t>
        </is>
      </c>
      <c r="G111" s="24" t="inlineStr">
        <is>
          <t>Tokyo Yakult Swallows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-108</v>
      </c>
      <c r="M111" s="27" t="n">
        <v>1.925926</v>
      </c>
      <c r="N111" s="28" t="n">
        <v>0.519231</v>
      </c>
      <c r="O111" s="28" t="n">
        <v>0.507863</v>
      </c>
      <c r="P111" s="28" t="n"/>
      <c r="Q111" s="28" t="n">
        <v>-0.011368</v>
      </c>
      <c r="R111" s="26" t="n">
        <v>14</v>
      </c>
      <c r="S111" s="29" t="n">
        <v>1</v>
      </c>
      <c r="T111" s="24" t="inlineStr">
        <is>
          <t>npb-tie-aware-elo-v2</t>
        </is>
      </c>
      <c r="U111" s="24" t="inlineStr">
        <is>
          <t>settled</t>
        </is>
      </c>
      <c r="V111" s="24" t="inlineStr">
        <is>
          <t>loss</t>
        </is>
      </c>
      <c r="W111" s="26" t="n">
        <v>4</v>
      </c>
      <c r="X111" s="26" t="n">
        <v>5</v>
      </c>
      <c r="Y111" s="25" t="n"/>
      <c r="Z111" s="26" t="n"/>
      <c r="AA111" s="28" t="n"/>
      <c r="AB111" s="28" t="n"/>
      <c r="AC111" s="30" t="n">
        <v>-1</v>
      </c>
      <c r="AD111" s="24" t="inlineStr">
        <is>
          <t>2026-09-25T22:02:56.378571Z</t>
        </is>
      </c>
      <c r="AE111" s="31" t="inlineStr">
        <is>
          <t>Tie-aware Elo baseline; executable ask 0.5200 (market_slug=aec-npb-tys-cdh-2026-09-25). Tie probability=0.0239.</t>
        </is>
      </c>
      <c r="AF111" s="31" t="inlineStr">
        <is>
          <t>Config-promoted international baseball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Chunichi Dragons</t>
        </is>
      </c>
      <c r="AQ111" s="24" t="inlineStr">
        <is>
          <t>Chunichi Dragons</t>
        </is>
      </c>
      <c r="AR111" s="24" t="inlineStr">
        <is>
          <t>Chunichi Dragons</t>
        </is>
      </c>
      <c r="AS111" s="24" t="inlineStr">
        <is>
          <t>Tokyo Yakult Swallows</t>
        </is>
      </c>
      <c r="AT111" s="24" t="inlineStr">
        <is>
          <t>Tokyo Yakult Swallows</t>
        </is>
      </c>
      <c r="AU111" s="24" t="inlineStr">
        <is>
          <t>Tokyo Yakult Swallows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2f3102a092b9e3280ef0fd6954f35e4638bb1df763d298db96288bbbfee4ea46</t>
        </is>
      </c>
      <c r="BB111" s="24" t="inlineStr">
        <is>
          <t>tie_aware_elo</t>
        </is>
      </c>
      <c r="BC111" s="24" t="inlineStr">
        <is>
          <t>npb-tie-aware-elo-v2</t>
        </is>
      </c>
      <c r="BD111" s="24" t="inlineStr">
        <is>
          <t>2f3102a092b9e3280ef0fd6954f35e4638bb1df763d298db96288bbbfee4ea46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npb-tie-aware-elo-v2</t>
        </is>
      </c>
      <c r="BH111" s="24" t="inlineStr">
        <is>
          <t>2026-09-25T04:43:08.714546Z</t>
        </is>
      </c>
      <c r="BI111" s="24" t="inlineStr">
        <is>
          <t>["same_event","same_team_same_day","same_league_same_day"]</t>
        </is>
      </c>
      <c r="BJ111" s="25" t="n"/>
      <c r="BK111" s="26" t="n">
        <v>-108</v>
      </c>
      <c r="BL111" s="27" t="n">
        <v>1.925926</v>
      </c>
      <c r="BM111" s="28" t="n">
        <v>0.519231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0.519231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"2f3102a092b9e3280ef0fd6954f35e4638bb1df763d298db96288bbbfee4ea46", "away_team": "Chunichi Dragons", "draw_settlement_value": 0.5, "event_id": "125966", "event_start_utc": "2026-09-25T09:00:00Z", "features": {"away_elo": 1457.321855, "base_tie_rate": 0.02389486, "home_advantage": 35.0, "home_elo": 1416.723872}, "historical_source_observation_times_verified": false, "home_team": "Tokyo Yakult Swallows", "inference_inputs": {"away_id": "D", "base_tie_rate": 0.02389486, "book_state": {"_games_played": null, "_last_active": null, "decay_rate": 0.0, "home_advantage": 35.0, "k": 8.0, "margin_weight": 0.0, "ratings": {"D": 1457.321855, "S": 1416.723872}},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"2026-09-25T04:42:50.794137+00:00", "outcome_probabilities": {"away": 0.4959155342569574, "draw": 0.02389486, "home": 0.4801896057430427}, "replay_scope": "Exact Elo and tie model; logged value is expected contract settlement, not outright win probability.", "schema": "international-elo-replay-v1", "settlement_values": {"away": 0.507863, "home": 0.492137}, "snapshot_hash": "696bf82d1a4e9215ed5998a78cfd4c0f44b320a4c6751d9718c8242f13247d91", "sport": "NPB"}</t>
        </is>
      </c>
    </row>
    <row r="112" ht="36" customHeight="1">
      <c r="A112" s="24" t="inlineStr">
        <is>
          <t>b4f466955cec411a</t>
        </is>
      </c>
      <c r="B112" s="24" t="inlineStr">
        <is>
          <t>2026-09-25T22:09:17.189182Z</t>
        </is>
      </c>
      <c r="C112" s="24" t="inlineStr">
        <is>
          <t>2026-09-26T05:00:00Z</t>
        </is>
      </c>
      <c r="D112" s="24" t="inlineStr">
        <is>
          <t>123200</t>
        </is>
      </c>
      <c r="E112" s="24" t="inlineStr">
        <is>
          <t>NPB</t>
        </is>
      </c>
      <c r="F112" s="24" t="inlineStr">
        <is>
          <t>Nippon Ham Fighters</t>
        </is>
      </c>
      <c r="G112" s="24" t="inlineStr">
        <is>
          <t>Orix Buffaloes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-108</v>
      </c>
      <c r="M112" s="27" t="n">
        <v>1.925926</v>
      </c>
      <c r="N112" s="28" t="n">
        <v>0.519231</v>
      </c>
      <c r="O112" s="28" t="n">
        <v>0.535875</v>
      </c>
      <c r="P112" s="28" t="n"/>
      <c r="Q112" s="28" t="n">
        <v>0.016644</v>
      </c>
      <c r="R112" s="26" t="n">
        <v>28</v>
      </c>
      <c r="S112" s="29" t="n">
        <v>1</v>
      </c>
      <c r="T112" s="24" t="inlineStr">
        <is>
          <t>npb-tie-aware-elo-v2</t>
        </is>
      </c>
      <c r="U112" s="24" t="inlineStr">
        <is>
          <t>settled</t>
        </is>
      </c>
      <c r="V112" s="24" t="inlineStr">
        <is>
          <t>win</t>
        </is>
      </c>
      <c r="W112" s="26" t="n">
        <v>2</v>
      </c>
      <c r="X112" s="26" t="n">
        <v>0</v>
      </c>
      <c r="Y112" s="25" t="n"/>
      <c r="Z112" s="26" t="n"/>
      <c r="AA112" s="28" t="n"/>
      <c r="AB112" s="28" t="n"/>
      <c r="AC112" s="30" t="n">
        <v>0.9258999999999999</v>
      </c>
      <c r="AD112" s="24" t="inlineStr">
        <is>
          <t>2026-09-26T22:04:47.938434Z</t>
        </is>
      </c>
      <c r="AE112" s="31" t="inlineStr">
        <is>
          <t>Tie-aware Elo baseline; executable ask 0.5200 (market_slug=aec-npb-obr-nhf-2026-09-26). Tie probability=0.0239.</t>
        </is>
      </c>
      <c r="AF112" s="31" t="inlineStr">
        <is>
          <t>Config-promoted international baseball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Nippon Ham Fighters</t>
        </is>
      </c>
      <c r="AQ112" s="24" t="inlineStr">
        <is>
          <t>Nippon Ham Fighters</t>
        </is>
      </c>
      <c r="AR112" s="24" t="inlineStr">
        <is>
          <t>Nippon Ham Fighters</t>
        </is>
      </c>
      <c r="AS112" s="24" t="inlineStr">
        <is>
          <t>Orix Buffaloes</t>
        </is>
      </c>
      <c r="AT112" s="24" t="inlineStr">
        <is>
          <t>Orix Buffaloes</t>
        </is>
      </c>
      <c r="AU112" s="24" t="inlineStr">
        <is>
          <t>Orix Buffaloes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a329b328b187a6dc36a8e4630f4d43155deb3fa2a9e29602202e3225961eabb8</t>
        </is>
      </c>
      <c r="BB112" s="24" t="inlineStr">
        <is>
          <t>tie_aware_elo</t>
        </is>
      </c>
      <c r="BC112" s="24" t="inlineStr">
        <is>
          <t>npb-tie-aware-elo-v2</t>
        </is>
      </c>
      <c r="BD112" s="24" t="inlineStr">
        <is>
          <t>a329b328b187a6dc36a8e4630f4d43155deb3fa2a9e29602202e3225961eabb8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npb-tie-aware-elo-v2</t>
        </is>
      </c>
      <c r="BH112" s="24" t="inlineStr">
        <is>
          <t>2026-09-25T22:09:04.543339Z</t>
        </is>
      </c>
      <c r="BI112" s="24" t="inlineStr">
        <is>
          <t>["same_event","same_team_same_day","same_league_same_day"]</t>
        </is>
      </c>
      <c r="BJ112" s="25" t="n"/>
      <c r="BK112" s="26" t="n">
        <v>-108</v>
      </c>
      <c r="BL112" s="27" t="n">
        <v>1.925926</v>
      </c>
      <c r="BM112" s="28" t="n">
        <v>0.519231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0.519231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"a329b328b187a6dc36a8e4630f4d43155deb3fa2a9e29602202e3225961eabb8", "away_team": "Nippon Ham Fighters", "draw_settlement_value": 0.5, "event_id": "123200", "event_start_utc": "2026-09-26T05:00:00Z", "features": {"away_elo": 1549.219054, "base_tie_rate": 0.02386635, "home_advantage": 35.0, "home_elo": 1488.6352}, "historical_source_observation_times_verified": false, "home_team": "Orix Buffaloes", "inference_inputs": {"away_id": "F", "base_tie_rate": 0.02386635, "book_state": {"_games_played": null, "_last_active": null, "decay_rate": 0.0, "home_advantage": 35.0, "k": 8.0, "margin_weight": 0.0, "ratings": {"B": 1488.6352, "F": 1549.219054}}, "code_sha256": {"features/elo_ratings.py": "8525faf022a6343c452286dbfeb17dbb043744c6bdabbe448b6b371216da439b", "international_baseball.py": "f345eb917316d2e897f62c1cdd0f73153115c65da54c30c6137ad76bb7b27869"}, "home_id": "B", "tie_method": "flat"}, "market_type": "moneyline", "model_version": "npb-tie-aware-elo-v2", "observed_at_utc": "2026-09-25T22:09:02.815062+00:00", "outcome_probabilities": {"away": 0.5239414187766045, "draw": 0.02386635, "home": 0.4521922312233955}, "replay_scope": "Exact Elo and tie model; logged value is expected contract settlement, not outright win probability.", "schema": "international-elo-replay-v1", "settlement_values": {"away": 0.535875, "home": 0.464125}, "snapshot_hash": "faa75c83c5dbdbbd6beaffb59ada4c11f8e358465a094d023c882ba0136e94ac", "sport": "NPB"}</t>
        </is>
      </c>
    </row>
    <row r="113" ht="36" customHeight="1">
      <c r="A113" s="24" t="inlineStr">
        <is>
          <t>67edaa5244b84074</t>
        </is>
      </c>
      <c r="B113" s="24" t="inlineStr">
        <is>
          <t>2026-09-25T22:09:17.189182Z</t>
        </is>
      </c>
      <c r="C113" s="24" t="inlineStr">
        <is>
          <t>2026-09-26T05:00:00Z</t>
        </is>
      </c>
      <c r="D113" s="24" t="inlineStr">
        <is>
          <t>123198</t>
        </is>
      </c>
      <c r="E113" s="24" t="inlineStr">
        <is>
          <t>NPB</t>
        </is>
      </c>
      <c r="F113" s="24" t="inlineStr">
        <is>
          <t>Chiba Lotte Marines</t>
        </is>
      </c>
      <c r="G113" s="24" t="inlineStr">
        <is>
          <t>Saitama Seibu Lions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0.617601</v>
      </c>
      <c r="P113" s="28" t="n"/>
      <c r="Q113" s="28" t="n">
        <v>0.046786</v>
      </c>
      <c r="R113" s="26" t="n">
        <v>43</v>
      </c>
      <c r="S113" s="29" t="n">
        <v>1</v>
      </c>
      <c r="T113" s="24" t="inlineStr">
        <is>
          <t>npb-tie-aware-elo-v2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4</v>
      </c>
      <c r="X113" s="26" t="n">
        <v>5</v>
      </c>
      <c r="Y113" s="25" t="n"/>
      <c r="Z113" s="26" t="n"/>
      <c r="AA113" s="28" t="n"/>
      <c r="AB113" s="28" t="n"/>
      <c r="AC113" s="30" t="n">
        <v>0.7519</v>
      </c>
      <c r="AD113" s="24" t="inlineStr">
        <is>
          <t>2026-09-26T22:04:48.083607Z</t>
        </is>
      </c>
      <c r="AE113" s="31" t="inlineStr">
        <is>
          <t>Tie-aware Elo baseline; executable ask 0.5700 (market_slug=aec-npb-ssl-clm-2026-09-26). Tie probability=0.0239.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4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Chiba Lotte Marines</t>
        </is>
      </c>
      <c r="AQ113" s="24" t="inlineStr">
        <is>
          <t>Chiba Lotte Marines</t>
        </is>
      </c>
      <c r="AR113" s="24" t="inlineStr">
        <is>
          <t>Chiba Lotte Marines</t>
        </is>
      </c>
      <c r="AS113" s="24" t="inlineStr">
        <is>
          <t>Saitama Seibu Lions</t>
        </is>
      </c>
      <c r="AT113" s="24" t="inlineStr">
        <is>
          <t>Saitama Seibu Lions</t>
        </is>
      </c>
      <c r="AU113" s="24" t="inlineStr">
        <is>
          <t>Saitama Seibu Lions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a329b328b187a6dc36a8e4630f4d43155deb3fa2a9e29602202e3225961eabb8</t>
        </is>
      </c>
      <c r="BB113" s="24" t="inlineStr">
        <is>
          <t>tie_aware_elo</t>
        </is>
      </c>
      <c r="BC113" s="24" t="inlineStr">
        <is>
          <t>npb-tie-aware-elo-v2</t>
        </is>
      </c>
      <c r="BD113" s="24" t="inlineStr">
        <is>
          <t>a329b328b187a6dc36a8e4630f4d43155deb3fa2a9e29602202e3225961eabb8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npb-tie-aware-elo-v2</t>
        </is>
      </c>
      <c r="BH113" s="24" t="inlineStr">
        <is>
          <t>2026-09-25T22:09:04.605423Z</t>
        </is>
      </c>
      <c r="BI113" s="24" t="inlineStr">
        <is>
          <t>["same_event","same_team_same_day","same_league_same_day"]</t>
        </is>
      </c>
      <c r="BJ113" s="25" t="n"/>
      <c r="BK113" s="26" t="n">
        <v>-133</v>
      </c>
      <c r="BL113" s="27" t="n">
        <v>1.75188</v>
      </c>
      <c r="BM113" s="28" t="n">
        <v>0.570815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0.570815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"a329b328b187a6dc36a8e4630f4d43155deb3fa2a9e29602202e3225961eabb8", "away_team": "Chiba Lotte Marines", "draw_settlement_value": 0.5, "event_id": "123198", "event_start_utc": "2026-09-26T05:00:00Z", "features": {"away_elo": 1477.750044, "base_tie_rate": 0.02386635, "home_advantage": 35.0, "home_elo": 1528.144596}, "historical_source_observation_times_verified": false, "home_team": "Saitama Seibu Lions", "inference_inputs": {"away_id": "M", "base_tie_rate": 0.02386635, "book_state": {"_games_played": null, "_last_active": null, "decay_rate": 0.0, "home_advantage": 35.0, "k": 8.0, "margin_weight": 0.0, "ratings": {"L": 1528.144596, "M": 1477.750044}},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"2026-09-25T22:09:02.815062+00:00", "outcome_probabilities": {"away": 0.3704658102445489, "draw": 0.02386635, "home": 0.6056678397554511}, "replay_scope": "Exact Elo and tie model; logged value is expected contract settlement, not outright win probability.", "schema": "international-elo-replay-v1", "settlement_values": {"away": 0.382399, "home": 0.617601}, "snapshot_hash": "22322416e666aea9aa43c6acefdfd512a4ad19d66c7ade4040117031b5b7aeca", "sport": "NPB"}</t>
        </is>
      </c>
    </row>
    <row r="114" ht="36" customHeight="1">
      <c r="A114" s="24" t="inlineStr">
        <is>
          <t>aa27be7b6a5a4ec5</t>
        </is>
      </c>
      <c r="B114" s="24" t="inlineStr">
        <is>
          <t>2026-09-25T22:09:17.189182Z</t>
        </is>
      </c>
      <c r="C114" s="24" t="inlineStr">
        <is>
          <t>2026-09-26T09:00:00Z</t>
        </is>
      </c>
      <c r="D114" s="24" t="inlineStr">
        <is>
          <t>126456</t>
        </is>
      </c>
      <c r="E114" s="24" t="inlineStr">
        <is>
          <t>NPB</t>
        </is>
      </c>
      <c r="F114" s="24" t="inlineStr">
        <is>
          <t>Chunichi Dragons</t>
        </is>
      </c>
      <c r="G114" s="24" t="inlineStr">
        <is>
          <t>Tokyo Yakult Swallows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-104</v>
      </c>
      <c r="M114" s="27" t="n">
        <v>1.961538</v>
      </c>
      <c r="N114" s="28" t="n">
        <v>0.509804</v>
      </c>
      <c r="O114" s="28" t="n">
        <v>0.503555</v>
      </c>
      <c r="P114" s="28" t="n"/>
      <c r="Q114" s="28" t="n">
        <v>-0.006249</v>
      </c>
      <c r="R114" s="26" t="n">
        <v>17</v>
      </c>
      <c r="S114" s="29" t="n">
        <v>1</v>
      </c>
      <c r="T114" s="24" t="inlineStr">
        <is>
          <t>npb-tie-aware-elo-v2</t>
        </is>
      </c>
      <c r="U114" s="24" t="inlineStr">
        <is>
          <t>settled</t>
        </is>
      </c>
      <c r="V114" s="24" t="inlineStr">
        <is>
          <t>win</t>
        </is>
      </c>
      <c r="W114" s="26" t="n">
        <v>3</v>
      </c>
      <c r="X114" s="26" t="n">
        <v>5</v>
      </c>
      <c r="Y114" s="25" t="n"/>
      <c r="Z114" s="26" t="n"/>
      <c r="AA114" s="28" t="n"/>
      <c r="AB114" s="28" t="n"/>
      <c r="AC114" s="30" t="n">
        <v>0.9615</v>
      </c>
      <c r="AD114" s="24" t="inlineStr">
        <is>
          <t>2026-09-26T22:04:48.193802Z</t>
        </is>
      </c>
      <c r="AE114" s="31" t="inlineStr">
        <is>
          <t>Tie-aware Elo baseline; executable ask 0.5100 (market_slug=aec-npb-tys-cdh-2026-09-26). Tie probability=0.0239.</t>
        </is>
      </c>
      <c r="AF114" s="31" t="inlineStr">
        <is>
          <t>Config-promoted international baseball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Chunichi Dragons</t>
        </is>
      </c>
      <c r="AQ114" s="24" t="inlineStr">
        <is>
          <t>Chunichi Dragons</t>
        </is>
      </c>
      <c r="AR114" s="24" t="inlineStr">
        <is>
          <t>Chunichi Dragons</t>
        </is>
      </c>
      <c r="AS114" s="24" t="inlineStr">
        <is>
          <t>Tokyo Yakult Swallows</t>
        </is>
      </c>
      <c r="AT114" s="24" t="inlineStr">
        <is>
          <t>Tokyo Yakult Swallows</t>
        </is>
      </c>
      <c r="AU114" s="24" t="inlineStr">
        <is>
          <t>Tokyo Yakult Swallows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a329b328b187a6dc36a8e4630f4d43155deb3fa2a9e29602202e3225961eabb8</t>
        </is>
      </c>
      <c r="BB114" s="24" t="inlineStr">
        <is>
          <t>tie_aware_elo</t>
        </is>
      </c>
      <c r="BC114" s="24" t="inlineStr">
        <is>
          <t>npb-tie-aware-elo-v2</t>
        </is>
      </c>
      <c r="BD114" s="24" t="inlineStr">
        <is>
          <t>a329b328b187a6dc36a8e4630f4d43155deb3fa2a9e29602202e3225961eabb8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npb-tie-aware-elo-v2</t>
        </is>
      </c>
      <c r="BH114" s="24" t="inlineStr">
        <is>
          <t>2026-09-25T22:09:17.189106Z</t>
        </is>
      </c>
      <c r="BI114" s="24" t="inlineStr">
        <is>
          <t>["same_event","same_team_same_day","same_league_same_day"]</t>
        </is>
      </c>
      <c r="BJ114" s="25" t="n"/>
      <c r="BK114" s="26" t="n">
        <v>-104</v>
      </c>
      <c r="BL114" s="27" t="n">
        <v>1.961538</v>
      </c>
      <c r="BM114" s="28" t="n">
        <v>0.509804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0.509804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"a329b328b187a6dc36a8e4630f4d43155deb3fa2a9e29602202e3225961eabb8", "away_team": "Chunichi Dragons", "draw_settlement_value": 0.5, "event_id": "126456", "event_start_utc": "2026-09-26T09:00:00Z", "features": {"away_elo": 1453.257412, "base_tie_rate": 0.02386635, "home_advantage": 35.0, "home_elo": 1420.788316}, "historical_source_observation_times_verified": false, "home_team": "Tokyo Yakult Swallows", "inference_inputs": {"away_id": "D", "base_tie_rate": 0.02386635, "book_state": {"_games_played": null, "_last_active": null, "decay_rate": 0.0, "home_advantage": 35.0, "k": 8.0, "margin_weight": 0.0, "ratings": {"D": 1453.257412, "S": 1420.788316}},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"2026-09-25T22:09:02.815062+00:00", "outcome_probabilities": {"away": 0.4845115517857737, "draw": 0.02386635, "home": 0.49162209821422626}, "replay_scope": "Exact Elo and tie model; logged value is expected contract settlement, not outright win probability.", "schema": "international-elo-replay-v1", "settlement_values": {"away": 0.496445, "home": 0.503555}, "snapshot_hash": "e115c0d2ce6debca70728cbb6a834f6acd2aa4320c3d016b833f1a517ec4af9e", "sport": "NPB"}</t>
        </is>
      </c>
    </row>
    <row r="115" ht="36" customHeight="1">
      <c r="A115" s="24" t="inlineStr">
        <is>
          <t>7d9d07d4285a4b66</t>
        </is>
      </c>
      <c r="B115" s="24" t="inlineStr">
        <is>
          <t>2026-09-26T22:35:14.204822Z</t>
        </is>
      </c>
      <c r="C115" s="24" t="inlineStr">
        <is>
          <t>2026-09-27T05:00:00Z</t>
        </is>
      </c>
      <c r="D115" s="24" t="inlineStr">
        <is>
          <t>124722</t>
        </is>
      </c>
      <c r="E115" s="24" t="inlineStr">
        <is>
          <t>NPB</t>
        </is>
      </c>
      <c r="F115" s="24" t="inlineStr">
        <is>
          <t>Orix Buffaloes</t>
        </is>
      </c>
      <c r="G115" s="24" t="inlineStr">
        <is>
          <t>Fukuoka SoftBank Hawks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-285</v>
      </c>
      <c r="M115" s="27" t="n">
        <v>1.350877</v>
      </c>
      <c r="N115" s="28" t="n">
        <v>0.74026</v>
      </c>
      <c r="O115" s="28" t="n">
        <v>0.724042</v>
      </c>
      <c r="P115" s="28" t="n"/>
      <c r="Q115" s="28" t="n">
        <v>-0.016218</v>
      </c>
      <c r="R115" s="26" t="n">
        <v>12</v>
      </c>
      <c r="S115" s="29" t="n">
        <v>1</v>
      </c>
      <c r="T115" s="24" t="inlineStr">
        <is>
          <t>npb-tie-aware-elo-v2</t>
        </is>
      </c>
      <c r="U115" s="24" t="inlineStr">
        <is>
          <t>settled</t>
        </is>
      </c>
      <c r="V115" s="24" t="inlineStr">
        <is>
          <t>win</t>
        </is>
      </c>
      <c r="W115" s="26" t="n">
        <v>5</v>
      </c>
      <c r="X115" s="26" t="n">
        <v>12</v>
      </c>
      <c r="Y115" s="25" t="n"/>
      <c r="Z115" s="26" t="n"/>
      <c r="AA115" s="28" t="n"/>
      <c r="AB115" s="28" t="n"/>
      <c r="AC115" s="30" t="n">
        <v>0.3509</v>
      </c>
      <c r="AD115" s="24" t="inlineStr">
        <is>
          <t>2026-09-27T22:04:25.403066Z</t>
        </is>
      </c>
      <c r="AE115" s="31" t="inlineStr">
        <is>
          <t>Tie-aware Elo baseline; executable ask 0.7400 (market_slug=aec-npb-fsh-obr-2026-09-27). Tie probability=0.0238.</t>
        </is>
      </c>
      <c r="AF115" s="31" t="inlineStr">
        <is>
          <t>Config-promoted international baseball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Orix Buffaloes</t>
        </is>
      </c>
      <c r="AQ115" s="24" t="inlineStr">
        <is>
          <t>Orix Buffaloes</t>
        </is>
      </c>
      <c r="AR115" s="24" t="inlineStr">
        <is>
          <t>Orix Buffaloes</t>
        </is>
      </c>
      <c r="AS115" s="24" t="inlineStr">
        <is>
          <t>Fukuoka SoftBank Hawks</t>
        </is>
      </c>
      <c r="AT115" s="24" t="inlineStr">
        <is>
          <t>Fukuoka SoftBank Hawks</t>
        </is>
      </c>
      <c r="AU115" s="24" t="inlineStr">
        <is>
          <t>Fukuoka SoftBank Hawks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b64379d8489a566c3505682e0ca012c95c4d8f7f8313d66669d84c2627b0673f</t>
        </is>
      </c>
      <c r="BB115" s="24" t="inlineStr">
        <is>
          <t>tie_aware_elo</t>
        </is>
      </c>
      <c r="BC115" s="24" t="inlineStr">
        <is>
          <t>npb-tie-aware-elo-v2</t>
        </is>
      </c>
      <c r="BD115" s="24" t="inlineStr">
        <is>
          <t>b64379d8489a566c3505682e0ca012c95c4d8f7f8313d66669d84c2627b0673f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npb-tie-aware-elo-v2</t>
        </is>
      </c>
      <c r="BH115" s="24" t="inlineStr">
        <is>
          <t>2026-09-26T22:35:01.773003Z</t>
        </is>
      </c>
      <c r="BI115" s="24" t="inlineStr">
        <is>
          <t>["same_event","same_team_same_day","same_league_same_day"]</t>
        </is>
      </c>
      <c r="BJ115" s="25" t="n"/>
      <c r="BK115" s="26" t="n">
        <v>-285</v>
      </c>
      <c r="BL115" s="27" t="n">
        <v>1.350877</v>
      </c>
      <c r="BM115" s="28" t="n">
        <v>0.74026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0.74026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"b64379d8489a566c3505682e0ca012c95c4d8f7f8313d66669d84c2627b0673f", "away_team": "Orix Buffaloes", "draw_settlement_value": 0.5, "event_id": "124722", "event_start_utc": "2026-09-27T05:00:00Z", "features": {"away_elo": 1484.929214, "base_tie_rate": 0.0238379, "home_advantage": 35.0, "home_elo": 1622.284415}, "historical_source_observation_times_verified": false, "home_team": "Fukuoka SoftBank Hawks", "inference_inputs": {"away_id": "B", "base_tie_rate": 0.0238379, "book_state": {"_games_played": null, "_last_active": null, "decay_rate": 0.0, "home_advantage": 35.0, "k": 8.0, "margin_weight": 0.0, "ratings": {"B": 1484.929214, "H": 1622.284415}},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"2026-09-26T22:34:55.535436+00:00", "outcome_probabilities": {"away": 0.2640385529122782, "draw": 0.0238379, "home": 0.7121235470877219}, "replay_scope": "Exact Elo and tie model; logged value is expected contract settlement, not outright win probability.", "schema": "international-elo-replay-v1", "settlement_values": {"away": 0.275958, "home": 0.724042}, "snapshot_hash": "eb629f106dcfca9863792773d154dc6c63fca7e352f1a65587a964938a7f598d", "sport": "NPB"}</t>
        </is>
      </c>
    </row>
    <row r="116" ht="36" customHeight="1">
      <c r="A116" s="24" t="inlineStr">
        <is>
          <t>c0d786346b314063</t>
        </is>
      </c>
      <c r="B116" s="24" t="inlineStr">
        <is>
          <t>2026-09-27T05:03:17.427995Z</t>
        </is>
      </c>
      <c r="C116" s="24" t="inlineStr">
        <is>
          <t>2026-09-27T09:00:00Z</t>
        </is>
      </c>
      <c r="D116" s="24" t="inlineStr">
        <is>
          <t>124862</t>
        </is>
      </c>
      <c r="E116" s="24" t="inlineStr">
        <is>
          <t>NPB</t>
        </is>
      </c>
      <c r="F116" s="24" t="inlineStr">
        <is>
          <t>Nippon Ham Fighters</t>
        </is>
      </c>
      <c r="G116" s="24" t="inlineStr">
        <is>
          <t>Chiba Lotte Marines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-104</v>
      </c>
      <c r="M116" s="27" t="n">
        <v>1.961538</v>
      </c>
      <c r="N116" s="28" t="n">
        <v>0.509804</v>
      </c>
      <c r="O116" s="28" t="n">
        <v>0.560392</v>
      </c>
      <c r="P116" s="28" t="n"/>
      <c r="Q116" s="28" t="n">
        <v>0.050588</v>
      </c>
      <c r="R116" s="26" t="n">
        <v>45</v>
      </c>
      <c r="S116" s="29" t="n">
        <v>1</v>
      </c>
      <c r="T116" s="24" t="inlineStr">
        <is>
          <t>npb-tie-aware-elo-v2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6</v>
      </c>
      <c r="Y116" s="25" t="n"/>
      <c r="Z116" s="26" t="n">
        <v>-104</v>
      </c>
      <c r="AA116" s="28" t="n">
        <v>0.51</v>
      </c>
      <c r="AB116" s="28" t="n">
        <v>0.000196</v>
      </c>
      <c r="AC116" s="30" t="n">
        <v>-1</v>
      </c>
      <c r="AD116" s="24" t="inlineStr">
        <is>
          <t>2026-09-27T22:04:25.631798Z</t>
        </is>
      </c>
      <c r="AE116" s="31" t="inlineStr">
        <is>
          <t>Tie-aware Elo baseline; executable ask 0.5100 (market_slug=aec-npb-clm-nhf-2026-09-27). Tie probability=0.0238.</t>
        </is>
      </c>
      <c r="AF116" s="31" t="inlineStr">
        <is>
          <t>Config-promoted international baseball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Nippon Ham Fighters</t>
        </is>
      </c>
      <c r="AQ116" s="24" t="inlineStr">
        <is>
          <t>Nippon Ham Fighters</t>
        </is>
      </c>
      <c r="AR116" s="24" t="inlineStr">
        <is>
          <t>Nippon Ham Fighters</t>
        </is>
      </c>
      <c r="AS116" s="24" t="inlineStr">
        <is>
          <t>Chiba Lotte Marines</t>
        </is>
      </c>
      <c r="AT116" s="24" t="inlineStr">
        <is>
          <t>Chiba Lotte Marines</t>
        </is>
      </c>
      <c r="AU116" s="24" t="inlineStr">
        <is>
          <t>Chiba Lotte Marines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385dd9af75a8fbd0ee5e82d8b59055181ed5f4c68889c54272c479ba8b810132</t>
        </is>
      </c>
      <c r="BB116" s="24" t="inlineStr">
        <is>
          <t>tie_aware_elo</t>
        </is>
      </c>
      <c r="BC116" s="24" t="inlineStr">
        <is>
          <t>npb-tie-aware-elo-v2</t>
        </is>
      </c>
      <c r="BD116" s="24" t="inlineStr">
        <is>
          <t>385dd9af75a8fbd0ee5e82d8b59055181ed5f4c68889c54272c479ba8b810132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npb-tie-aware-elo-v2</t>
        </is>
      </c>
      <c r="BH116" s="24" t="inlineStr">
        <is>
          <t>2026-09-27T05:03:13.226482Z</t>
        </is>
      </c>
      <c r="BI116" s="24" t="inlineStr">
        <is>
          <t>["same_event","same_team_same_day","same_league_same_day"]</t>
        </is>
      </c>
      <c r="BJ116" s="25" t="n"/>
      <c r="BK116" s="26" t="n">
        <v>-104</v>
      </c>
      <c r="BL116" s="27" t="n">
        <v>1.961538</v>
      </c>
      <c r="BM116" s="28" t="n">
        <v>0.509804</v>
      </c>
      <c r="BN116" s="28" t="n"/>
      <c r="BO116" s="28" t="n"/>
      <c r="BP116" s="25" t="n"/>
      <c r="BQ116" s="27" t="n">
        <v>1.961538</v>
      </c>
      <c r="BR116" s="28" t="n">
        <v>0.51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0.509804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"385dd9af75a8fbd0ee5e82d8b59055181ed5f4c68889c54272c479ba8b810132", "away_team": "Nippon Ham Fighters", "draw_settlement_value": 0.5, "event_id": "124862", "event_start_utc": "2026-09-27T09:00:00Z", "features": {"away_elo": 1552.925041, "base_tie_rate": 0.0238379, "home_advantage": 35.0, "home_elo": 1474.713855}, "historical_source_observation_times_verified": false, "home_team": "Chiba Lotte Marines", "inference_inputs": {"away_id": "F", "base_tie_rate": 0.0238379, "book_state": {"_games_played": null, "_last_active": null, "decay_rate": 0.0, "home_advantage": 35.0, "k": 8.0, "margin_weight": 0.0, "ratings": {"F": 1552.925041, "M": 1474.713855}},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"2026-09-27T05:03:08.501163+00:00", "outcome_probabilities": {"away": 0.5484734946053148, "draw": 0.0238379, "home": 0.42768860539468523}, "replay_scope": "Exact Elo and tie model; logged value is expected contract settlement, not outright win probability.", "schema": "international-elo-replay-v1", "settlement_values": {"away": 0.560392, "home": 0.439608}, "snapshot_hash": "21f65d69033961ff83e5d62a33a8b1450fe0e844363b475b358730d80fb02153", "sport": "NPB"}</t>
        </is>
      </c>
    </row>
    <row r="117" ht="36" customHeight="1">
      <c r="A117" s="24" t="inlineStr">
        <is>
          <t>4bad04ec91a74e81</t>
        </is>
      </c>
      <c r="B117" s="24" t="inlineStr">
        <is>
          <t>2026-09-28T04:41:38.859798Z</t>
        </is>
      </c>
      <c r="C117" s="24" t="inlineStr">
        <is>
          <t>2026-09-28T09:00:00Z</t>
        </is>
      </c>
      <c r="D117" s="24" t="inlineStr">
        <is>
          <t>126203</t>
        </is>
      </c>
      <c r="E117" s="24" t="inlineStr">
        <is>
          <t>NPB</t>
        </is>
      </c>
      <c r="F117" s="24" t="inlineStr">
        <is>
          <t>Tohoku Rakuten Golden Eagles</t>
        </is>
      </c>
      <c r="G117" s="24" t="inlineStr">
        <is>
          <t>Saitama Seibu Lions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-178</v>
      </c>
      <c r="M117" s="27" t="n">
        <v>1.561798</v>
      </c>
      <c r="N117" s="28" t="n">
        <v>0.640288</v>
      </c>
      <c r="O117" s="28" t="n">
        <v>0.640273</v>
      </c>
      <c r="P117" s="28" t="n"/>
      <c r="Q117" s="28" t="n">
        <v>-1.5e-05</v>
      </c>
      <c r="R117" s="26" t="n">
        <v>20</v>
      </c>
      <c r="S117" s="29" t="n">
        <v>1</v>
      </c>
      <c r="T117" s="24" t="inlineStr">
        <is>
          <t>npb-tie-aware-elo-v2</t>
        </is>
      </c>
      <c r="U117" s="24" t="inlineStr">
        <is>
          <t>settled</t>
        </is>
      </c>
      <c r="V117" s="24" t="inlineStr">
        <is>
          <t>loss</t>
        </is>
      </c>
      <c r="W117" s="26" t="n">
        <v>4</v>
      </c>
      <c r="X117" s="26" t="n">
        <v>2</v>
      </c>
      <c r="Y117" s="25" t="n"/>
      <c r="Z117" s="26" t="n">
        <v>-178</v>
      </c>
      <c r="AA117" s="28" t="n">
        <v>0.64</v>
      </c>
      <c r="AB117" s="28" t="n">
        <v>-0.000288</v>
      </c>
      <c r="AC117" s="30" t="n">
        <v>-1</v>
      </c>
      <c r="AD117" s="24" t="inlineStr">
        <is>
          <t>2026-09-28T22:03:26.761242Z</t>
        </is>
      </c>
      <c r="AE117" s="31" t="inlineStr">
        <is>
          <t>Tie-aware Elo baseline; executable ask 0.6400 (market_slug=aec-npb-ssl-trge-2026-09-28). Tie probability=0.0238.</t>
        </is>
      </c>
      <c r="AF117" s="31" t="inlineStr">
        <is>
          <t>Config-promoted international baseball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Tohoku Rakuten Golden Eagles</t>
        </is>
      </c>
      <c r="AQ117" s="24" t="inlineStr">
        <is>
          <t>Tohoku Rakuten Golden Eagles</t>
        </is>
      </c>
      <c r="AR117" s="24" t="inlineStr">
        <is>
          <t>Tohoku Rakuten Golden Eagles</t>
        </is>
      </c>
      <c r="AS117" s="24" t="inlineStr">
        <is>
          <t>Saitama Seibu Lions</t>
        </is>
      </c>
      <c r="AT117" s="24" t="inlineStr">
        <is>
          <t>Saitama Seibu Lions</t>
        </is>
      </c>
      <c r="AU117" s="24" t="inlineStr">
        <is>
          <t>Saitama Seibu Lions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21d304bb8847d50b1b6a83ebe104a284c94c507e6bc905b72bb173ec40f17c2d</t>
        </is>
      </c>
      <c r="BB117" s="24" t="inlineStr">
        <is>
          <t>tie_aware_elo</t>
        </is>
      </c>
      <c r="BC117" s="24" t="inlineStr">
        <is>
          <t>npb-tie-aware-elo-v2</t>
        </is>
      </c>
      <c r="BD117" s="24" t="inlineStr">
        <is>
          <t>21d304bb8847d50b1b6a83ebe104a284c94c507e6bc905b72bb173ec40f17c2d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npb-tie-aware-elo-v2</t>
        </is>
      </c>
      <c r="BH117" s="24" t="inlineStr">
        <is>
          <t>2026-09-28T04:41:38.744336Z</t>
        </is>
      </c>
      <c r="BI117" s="24" t="inlineStr">
        <is>
          <t>["same_event","same_team_same_day","same_league_same_day"]</t>
        </is>
      </c>
      <c r="BJ117" s="25" t="n"/>
      <c r="BK117" s="26" t="n">
        <v>-178</v>
      </c>
      <c r="BL117" s="27" t="n">
        <v>1.561798</v>
      </c>
      <c r="BM117" s="28" t="n">
        <v>0.640288</v>
      </c>
      <c r="BN117" s="28" t="n"/>
      <c r="BO117" s="28" t="n"/>
      <c r="BP117" s="25" t="n"/>
      <c r="BQ117" s="27" t="n">
        <v>1.561798</v>
      </c>
      <c r="BR117" s="28" t="n">
        <v>0.64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0.640288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"21d304bb8847d50b1b6a83ebe104a284c94c507e6bc905b72bb173ec40f17c2d", "away_team": "Tohoku Rakuten Golden Eagles", "draw_settlement_value": 0.5, "event_id": "126203", "event_start_utc": "2026-09-28T09:00:00Z", "features": {"away_elo": 1466.350394, "base_tie_rate": 0.02380952, "home_advantage": 35.0, "home_elo": 1534.093043}, "historical_source_observation_times_verified": false, "home_team": "Saitama Seibu Lions", "inference_inputs": {"away_id": "E", "base_tie_rate": 0.02380952, "book_state": {"_games_played": null, "_last_active": null, "decay_rate": 0.0, "home_advantage": 35.0, "k": 8.0, "margin_weight": 0.0, "ratings": {"E": 1466.350394, "L": 1534.093043}},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"2026-09-28T04:41:38.694278+00:00", "outcome_probabilities": {"away": 0.34782237195489907, "draw": 0.02380952, "home": 0.6283681080451009}, "replay_scope": "Exact Elo and tie model; logged value is expected contract settlement, not outright win probability.", "schema": "international-elo-replay-v1", "settlement_values": {"away": 0.359727, "home": 0.640273}, "snapshot_hash": "3303922dd39ca44e77bcf1afa02b7c8dabddc209e0241f192d95454fefacf375", "sport": "NPB"}</t>
        </is>
      </c>
    </row>
    <row r="118" ht="36" customHeight="1">
      <c r="A118" s="24" t="inlineStr">
        <is>
          <t>0a1ab63b0b394cfa</t>
        </is>
      </c>
      <c r="B118" s="24" t="inlineStr">
        <is>
          <t>2026-09-28T04:41:38.859798Z</t>
        </is>
      </c>
      <c r="C118" s="24" t="inlineStr">
        <is>
          <t>2026-09-28T09:00:00Z</t>
        </is>
      </c>
      <c r="D118" s="24" t="inlineStr">
        <is>
          <t>126204</t>
        </is>
      </c>
      <c r="E118" s="24" t="inlineStr">
        <is>
          <t>NPB</t>
        </is>
      </c>
      <c r="F118" s="24" t="inlineStr">
        <is>
          <t>Nippon Ham Fighters</t>
        </is>
      </c>
      <c r="G118" s="24" t="inlineStr">
        <is>
          <t>Chiba Lotte Marines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-104</v>
      </c>
      <c r="M118" s="27" t="n">
        <v>1.961538</v>
      </c>
      <c r="N118" s="28" t="n">
        <v>0.509804</v>
      </c>
      <c r="O118" s="28" t="n">
        <v>0.547921</v>
      </c>
      <c r="P118" s="28" t="n"/>
      <c r="Q118" s="28" t="n">
        <v>0.038117</v>
      </c>
      <c r="R118" s="26" t="n">
        <v>39</v>
      </c>
      <c r="S118" s="29" t="n">
        <v>1</v>
      </c>
      <c r="T118" s="24" t="inlineStr">
        <is>
          <t>npb-tie-aware-elo-v2</t>
        </is>
      </c>
      <c r="U118" s="24" t="inlineStr">
        <is>
          <t>settled</t>
        </is>
      </c>
      <c r="V118" s="24" t="inlineStr">
        <is>
          <t>win</t>
        </is>
      </c>
      <c r="W118" s="26" t="n">
        <v>8</v>
      </c>
      <c r="X118" s="26" t="n">
        <v>3</v>
      </c>
      <c r="Y118" s="25" t="n"/>
      <c r="Z118" s="26" t="n"/>
      <c r="AA118" s="28" t="n"/>
      <c r="AB118" s="28" t="n"/>
      <c r="AC118" s="30" t="n">
        <v>0.9615</v>
      </c>
      <c r="AD118" s="24" t="inlineStr">
        <is>
          <t>2026-09-28T22:03:26.921044Z</t>
        </is>
      </c>
      <c r="AE118" s="31" t="inlineStr">
        <is>
          <t>Tie-aware Elo baseline; executable ask 0.5100 (market_slug=aec-npb-clm-nhf-2026-09-28). Tie probability=0.0238.</t>
        </is>
      </c>
      <c r="AF118" s="31" t="inlineStr">
        <is>
          <t>Config-promoted international baseball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Nippon Ham Fighters</t>
        </is>
      </c>
      <c r="AQ118" s="24" t="inlineStr">
        <is>
          <t>Nippon Ham Fighters</t>
        </is>
      </c>
      <c r="AR118" s="24" t="inlineStr">
        <is>
          <t>Nippon Ham Fighters</t>
        </is>
      </c>
      <c r="AS118" s="24" t="inlineStr">
        <is>
          <t>Chiba Lotte Marines</t>
        </is>
      </c>
      <c r="AT118" s="24" t="inlineStr">
        <is>
          <t>Chiba Lotte Marines</t>
        </is>
      </c>
      <c r="AU118" s="24" t="inlineStr">
        <is>
          <t>Chiba Lotte Marines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21d304bb8847d50b1b6a83ebe104a284c94c507e6bc905b72bb173ec40f17c2d</t>
        </is>
      </c>
      <c r="BB118" s="24" t="inlineStr">
        <is>
          <t>tie_aware_elo</t>
        </is>
      </c>
      <c r="BC118" s="24" t="inlineStr">
        <is>
          <t>npb-tie-aware-elo-v2</t>
        </is>
      </c>
      <c r="BD118" s="24" t="inlineStr">
        <is>
          <t>21d304bb8847d50b1b6a83ebe104a284c94c507e6bc905b72bb173ec40f17c2d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npb-tie-aware-elo-v2</t>
        </is>
      </c>
      <c r="BH118" s="24" t="inlineStr">
        <is>
          <t>2026-09-28T04:41:38.791052Z</t>
        </is>
      </c>
      <c r="BI118" s="24" t="inlineStr">
        <is>
          <t>["same_event","same_team_same_day","same_league_same_day"]</t>
        </is>
      </c>
      <c r="BJ118" s="25" t="n"/>
      <c r="BK118" s="26" t="n">
        <v>-104</v>
      </c>
      <c r="BL118" s="27" t="n">
        <v>1.961538</v>
      </c>
      <c r="BM118" s="28" t="n">
        <v>0.509804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0.509804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"21d304bb8847d50b1b6a83ebe104a284c94c507e6bc905b72bb173ec40f17c2d", "away_team": "Nippon Ham Fighters", "draw_settlement_value": 0.5, "event_id": "126204", "event_start_utc": "2026-09-28T09:00:00Z", "features": {"away_elo": 1548.430103, "base_tie_rate": 0.02380952, "home_advantage": 35.0, "home_elo": 1479.208793}, "historical_source_observation_times_verified": false, "home_team": "Chiba Lotte Marines", "inference_inputs": {"away_id": "F", "base_tie_rate": 0.02380952, "book_state": {"_games_played": null, "_last_active": null, "decay_rate": 0.0, "home_advantage": 35.0, "k": 8.0, "margin_weight": 0.0, "ratings": {"F": 1548.430103, "M": 1479.208793}},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"2026-09-28T04:41:38.694278+00:00", "outcome_probabilities": {"away": 0.5360162122237957, "draw": 0.02380952, "home": 0.44017426777620433}, "replay_scope": "Exact Elo and tie model; logged value is expected contract settlement, not outright win probability.", "schema": "international-elo-replay-v1", "settlement_values": {"away": 0.547921, "home": 0.452079}, "snapshot_hash": "907c86f3ed17f84aa8f75599e017b4e370c13e4c05bd984887dc2e446f0fed48", "sport": "NPB"}</t>
        </is>
      </c>
    </row>
    <row r="119" ht="36" customHeight="1">
      <c r="A119" s="24" t="inlineStr">
        <is>
          <t>fef3eafb77414a9f</t>
        </is>
      </c>
      <c r="B119" s="24" t="inlineStr">
        <is>
          <t>2026-09-28T04:41:38.859798Z</t>
        </is>
      </c>
      <c r="C119" s="24" t="inlineStr">
        <is>
          <t>2026-09-28T09:00:00Z</t>
        </is>
      </c>
      <c r="D119" s="24" t="inlineStr">
        <is>
          <t>126205</t>
        </is>
      </c>
      <c r="E119" s="24" t="inlineStr">
        <is>
          <t>NPB</t>
        </is>
      </c>
      <c r="F119" s="24" t="inlineStr">
        <is>
          <t>Hiroshima Carp</t>
        </is>
      </c>
      <c r="G119" s="24" t="inlineStr">
        <is>
          <t>Yokohama BayStars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-270</v>
      </c>
      <c r="M119" s="27" t="n">
        <v>1.37037</v>
      </c>
      <c r="N119" s="28" t="n">
        <v>0.72973</v>
      </c>
      <c r="O119" s="28" t="n">
        <v>0.631421</v>
      </c>
      <c r="P119" s="28" t="n"/>
      <c r="Q119" s="28" t="n">
        <v>-0.09830899999999999</v>
      </c>
      <c r="R119" s="26" t="n">
        <v>0</v>
      </c>
      <c r="S119" s="29" t="n">
        <v>1</v>
      </c>
      <c r="T119" s="24" t="inlineStr">
        <is>
          <t>npb-tie-aware-elo-v2</t>
        </is>
      </c>
      <c r="U119" s="24" t="inlineStr">
        <is>
          <t>settled</t>
        </is>
      </c>
      <c r="V119" s="24" t="inlineStr">
        <is>
          <t>loss</t>
        </is>
      </c>
      <c r="W119" s="26" t="n">
        <v>4</v>
      </c>
      <c r="X119" s="26" t="n">
        <v>3</v>
      </c>
      <c r="Y119" s="25" t="n"/>
      <c r="Z119" s="26" t="n">
        <v>-270</v>
      </c>
      <c r="AA119" s="28" t="n">
        <v>0.73</v>
      </c>
      <c r="AB119" s="28" t="n">
        <v>0.00027</v>
      </c>
      <c r="AC119" s="30" t="n">
        <v>-1</v>
      </c>
      <c r="AD119" s="24" t="inlineStr">
        <is>
          <t>2026-09-28T22:03:27.046001Z</t>
        </is>
      </c>
      <c r="AE119" s="31" t="inlineStr">
        <is>
          <t>Tie-aware Elo baseline; executable ask 0.7300 (market_slug=aec-npb-ybo-hci-2026-09-28). Tie probability=0.0238.</t>
        </is>
      </c>
      <c r="AF119" s="31" t="inlineStr">
        <is>
          <t>Config-promoted international baseball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Hiroshima Carp</t>
        </is>
      </c>
      <c r="AQ119" s="24" t="inlineStr">
        <is>
          <t>Hiroshima Carp</t>
        </is>
      </c>
      <c r="AR119" s="24" t="inlineStr">
        <is>
          <t>Hiroshima Carp</t>
        </is>
      </c>
      <c r="AS119" s="24" t="inlineStr">
        <is>
          <t>Yokohama BayStars</t>
        </is>
      </c>
      <c r="AT119" s="24" t="inlineStr">
        <is>
          <t>Yokohama BayStars</t>
        </is>
      </c>
      <c r="AU119" s="24" t="inlineStr">
        <is>
          <t>Yokohama BayStars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21d304bb8847d50b1b6a83ebe104a284c94c507e6bc905b72bb173ec40f17c2d</t>
        </is>
      </c>
      <c r="BB119" s="24" t="inlineStr">
        <is>
          <t>tie_aware_elo</t>
        </is>
      </c>
      <c r="BC119" s="24" t="inlineStr">
        <is>
          <t>npb-tie-aware-elo-v2</t>
        </is>
      </c>
      <c r="BD119" s="24" t="inlineStr">
        <is>
          <t>21d304bb8847d50b1b6a83ebe104a284c94c507e6bc905b72bb173ec40f17c2d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npb-tie-aware-elo-v2</t>
        </is>
      </c>
      <c r="BH119" s="24" t="inlineStr">
        <is>
          <t>2026-09-28T04:41:38.859750Z</t>
        </is>
      </c>
      <c r="BI119" s="24" t="inlineStr">
        <is>
          <t>["same_event","same_team_same_day","same_league_same_day"]</t>
        </is>
      </c>
      <c r="BJ119" s="25" t="n"/>
      <c r="BK119" s="26" t="n">
        <v>-270</v>
      </c>
      <c r="BL119" s="27" t="n">
        <v>1.37037</v>
      </c>
      <c r="BM119" s="28" t="n">
        <v>0.72973</v>
      </c>
      <c r="BN119" s="28" t="n"/>
      <c r="BO119" s="28" t="n"/>
      <c r="BP119" s="25" t="n"/>
      <c r="BQ119" s="27" t="n">
        <v>1.37037</v>
      </c>
      <c r="BR119" s="28" t="n">
        <v>0.73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0.72973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"21d304bb8847d50b1b6a83ebe104a284c94c507e6bc905b72bb173ec40f17c2d", "away_team": "Hiroshima Carp", "draw_settlement_value": 0.5, "event_id": "126205", "event_start_utc": "2026-09-28T09:00:00Z", "features": {"away_elo": 1448.499596, "base_tie_rate": 0.02380952, "home_advantage": 35.0, "home_elo": 1509.411874}, "historical_source_observation_times_verified": false, "home_team": "Yokohama BayStars", "inference_inputs": {"away_id": "C", "base_tie_rate": 0.02380952, "book_state": {"_games_played": null, "_last_active": null, "decay_rate": 0.0, "home_advantage": 35.0, "k": 8.0, "margin_weight": 0.0, "ratings": {"C": 1448.499596, "DB": 1509.411874}},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"2026-09-28T04:41:38.694278+00:00", "outcome_probabilities": {"away": 0.35667437339385116, "draw": 0.02380952, "home": 0.6195161066061488}, "replay_scope": "Exact Elo and tie model; logged value is expected contract settlement, not outright win probability.", "schema": "international-elo-replay-v1", "settlement_values": {"away": 0.368579, "home": 0.631421}, "snapshot_hash": "ed87a57d074b4ca08139262c3837975512cdd04e3655050386aac249743e23d2", "sport": "NPB"}</t>
        </is>
      </c>
    </row>
    <row r="120" ht="36" customHeight="1">
      <c r="A120" s="24" t="inlineStr">
        <is>
          <t>1fc89782b9c24c7f</t>
        </is>
      </c>
      <c r="B120" s="24" t="inlineStr">
        <is>
          <t>2026-09-29T04:39:50.380871Z</t>
        </is>
      </c>
      <c r="C120" s="24" t="inlineStr">
        <is>
          <t>2026-09-29T09:00:00Z</t>
        </is>
      </c>
      <c r="D120" s="24" t="inlineStr">
        <is>
          <t>127966</t>
        </is>
      </c>
      <c r="E120" s="24" t="inlineStr">
        <is>
          <t>NPB</t>
        </is>
      </c>
      <c r="F120" s="24" t="inlineStr">
        <is>
          <t>Chiba Lotte Marines</t>
        </is>
      </c>
      <c r="G120" s="24" t="inlineStr">
        <is>
          <t>Tohoku Rakuten Golden Eagles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-138</v>
      </c>
      <c r="M120" s="27" t="n">
        <v>1.724638</v>
      </c>
      <c r="N120" s="28" t="n">
        <v>0.579832</v>
      </c>
      <c r="O120" s="28" t="n">
        <v>0.5432940000000001</v>
      </c>
      <c r="P120" s="28" t="n"/>
      <c r="Q120" s="28" t="n">
        <v>-0.036538</v>
      </c>
      <c r="R120" s="26" t="n">
        <v>2</v>
      </c>
      <c r="S120" s="29" t="n">
        <v>1</v>
      </c>
      <c r="T120" s="24" t="inlineStr">
        <is>
          <t>npb-tie-aware-elo-v2</t>
        </is>
      </c>
      <c r="U120" s="24" t="inlineStr">
        <is>
          <t>settled</t>
        </is>
      </c>
      <c r="V120" s="24" t="inlineStr">
        <is>
          <t>loss</t>
        </is>
      </c>
      <c r="W120" s="26" t="n">
        <v>6</v>
      </c>
      <c r="X120" s="26" t="n">
        <v>3</v>
      </c>
      <c r="Y120" s="25" t="n"/>
      <c r="Z120" s="26" t="n"/>
      <c r="AA120" s="28" t="n"/>
      <c r="AB120" s="28" t="n"/>
      <c r="AC120" s="30" t="n">
        <v>-1</v>
      </c>
      <c r="AD120" s="24" t="inlineStr">
        <is>
          <t>2026-09-29T22:04:16.912138Z</t>
        </is>
      </c>
      <c r="AE120" s="31" t="inlineStr">
        <is>
          <t>Tie-aware Elo baseline; executable ask 0.5800 (market_slug=aec-npb-trge-clm-2026-09-29). Tie probability=0.0238.</t>
        </is>
      </c>
      <c r="AF120" s="31" t="inlineStr">
        <is>
          <t>Config-promoted international baseball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Chiba Lotte Marines</t>
        </is>
      </c>
      <c r="AQ120" s="24" t="inlineStr">
        <is>
          <t>Chiba Lotte Marines</t>
        </is>
      </c>
      <c r="AR120" s="24" t="inlineStr">
        <is>
          <t>Chiba Lotte Marines</t>
        </is>
      </c>
      <c r="AS120" s="24" t="inlineStr">
        <is>
          <t>Tohoku Rakuten Golden Eagles</t>
        </is>
      </c>
      <c r="AT120" s="24" t="inlineStr">
        <is>
          <t>Tohoku Rakuten Golden Eagles</t>
        </is>
      </c>
      <c r="AU120" s="24" t="inlineStr">
        <is>
          <t>Tohoku Rakuten Golden Eagles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67ad234bfc20770752e03667fad31059df7bfc020453b66cd8378fad4258ad29</t>
        </is>
      </c>
      <c r="BB120" s="24" t="inlineStr">
        <is>
          <t>tie_aware_elo</t>
        </is>
      </c>
      <c r="BC120" s="24" t="inlineStr">
        <is>
          <t>npb-tie-aware-elo-v2</t>
        </is>
      </c>
      <c r="BD120" s="24" t="inlineStr">
        <is>
          <t>67ad234bfc20770752e03667fad31059df7bfc020453b66cd8378fad4258ad29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npb-tie-aware-elo-v2</t>
        </is>
      </c>
      <c r="BH120" s="24" t="inlineStr">
        <is>
          <t>2026-09-29T04:39:50.182594Z</t>
        </is>
      </c>
      <c r="BI120" s="24" t="inlineStr">
        <is>
          <t>["same_event","same_team_same_day","same_league_same_day"]</t>
        </is>
      </c>
      <c r="BJ120" s="25" t="n"/>
      <c r="BK120" s="26" t="n">
        <v>-138</v>
      </c>
      <c r="BL120" s="27" t="n">
        <v>1.724638</v>
      </c>
      <c r="BM120" s="28" t="n">
        <v>0.579832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0.579832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"67ad234bfc20770752e03667fad31059df7bfc020453b66cd8378fad4258ad29", "away_team": "Chiba Lotte Marines", "draw_settlement_value": 0.5, "event_id": "127966", "event_start_utc": "2026-09-29T09:00:00Z", "features": {"away_elo": 1475.601511, "base_tie_rate": 0.02379253, "home_advantage": 35.0, "home_elo": 1471.499947}, "historical_source_observation_times_verified": false, "home_team": "Tohoku Rakuten Golden Eagles", "inference_inputs": {"away_id": "M", "base_tie_rate": 0.02379253, "book_state": {"_games_played": null, "_last_active": null, "decay_rate": 0.0, "home_advantage": 35.0, "k": 8.0, "margin_weight": 0.0, "ratings": {"E": 1471.499947, "M": 1475.601511}},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"2026-09-29T04:39:41.557980+00:00", "outcome_probabilities": {"away": 0.4448093589031541, "draw": 0.02379253, "home": 0.5313981110968459}, "replay_scope": "Exact Elo and tie model; logged value is expected contract settlement, not outright win probability.", "schema": "international-elo-replay-v1", "settlement_values": {"away": 0.456706, "home": 0.543294}, "snapshot_hash": "b719af41120f344934b28b9a8ab1f725e6efb32de471bb55b407e62bdaaefd1b", "sport": "NPB"}</t>
        </is>
      </c>
    </row>
    <row r="121" ht="36" customHeight="1">
      <c r="A121" s="24" t="inlineStr">
        <is>
          <t>e7a579f84a7d4a39</t>
        </is>
      </c>
      <c r="B121" s="24" t="inlineStr">
        <is>
          <t>2026-09-29T04:39:50.380871Z</t>
        </is>
      </c>
      <c r="C121" s="24" t="inlineStr">
        <is>
          <t>2026-09-29T09:00:00Z</t>
        </is>
      </c>
      <c r="D121" s="24" t="inlineStr">
        <is>
          <t>127967</t>
        </is>
      </c>
      <c r="E121" s="24" t="inlineStr">
        <is>
          <t>NPB</t>
        </is>
      </c>
      <c r="F121" s="24" t="inlineStr">
        <is>
          <t>Orix Buffaloes</t>
        </is>
      </c>
      <c r="G121" s="24" t="inlineStr">
        <is>
          <t>Saitama Seibu Lions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-186</v>
      </c>
      <c r="M121" s="27" t="n">
        <v>1.537634</v>
      </c>
      <c r="N121" s="28" t="n">
        <v>0.65035</v>
      </c>
      <c r="O121" s="28" t="n">
        <v>0.6120139999999999</v>
      </c>
      <c r="P121" s="28" t="n"/>
      <c r="Q121" s="28" t="n">
        <v>-0.038336</v>
      </c>
      <c r="R121" s="26" t="n">
        <v>1</v>
      </c>
      <c r="S121" s="29" t="n">
        <v>1</v>
      </c>
      <c r="T121" s="24" t="inlineStr">
        <is>
          <t>npb-tie-aware-elo-v2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2</v>
      </c>
      <c r="Y121" s="25" t="n"/>
      <c r="Z121" s="26" t="n"/>
      <c r="AA121" s="28" t="n"/>
      <c r="AB121" s="28" t="n"/>
      <c r="AC121" s="30" t="n">
        <v>0.5376</v>
      </c>
      <c r="AD121" s="24" t="inlineStr">
        <is>
          <t>2026-09-29T22:04:17.052637Z</t>
        </is>
      </c>
      <c r="AE121" s="31" t="inlineStr">
        <is>
          <t>Tie-aware Elo baseline; executable ask 0.6500 (market_slug=aec-npb-ssl-obr-2026-09-29). Tie probability=0.0238.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Orix Buffaloes</t>
        </is>
      </c>
      <c r="AQ121" s="24" t="inlineStr">
        <is>
          <t>Orix Buffaloes</t>
        </is>
      </c>
      <c r="AR121" s="24" t="inlineStr">
        <is>
          <t>Orix Buffaloes</t>
        </is>
      </c>
      <c r="AS121" s="24" t="inlineStr">
        <is>
          <t>Saitama Seibu Lions</t>
        </is>
      </c>
      <c r="AT121" s="24" t="inlineStr">
        <is>
          <t>Saitama Seibu Lions</t>
        </is>
      </c>
      <c r="AU121" s="24" t="inlineStr">
        <is>
          <t>Saitama Seibu Lions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67ad234bfc20770752e03667fad31059df7bfc020453b66cd8378fad4258ad29</t>
        </is>
      </c>
      <c r="BB121" s="24" t="inlineStr">
        <is>
          <t>tie_aware_elo</t>
        </is>
      </c>
      <c r="BC121" s="24" t="inlineStr">
        <is>
          <t>npb-tie-aware-elo-v2</t>
        </is>
      </c>
      <c r="BD121" s="24" t="inlineStr">
        <is>
          <t>67ad234bfc20770752e03667fad31059df7bfc020453b66cd8378fad4258ad29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npb-tie-aware-elo-v2</t>
        </is>
      </c>
      <c r="BH121" s="24" t="inlineStr">
        <is>
          <t>2026-09-29T04:39:50.287903Z</t>
        </is>
      </c>
      <c r="BI121" s="24" t="inlineStr">
        <is>
          <t>["same_event","same_team_same_day","same_league_same_day"]</t>
        </is>
      </c>
      <c r="BJ121" s="25" t="n"/>
      <c r="BK121" s="26" t="n">
        <v>-186</v>
      </c>
      <c r="BL121" s="27" t="n">
        <v>1.537634</v>
      </c>
      <c r="BM121" s="28" t="n">
        <v>0.65035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0.65035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"67ad234bfc20770752e03667fad31059df7bfc020453b66cd8378fad4258ad29", "away_team": "Orix Buffaloes", "draw_settlement_value": 0.5, "event_id": "127967", "event_start_utc": "2026-09-29T09:00:00Z", "features": {"away_elo": 1482.765323, "base_tie_rate": 0.02379253, "home_advantage": 35.0, "home_elo": 1528.943489}, "historical_source_observation_times_verified": false, "home_team": "Saitama Seibu Lions", "inference_inputs": {"away_id": "B", "base_tie_rate": 0.02379253, "book_state": {"_games_played": null, "_last_active": null, "decay_rate": 0.0, "home_advantage": 35.0, "k": 8.0, "margin_weight": 0.0, "ratings": {"B": 1482.765323, "L": 1528.943489}},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"2026-09-29T04:39:41.557980+00:00", "outcome_probabilities": {"away": 0.3760895042323527, "draw": 0.02379253, "home": 0.6001179657676473}, "replay_scope": "Exact Elo and tie model; logged value is expected contract settlement, not outright win probability.", "schema": "international-elo-replay-v1", "settlement_values": {"away": 0.387986, "home": 0.612014}, "snapshot_hash": "027f85af97e9afbf6cda4ef9b36bfdecf41fe96d3a0d913d8df9d9addfca4f41", "sport": "NPB"}</t>
        </is>
      </c>
    </row>
    <row r="122" ht="36" customHeight="1">
      <c r="A122" s="24" t="inlineStr">
        <is>
          <t>9de08132f6514603</t>
        </is>
      </c>
      <c r="B122" s="24" t="inlineStr">
        <is>
          <t>2026-09-29T04:39:50.380871Z</t>
        </is>
      </c>
      <c r="C122" s="24" t="inlineStr">
        <is>
          <t>2026-09-29T09:00:00Z</t>
        </is>
      </c>
      <c r="D122" s="24" t="inlineStr">
        <is>
          <t>127968</t>
        </is>
      </c>
      <c r="E122" s="24" t="inlineStr">
        <is>
          <t>NPB</t>
        </is>
      </c>
      <c r="F122" s="24" t="inlineStr">
        <is>
          <t>Hiroshima Carp</t>
        </is>
      </c>
      <c r="G122" s="24" t="inlineStr">
        <is>
          <t>Yomiuri Giants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-127</v>
      </c>
      <c r="M122" s="27" t="n">
        <v>1.787402</v>
      </c>
      <c r="N122" s="28" t="n">
        <v>0.5594710000000001</v>
      </c>
      <c r="O122" s="28" t="n">
        <v>0.6251910000000001</v>
      </c>
      <c r="P122" s="28" t="n"/>
      <c r="Q122" s="28" t="n">
        <v>0.06572</v>
      </c>
      <c r="R122" s="26" t="n">
        <v>53</v>
      </c>
      <c r="S122" s="29" t="n">
        <v>1</v>
      </c>
      <c r="T122" s="24" t="inlineStr">
        <is>
          <t>npb-tie-aware-elo-v2</t>
        </is>
      </c>
      <c r="U122" s="24" t="inlineStr">
        <is>
          <t>settled</t>
        </is>
      </c>
      <c r="V122" s="24" t="inlineStr">
        <is>
          <t>win</t>
        </is>
      </c>
      <c r="W122" s="26" t="n">
        <v>1</v>
      </c>
      <c r="X122" s="26" t="n">
        <v>3</v>
      </c>
      <c r="Y122" s="25" t="n"/>
      <c r="Z122" s="26" t="n"/>
      <c r="AA122" s="28" t="n"/>
      <c r="AB122" s="28" t="n"/>
      <c r="AC122" s="30" t="n">
        <v>0.7874</v>
      </c>
      <c r="AD122" s="24" t="inlineStr">
        <is>
          <t>2026-09-29T22:04:17.163534Z</t>
        </is>
      </c>
      <c r="AE122" s="31" t="inlineStr">
        <is>
          <t>Tie-aware Elo baseline; executable ask 0.5600 (market_slug=aec-npb-ygo-hci-2026-09-29). Tie probability=0.0238.</t>
        </is>
      </c>
      <c r="AF122" s="31" t="inlineStr">
        <is>
          <t>Config-promoted international baseball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Hiroshima Carp</t>
        </is>
      </c>
      <c r="AQ122" s="24" t="inlineStr">
        <is>
          <t>Hiroshima Carp</t>
        </is>
      </c>
      <c r="AR122" s="24" t="inlineStr">
        <is>
          <t>Hiroshima Carp</t>
        </is>
      </c>
      <c r="AS122" s="24" t="inlineStr">
        <is>
          <t>Yomiuri Giants</t>
        </is>
      </c>
      <c r="AT122" s="24" t="inlineStr">
        <is>
          <t>Yomiuri Giants</t>
        </is>
      </c>
      <c r="AU122" s="24" t="inlineStr">
        <is>
          <t>Yomiuri Giants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67ad234bfc20770752e03667fad31059df7bfc020453b66cd8378fad4258ad29</t>
        </is>
      </c>
      <c r="BB122" s="24" t="inlineStr">
        <is>
          <t>tie_aware_elo</t>
        </is>
      </c>
      <c r="BC122" s="24" t="inlineStr">
        <is>
          <t>npb-tie-aware-elo-v2</t>
        </is>
      </c>
      <c r="BD122" s="24" t="inlineStr">
        <is>
          <t>67ad234bfc20770752e03667fad31059df7bfc020453b66cd8378fad4258ad29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npb-tie-aware-elo-v2</t>
        </is>
      </c>
      <c r="BH122" s="24" t="inlineStr">
        <is>
          <t>2026-09-29T04:39:50.380829Z</t>
        </is>
      </c>
      <c r="BI122" s="24" t="inlineStr">
        <is>
          <t>["same_event","same_team_same_day","same_league_same_day"]</t>
        </is>
      </c>
      <c r="BJ122" s="25" t="n"/>
      <c r="BK122" s="26" t="n">
        <v>-127</v>
      </c>
      <c r="BL122" s="27" t="n">
        <v>1.787402</v>
      </c>
      <c r="BM122" s="28" t="n">
        <v>0.5594710000000001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0.559471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"67ad234bfc20770752e03667fad31059df7bfc020453b66cd8378fad4258ad29", "away_team": "Hiroshima Carp", "draw_settlement_value": 0.5, "event_id": "127968", "event_start_utc": "2026-09-29T09:00:00Z", "features": {"away_elo": 1453.576606, "base_tie_rate": 0.02379253, "home_advantage": 35.0, "home_elo": 1509.723423}, "historical_source_observation_times_verified": false, "home_team": "Yomiuri Giants", "inference_inputs": {"away_id": "C", "base_tie_rate": 0.02379253, "book_state": {"_games_played": null, "_last_active": null, "decay_rate": 0.0, "home_advantage": 35.0, "k": 8.0, "margin_weight": 0.0, "ratings": {"C": 1453.576606, "G": 1509.723423}},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"2026-09-29T04:39:41.557980+00:00", "outcome_probabilities": {"away": 0.3629127274143139, "draw": 0.02379253, "home": 0.6132947425856861}, "replay_scope": "Exact Elo and tie model; logged value is expected contract settlement, not outright win probability.", "schema": "international-elo-replay-v1", "settlement_values": {"away": 0.374809, "home": 0.625191}, "snapshot_hash": "e06e9371898ce9e9fd1c8223089584135b2bce1a56bf2b7142e8c90b82c8641b", "sport": "NPB"}</t>
        </is>
      </c>
    </row>
    <row r="123" ht="36" customHeight="1">
      <c r="A123" s="24" t="inlineStr">
        <is>
          <t>9077b6f50aa74304</t>
        </is>
      </c>
      <c r="B123" s="24" t="inlineStr">
        <is>
          <t>2026-09-30T04:39:26.296497Z</t>
        </is>
      </c>
      <c r="C123" s="24" t="inlineStr">
        <is>
          <t>2026-09-30T09:00:00Z</t>
        </is>
      </c>
      <c r="D123" s="24" t="inlineStr">
        <is>
          <t>129754</t>
        </is>
      </c>
      <c r="E123" s="24" t="inlineStr">
        <is>
          <t>NPB</t>
        </is>
      </c>
      <c r="F123" s="24" t="inlineStr">
        <is>
          <t>Tokyo Yakult Swallows</t>
        </is>
      </c>
      <c r="G123" s="24" t="inlineStr">
        <is>
          <t>Hanshin Tigers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-285</v>
      </c>
      <c r="M123" s="27" t="n">
        <v>1.350877</v>
      </c>
      <c r="N123" s="28" t="n">
        <v>0.74026</v>
      </c>
      <c r="O123" s="28" t="n">
        <v>0.685082</v>
      </c>
      <c r="P123" s="28" t="n"/>
      <c r="Q123" s="28" t="n">
        <v>-0.055178</v>
      </c>
      <c r="R123" s="26" t="n">
        <v>0</v>
      </c>
      <c r="S123" s="29" t="n">
        <v>1</v>
      </c>
      <c r="T123" s="24" t="inlineStr">
        <is>
          <t>npb-tie-aware-elo-v2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0</v>
      </c>
      <c r="X123" s="26" t="n">
        <v>5</v>
      </c>
      <c r="Y123" s="25" t="n"/>
      <c r="Z123" s="26" t="n"/>
      <c r="AA123" s="28" t="n"/>
      <c r="AB123" s="28" t="n"/>
      <c r="AC123" s="30" t="n">
        <v>0.3509</v>
      </c>
      <c r="AD123" s="24" t="inlineStr">
        <is>
          <t>2026-09-30T22:02:13.058001Z</t>
        </is>
      </c>
      <c r="AE123" s="31" t="inlineStr">
        <is>
          <t>Tie-aware Elo baseline; executable ask 0.7400 (market_slug=aec-npb-hta-tys-2026-09-30). Tie probability=0.0238.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Tokyo Yakult Swallows</t>
        </is>
      </c>
      <c r="AQ123" s="24" t="inlineStr">
        <is>
          <t>Tokyo Yakult Swallows</t>
        </is>
      </c>
      <c r="AR123" s="24" t="inlineStr">
        <is>
          <t>Tokyo Yakult Swallows</t>
        </is>
      </c>
      <c r="AS123" s="24" t="inlineStr">
        <is>
          <t>Hanshin Tigers</t>
        </is>
      </c>
      <c r="AT123" s="24" t="inlineStr">
        <is>
          <t>Hanshin Tigers</t>
        </is>
      </c>
      <c r="AU123" s="24" t="inlineStr">
        <is>
          <t>Hanshin Tigers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50b700ecdc749d3cb531e223e101c64c957f2e56eaf46652617e6fb12bfed3df</t>
        </is>
      </c>
      <c r="BB123" s="24" t="inlineStr">
        <is>
          <t>tie_aware_elo</t>
        </is>
      </c>
      <c r="BC123" s="24" t="inlineStr">
        <is>
          <t>npb-tie-aware-elo-v2</t>
        </is>
      </c>
      <c r="BD123" s="24" t="inlineStr">
        <is>
          <t>50b700ecdc749d3cb531e223e101c64c957f2e56eaf46652617e6fb12bfed3df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npb-tie-aware-elo-v2</t>
        </is>
      </c>
      <c r="BH123" s="24" t="inlineStr">
        <is>
          <t>2026-09-30T04:39:22.005186Z</t>
        </is>
      </c>
      <c r="BI123" s="24" t="inlineStr">
        <is>
          <t>["same_event","same_team_same_day","same_league_same_day"]</t>
        </is>
      </c>
      <c r="BJ123" s="25" t="n"/>
      <c r="BK123" s="26" t="n">
        <v>-285</v>
      </c>
      <c r="BL123" s="27" t="n">
        <v>1.350877</v>
      </c>
      <c r="BM123" s="28" t="n">
        <v>0.74026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0.74026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"50b700ecdc749d3cb531e223e101c64c957f2e56eaf46652617e6fb12bfed3df", "away_team": "Tokyo Yakult Swallows", "draw_settlement_value": 0.5, "event_id": "129754", "event_start_utc": "2026-09-30T09:00:00Z", "features": {"away_elo": 1422.060212, "base_tie_rate": 0.02377556, "home_advantage": 35.0, "home_elo": 1525.722384}, "historical_source_observation_times_verified": false, "home_team": "Hanshin Tigers", "inference_inputs": {"away_id": "S", "base_tie_rate": 0.02377556, "book_state": {"_games_played": null, "_last_active": null, "decay_rate": 0.0, "home_advantage": 35.0, "k": 8.0, "margin_weight": 0.0, "ratings": {"S": 1422.060212, "T": 1525.722384}},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"2026-09-30T04:39:21.923770+00:00", "outcome_probabilities": {"away": 0.303029742383916, "draw": 0.02377556, "home": 0.673194697616084}, "replay_scope": "Exact Elo and tie model; logged value is expected contract settlement, not outright win probability.", "schema": "international-elo-replay-v1", "settlement_values": {"away": 0.314918, "home": 0.685082}, "snapshot_hash": "30559d6ae38ac83afd752712967faecd1d236115b43ab9d2bc6fb2b00aa4634a", "sport": "NPB"}</t>
        </is>
      </c>
    </row>
    <row r="124" ht="36" customHeight="1">
      <c r="A124" s="24" t="inlineStr">
        <is>
          <t>68ca028fbfc84646</t>
        </is>
      </c>
      <c r="B124" s="24" t="inlineStr">
        <is>
          <t>2026-10-01T04:40:17.877153Z</t>
        </is>
      </c>
      <c r="C124" s="24" t="inlineStr">
        <is>
          <t>2026-10-01T09:00:00Z</t>
        </is>
      </c>
      <c r="D124" s="24" t="inlineStr">
        <is>
          <t>131364</t>
        </is>
      </c>
      <c r="E124" s="24" t="inlineStr">
        <is>
          <t>NPB</t>
        </is>
      </c>
      <c r="F124" s="24" t="inlineStr">
        <is>
          <t>Yomiuri Giants</t>
        </is>
      </c>
      <c r="G124" s="24" t="inlineStr">
        <is>
          <t>Hanshin Tigers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-170</v>
      </c>
      <c r="M124" s="27" t="n">
        <v>1.588235</v>
      </c>
      <c r="N124" s="28" t="n">
        <v>0.62963</v>
      </c>
      <c r="O124" s="28" t="n">
        <v>0.570464</v>
      </c>
      <c r="P124" s="28" t="n"/>
      <c r="Q124" s="28" t="n">
        <v>-0.059166</v>
      </c>
      <c r="R124" s="26" t="n">
        <v>0</v>
      </c>
      <c r="S124" s="29" t="n">
        <v>1</v>
      </c>
      <c r="T124" s="24" t="inlineStr">
        <is>
          <t>npb-tie-aware-elo-v2</t>
        </is>
      </c>
      <c r="U124" s="24" t="inlineStr">
        <is>
          <t>settled</t>
        </is>
      </c>
      <c r="V124" s="24" t="inlineStr">
        <is>
          <t>push</t>
        </is>
      </c>
      <c r="W124" s="26" t="n">
        <v>2</v>
      </c>
      <c r="X124" s="26" t="n">
        <v>2</v>
      </c>
      <c r="Y124" s="25" t="n"/>
      <c r="Z124" s="26" t="n">
        <v>-170</v>
      </c>
      <c r="AA124" s="28" t="n">
        <v>0.63</v>
      </c>
      <c r="AB124" s="28" t="n">
        <v>0.00037</v>
      </c>
      <c r="AC124" s="30" t="n">
        <v>-0.2059</v>
      </c>
      <c r="AD124" s="24" t="inlineStr">
        <is>
          <t>2026-10-06T23:04:35.354307Z</t>
        </is>
      </c>
      <c r="AE124" s="31" t="inlineStr">
        <is>
          <t>Tie-aware Elo baseline; executable ask 0.6300 (market_slug=aec-npb-hta-ygo-2026-10-01). Tie probability=0.0238.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Yomiuri Giants</t>
        </is>
      </c>
      <c r="AQ124" s="24" t="inlineStr">
        <is>
          <t>Yomiuri Giants</t>
        </is>
      </c>
      <c r="AR124" s="24" t="inlineStr">
        <is>
          <t>Yomiuri Giants</t>
        </is>
      </c>
      <c r="AS124" s="24" t="inlineStr">
        <is>
          <t>Hanshin Tigers</t>
        </is>
      </c>
      <c r="AT124" s="24" t="inlineStr">
        <is>
          <t>Hanshin Tigers</t>
        </is>
      </c>
      <c r="AU124" s="24" t="inlineStr">
        <is>
          <t>Hanshin Tigers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cd3f105a82830e984a49320186213d5b4cebffa917f7f57418ef4f0ba5d83b92</t>
        </is>
      </c>
      <c r="BB124" s="24" t="inlineStr">
        <is>
          <t>tie_aware_elo</t>
        </is>
      </c>
      <c r="BC124" s="24" t="inlineStr">
        <is>
          <t>npb-tie-aware-elo-v2</t>
        </is>
      </c>
      <c r="BD124" s="24" t="inlineStr">
        <is>
          <t>cd3f105a82830e984a49320186213d5b4cebffa917f7f57418ef4f0ba5d83b92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npb-tie-aware-elo-v2</t>
        </is>
      </c>
      <c r="BH124" s="24" t="inlineStr">
        <is>
          <t>2026-10-01T04:40:09.475339Z</t>
        </is>
      </c>
      <c r="BI124" s="24" t="inlineStr">
        <is>
          <t>["same_event","same_team_same_day","same_league_same_day"]</t>
        </is>
      </c>
      <c r="BJ124" s="25" t="n"/>
      <c r="BK124" s="26" t="n">
        <v>-170</v>
      </c>
      <c r="BL124" s="27" t="n">
        <v>1.588235</v>
      </c>
      <c r="BM124" s="28" t="n">
        <v>0.62963</v>
      </c>
      <c r="BN124" s="28" t="n"/>
      <c r="BO124" s="28" t="n"/>
      <c r="BP124" s="25" t="n"/>
      <c r="BQ124" s="27" t="n">
        <v>1.588235</v>
      </c>
      <c r="BR124" s="28" t="n">
        <v>0.63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0.62963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"cd3f105a82830e984a49320186213d5b4cebffa917f7f57418ef4f0ba5d83b92", "away_team": "Yomiuri Giants", "draw_settlement_value": 0.5, "event_id": "131364", "event_start_utc": "2026-10-01T09:00:00Z", "features": {"away_elo": 1512.697485, "base_tie_rate": 0.02376426, "home_advantage": 35.0, "home_elo": 1528.205664}, "historical_source_observation_times_verified": false, "home_team": "Hanshin Tigers", "inference_inputs": {"away_id": "G", "base_tie_rate": 0.02376426, "book_state": {"_games_played": null, "_last_active": null, "decay_rate": 0.0, "home_advantage": 35.0, "k": 8.0, "margin_weight": 0.0, "ratings": {"G": 1512.697485,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"2026-10-01T04:40:09.325832+00:00", "outcome_probabilities": {"away": 0.4176538029570908, "draw": 0.02376426, "home": 0.5585819370429091}, "replay_scope": "Exact Elo and tie model; logged value is expected contract settlement, not outright win probability.", "schema": "international-elo-replay-v1", "settlement_values": {"away": 0.429536, "home": 0.570464}, "snapshot_hash": "94204aad9d97e084c2e06845c33283dcd9e1c6b28ec604c263514c3551c47729", "sport": "NPB"}</t>
        </is>
      </c>
    </row>
    <row r="125" ht="36" customHeight="1">
      <c r="A125" s="24" t="inlineStr">
        <is>
          <t>4f8fe3e1d8ab42df</t>
        </is>
      </c>
      <c r="B125" s="24" t="inlineStr">
        <is>
          <t>2026-10-01T04:40:17.877153Z</t>
        </is>
      </c>
      <c r="C125" s="24" t="inlineStr">
        <is>
          <t>2026-10-01T09:00:00Z</t>
        </is>
      </c>
      <c r="D125" s="24" t="inlineStr">
        <is>
          <t>131365</t>
        </is>
      </c>
      <c r="E125" s="24" t="inlineStr">
        <is>
          <t>NPB</t>
        </is>
      </c>
      <c r="F125" s="24" t="inlineStr">
        <is>
          <t>Chunichi Dragons</t>
        </is>
      </c>
      <c r="G125" s="24" t="inlineStr">
        <is>
          <t>Hiroshima Carp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0.550836</v>
      </c>
      <c r="P125" s="28" t="n"/>
      <c r="Q125" s="28" t="n">
        <v>0.050836</v>
      </c>
      <c r="R125" s="26" t="n">
        <v>45</v>
      </c>
      <c r="S125" s="29" t="n">
        <v>1</v>
      </c>
      <c r="T125" s="24" t="inlineStr">
        <is>
          <t>npb-tie-aware-elo-v2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1</v>
      </c>
      <c r="X125" s="26" t="n">
        <v>5</v>
      </c>
      <c r="Y125" s="25" t="n"/>
      <c r="Z125" s="26" t="n">
        <v>100</v>
      </c>
      <c r="AA125" s="28" t="n">
        <v>0.5</v>
      </c>
      <c r="AB125" s="28" t="n">
        <v>0</v>
      </c>
      <c r="AC125" s="30" t="n">
        <v>1</v>
      </c>
      <c r="AD125" s="24" t="inlineStr">
        <is>
          <t>2026-10-06T23:04:36.350826Z</t>
        </is>
      </c>
      <c r="AE125" s="31" t="inlineStr">
        <is>
          <t>Tie-aware Elo baseline; executable ask 0.5000 (market_slug=aec-npb-hci-cdh-2026-10-01). Tie probability=0.0238.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Chunichi Dragons</t>
        </is>
      </c>
      <c r="AQ125" s="24" t="inlineStr">
        <is>
          <t>Chunichi Dragons</t>
        </is>
      </c>
      <c r="AR125" s="24" t="inlineStr">
        <is>
          <t>Chunichi Dragons</t>
        </is>
      </c>
      <c r="AS125" s="24" t="inlineStr">
        <is>
          <t>Hiroshima Carp</t>
        </is>
      </c>
      <c r="AT125" s="24" t="inlineStr">
        <is>
          <t>Hiroshima Carp</t>
        </is>
      </c>
      <c r="AU125" s="24" t="inlineStr">
        <is>
          <t>Hiroshima Carp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cd3f105a82830e984a49320186213d5b4cebffa917f7f57418ef4f0ba5d83b92</t>
        </is>
      </c>
      <c r="BB125" s="24" t="inlineStr">
        <is>
          <t>tie_aware_elo</t>
        </is>
      </c>
      <c r="BC125" s="24" t="inlineStr">
        <is>
          <t>npb-tie-aware-elo-v2</t>
        </is>
      </c>
      <c r="BD125" s="24" t="inlineStr">
        <is>
          <t>cd3f105a82830e984a49320186213d5b4cebffa917f7f57418ef4f0ba5d83b92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npb-tie-aware-elo-v2</t>
        </is>
      </c>
      <c r="BH125" s="24" t="inlineStr">
        <is>
          <t>2026-10-01T04:40:09.536299Z</t>
        </is>
      </c>
      <c r="BI125" s="24" t="inlineStr">
        <is>
          <t>["same_event","same_team_same_day","same_league_same_day"]</t>
        </is>
      </c>
      <c r="BJ125" s="25" t="n"/>
      <c r="BK125" s="26" t="n">
        <v>100</v>
      </c>
      <c r="BL125" s="27" t="n">
        <v>2</v>
      </c>
      <c r="BM125" s="28" t="n">
        <v>0.5</v>
      </c>
      <c r="BN125" s="28" t="n"/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"cd3f105a82830e984a49320186213d5b4cebffa917f7f57418ef4f0ba5d83b92", "away_team": "Chunichi Dragons", "draw_settlement_value": 0.5, "event_id": "131365", "event_start_utc": "2026-10-01T09:00:00Z", "features": {"away_elo": 1449.286549, "base_tie_rate": 0.02376426, "home_advantage": 35.0, "home_elo": 1450.602544}, "historical_source_observation_times_verified": false, "home_team": "Hiroshima Carp", "inference_inputs": {"away_id": "D", "base_tie_rate": 0.02376426, "book_state": {"_games_played": null, "_last_active": null, "decay_rate": 0.0, "home_advantage": 35.0, "k": 8.0, "margin_weight": 0.0, "ratings": {"C": 1450.602544, "D": 1449.286549}},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"2026-10-01T04:40:09.325832+00:00", "outcome_probabilities": {"away": 0.4372819454202782, "draw": 0.02376426, "home": 0.5389537945797218}, "replay_scope": "Exact Elo and tie model; logged value is expected contract settlement, not outright win probability.", "schema": "international-elo-replay-v1", "settlement_values": {"away": 0.449164, "home": 0.550836}, "snapshot_hash": "ad44f595c87f1ffb87057dedfcf89f45fc2143fcf398518fc481cbf652f9a846", "sport": "NPB"}</t>
        </is>
      </c>
    </row>
    <row r="126" ht="36" customHeight="1">
      <c r="A126" s="24" t="inlineStr">
        <is>
          <t>c4b02888a47a4aac</t>
        </is>
      </c>
      <c r="B126" s="24" t="inlineStr">
        <is>
          <t>2026-10-02T04:39:58.799959Z</t>
        </is>
      </c>
      <c r="C126" s="24" t="inlineStr">
        <is>
          <t>2026-10-02T09:00:00Z</t>
        </is>
      </c>
      <c r="D126" s="24" t="inlineStr">
        <is>
          <t>132984</t>
        </is>
      </c>
      <c r="E126" s="24" t="inlineStr">
        <is>
          <t>NPB</t>
        </is>
      </c>
      <c r="F126" s="24" t="inlineStr">
        <is>
          <t>Fukuoka SoftBank Hawks</t>
        </is>
      </c>
      <c r="G126" s="24" t="inlineStr">
        <is>
          <t>Chiba Lotte Marines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-203</v>
      </c>
      <c r="M126" s="27" t="n">
        <v>1.492611</v>
      </c>
      <c r="N126" s="28" t="n">
        <v>0.669967</v>
      </c>
      <c r="O126" s="28" t="n">
        <v>0.653685</v>
      </c>
      <c r="P126" s="28" t="n"/>
      <c r="Q126" s="28" t="n">
        <v>-0.016282</v>
      </c>
      <c r="R126" s="26" t="n">
        <v>12</v>
      </c>
      <c r="S126" s="29" t="n">
        <v>1</v>
      </c>
      <c r="T126" s="24" t="inlineStr">
        <is>
          <t>npb-tie-aware-elo-v2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4</v>
      </c>
      <c r="X126" s="26" t="n">
        <v>3</v>
      </c>
      <c r="Y126" s="25" t="n"/>
      <c r="Z126" s="26" t="n"/>
      <c r="AA126" s="28" t="n"/>
      <c r="AB126" s="28" t="n"/>
      <c r="AC126" s="30" t="n">
        <v>0.4926</v>
      </c>
      <c r="AD126" s="24" t="inlineStr">
        <is>
          <t>2026-10-06T23:04:37.358984Z</t>
        </is>
      </c>
      <c r="AE126" s="31" t="inlineStr">
        <is>
          <t>Tie-aware Elo baseline; executable ask 0.6700 (market_slug=aec-npb-clm-fsh-2026-10-02). Tie probability=0.0238.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Fukuoka SoftBank Hawks</t>
        </is>
      </c>
      <c r="AQ126" s="24" t="inlineStr">
        <is>
          <t>Fukuoka SoftBank Hawks</t>
        </is>
      </c>
      <c r="AR126" s="24" t="inlineStr">
        <is>
          <t>Fukuoka SoftBank Hawks</t>
        </is>
      </c>
      <c r="AS126" s="24" t="inlineStr">
        <is>
          <t>Chiba Lotte Marines</t>
        </is>
      </c>
      <c r="AT126" s="24" t="inlineStr">
        <is>
          <t>Chiba Lotte Marines</t>
        </is>
      </c>
      <c r="AU126" s="24" t="inlineStr">
        <is>
          <t>Chiba Lotte Marines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fa9f47ded60166530cb9eb00074168c4fee68366c998034d7ab94eec1eadb6cc</t>
        </is>
      </c>
      <c r="BB126" s="24" t="inlineStr">
        <is>
          <t>tie_aware_elo</t>
        </is>
      </c>
      <c r="BC126" s="24" t="inlineStr">
        <is>
          <t>npb-tie-aware-elo-v2</t>
        </is>
      </c>
      <c r="BD126" s="24" t="inlineStr">
        <is>
          <t>fa9f47ded60166530cb9eb00074168c4fee68366c998034d7ab94eec1eadb6cc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npb-tie-aware-elo-v2</t>
        </is>
      </c>
      <c r="BH126" s="24" t="inlineStr">
        <is>
          <t>2026-10-02T04:39:58.731058Z</t>
        </is>
      </c>
      <c r="BI126" s="24" t="inlineStr">
        <is>
          <t>["same_event","same_team_same_day","same_league_same_day"]</t>
        </is>
      </c>
      <c r="BJ126" s="25" t="n"/>
      <c r="BK126" s="26" t="n">
        <v>-203</v>
      </c>
      <c r="BL126" s="27" t="n">
        <v>1.492611</v>
      </c>
      <c r="BM126" s="28" t="n">
        <v>0.669967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0.669967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"fa9f47ded60166530cb9eb00074168c4fee68366c998034d7ab94eec1eadb6cc", "away_team": "Fukuoka SoftBank Hawks", "draw_settlement_value": 0.5, "event_id": "132984", "event_start_utc": "2026-10-02T09:00:00Z", "features": {"away_elo": 1624.448306, "base_tie_rate": 0.02376426, "home_advantage": 35.0, "home_elo": 1476.21142}, "historical_source_observation_times_verified": false, "home_team": "Chiba Lotte Marines", "inference_inputs": {"away_id": "H", "base_tie_rate": 0.02376426, "book_state": {"_games_played": null, "_last_active": null, "decay_rate": 0.0, "home_advantage": 35.0, "k": 8.0, "margin_weight": 0.0, "ratings": {"H": 1624.448306,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"2026-10-02T04:39:58.521486+00:00", "outcome_probabilities": {"away": 0.6418026249764083, "draw": 0.02376426, "home": 0.3344331150235917}, "replay_scope": "Exact Elo and tie model; logged value is expected contract settlement, not outright win probability.", "schema": "international-elo-replay-v1", "settlement_values": {"away": 0.653685, "home": 0.346315}, "snapshot_hash": "088fc26ffbf79bfd0fa65e1b2fd14ee8fd0bac343a0a0c39ddfc134333c2e577", "sport": "NPB"}</t>
        </is>
      </c>
    </row>
    <row r="127" ht="36" customHeight="1">
      <c r="A127" s="24" t="inlineStr">
        <is>
          <t>3e33b050516947e2</t>
        </is>
      </c>
      <c r="B127" s="24" t="inlineStr">
        <is>
          <t>2026-10-02T04:39:58.799959Z</t>
        </is>
      </c>
      <c r="C127" s="24" t="inlineStr">
        <is>
          <t>2026-10-02T09:00:00Z</t>
        </is>
      </c>
      <c r="D127" s="24" t="inlineStr">
        <is>
          <t>132987</t>
        </is>
      </c>
      <c r="E127" s="24" t="inlineStr">
        <is>
          <t>NPB</t>
        </is>
      </c>
      <c r="F127" s="24" t="inlineStr">
        <is>
          <t>Yomiuri Giants</t>
        </is>
      </c>
      <c r="G127" s="24" t="inlineStr">
        <is>
          <t>Tokyo Yakult Swallows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-127</v>
      </c>
      <c r="M127" s="27" t="n">
        <v>1.787402</v>
      </c>
      <c r="N127" s="28" t="n">
        <v>0.5594710000000001</v>
      </c>
      <c r="O127" s="28" t="n">
        <v>0.580901</v>
      </c>
      <c r="P127" s="28" t="n"/>
      <c r="Q127" s="28" t="n">
        <v>0.02143</v>
      </c>
      <c r="R127" s="26" t="n">
        <v>31</v>
      </c>
      <c r="S127" s="29" t="n">
        <v>1</v>
      </c>
      <c r="T127" s="24" t="inlineStr">
        <is>
          <t>npb-tie-aware-elo-v2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1</v>
      </c>
      <c r="X127" s="26" t="n">
        <v>5</v>
      </c>
      <c r="Y127" s="25" t="n"/>
      <c r="Z127" s="26" t="n"/>
      <c r="AA127" s="28" t="n"/>
      <c r="AB127" s="28" t="n"/>
      <c r="AC127" s="30" t="n">
        <v>-1</v>
      </c>
      <c r="AD127" s="24" t="inlineStr">
        <is>
          <t>2026-10-06T23:04:38.326618Z</t>
        </is>
      </c>
      <c r="AE127" s="31" t="inlineStr">
        <is>
          <t>Tie-aware Elo baseline; executable ask 0.5600 (market_slug=aec-npb-tys-ygo-2026-10-02). Tie probability=0.0238.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Yomiuri Giants</t>
        </is>
      </c>
      <c r="AQ127" s="24" t="inlineStr">
        <is>
          <t>Yomiuri Giants</t>
        </is>
      </c>
      <c r="AR127" s="24" t="inlineStr">
        <is>
          <t>Yomiuri Giants</t>
        </is>
      </c>
      <c r="AS127" s="24" t="inlineStr">
        <is>
          <t>Tokyo Yakult Swallows</t>
        </is>
      </c>
      <c r="AT127" s="24" t="inlineStr">
        <is>
          <t>Tokyo Yakult Swallows</t>
        </is>
      </c>
      <c r="AU127" s="24" t="inlineStr">
        <is>
          <t>Tokyo Yakult Swallows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fa9f47ded60166530cb9eb00074168c4fee68366c998034d7ab94eec1eadb6cc</t>
        </is>
      </c>
      <c r="BB127" s="24" t="inlineStr">
        <is>
          <t>tie_aware_elo</t>
        </is>
      </c>
      <c r="BC127" s="24" t="inlineStr">
        <is>
          <t>npb-tie-aware-elo-v2</t>
        </is>
      </c>
      <c r="BD127" s="24" t="inlineStr">
        <is>
          <t>fa9f47ded60166530cb9eb00074168c4fee68366c998034d7ab94eec1eadb6cc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npb-tie-aware-elo-v2</t>
        </is>
      </c>
      <c r="BH127" s="24" t="inlineStr">
        <is>
          <t>2026-10-02T04:39:58.799924Z</t>
        </is>
      </c>
      <c r="BI127" s="24" t="inlineStr">
        <is>
          <t>["same_event","same_team_same_day","same_league_same_day"]</t>
        </is>
      </c>
      <c r="BJ127" s="25" t="n"/>
      <c r="BK127" s="26" t="n">
        <v>-127</v>
      </c>
      <c r="BL127" s="27" t="n">
        <v>1.787402</v>
      </c>
      <c r="BM127" s="28" t="n">
        <v>0.5594710000000001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0.559471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"fa9f47ded60166530cb9eb00074168c4fee68366c998034d7ab94eec1eadb6cc", "away_team": "Yomiuri Giants", "draw_settlement_value": 0.5, "event_id": "132987", "event_start_utc": "2026-10-02T09:00:00Z", "features": {"away_elo": 1512.697485, "base_tie_rate": 0.02376426, "home_advantage": 35.0, "home_elo": 1419.576933}, "historical_source_observation_times_verified": false, "home_team": "Tokyo Yakult Swallows", "inference_inputs": {"away_id": "G", "base_tie_rate": 0.02376426, "book_state": {"_games_played": null, "_last_active": null, "decay_rate": 0.0, "home_advantage": 35.0, "k": 8.0, "margin_weight": 0.0, "ratings": {"G": 1512.697485,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"2026-10-02T04:39:58.521486+00:00", "outcome_probabilities": {"away": 0.569019128291579, "draw": 0.02376426, "home": 0.4072166117084211}, "replay_scope": "Exact Elo and tie model; logged value is expected contract settlement, not outright win probability.", "schema": "international-elo-replay-v1", "settlement_values": {"away": 0.580901, "home": 0.419099}, "snapshot_hash": "b00923104d3cea5e28b1673a33037ad1e8c70975061cdf3f713acd2bbfdf9e94", "sport": "NPB"}</t>
        </is>
      </c>
    </row>
    <row r="128" ht="36" customHeight="1">
      <c r="A128" s="24" t="inlineStr">
        <is>
          <t>be9865764d9f4215</t>
        </is>
      </c>
      <c r="B128" s="24" t="inlineStr">
        <is>
          <t>2026-10-02T22:06:54.478070Z</t>
        </is>
      </c>
      <c r="C128" s="24" t="inlineStr">
        <is>
          <t>2026-10-03T05:00:00Z</t>
        </is>
      </c>
      <c r="D128" s="24" t="inlineStr">
        <is>
          <t>134380</t>
        </is>
      </c>
      <c r="E128" s="24" t="inlineStr">
        <is>
          <t>NPB</t>
        </is>
      </c>
      <c r="F128" s="24" t="inlineStr">
        <is>
          <t>Hanshin Tigers</t>
        </is>
      </c>
      <c r="G128" s="24" t="inlineStr">
        <is>
          <t>Hiroshima Carp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-178</v>
      </c>
      <c r="M128" s="27" t="n">
        <v>1.561798</v>
      </c>
      <c r="N128" s="28" t="n">
        <v>0.640288</v>
      </c>
      <c r="O128" s="28" t="n">
        <v>0.5595560000000001</v>
      </c>
      <c r="P128" s="28" t="n"/>
      <c r="Q128" s="28" t="n">
        <v>-0.080732</v>
      </c>
      <c r="R128" s="26" t="n">
        <v>0</v>
      </c>
      <c r="S128" s="29" t="n">
        <v>1</v>
      </c>
      <c r="T128" s="24" t="inlineStr">
        <is>
          <t>npb-tie-aware-elo-v2</t>
        </is>
      </c>
      <c r="U128" s="24" t="inlineStr">
        <is>
          <t>settled</t>
        </is>
      </c>
      <c r="V128" s="24" t="inlineStr">
        <is>
          <t>loss</t>
        </is>
      </c>
      <c r="W128" s="26" t="n">
        <v>4</v>
      </c>
      <c r="X128" s="26" t="n">
        <v>6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2026-10-06T23:04:39.267846Z</t>
        </is>
      </c>
      <c r="AE128" s="31" t="inlineStr">
        <is>
          <t>Tie-aware Elo baseline; executable ask 0.6400 (market_slug=aec-npb-hci-hta-2026-10-03). Tie probability=0.0238.</t>
        </is>
      </c>
      <c r="AF128" s="31" t="inlineStr">
        <is>
          <t>Config-promoted international baseball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Hanshin Tigers</t>
        </is>
      </c>
      <c r="AQ128" s="24" t="inlineStr">
        <is>
          <t>Hanshin Tigers</t>
        </is>
      </c>
      <c r="AR128" s="24" t="inlineStr">
        <is>
          <t>Hanshin Tigers</t>
        </is>
      </c>
      <c r="AS128" s="24" t="inlineStr">
        <is>
          <t>Hiroshima Carp</t>
        </is>
      </c>
      <c r="AT128" s="24" t="inlineStr">
        <is>
          <t>Hiroshima Carp</t>
        </is>
      </c>
      <c r="AU128" s="24" t="inlineStr">
        <is>
          <t>Hiroshima Carp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b86f5e6eb1ef9abc6d72a51950c4888be5aab37f963aeefbef469275c21707db</t>
        </is>
      </c>
      <c r="BB128" s="24" t="inlineStr">
        <is>
          <t>tie_aware_elo</t>
        </is>
      </c>
      <c r="BC128" s="24" t="inlineStr">
        <is>
          <t>npb-tie-aware-elo-v2</t>
        </is>
      </c>
      <c r="BD128" s="24" t="inlineStr">
        <is>
          <t>b86f5e6eb1ef9abc6d72a51950c4888be5aab37f963aeefbef469275c21707db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npb-tie-aware-elo-v2</t>
        </is>
      </c>
      <c r="BH128" s="24" t="inlineStr">
        <is>
          <t>2026-10-02T22:06:42.296109Z</t>
        </is>
      </c>
      <c r="BI128" s="24" t="inlineStr">
        <is>
          <t>["same_event","same_team_same_day","same_league_same_day"]</t>
        </is>
      </c>
      <c r="BJ128" s="25" t="n"/>
      <c r="BK128" s="26" t="n">
        <v>-178</v>
      </c>
      <c r="BL128" s="27" t="n">
        <v>1.561798</v>
      </c>
      <c r="BM128" s="28" t="n">
        <v>0.640288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0.640288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"b86f5e6eb1ef9abc6d72a51950c4888be5aab37f963aeefbef469275c21707db", "away_team": "Hanshin Tigers", "draw_settlement_value": 0.5, "event_id": "134380", "event_start_utc": "2026-10-03T05:00:00Z", "features": {"away_elo": 1528.205664, "base_tie_rate": 0.02376426, "home_advantage": 35.0, "home_elo": 1450.602544}, "historical_source_observation_times_verified": false, "home_team": "Hiroshima Carp", "inference_inputs": {"away_id": "T",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"2026-10-02T22:06:42.214377+00:00", "outcome_probabilities": {"away": 0.54767348664807, "draw": 0.02376426, "home": 0.42856225335193004}, "replay_scope": "Exact Elo and tie model; logged value is expected contract settlement, not outright win probability.", "schema": "international-elo-replay-v1", "settlement_values": {"away": 0.559556, "home": 0.440444}, "snapshot_hash": "3caec9dba88c58b972e28b6353a1e43ad9b1cb5b9635eb62def23b5354902a0a", "sport": "NPB"}</t>
        </is>
      </c>
    </row>
    <row r="129" ht="36" customHeight="1">
      <c r="A129" s="24" t="inlineStr">
        <is>
          <t>010dcc8828b44bc3</t>
        </is>
      </c>
      <c r="B129" s="24" t="inlineStr">
        <is>
          <t>2026-10-03T05:26:16.623117Z</t>
        </is>
      </c>
      <c r="C129" s="24" t="inlineStr">
        <is>
          <t>2026-10-03T09:00:00Z</t>
        </is>
      </c>
      <c r="D129" s="24" t="inlineStr">
        <is>
          <t>134604</t>
        </is>
      </c>
      <c r="E129" s="24" t="inlineStr">
        <is>
          <t>NPB</t>
        </is>
      </c>
      <c r="F129" s="24" t="inlineStr">
        <is>
          <t>Orix Buffaloes</t>
        </is>
      </c>
      <c r="G129" s="24" t="inlineStr">
        <is>
          <t>Tohoku Rakuten Golden Eagles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-108</v>
      </c>
      <c r="M129" s="27" t="n">
        <v>1.925926</v>
      </c>
      <c r="N129" s="28" t="n">
        <v>0.519231</v>
      </c>
      <c r="O129" s="28" t="n">
        <v>0.536749</v>
      </c>
      <c r="P129" s="28" t="n"/>
      <c r="Q129" s="28" t="n">
        <v>0.017518</v>
      </c>
      <c r="R129" s="26" t="n">
        <v>29</v>
      </c>
      <c r="S129" s="29" t="n">
        <v>1</v>
      </c>
      <c r="T129" s="24" t="inlineStr">
        <is>
          <t>npb-tie-aware-elo-v2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6</v>
      </c>
      <c r="Y129" s="25" t="n"/>
      <c r="Z129" s="26" t="n"/>
      <c r="AA129" s="28" t="n"/>
      <c r="AB129" s="28" t="n"/>
      <c r="AC129" s="30" t="n">
        <v>0.9258999999999999</v>
      </c>
      <c r="AD129" s="24" t="inlineStr">
        <is>
          <t>2026-10-06T23:04:40.227662Z</t>
        </is>
      </c>
      <c r="AE129" s="31" t="inlineStr">
        <is>
          <t>Tie-aware Elo baseline; executable ask 0.5200 (market_slug=aec-npb-trge-obr-2026-10-03). Tie probability=0.0238.</t>
        </is>
      </c>
      <c r="AF129" s="31" t="inlineStr">
        <is>
          <t>Config-promoted international baseball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Orix Buffaloes</t>
        </is>
      </c>
      <c r="AQ129" s="24" t="inlineStr">
        <is>
          <t>Orix Buffaloes</t>
        </is>
      </c>
      <c r="AR129" s="24" t="inlineStr">
        <is>
          <t>Orix Buffaloes</t>
        </is>
      </c>
      <c r="AS129" s="24" t="inlineStr">
        <is>
          <t>Tohoku Rakuten Golden Eagles</t>
        </is>
      </c>
      <c r="AT129" s="24" t="inlineStr">
        <is>
          <t>Tohoku Rakuten Golden Eagles</t>
        </is>
      </c>
      <c r="AU129" s="24" t="inlineStr">
        <is>
          <t>Tohoku Rakuten Golden Eagles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89df1e7f4bf49fdbe6304b09f5bf61e53747cf70ccdaced419557594b6aa3252</t>
        </is>
      </c>
      <c r="BB129" s="24" t="inlineStr">
        <is>
          <t>tie_aware_elo</t>
        </is>
      </c>
      <c r="BC129" s="24" t="inlineStr">
        <is>
          <t>npb-tie-aware-elo-v2</t>
        </is>
      </c>
      <c r="BD129" s="24" t="inlineStr">
        <is>
          <t>89df1e7f4bf49fdbe6304b09f5bf61e53747cf70ccdaced419557594b6aa3252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npb-tie-aware-elo-v2</t>
        </is>
      </c>
      <c r="BH129" s="24" t="inlineStr">
        <is>
          <t>2026-10-03T05:26:08.157984Z</t>
        </is>
      </c>
      <c r="BI129" s="24" t="inlineStr">
        <is>
          <t>["same_event","same_team_same_day","same_league_same_day"]</t>
        </is>
      </c>
      <c r="BJ129" s="25" t="n"/>
      <c r="BK129" s="26" t="n">
        <v>-108</v>
      </c>
      <c r="BL129" s="27" t="n">
        <v>1.925926</v>
      </c>
      <c r="BM129" s="28" t="n">
        <v>0.519231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0.519231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"89df1e7f4bf49fdbe6304b09f5bf61e53747cf70ccdaced419557594b6aa3252", "away_team": "Orix Buffaloes", "draw_settlement_value": 0.5, "event_id": "134604", "event_start_utc": "2026-10-03T09:00:00Z", "features": {"away_elo": 1479.683277, "base_tie_rate": 0.02376426, "home_advantage": 35.0, "home_elo": 1470.890039}, "historical_source_observation_times_verified": false, "home_team": "Tohoku Rakuten Golden Eagles", "inference_inputs": {"away_id": "B", "base_tie_rate": 0.02376426, "book_state": {"_games_played": null, "_last_active": null, "decay_rate": 0.0, "home_advantage": 35.0, "k": 8.0, "margin_weight": 0.0, "ratings": {"B": 1479.683277, "E": 1470.890039}},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"2026-10-03T05:26:08.071848+00:00", "outcome_probabilities": {"away": 0.4513692344769387, "draw": 0.02376426, "home": 0.5248665055230612}, "replay_scope": "Exact Elo and tie model; logged value is expected contract settlement, not outright win probability.", "schema": "international-elo-replay-v1", "settlement_values": {"away": 0.463251, "home": 0.536749}, "snapshot_hash": "2c13fad4c68dc8cf44b1fce4d6c5201028e405f6987727e207acd6033293e71f", "sport": "NPB"}</t>
        </is>
      </c>
    </row>
    <row r="130" ht="36" customHeight="1">
      <c r="A130" s="24" t="inlineStr">
        <is>
          <t>985089ba0dd84fbf</t>
        </is>
      </c>
      <c r="B130" s="24" t="inlineStr">
        <is>
          <t>2026-10-03T05:26:16.623117Z</t>
        </is>
      </c>
      <c r="C130" s="24" t="inlineStr">
        <is>
          <t>2026-10-03T09:00:00Z</t>
        </is>
      </c>
      <c r="D130" s="24" t="inlineStr">
        <is>
          <t>134605</t>
        </is>
      </c>
      <c r="E130" s="24" t="inlineStr">
        <is>
          <t>NPB</t>
        </is>
      </c>
      <c r="F130" s="24" t="inlineStr">
        <is>
          <t>Chunichi Dragons</t>
        </is>
      </c>
      <c r="G130" s="24" t="inlineStr">
        <is>
          <t>Tokyo Yakult Swallows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117</v>
      </c>
      <c r="M130" s="27" t="n">
        <v>2.17</v>
      </c>
      <c r="N130" s="28" t="n">
        <v>0.460829</v>
      </c>
      <c r="O130" s="28" t="n">
        <v>0.507432</v>
      </c>
      <c r="P130" s="28" t="n"/>
      <c r="Q130" s="28" t="n">
        <v>0.046603</v>
      </c>
      <c r="R130" s="26" t="n">
        <v>43</v>
      </c>
      <c r="S130" s="29" t="n">
        <v>1</v>
      </c>
      <c r="T130" s="24" t="inlineStr">
        <is>
          <t>npb-tie-aware-elo-v2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/>
      <c r="Z130" s="26" t="n"/>
      <c r="AA130" s="28" t="n"/>
      <c r="AB130" s="28" t="n"/>
      <c r="AC130" s="30" t="n">
        <v>-1</v>
      </c>
      <c r="AD130" s="24" t="inlineStr">
        <is>
          <t>2026-10-06T23:04:41.290300Z</t>
        </is>
      </c>
      <c r="AE130" s="31" t="inlineStr">
        <is>
          <t>Tie-aware Elo baseline; executable ask 0.4600 (market_slug=aec-npb-tys-cdh-2026-10-03). Tie probability=0.0238.</t>
        </is>
      </c>
      <c r="AF130" s="31" t="inlineStr">
        <is>
          <t>Config-promoted international baseball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Chunichi Dragons</t>
        </is>
      </c>
      <c r="AQ130" s="24" t="inlineStr">
        <is>
          <t>Chunichi Dragons</t>
        </is>
      </c>
      <c r="AR130" s="24" t="inlineStr">
        <is>
          <t>Chunichi Dragons</t>
        </is>
      </c>
      <c r="AS130" s="24" t="inlineStr">
        <is>
          <t>Tokyo Yakult Swallows</t>
        </is>
      </c>
      <c r="AT130" s="24" t="inlineStr">
        <is>
          <t>Tokyo Yakult Swallows</t>
        </is>
      </c>
      <c r="AU130" s="24" t="inlineStr">
        <is>
          <t>Tokyo Yakult Swallows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89df1e7f4bf49fdbe6304b09f5bf61e53747cf70ccdaced419557594b6aa3252</t>
        </is>
      </c>
      <c r="BB130" s="24" t="inlineStr">
        <is>
          <t>tie_aware_elo</t>
        </is>
      </c>
      <c r="BC130" s="24" t="inlineStr">
        <is>
          <t>npb-tie-aware-elo-v2</t>
        </is>
      </c>
      <c r="BD130" s="24" t="inlineStr">
        <is>
          <t>89df1e7f4bf49fdbe6304b09f5bf61e53747cf70ccdaced419557594b6aa3252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npb-tie-aware-elo-v2</t>
        </is>
      </c>
      <c r="BH130" s="24" t="inlineStr">
        <is>
          <t>2026-10-03T05:26:08.213979Z</t>
        </is>
      </c>
      <c r="BI130" s="24" t="inlineStr">
        <is>
          <t>["same_event","same_team_same_day","same_league_same_day"]</t>
        </is>
      </c>
      <c r="BJ130" s="25" t="n"/>
      <c r="BK130" s="26" t="n">
        <v>117</v>
      </c>
      <c r="BL130" s="27" t="n">
        <v>2.17</v>
      </c>
      <c r="BM130" s="28" t="n">
        <v>0.460829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0.460829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"89df1e7f4bf49fdbe6304b09f5bf61e53747cf70ccdaced419557594b6aa3252", "away_team": "Chunichi Dragons", "draw_settlement_value": 0.5, "event_id": "134605", "event_start_utc": "2026-10-03T09:00:00Z", "features": {"away_elo": 1449.286549, "base_tie_rate": 0.02376426, "home_advantage": 35.0, "home_elo": 1419.576933}, "historical_source_observation_times_verified": false, "home_team": "Tokyo Yakult Swallows", "inference_inputs": {"away_id": "D", "base_tie_rate": 0.02376426, "book_state": {"_games_played": null, "_last_active": null, "decay_rate": 0.0, "home_advantage": 35.0, "k": 8.0, "margin_weight": 0.0, "ratings": {"D": 1449.286549,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"2026-10-03T05:26:08.071848+00:00", "outcome_probabilities": {"away": 0.4806858983887738, "draw": 0.02376426, "home": 0.4955498416112262}, "replay_scope": "Exact Elo and tie model; logged value is expected contract settlement, not outright win probability.", "schema": "international-elo-replay-v1", "settlement_values": {"away": 0.492568, "home": 0.507432}, "snapshot_hash": "de50a81976e6b5bb515bd76575a8870934b9d75f729781b67d4580fd618b25ba", "sport": "NPB"}</t>
        </is>
      </c>
    </row>
    <row r="131" ht="36" customHeight="1">
      <c r="A131" s="24" t="inlineStr">
        <is>
          <t>d4043139c9274e84</t>
        </is>
      </c>
      <c r="B131" s="24" t="inlineStr">
        <is>
          <t>2026-10-03T22:33:03.158702Z</t>
        </is>
      </c>
      <c r="C131" s="24" t="inlineStr">
        <is>
          <t>2026-10-04T09:00:00Z</t>
        </is>
      </c>
      <c r="D131" s="24" t="inlineStr">
        <is>
          <t>136445</t>
        </is>
      </c>
      <c r="E131" s="24" t="inlineStr">
        <is>
          <t>NPB</t>
        </is>
      </c>
      <c r="F131" s="24" t="inlineStr">
        <is>
          <t>Hiroshima Carp</t>
        </is>
      </c>
      <c r="G131" s="24" t="inlineStr">
        <is>
          <t>Tokyo Yakult Swallows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144</v>
      </c>
      <c r="M131" s="27" t="n">
        <v>2.44</v>
      </c>
      <c r="N131" s="28" t="n">
        <v>0.409836</v>
      </c>
      <c r="O131" s="28" t="n">
        <v>0.505583</v>
      </c>
      <c r="P131" s="28" t="n"/>
      <c r="Q131" s="28" t="n">
        <v>0.095747</v>
      </c>
      <c r="R131" s="26" t="n">
        <v>68</v>
      </c>
      <c r="S131" s="29" t="n">
        <v>1.25</v>
      </c>
      <c r="T131" s="24" t="inlineStr">
        <is>
          <t>npb-tie-aware-elo-v2</t>
        </is>
      </c>
      <c r="U131" s="24" t="inlineStr">
        <is>
          <t>settled</t>
        </is>
      </c>
      <c r="V131" s="24" t="inlineStr">
        <is>
          <t>loss</t>
        </is>
      </c>
      <c r="W131" s="26" t="n">
        <v>7</v>
      </c>
      <c r="X131" s="26" t="n">
        <v>4</v>
      </c>
      <c r="Y131" s="25" t="n"/>
      <c r="Z131" s="26" t="n"/>
      <c r="AA131" s="28" t="n"/>
      <c r="AB131" s="28" t="n"/>
      <c r="AC131" s="30" t="n">
        <v>-1.25</v>
      </c>
      <c r="AD131" s="24" t="inlineStr">
        <is>
          <t>2026-10-06T23:04:42.269185Z</t>
        </is>
      </c>
      <c r="AE131" s="31" t="inlineStr">
        <is>
          <t>Tie-aware Elo baseline; executable ask 0.4100 (market_slug=aec-npb-tys-hci-2026-10-04). Tie probability=0.0238.</t>
        </is>
      </c>
      <c r="AF131" s="31" t="inlineStr">
        <is>
          <t>Config-promoted international baseball baseline; gates enforced at log time.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Hiroshima Carp</t>
        </is>
      </c>
      <c r="AQ131" s="24" t="inlineStr">
        <is>
          <t>Hiroshima Carp</t>
        </is>
      </c>
      <c r="AR131" s="24" t="inlineStr">
        <is>
          <t>Hiroshima Carp</t>
        </is>
      </c>
      <c r="AS131" s="24" t="inlineStr">
        <is>
          <t>Tokyo Yakult Swallows</t>
        </is>
      </c>
      <c r="AT131" s="24" t="inlineStr">
        <is>
          <t>Tokyo Yakult Swallows</t>
        </is>
      </c>
      <c r="AU131" s="24" t="inlineStr">
        <is>
          <t>Tokyo Yakult Swallows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2a12dcd4d95aaa7cbbed3be165653408d4c24923ac2847e735a95137a1c70628</t>
        </is>
      </c>
      <c r="BB131" s="24" t="inlineStr">
        <is>
          <t>tie_aware_elo</t>
        </is>
      </c>
      <c r="BC131" s="24" t="inlineStr">
        <is>
          <t>npb-tie-aware-elo-v2</t>
        </is>
      </c>
      <c r="BD131" s="24" t="inlineStr">
        <is>
          <t>2a12dcd4d95aaa7cbbed3be165653408d4c24923ac2847e735a95137a1c70628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npb-tie-aware-elo-v2</t>
        </is>
      </c>
      <c r="BH131" s="24" t="inlineStr">
        <is>
          <t>2026-10-03T22:32:58.659948Z</t>
        </is>
      </c>
      <c r="BI131" s="24" t="inlineStr">
        <is>
          <t>["same_event","same_team_same_day","same_league_same_day"]</t>
        </is>
      </c>
      <c r="BJ131" s="25" t="n"/>
      <c r="BK131" s="26" t="n">
        <v>144</v>
      </c>
      <c r="BL131" s="27" t="n">
        <v>2.44</v>
      </c>
      <c r="BM131" s="28" t="n">
        <v>0.409836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0.409836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"2a12dcd4d95aaa7cbbed3be165653408d4c24923ac2847e735a95137a1c70628", "away_team": "Hiroshima Carp", "draw_settlement_value": 0.5, "event_id": "136445", "event_start_utc": "2026-10-04T09:00:00Z", "features": {"away_elo": 1450.602544, "base_tie_rate": 0.02376426, "home_advantage": 35.0, "home_elo": 1419.576933}, "historical_source_observation_times_verified": false, "home_team": "Tokyo Yakult Swallows", "inference_inputs": {"away_id": "C", "base_tie_rate": 0.02376426, "book_state": {"_games_played": null, "_last_active": null, "decay_rate": 0.0, "home_advantage": 35.0, "k": 8.0, "margin_weight": 0.0, "ratings": {"C": 1450.602544,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"2026-10-03T22:32:58.590154+00:00", "outcome_probabilities": {"away": 0.4825344301916807, "draw": 0.02376426, "home": 0.49370130980831933}, "replay_scope": "Exact Elo and tie model; logged value is expected contract settlement, not outright win probability.", "schema": "international-elo-replay-v1", "settlement_values": {"away": 0.494417, "home": 0.505583}, "snapshot_hash": "4fe9b9b7533ab3699a79f74d35d28b8ace1ebe155b55d542b85c00bef4864632", "sport": "NPB"}</t>
        </is>
      </c>
    </row>
    <row r="132" ht="36" customHeight="1">
      <c r="A132" s="24" t="inlineStr">
        <is>
          <t>1836ad36a49c43d1</t>
        </is>
      </c>
      <c r="B132" s="24" t="inlineStr">
        <is>
          <t>2026-10-03T22:33:03.158702Z</t>
        </is>
      </c>
      <c r="C132" s="24" t="inlineStr">
        <is>
          <t>2026-10-04T09:00:00Z</t>
        </is>
      </c>
      <c r="D132" s="24" t="inlineStr">
        <is>
          <t>136446</t>
        </is>
      </c>
      <c r="E132" s="24" t="inlineStr">
        <is>
          <t>NPB</t>
        </is>
      </c>
      <c r="F132" s="24" t="inlineStr">
        <is>
          <t>Tohoku Rakuten Golden Eagles</t>
        </is>
      </c>
      <c r="G132" s="24" t="inlineStr">
        <is>
          <t>Chiba Lotte Marines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104</v>
      </c>
      <c r="M132" s="27" t="n">
        <v>2.04</v>
      </c>
      <c r="N132" s="28" t="n">
        <v>0.490196</v>
      </c>
      <c r="O132" s="28" t="n">
        <v>0.556395</v>
      </c>
      <c r="P132" s="28" t="n"/>
      <c r="Q132" s="28" t="n">
        <v>0.06619899999999999</v>
      </c>
      <c r="R132" s="26" t="n">
        <v>53</v>
      </c>
      <c r="S132" s="29" t="n">
        <v>1</v>
      </c>
      <c r="T132" s="24" t="inlineStr">
        <is>
          <t>npb-tie-aware-elo-v2</t>
        </is>
      </c>
      <c r="U132" s="24" t="inlineStr">
        <is>
          <t>settled</t>
        </is>
      </c>
      <c r="V132" s="24" t="inlineStr">
        <is>
          <t>win</t>
        </is>
      </c>
      <c r="W132" s="26" t="n">
        <v>2</v>
      </c>
      <c r="X132" s="26" t="n">
        <v>3</v>
      </c>
      <c r="Y132" s="25" t="n"/>
      <c r="Z132" s="26" t="n"/>
      <c r="AA132" s="28" t="n"/>
      <c r="AB132" s="28" t="n"/>
      <c r="AC132" s="30" t="n">
        <v>1.04</v>
      </c>
      <c r="AD132" s="24" t="inlineStr">
        <is>
          <t>2026-10-06T23:04:43.272037Z</t>
        </is>
      </c>
      <c r="AE132" s="31" t="inlineStr">
        <is>
          <t>Tie-aware Elo baseline; executable ask 0.4900 (market_slug=aec-npb-clm-trge-2026-10-04). Tie probability=0.0238.</t>
        </is>
      </c>
      <c r="AF132" s="31" t="inlineStr">
        <is>
          <t>Config-promoted international baseball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Tohoku Rakuten Golden Eagles</t>
        </is>
      </c>
      <c r="AQ132" s="24" t="inlineStr">
        <is>
          <t>Tohoku Rakuten Golden Eagles</t>
        </is>
      </c>
      <c r="AR132" s="24" t="inlineStr">
        <is>
          <t>Tohoku Rakuten Golden Eagles</t>
        </is>
      </c>
      <c r="AS132" s="24" t="inlineStr">
        <is>
          <t>Chiba Lotte Marines</t>
        </is>
      </c>
      <c r="AT132" s="24" t="inlineStr">
        <is>
          <t>Chiba Lotte Marines</t>
        </is>
      </c>
      <c r="AU132" s="24" t="inlineStr">
        <is>
          <t>Chiba Lotte Marines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2a12dcd4d95aaa7cbbed3be165653408d4c24923ac2847e735a95137a1c70628</t>
        </is>
      </c>
      <c r="BB132" s="24" t="inlineStr">
        <is>
          <t>tie_aware_elo</t>
        </is>
      </c>
      <c r="BC132" s="24" t="inlineStr">
        <is>
          <t>npb-tie-aware-elo-v2</t>
        </is>
      </c>
      <c r="BD132" s="24" t="inlineStr">
        <is>
          <t>2a12dcd4d95aaa7cbbed3be165653408d4c24923ac2847e735a95137a1c70628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npb-tie-aware-elo-v2</t>
        </is>
      </c>
      <c r="BH132" s="24" t="inlineStr">
        <is>
          <t>2026-10-03T22:32:58.900600Z</t>
        </is>
      </c>
      <c r="BI132" s="24" t="inlineStr">
        <is>
          <t>["same_event","same_team_same_day","same_league_same_day"]</t>
        </is>
      </c>
      <c r="BJ132" s="25" t="n"/>
      <c r="BK132" s="26" t="n">
        <v>104</v>
      </c>
      <c r="BL132" s="27" t="n">
        <v>2.04</v>
      </c>
      <c r="BM132" s="28" t="n">
        <v>0.490196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0.490196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"2a12dcd4d95aaa7cbbed3be165653408d4c24923ac2847e735a95137a1c70628", "away_team": "Tohoku Rakuten Golden Eagles", "draw_settlement_value": 0.5, "event_id": "136446", "event_start_utc": "2026-10-04T09:00:00Z", "features": {"away_elo": 1470.890039, "base_tie_rate": 0.02376426, "home_advantage": 35.0, "home_elo": 1476.21142}, "historical_source_observation_times_verified": false, "home_team": "Chiba Lotte Marines", "inference_inputs": {"away_id": "E", "base_tie_rate": 0.02376426, "book_state": {"_games_played": null, "_last_active": null, "decay_rate": 0.0, "home_advantage": 35.0, "k": 8.0, "margin_weight": 0.0, "ratings": {"E": 1470.890039,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"2026-10-03T22:32:58.590154+00:00", "outcome_probabilities": {"away": 0.43172267101307465, "draw": 0.02376426, "home": 0.5445130689869254}, "replay_scope": "Exact Elo and tie model; logged value is expected contract settlement, not outright win probability.", "schema": "international-elo-replay-v1", "settlement_values": {"away": 0.443605, "home": 0.556395}, "snapshot_hash": "02324378347907b9c4e484bad57edf52ea7d92a529afe414864b832a5d53bd32", "sport": "NPB"}</t>
        </is>
      </c>
    </row>
    <row r="133" ht="36" customHeight="1">
      <c r="A133" s="24" t="inlineStr">
        <is>
          <t>e24bbf7386704245</t>
        </is>
      </c>
      <c r="B133" s="24" t="inlineStr">
        <is>
          <t>2026-10-04T20:30:32.887613Z</t>
        </is>
      </c>
      <c r="C133" s="24" t="inlineStr">
        <is>
          <t>2026-10-05T09:00:00Z</t>
        </is>
      </c>
      <c r="D133" s="24" t="inlineStr">
        <is>
          <t>137951</t>
        </is>
      </c>
      <c r="E133" s="24" t="inlineStr">
        <is>
          <t>NPB</t>
        </is>
      </c>
      <c r="F133" s="24" t="inlineStr">
        <is>
          <t>Saitama Seibu Lions</t>
        </is>
      </c>
      <c r="G133" s="24" t="inlineStr">
        <is>
          <t>Chiba Lotte Marines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0.529207</v>
      </c>
      <c r="P133" s="28" t="n"/>
      <c r="Q133" s="28" t="n">
        <v>0.009976</v>
      </c>
      <c r="R133" s="26" t="n">
        <v>25</v>
      </c>
      <c r="S133" s="29" t="n">
        <v>1</v>
      </c>
      <c r="T133" s="24" t="inlineStr">
        <is>
          <t>npb-tie-aware-elo-v2</t>
        </is>
      </c>
      <c r="U133" s="24" t="inlineStr">
        <is>
          <t>settled</t>
        </is>
      </c>
      <c r="V133" s="24" t="inlineStr">
        <is>
          <t>win</t>
        </is>
      </c>
      <c r="W133" s="26" t="n">
        <v>7</v>
      </c>
      <c r="X133" s="26" t="n">
        <v>1</v>
      </c>
      <c r="Y133" s="25" t="n"/>
      <c r="Z133" s="26" t="n"/>
      <c r="AA133" s="28" t="n"/>
      <c r="AB133" s="28" t="n"/>
      <c r="AC133" s="30" t="n">
        <v>0.9258999999999999</v>
      </c>
      <c r="AD133" s="24" t="inlineStr">
        <is>
          <t>2026-10-06T23:04:44.169911Z</t>
        </is>
      </c>
      <c r="AE133" s="31" t="inlineStr">
        <is>
          <t>Tie-aware Elo baseline; executable ask 0.5200 (market_slug=aec-npb-clm-ssl-2026-10-05). Tie probability=0.0238.</t>
        </is>
      </c>
      <c r="AF133" s="31" t="inlineStr">
        <is>
          <t>Config-promoted international baseball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Saitama Seibu Lions</t>
        </is>
      </c>
      <c r="AQ133" s="24" t="inlineStr">
        <is>
          <t>Saitama Seibu Lions</t>
        </is>
      </c>
      <c r="AR133" s="24" t="inlineStr">
        <is>
          <t>Saitama Seibu Lions</t>
        </is>
      </c>
      <c r="AS133" s="24" t="inlineStr">
        <is>
          <t>Chiba Lotte Marines</t>
        </is>
      </c>
      <c r="AT133" s="24" t="inlineStr">
        <is>
          <t>Chiba Lotte Marines</t>
        </is>
      </c>
      <c r="AU133" s="24" t="inlineStr">
        <is>
          <t>Chiba Lotte Marines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a3835b1d57fac361401bc6e5cf5201fc0c183028fd0ea6df36bc13c32d99105a</t>
        </is>
      </c>
      <c r="BB133" s="24" t="inlineStr">
        <is>
          <t>tie_aware_elo</t>
        </is>
      </c>
      <c r="BC133" s="24" t="inlineStr">
        <is>
          <t>npb-tie-aware-elo-v2</t>
        </is>
      </c>
      <c r="BD133" s="24" t="inlineStr">
        <is>
          <t>a3835b1d57fac361401bc6e5cf5201fc0c183028fd0ea6df36bc13c32d99105a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npb-tie-aware-elo-v2</t>
        </is>
      </c>
      <c r="BH133" s="24" t="inlineStr">
        <is>
          <t>2026-10-04T20:30:32.778332Z</t>
        </is>
      </c>
      <c r="BI133" s="24" t="inlineStr">
        <is>
          <t>["same_event","same_team_same_day","same_league_same_day"]</t>
        </is>
      </c>
      <c r="BJ133" s="25" t="n"/>
      <c r="BK133" s="26" t="n">
        <v>-108</v>
      </c>
      <c r="BL133" s="27" t="n">
        <v>1.925926</v>
      </c>
      <c r="BM133" s="28" t="n">
        <v>0.519231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"a3835b1d57fac361401bc6e5cf5201fc0c183028fd0ea6df36bc13c32d99105a", "away_team": "Saitama Seibu Lions", "draw_settlement_value": 0.5, "event_id": "137951", "event_start_utc": "2026-10-05T09:00:00Z",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"2026-10-04T20:30:32.664413+00:00",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"74aad6b0b4037575efb09f90c1f2309bb9788cb70291bff0c9767cf2e471f2dd", "sport": "NPB"}</t>
        </is>
      </c>
    </row>
    <row r="134" ht="36" customHeight="1">
      <c r="A134" s="24" t="inlineStr">
        <is>
          <t>bd530b51db7540b3</t>
        </is>
      </c>
      <c r="B134" s="24" t="inlineStr">
        <is>
          <t>2026-10-04T20:30:32.887613Z</t>
        </is>
      </c>
      <c r="C134" s="24" t="inlineStr">
        <is>
          <t>2026-10-05T09:00:00Z</t>
        </is>
      </c>
      <c r="D134" s="24" t="inlineStr">
        <is>
          <t>139054</t>
        </is>
      </c>
      <c r="E134" s="24" t="inlineStr">
        <is>
          <t>NPB</t>
        </is>
      </c>
      <c r="F134" s="24" t="inlineStr">
        <is>
          <t>Fukuoka SoftBank Hawks</t>
        </is>
      </c>
      <c r="G134" s="24" t="inlineStr">
        <is>
          <t>Tohoku Rakuten Golden Eagles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-144</v>
      </c>
      <c r="M134" s="27" t="n">
        <v>1.694444</v>
      </c>
      <c r="N134" s="28" t="n">
        <v>0.590164</v>
      </c>
      <c r="O134" s="28" t="n">
        <v>0.6603869999999999</v>
      </c>
      <c r="P134" s="28" t="n"/>
      <c r="Q134" s="28" t="n">
        <v>0.07022299999999999</v>
      </c>
      <c r="R134" s="26" t="n">
        <v>55</v>
      </c>
      <c r="S134" s="29" t="n">
        <v>1.25</v>
      </c>
      <c r="T134" s="24" t="inlineStr">
        <is>
          <t>npb-tie-aware-elo-v2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3</v>
      </c>
      <c r="Y134" s="25" t="n"/>
      <c r="Z134" s="26" t="n"/>
      <c r="AA134" s="28" t="n"/>
      <c r="AB134" s="28" t="n"/>
      <c r="AC134" s="30" t="n">
        <v>-1.25</v>
      </c>
      <c r="AD134" s="24" t="inlineStr">
        <is>
          <t>2026-10-06T23:04:45.076259Z</t>
        </is>
      </c>
      <c r="AE134" s="31" t="inlineStr">
        <is>
          <t>Tie-aware Elo baseline; executable ask 0.5900 (market_slug=aec-npb-trge-fsh-2026-10-05). Tie probability=0.0238.</t>
        </is>
      </c>
      <c r="AF134" s="31" t="inlineStr">
        <is>
          <t>Config-promoted international baseball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Fukuoka SoftBank Hawks</t>
        </is>
      </c>
      <c r="AQ134" s="24" t="inlineStr">
        <is>
          <t>Fukuoka SoftBank Hawks</t>
        </is>
      </c>
      <c r="AR134" s="24" t="inlineStr">
        <is>
          <t>Fukuoka SoftBank Hawks</t>
        </is>
      </c>
      <c r="AS134" s="24" t="inlineStr">
        <is>
          <t>Tohoku Rakuten Golden Eagles</t>
        </is>
      </c>
      <c r="AT134" s="24" t="inlineStr">
        <is>
          <t>Tohoku Rakuten Golden Eagles</t>
        </is>
      </c>
      <c r="AU134" s="24" t="inlineStr">
        <is>
          <t>Tohoku Rakuten Golden Eagles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a3835b1d57fac361401bc6e5cf5201fc0c183028fd0ea6df36bc13c32d99105a</t>
        </is>
      </c>
      <c r="BB134" s="24" t="inlineStr">
        <is>
          <t>tie_aware_elo</t>
        </is>
      </c>
      <c r="BC134" s="24" t="inlineStr">
        <is>
          <t>npb-tie-aware-elo-v2</t>
        </is>
      </c>
      <c r="BD134" s="24" t="inlineStr">
        <is>
          <t>a3835b1d57fac361401bc6e5cf5201fc0c183028fd0ea6df36bc13c32d99105a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npb-tie-aware-elo-v2</t>
        </is>
      </c>
      <c r="BH134" s="24" t="inlineStr">
        <is>
          <t>2026-10-04T20:30:32.887613Z</t>
        </is>
      </c>
      <c r="BI134" s="24" t="inlineStr">
        <is>
          <t>["same_event","same_team_same_day","same_league_same_day"]</t>
        </is>
      </c>
      <c r="BJ134" s="25" t="n"/>
      <c r="BK134" s="26" t="n">
        <v>-144</v>
      </c>
      <c r="BL134" s="27" t="n">
        <v>1.694444</v>
      </c>
      <c r="BM134" s="28" t="n">
        <v>0.590164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"a3835b1d57fac361401bc6e5cf5201fc0c183028fd0ea6df36bc13c32d99105a", "away_team": "Fukuoka SoftBank Hawks", "draw_settlement_value": 0.5, "event_id": "139054", "event_start_utc": "2026-10-05T09:00:00Z", "features": {"away_elo": 1624.448306, "base_tie_rate": 0.02376426, "home_advantage": 35.0, "home_elo": 1470.890039}, "historical_source_observation_times_verified": false, "home_team": "Tohoku Rakuten Golden Eagles", "inference_inputs": {"away_id": "H", "base_tie_rate": 0.02376426, "book_state": {"_games_played": null, "_last_active": null, "decay_rate": 0.0, "home_advantage": 35.0, "k": 8.0, "margin_weight": 0.0, "ratings": {"E": 1470.890039, "H": 1624.448306}},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"2026-10-04T20:30:32.664413+00:00", "outcome_probabilities": {"away": 0.6485047579952964, "draw": 0.02376426, "home": 0.3277309820047036}, "replay_scope": "Exact Elo and tie model; logged value is expected contract settlement, not outright win probability.", "schema": "international-elo-replay-v1", "settlement_values": {"away": 0.660387, "home": 0.339613}, "snapshot_hash": "d1365b59239f23b65142fbd597769be6e15c273861c0b551cf604ed7f5312cd5", "sport": "NPB"}</t>
        </is>
      </c>
    </row>
    <row r="135" ht="36" customHeight="1">
      <c r="A135" s="24" t="inlineStr">
        <is>
          <t>f8682cc0c28a404e</t>
        </is>
      </c>
      <c r="B135" s="24" t="inlineStr">
        <is>
          <t>2026-10-05T22:24:21.830809Z</t>
        </is>
      </c>
      <c r="C135" s="24" t="inlineStr">
        <is>
          <t>2026-10-06T09:00:00Z</t>
        </is>
      </c>
      <c r="D135" s="24" t="inlineStr">
        <is>
          <t>140436</t>
        </is>
      </c>
      <c r="E135" s="24" t="inlineStr">
        <is>
          <t>NPB</t>
        </is>
      </c>
      <c r="F135" s="24" t="inlineStr">
        <is>
          <t>Saitama Seibu Lions</t>
        </is>
      </c>
      <c r="G135" s="24" t="inlineStr">
        <is>
          <t>Chiba Lotte Marines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-122</v>
      </c>
      <c r="M135" s="27" t="n">
        <v>1.819672</v>
      </c>
      <c r="N135" s="28" t="n">
        <v>0.54955</v>
      </c>
      <c r="O135" s="28" t="n">
        <v>0.529207</v>
      </c>
      <c r="P135" s="28" t="n"/>
      <c r="Q135" s="28" t="n">
        <v>-0.020343</v>
      </c>
      <c r="R135" s="26" t="n">
        <v>10</v>
      </c>
      <c r="S135" s="29" t="n">
        <v>1</v>
      </c>
      <c r="T135" s="24" t="inlineStr">
        <is>
          <t>npb-tie-aware-elo-v2</t>
        </is>
      </c>
      <c r="U135" s="24" t="inlineStr">
        <is>
          <t>settled</t>
        </is>
      </c>
      <c r="V135" s="24" t="inlineStr">
        <is>
          <t>win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0.8197</v>
      </c>
      <c r="AD135" s="24" t="inlineStr">
        <is>
          <t>2026-10-06T23:04:45.993281Z</t>
        </is>
      </c>
      <c r="AE135" s="31" t="inlineStr">
        <is>
          <t>Tie-aware Elo baseline; executable ask 0.5500 (market_slug=aec-npb-clm-ssl-2026-10-06). Tie probability=0.0238.</t>
        </is>
      </c>
      <c r="AF135" s="31" t="inlineStr">
        <is>
          <t>Config-promoted international baseball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Saitama Seibu Lions</t>
        </is>
      </c>
      <c r="AQ135" s="24" t="inlineStr">
        <is>
          <t>Saitama Seibu Lions</t>
        </is>
      </c>
      <c r="AR135" s="24" t="inlineStr">
        <is>
          <t>Saitama Seibu Lions</t>
        </is>
      </c>
      <c r="AS135" s="24" t="inlineStr">
        <is>
          <t>Chiba Lotte Marines</t>
        </is>
      </c>
      <c r="AT135" s="24" t="inlineStr">
        <is>
          <t>Chiba Lotte Marines</t>
        </is>
      </c>
      <c r="AU135" s="24" t="inlineStr">
        <is>
          <t>Chiba Lotte Marines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e2444ca56787db09f0514ea9be2dbe7439691abaacd9da2d45b7cdd93b99f6ca</t>
        </is>
      </c>
      <c r="BB135" s="24" t="inlineStr">
        <is>
          <t>tie_aware_elo</t>
        </is>
      </c>
      <c r="BC135" s="24" t="inlineStr">
        <is>
          <t>npb-tie-aware-elo-v2</t>
        </is>
      </c>
      <c r="BD135" s="24" t="inlineStr">
        <is>
          <t>e2444ca56787db09f0514ea9be2dbe7439691abaacd9da2d45b7cdd93b99f6ca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npb-tie-aware-elo-v2</t>
        </is>
      </c>
      <c r="BH135" s="24" t="inlineStr">
        <is>
          <t>2026-10-05T22:24:21.762092Z</t>
        </is>
      </c>
      <c r="BI135" s="24" t="inlineStr">
        <is>
          <t>["same_event","same_team_same_day","same_league_same_day"]</t>
        </is>
      </c>
      <c r="BJ135" s="25" t="n"/>
      <c r="BK135" s="26" t="n">
        <v>-122</v>
      </c>
      <c r="BL135" s="27" t="n">
        <v>1.819672</v>
      </c>
      <c r="BM135" s="28" t="n">
        <v>0.54955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"e2444ca56787db09f0514ea9be2dbe7439691abaacd9da2d45b7cdd93b99f6ca", "away_team": "Saitama Seibu Lions", "draw_settlement_value": 0.5, "event_id": "140436", "event_start_utc": "2026-10-06T09:00:00Z",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"2026-10-05T22:24:21.640041+00:00",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"110a7df26d9ed17bdf7bd26839c149c8c19c759b4ca08a07fe741d676ea08fce", "sport": "NPB"}</t>
        </is>
      </c>
    </row>
    <row r="136" ht="36" customHeight="1">
      <c r="A136" s="24" t="inlineStr">
        <is>
          <t>093b58a1250b4798</t>
        </is>
      </c>
      <c r="B136" s="24" t="inlineStr">
        <is>
          <t>2026-10-05T22:24:21.830809Z</t>
        </is>
      </c>
      <c r="C136" s="24" t="inlineStr">
        <is>
          <t>2026-10-06T09:00:00Z</t>
        </is>
      </c>
      <c r="D136" s="24" t="inlineStr">
        <is>
          <t>140984</t>
        </is>
      </c>
      <c r="E136" s="24" t="inlineStr">
        <is>
          <t>NPB</t>
        </is>
      </c>
      <c r="F136" s="24" t="inlineStr">
        <is>
          <t>Hiroshima Carp</t>
        </is>
      </c>
      <c r="G136" s="24" t="inlineStr">
        <is>
          <t>Hanshin Tigers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-178</v>
      </c>
      <c r="M136" s="27" t="n">
        <v>1.561798</v>
      </c>
      <c r="N136" s="28" t="n">
        <v>0.640288</v>
      </c>
      <c r="O136" s="28" t="n">
        <v>0.652882</v>
      </c>
      <c r="P136" s="28" t="n"/>
      <c r="Q136" s="28" t="n">
        <v>0.012594</v>
      </c>
      <c r="R136" s="26" t="n">
        <v>26</v>
      </c>
      <c r="S136" s="29" t="n">
        <v>1</v>
      </c>
      <c r="T136" s="24" t="inlineStr">
        <is>
          <t>npb-tie-aware-elo-v2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2</v>
      </c>
      <c r="Y136" s="25" t="n"/>
      <c r="Z136" s="26" t="n"/>
      <c r="AA136" s="28" t="n"/>
      <c r="AB136" s="28" t="n"/>
      <c r="AC136" s="30" t="n">
        <v>0.5618</v>
      </c>
      <c r="AD136" s="24" t="inlineStr">
        <is>
          <t>2026-10-06T23:04:46.986414Z</t>
        </is>
      </c>
      <c r="AE136" s="31" t="inlineStr">
        <is>
          <t>Tie-aware Elo baseline; executable ask 0.6400 (market_slug=aec-npb-hta-hci-2026-10-06). Tie probability=0.0238.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Hiroshima Carp</t>
        </is>
      </c>
      <c r="AQ136" s="24" t="inlineStr">
        <is>
          <t>Hiroshima Carp</t>
        </is>
      </c>
      <c r="AR136" s="24" t="inlineStr">
        <is>
          <t>Hiroshima Carp</t>
        </is>
      </c>
      <c r="AS136" s="24" t="inlineStr">
        <is>
          <t>Hanshin Tigers</t>
        </is>
      </c>
      <c r="AT136" s="24" t="inlineStr">
        <is>
          <t>Hanshin Tigers</t>
        </is>
      </c>
      <c r="AU136" s="24" t="inlineStr">
        <is>
          <t>Hanshin Tigers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e2444ca56787db09f0514ea9be2dbe7439691abaacd9da2d45b7cdd93b99f6ca</t>
        </is>
      </c>
      <c r="BB136" s="24" t="inlineStr">
        <is>
          <t>tie_aware_elo</t>
        </is>
      </c>
      <c r="BC136" s="24" t="inlineStr">
        <is>
          <t>npb-tie-aware-elo-v2</t>
        </is>
      </c>
      <c r="BD136" s="24" t="inlineStr">
        <is>
          <t>e2444ca56787db09f0514ea9be2dbe7439691abaacd9da2d45b7cdd93b99f6ca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npb-tie-aware-elo-v2</t>
        </is>
      </c>
      <c r="BH136" s="24" t="inlineStr">
        <is>
          <t>2026-10-05T22:24:21.830809Z</t>
        </is>
      </c>
      <c r="BI136" s="24" t="inlineStr">
        <is>
          <t>["same_event","same_team_same_day","same_league_same_day"]</t>
        </is>
      </c>
      <c r="BJ136" s="25" t="n"/>
      <c r="BK136" s="26" t="n">
        <v>-178</v>
      </c>
      <c r="BL136" s="27" t="n">
        <v>1.561798</v>
      </c>
      <c r="BM136" s="28" t="n">
        <v>0.640288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"e2444ca56787db09f0514ea9be2dbe7439691abaacd9da2d45b7cdd93b99f6ca", "away_team": "Hiroshima Carp", "draw_settlement_value": 0.5, "event_id": "140984", "event_start_utc": "2026-10-06T09:00:00Z",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"2026-10-05T22:24:21.640041+00:00",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"83cfbb90b2b3090d63c759abdd2b1e477d5df463f0218cb64b5d995bc7da1587", "sport": "NPB"}</t>
        </is>
      </c>
    </row>
    <row r="137" ht="36" customHeight="1">
      <c r="A137" s="24" t="inlineStr">
        <is>
          <t>60a44c11dca244c0</t>
        </is>
      </c>
      <c r="B137" s="24" t="inlineStr">
        <is>
          <t>2026-10-06T22:24:50.453102Z</t>
        </is>
      </c>
      <c r="C137" s="24" t="inlineStr">
        <is>
          <t>2026-10-07T09:00:00Z</t>
        </is>
      </c>
      <c r="D137" s="24" t="inlineStr">
        <is>
          <t>142741</t>
        </is>
      </c>
      <c r="E137" s="24" t="inlineStr">
        <is>
          <t>NPB</t>
        </is>
      </c>
      <c r="F137" s="24" t="inlineStr">
        <is>
          <t>Hiroshima Carp</t>
        </is>
      </c>
      <c r="G137" s="24" t="inlineStr">
        <is>
          <t>Hanshin Tigers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0.652882</v>
      </c>
      <c r="P137" s="28" t="n"/>
      <c r="Q137" s="28" t="n">
        <v>0.043507</v>
      </c>
      <c r="R137" s="26" t="n">
        <v>42</v>
      </c>
      <c r="S137" s="29" t="n">
        <v>1</v>
      </c>
      <c r="T137" s="24" t="inlineStr">
        <is>
          <t>npb-tie-aware-elo-v2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Tie-aware Elo baseline; executable ask 0.6100 (market_slug=aec-npb-hta-hci-2026-10-07). Tie probability=0.0238.</t>
        </is>
      </c>
      <c r="AF137" s="31" t="inlineStr">
        <is>
          <t>Config-promoted international baseball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4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Hiroshima Carp</t>
        </is>
      </c>
      <c r="AQ137" s="24" t="inlineStr">
        <is>
          <t>Hiroshima Carp</t>
        </is>
      </c>
      <c r="AR137" s="24" t="inlineStr">
        <is>
          <t>Hiroshima Carp</t>
        </is>
      </c>
      <c r="AS137" s="24" t="inlineStr">
        <is>
          <t>Hanshin Tigers</t>
        </is>
      </c>
      <c r="AT137" s="24" t="inlineStr">
        <is>
          <t>Hanshin Tigers</t>
        </is>
      </c>
      <c r="AU137" s="24" t="inlineStr">
        <is>
          <t>Hanshin Tigers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52a745e24a739f7876c425755afd5d949b082851299aad8a723cad3af868096f</t>
        </is>
      </c>
      <c r="BB137" s="24" t="inlineStr">
        <is>
          <t>tie_aware_elo</t>
        </is>
      </c>
      <c r="BC137" s="24" t="inlineStr">
        <is>
          <t>npb-tie-aware-elo-v2</t>
        </is>
      </c>
      <c r="BD137" s="24" t="inlineStr">
        <is>
          <t>52a745e24a739f7876c425755afd5d949b082851299aad8a723cad3af868096f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npb-tie-aware-elo-v2</t>
        </is>
      </c>
      <c r="BH137" s="24" t="inlineStr">
        <is>
          <t>2026-10-06T22:24:50.452100Z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"52a745e24a739f7876c425755afd5d949b082851299aad8a723cad3af868096f", "away_team": "Hiroshima Carp", "draw_settlement_value": 0.5, "event_id": "142741", "event_start_utc": "2026-10-07T09:00:00Z",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"2026-10-06T22:24:50.368130+00:00",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"18ad0541cfa33136696305362d5830825eab9db052c43c2c564477afb450c425", "sport": "NPB"}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2026-10-06T23:04:47Z</dcterms:created>
  <dcterms:modified xmlns:dcterms="http://purl.org/dc/terms/" xmlns:xsi="http://www.w3.org/2001/XMLSchema-instance" xsi:type="dcterms:W3CDTF">2026-10-06T23:04:47Z</dcterms:modified>
</cp:coreProperties>
</file>