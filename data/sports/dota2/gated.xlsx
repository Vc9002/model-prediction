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40" headerRowCount="1">
  <autoFilter ref="A1:DQ14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COUNTA('Picks'!$A$2:$A$140)</f>
        <v/>
      </c>
      <c r="C4" s="6">
        <f>COUNTIF('Picks'!$U$2:$U$140,"open")</f>
        <v/>
      </c>
      <c r="E4" s="6">
        <f>COUNTIF('Picks'!$U$2:$U$140,"settled")</f>
        <v/>
      </c>
      <c r="G4" s="6">
        <f>IF(COUNTIFS('Picks'!$U$2:$U$140,"settled",'Picks'!$V$2:$V$140,"win")+COUNTIFS('Picks'!$U$2:$U$140,"settled",'Picks'!$V$2:$V$140,"loss")&gt;=$L$2,"Ready","Insufficient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COUNTIF('Picks'!$BX$2:$BX$140,"&gt;0")</f>
        <v/>
      </c>
      <c r="C7" s="6">
        <f>COUNTIFS('Picks'!$BX$2:$BX$140,"&gt;0",'Picks'!$V$2:$V$140,"win")&amp;"-"&amp;COUNTIFS('Picks'!$BX$2:$BX$140,"&gt;0",'Picks'!$V$2:$V$140,"loss")</f>
        <v/>
      </c>
      <c r="E7" s="7">
        <f>IFERROR(COUNTIFS('Picks'!$BX$2:$BX$140,"&gt;0",'Picks'!$V$2:$V$140,"win")/(COUNTIFS('Picks'!$BX$2:$BX$140,"&gt;0",'Picks'!$V$2:$V$140,"win")+COUNTIFS('Picks'!$BX$2:$BX$140,"&gt;0",'Picks'!$V$2:$V$140,"loss")),0)</f>
        <v/>
      </c>
      <c r="G7" s="7">
        <f>IFERROR(SUM('Picks'!$BY$2:$BY$140)/SUM('Picks'!$BX$2:$BX$140),0)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SUM('Picks'!$BY$2:$BY$140)</f>
        <v/>
      </c>
      <c r="C10" s="9">
        <f>IFERROR(AVERAGEIF('Picks'!$AB$2:$AB$140,"&lt;&gt;",'Picks'!$AB$2:$AB$140),0)</f>
        <v/>
      </c>
      <c r="E10" s="6">
        <f>COUNTIFS('Picks'!$AM$2:$AM$140,"QUALIFIED_SHADOW_CALL",'Picks'!$U$2:$U$140,"settled")</f>
        <v/>
      </c>
      <c r="G10" s="8">
        <f>SUMIFS('Picks'!$AC$2:$AC$140,'Picks'!$AM$2:$AM$140,"QUALIFIED_SHADOW_CALL")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COUNTIFS('Picks'!$H$2:$H$140,$A14,'Picks'!$U$2:$U$140,"settled")</f>
        <v/>
      </c>
      <c r="C14" s="13">
        <f>COUNTIFS('Picks'!$H$2:$H$140,$A14,'Picks'!$U$2:$U$140,"settled",'Picks'!$V$2:$V$140,"win")</f>
        <v/>
      </c>
      <c r="D14" s="13">
        <f>COUNTIFS('Picks'!$H$2:$H$140,$A14,'Picks'!$U$2:$U$140,"settled",'Picks'!$V$2:$V$140,"loss")</f>
        <v/>
      </c>
      <c r="E14" s="14">
        <f>IFERROR(C14/(C14+D14),0)</f>
        <v/>
      </c>
      <c r="F14" s="15">
        <f>SUMIFS('Picks'!$BY$2:$BY$140,'Picks'!$H$2:$H$140,$A14)</f>
        <v/>
      </c>
      <c r="G14" s="16">
        <f>IFERROR(AVERAGEIFS('Picks'!$AB$2:$AB$140,'Picks'!$H$2:$H$140,$A14,'Picks'!$U$2:$U$140,"settled"),0)</f>
        <v/>
      </c>
    </row>
    <row r="15">
      <c r="A15" s="17" t="inlineStr">
        <is>
          <t>spread</t>
        </is>
      </c>
      <c r="B15" s="18">
        <f>COUNTIFS('Picks'!$H$2:$H$140,$A15,'Picks'!$U$2:$U$140,"settled")</f>
        <v/>
      </c>
      <c r="C15" s="18">
        <f>COUNTIFS('Picks'!$H$2:$H$140,$A15,'Picks'!$U$2:$U$140,"settled",'Picks'!$V$2:$V$140,"win")</f>
        <v/>
      </c>
      <c r="D15" s="18">
        <f>COUNTIFS('Picks'!$H$2:$H$140,$A15,'Picks'!$U$2:$U$140,"settled",'Picks'!$V$2:$V$140,"loss")</f>
        <v/>
      </c>
      <c r="E15" s="19">
        <f>IFERROR(C15/(C15+D15),0)</f>
        <v/>
      </c>
      <c r="F15" s="20">
        <f>SUMIFS('Picks'!$BY$2:$BY$140,'Picks'!$H$2:$H$140,$A15)</f>
        <v/>
      </c>
      <c r="G15" s="21">
        <f>IFERROR(AVERAGEIFS('Picks'!$AB$2:$AB$140,'Picks'!$H$2:$H$140,$A15,'Picks'!$U$2:$U$140,"settled"),0)</f>
        <v/>
      </c>
    </row>
    <row r="16">
      <c r="A16" s="12" t="inlineStr">
        <is>
          <t>total</t>
        </is>
      </c>
      <c r="B16" s="13">
        <f>COUNTIFS('Picks'!$H$2:$H$140,$A16,'Picks'!$U$2:$U$140,"settled")</f>
        <v/>
      </c>
      <c r="C16" s="13">
        <f>COUNTIFS('Picks'!$H$2:$H$140,$A16,'Picks'!$U$2:$U$140,"settled",'Picks'!$V$2:$V$140,"win")</f>
        <v/>
      </c>
      <c r="D16" s="13">
        <f>COUNTIFS('Picks'!$H$2:$H$140,$A16,'Picks'!$U$2:$U$140,"settled",'Picks'!$V$2:$V$140,"loss")</f>
        <v/>
      </c>
      <c r="E16" s="14">
        <f>IFERROR(C16/(C16+D16),0)</f>
        <v/>
      </c>
      <c r="F16" s="15">
        <f>SUMIFS('Picks'!$BY$2:$BY$140,'Picks'!$H$2:$H$140,$A16)</f>
        <v/>
      </c>
      <c r="G16" s="16">
        <f>IFERROR(AVERAGEIFS('Picks'!$AB$2:$AB$140,'Picks'!$H$2:$H$140,$A16,'Picks'!$U$2:$U$140,"settled"),0)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77b840baaab6494f</t>
        </is>
      </c>
      <c r="B2" s="24" t="inlineStr">
        <is>
          <t>2026-08-05T04:38:12.341207Z</t>
        </is>
      </c>
      <c r="C2" s="24" t="inlineStr">
        <is>
          <t>2026-08-05T08:00:00Z</t>
        </is>
      </c>
      <c r="D2" s="24" t="inlineStr">
        <is>
          <t>72079</t>
        </is>
      </c>
      <c r="E2" s="24" t="inlineStr">
        <is>
          <t>DOTA2</t>
        </is>
      </c>
      <c r="F2" s="24" t="inlineStr">
        <is>
          <t>Rune Eaters</t>
        </is>
      </c>
      <c r="G2" s="24" t="inlineStr">
        <is>
          <t>Team Resilience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122</v>
      </c>
      <c r="M2" s="27" t="n">
        <v>2.22</v>
      </c>
      <c r="N2" s="28" t="n">
        <v>0.45045</v>
      </c>
      <c r="O2" s="28" t="n">
        <v>0.500216</v>
      </c>
      <c r="P2" s="28" t="n"/>
      <c r="Q2" s="28" t="n">
        <v>0.049766</v>
      </c>
      <c r="R2" s="26" t="n">
        <v>45</v>
      </c>
      <c r="S2" s="29" t="n">
        <v>1</v>
      </c>
      <c r="T2" s="24" t="inlineStr">
        <is>
          <t>dota2-tiered-elo-v6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122</v>
      </c>
      <c r="AA2" s="28" t="n">
        <v>0.45</v>
      </c>
      <c r="AB2" s="28" t="n">
        <v>-0.00045</v>
      </c>
      <c r="AC2" s="30" t="n">
        <v>1.22</v>
      </c>
      <c r="AD2" s="24" t="inlineStr">
        <is>
          <t>2026-08-05T10:18:18.710149Z</t>
        </is>
      </c>
      <c r="AE2" s="31" t="inlineStr">
        <is>
          <t>Neutral Elo baseline; executable ask 0.4500 (market_slug=aec-dota2-tr-re-2026-08-05).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Rune Eaters</t>
        </is>
      </c>
      <c r="AQ2" s="24" t="inlineStr">
        <is>
          <t>Rune Eaters</t>
        </is>
      </c>
      <c r="AR2" s="24" t="inlineStr">
        <is>
          <t>Rune Eaters</t>
        </is>
      </c>
      <c r="AS2" s="24" t="inlineStr">
        <is>
          <t>Team Resilience</t>
        </is>
      </c>
      <c r="AT2" s="24" t="inlineStr">
        <is>
          <t>Team Resilience</t>
        </is>
      </c>
      <c r="AU2" s="24" t="inlineStr">
        <is>
          <t>Team Resilience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2375429151111a3cb0937a48db93b740727ff54a7bd88a5e4f97e0362efce045</t>
        </is>
      </c>
      <c r="BB2" s="24" t="inlineStr">
        <is>
          <t>neutral_elo</t>
        </is>
      </c>
      <c r="BC2" s="24" t="inlineStr">
        <is>
          <t>dota2-tiered-elo-v6</t>
        </is>
      </c>
      <c r="BD2" s="24" t="inlineStr">
        <is>
          <t>2375429151111a3cb0937a48db93b740727ff54a7bd88a5e4f97e0362efce045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dota2-tiered-elo-v6</t>
        </is>
      </c>
      <c r="BH2" s="24" t="inlineStr">
        <is>
          <t>2026-08-05T04:38:08.611098Z</t>
        </is>
      </c>
      <c r="BI2" s="24" t="inlineStr">
        <is>
          <t>["same_event","same_team_same_day","same_league_same_day"]</t>
        </is>
      </c>
      <c r="BJ2" s="25" t="n"/>
      <c r="BK2" s="26" t="n">
        <v>122</v>
      </c>
      <c r="BL2" s="27" t="n">
        <v>2.22</v>
      </c>
      <c r="BM2" s="28" t="n">
        <v>0.45045</v>
      </c>
      <c r="BN2" s="28" t="n"/>
      <c r="BO2" s="28" t="n"/>
      <c r="BP2" s="25" t="n"/>
      <c r="BQ2" s="27" t="n">
        <v>2.22</v>
      </c>
      <c r="BR2" s="28" t="n">
        <v>0.45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0.45045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b5b4e021955b45bc</t>
        </is>
      </c>
      <c r="B3" s="24" t="inlineStr">
        <is>
          <t>2026-08-05T04:38:12.341207Z</t>
        </is>
      </c>
      <c r="C3" s="24" t="inlineStr">
        <is>
          <t>2026-08-05T09:00:00Z</t>
        </is>
      </c>
      <c r="D3" s="24" t="inlineStr">
        <is>
          <t>71970</t>
        </is>
      </c>
      <c r="E3" s="24" t="inlineStr">
        <is>
          <t>DOTA2</t>
        </is>
      </c>
      <c r="F3" s="24" t="inlineStr">
        <is>
          <t>BetBoom Team</t>
        </is>
      </c>
      <c r="G3" s="24" t="inlineStr">
        <is>
          <t>1win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-113</v>
      </c>
      <c r="M3" s="27" t="n">
        <v>1.884956</v>
      </c>
      <c r="N3" s="28" t="n">
        <v>0.530516</v>
      </c>
      <c r="O3" s="28" t="n">
        <v>0.658681</v>
      </c>
      <c r="P3" s="28" t="n"/>
      <c r="Q3" s="28" t="n">
        <v>0.128165</v>
      </c>
      <c r="R3" s="26" t="n">
        <v>84</v>
      </c>
      <c r="S3" s="29" t="n">
        <v>1.75</v>
      </c>
      <c r="T3" s="24" t="inlineStr">
        <is>
          <t>dota2-tiered-elo-v6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1</v>
      </c>
      <c r="Y3" s="25" t="n"/>
      <c r="Z3" s="26" t="n">
        <v>-113</v>
      </c>
      <c r="AA3" s="28" t="n">
        <v>0.53</v>
      </c>
      <c r="AB3" s="28" t="n">
        <v>-0.000516</v>
      </c>
      <c r="AC3" s="30" t="n">
        <v>-1.75</v>
      </c>
      <c r="AD3" s="24" t="inlineStr">
        <is>
          <t>2026-08-05T13:51:54.211383Z</t>
        </is>
      </c>
      <c r="AE3" s="31" t="inlineStr">
        <is>
          <t>Neutral Elo baseline; executable ask 0.5300 (market_slug=aec-dota2-1win-bb-2026-08-05).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BetBoom Team</t>
        </is>
      </c>
      <c r="AQ3" s="24" t="inlineStr">
        <is>
          <t>BetBoom Team</t>
        </is>
      </c>
      <c r="AR3" s="24" t="inlineStr">
        <is>
          <t>BetBoom Team</t>
        </is>
      </c>
      <c r="AS3" s="24" t="inlineStr">
        <is>
          <t>1win</t>
        </is>
      </c>
      <c r="AT3" s="24" t="inlineStr">
        <is>
          <t>1win</t>
        </is>
      </c>
      <c r="AU3" s="24" t="inlineStr">
        <is>
          <t>1win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2375429151111a3cb0937a48db93b740727ff54a7bd88a5e4f97e0362efce045</t>
        </is>
      </c>
      <c r="BB3" s="24" t="inlineStr">
        <is>
          <t>neutral_elo</t>
        </is>
      </c>
      <c r="BC3" s="24" t="inlineStr">
        <is>
          <t>dota2-tiered-elo-v6</t>
        </is>
      </c>
      <c r="BD3" s="24" t="inlineStr">
        <is>
          <t>2375429151111a3cb0937a48db93b740727ff54a7bd88a5e4f97e0362efce045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dota2-tiered-elo-v6</t>
        </is>
      </c>
      <c r="BH3" s="24" t="inlineStr">
        <is>
          <t>2026-08-05T04:38:09.196950Z</t>
        </is>
      </c>
      <c r="BI3" s="24" t="inlineStr">
        <is>
          <t>["same_event","same_team_same_day","same_league_same_day"]</t>
        </is>
      </c>
      <c r="BJ3" s="25" t="n"/>
      <c r="BK3" s="26" t="n">
        <v>-113</v>
      </c>
      <c r="BL3" s="27" t="n">
        <v>1.884956</v>
      </c>
      <c r="BM3" s="28" t="n">
        <v>0.530516</v>
      </c>
      <c r="BN3" s="28" t="n"/>
      <c r="BO3" s="28" t="n"/>
      <c r="BP3" s="25" t="n"/>
      <c r="BQ3" s="27" t="n">
        <v>1.884956</v>
      </c>
      <c r="BR3" s="28" t="n">
        <v>0.53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0.530516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284b6a66a0c44106</t>
        </is>
      </c>
      <c r="B4" s="24" t="inlineStr">
        <is>
          <t>2026-08-05T10:46:31.198892Z</t>
        </is>
      </c>
      <c r="C4" s="24" t="inlineStr">
        <is>
          <t>2026-08-05T12:00:00Z</t>
        </is>
      </c>
      <c r="D4" s="24" t="inlineStr">
        <is>
          <t>72080</t>
        </is>
      </c>
      <c r="E4" s="24" t="inlineStr">
        <is>
          <t>DOTA2</t>
        </is>
      </c>
      <c r="F4" s="24" t="inlineStr">
        <is>
          <t>Yakult Brothers</t>
        </is>
      </c>
      <c r="G4" s="24" t="inlineStr">
        <is>
          <t>PlayTime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-203</v>
      </c>
      <c r="M4" s="27" t="n">
        <v>1.492611</v>
      </c>
      <c r="N4" s="28" t="n">
        <v>0.669967</v>
      </c>
      <c r="O4" s="28" t="n">
        <v>0.805779</v>
      </c>
      <c r="P4" s="28" t="n"/>
      <c r="Q4" s="28" t="n">
        <v>0.135812</v>
      </c>
      <c r="R4" s="26" t="n">
        <v>88</v>
      </c>
      <c r="S4" s="29" t="n">
        <v>2</v>
      </c>
      <c r="T4" s="24" t="inlineStr">
        <is>
          <t>dota2-tiered-elo-v6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-203</v>
      </c>
      <c r="AA4" s="28" t="n">
        <v>0.67</v>
      </c>
      <c r="AB4" s="28" t="n">
        <v>3.3e-05</v>
      </c>
      <c r="AC4" s="30" t="n">
        <v>0.9852</v>
      </c>
      <c r="AD4" s="24" t="inlineStr">
        <is>
          <t>2026-08-05T17:01:19.563746Z</t>
        </is>
      </c>
      <c r="AE4" s="31" t="inlineStr">
        <is>
          <t>Neutral Elo baseline; executable ask 0.6700 (market_slug=aec-dota2-pla-yb-2026-08-05).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Yakult Brothers</t>
        </is>
      </c>
      <c r="AQ4" s="24" t="inlineStr">
        <is>
          <t>Yakult Brothers</t>
        </is>
      </c>
      <c r="AR4" s="24" t="inlineStr">
        <is>
          <t>Yakult Brothers</t>
        </is>
      </c>
      <c r="AS4" s="24" t="inlineStr">
        <is>
          <t>PlayTime</t>
        </is>
      </c>
      <c r="AT4" s="24" t="inlineStr">
        <is>
          <t>PlayTime</t>
        </is>
      </c>
      <c r="AU4" s="24" t="inlineStr">
        <is>
          <t>PlayTime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dc641a33858ba89d589d026590c359ae9cf892296ca087b95549769d488c4494</t>
        </is>
      </c>
      <c r="BB4" s="24" t="inlineStr">
        <is>
          <t>neutral_elo</t>
        </is>
      </c>
      <c r="BC4" s="24" t="inlineStr">
        <is>
          <t>dota2-tiered-elo-v6</t>
        </is>
      </c>
      <c r="BD4" s="24" t="inlineStr">
        <is>
          <t>dc641a33858ba89d589d026590c359ae9cf892296ca087b95549769d488c4494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dota2-tiered-elo-v6</t>
        </is>
      </c>
      <c r="BH4" s="24" t="inlineStr">
        <is>
          <t>2026-08-05T10:46:27.725458Z</t>
        </is>
      </c>
      <c r="BI4" s="24" t="inlineStr">
        <is>
          <t>["same_event","same_team_same_day","same_league_same_day"]</t>
        </is>
      </c>
      <c r="BJ4" s="25" t="n"/>
      <c r="BK4" s="26" t="n">
        <v>-203</v>
      </c>
      <c r="BL4" s="27" t="n">
        <v>1.492611</v>
      </c>
      <c r="BM4" s="28" t="n">
        <v>0.669967</v>
      </c>
      <c r="BN4" s="28" t="n"/>
      <c r="BO4" s="28" t="n"/>
      <c r="BP4" s="25" t="n"/>
      <c r="BQ4" s="27" t="n">
        <v>1.492611</v>
      </c>
      <c r="BR4" s="28" t="n">
        <v>0.67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0.669967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f662f1f9c7f9470a</t>
        </is>
      </c>
      <c r="B5" s="24" t="inlineStr">
        <is>
          <t>2026-08-06T00:24:36.791267Z</t>
        </is>
      </c>
      <c r="C5" s="24" t="inlineStr">
        <is>
          <t>2026-08-06T09:00:00Z</t>
        </is>
      </c>
      <c r="D5" s="24" t="inlineStr">
        <is>
          <t>70575</t>
        </is>
      </c>
      <c r="E5" s="24" t="inlineStr">
        <is>
          <t>DOTA2</t>
        </is>
      </c>
      <c r="F5" s="24" t="inlineStr">
        <is>
          <t>RE.Arise</t>
        </is>
      </c>
      <c r="G5" s="24" t="inlineStr">
        <is>
          <t>Level UP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127</v>
      </c>
      <c r="M5" s="27" t="n">
        <v>2.27</v>
      </c>
      <c r="N5" s="28" t="n">
        <v>0.440529</v>
      </c>
      <c r="O5" s="28" t="n">
        <v>0.527212</v>
      </c>
      <c r="P5" s="28" t="n"/>
      <c r="Q5" s="28" t="n">
        <v>0.086683</v>
      </c>
      <c r="R5" s="26" t="n">
        <v>63</v>
      </c>
      <c r="S5" s="29" t="n">
        <v>1</v>
      </c>
      <c r="T5" s="24" t="inlineStr">
        <is>
          <t>dota2-tiered-elo-v6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/>
      <c r="AA5" s="28" t="n"/>
      <c r="AB5" s="28" t="n"/>
      <c r="AC5" s="30" t="n">
        <v>-1</v>
      </c>
      <c r="AD5" s="24" t="inlineStr">
        <is>
          <t>2026-08-06T18:57:04.657614Z</t>
        </is>
      </c>
      <c r="AE5" s="31" t="inlineStr">
        <is>
          <t>Neutral Elo baseline; executable ask 0.4400 (market_slug=aec-dota2-lvlup-rae-2026-08-06).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RE.Arise</t>
        </is>
      </c>
      <c r="AQ5" s="24" t="inlineStr">
        <is>
          <t>RE.Arise</t>
        </is>
      </c>
      <c r="AR5" s="24" t="inlineStr">
        <is>
          <t>RE.Arise</t>
        </is>
      </c>
      <c r="AS5" s="24" t="inlineStr">
        <is>
          <t>Level UP</t>
        </is>
      </c>
      <c r="AT5" s="24" t="inlineStr">
        <is>
          <t>Level UP</t>
        </is>
      </c>
      <c r="AU5" s="24" t="inlineStr">
        <is>
          <t>Level UP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4b65e86ec6027f3de08417af250975d63d7eb48ed52a953720074a1ff26360df</t>
        </is>
      </c>
      <c r="BB5" s="24" t="inlineStr">
        <is>
          <t>neutral_elo</t>
        </is>
      </c>
      <c r="BC5" s="24" t="inlineStr">
        <is>
          <t>dota2-tiered-elo-v6</t>
        </is>
      </c>
      <c r="BD5" s="24" t="inlineStr">
        <is>
          <t>4b65e86ec6027f3de08417af250975d63d7eb48ed52a953720074a1ff26360df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dota2-tiered-elo-v6</t>
        </is>
      </c>
      <c r="BH5" s="24" t="inlineStr">
        <is>
          <t>2026-08-06T00:24:35.411288Z</t>
        </is>
      </c>
      <c r="BI5" s="24" t="inlineStr">
        <is>
          <t>["same_event","same_team_same_day","same_league_same_day"]</t>
        </is>
      </c>
      <c r="BJ5" s="25" t="n"/>
      <c r="BK5" s="26" t="n">
        <v>127</v>
      </c>
      <c r="BL5" s="27" t="n">
        <v>2.27</v>
      </c>
      <c r="BM5" s="28" t="n">
        <v>0.440529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0.440529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b7605df98a074b62</t>
        </is>
      </c>
      <c r="B6" s="24" t="inlineStr">
        <is>
          <t>2026-08-06T00:24:36.791267Z</t>
        </is>
      </c>
      <c r="C6" s="24" t="inlineStr">
        <is>
          <t>2026-08-06T12:00:00Z</t>
        </is>
      </c>
      <c r="D6" s="24" t="inlineStr">
        <is>
          <t>70648</t>
        </is>
      </c>
      <c r="E6" s="24" t="inlineStr">
        <is>
          <t>DOTA2</t>
        </is>
      </c>
      <c r="F6" s="24" t="inlineStr">
        <is>
          <t>No Hoodwink</t>
        </is>
      </c>
      <c r="G6" s="24" t="inlineStr">
        <is>
          <t>RE.Arise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133</v>
      </c>
      <c r="M6" s="27" t="n">
        <v>2.33</v>
      </c>
      <c r="N6" s="28" t="n">
        <v>0.429185</v>
      </c>
      <c r="O6" s="28" t="n">
        <v>0.61125</v>
      </c>
      <c r="P6" s="28" t="n"/>
      <c r="Q6" s="28" t="n">
        <v>0.182065</v>
      </c>
      <c r="R6" s="26" t="n">
        <v>100</v>
      </c>
      <c r="S6" s="29" t="n">
        <v>1.5</v>
      </c>
      <c r="T6" s="24" t="inlineStr">
        <is>
          <t>dota2-tiered-elo-v6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/>
      <c r="AA6" s="28" t="n"/>
      <c r="AB6" s="28" t="n"/>
      <c r="AC6" s="30" t="n">
        <v>1.995</v>
      </c>
      <c r="AD6" s="24" t="inlineStr">
        <is>
          <t>2026-08-06T18:57:06.215732Z</t>
        </is>
      </c>
      <c r="AE6" s="31" t="inlineStr">
        <is>
          <t>Neutral Elo baseline; executable ask 0.4300 (market_slug=aec-dota2-rae-nh-2026-08-06).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No Hoodwink</t>
        </is>
      </c>
      <c r="AQ6" s="24" t="inlineStr">
        <is>
          <t>No Hoodwink</t>
        </is>
      </c>
      <c r="AR6" s="24" t="inlineStr">
        <is>
          <t>No Hoodwink</t>
        </is>
      </c>
      <c r="AS6" s="24" t="inlineStr">
        <is>
          <t>RE.Arise</t>
        </is>
      </c>
      <c r="AT6" s="24" t="inlineStr">
        <is>
          <t>RE.Arise</t>
        </is>
      </c>
      <c r="AU6" s="24" t="inlineStr">
        <is>
          <t>RE.Arise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4b65e86ec6027f3de08417af250975d63d7eb48ed52a953720074a1ff26360df</t>
        </is>
      </c>
      <c r="BB6" s="24" t="inlineStr">
        <is>
          <t>neutral_elo</t>
        </is>
      </c>
      <c r="BC6" s="24" t="inlineStr">
        <is>
          <t>dota2-tiered-elo-v6</t>
        </is>
      </c>
      <c r="BD6" s="24" t="inlineStr">
        <is>
          <t>4b65e86ec6027f3de08417af250975d63d7eb48ed52a953720074a1ff26360df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dota2-tiered-elo-v6</t>
        </is>
      </c>
      <c r="BH6" s="24" t="inlineStr">
        <is>
          <t>2026-08-06T00:24:35.868255Z</t>
        </is>
      </c>
      <c r="BI6" s="24" t="inlineStr">
        <is>
          <t>["same_event","same_team_same_day","same_league_same_day"]</t>
        </is>
      </c>
      <c r="BJ6" s="25" t="n"/>
      <c r="BK6" s="26" t="n">
        <v>133</v>
      </c>
      <c r="BL6" s="27" t="n">
        <v>2.33</v>
      </c>
      <c r="BM6" s="28" t="n">
        <v>0.429185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0.429185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ddc8da4bf3474fbd</t>
        </is>
      </c>
      <c r="B7" s="24" t="inlineStr">
        <is>
          <t>2026-08-07T06:05:31.608591Z</t>
        </is>
      </c>
      <c r="C7" s="24" t="inlineStr">
        <is>
          <t>2026-08-07T09:00:00Z</t>
        </is>
      </c>
      <c r="D7" s="24" t="inlineStr">
        <is>
          <t>71682</t>
        </is>
      </c>
      <c r="E7" s="24" t="inlineStr">
        <is>
          <t>DOTA2</t>
        </is>
      </c>
      <c r="F7" s="24" t="inlineStr">
        <is>
          <t>Zero Tenacity</t>
        </is>
      </c>
      <c r="G7" s="24" t="inlineStr">
        <is>
          <t>No Hoodwink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-133</v>
      </c>
      <c r="M7" s="27" t="n">
        <v>1.75188</v>
      </c>
      <c r="N7" s="28" t="n">
        <v>0.570815</v>
      </c>
      <c r="O7" s="28" t="n">
        <v>0.655357</v>
      </c>
      <c r="P7" s="28" t="n"/>
      <c r="Q7" s="28" t="n">
        <v>0.08454200000000001</v>
      </c>
      <c r="R7" s="26" t="n">
        <v>62</v>
      </c>
      <c r="S7" s="29" t="n">
        <v>1.75</v>
      </c>
      <c r="T7" s="24" t="inlineStr">
        <is>
          <t>dota2-tiered-elo-v6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>
        <v>-133</v>
      </c>
      <c r="AA7" s="28" t="n">
        <v>0.57</v>
      </c>
      <c r="AB7" s="28" t="n">
        <v>-0.000815</v>
      </c>
      <c r="AC7" s="30" t="n">
        <v>1.3158</v>
      </c>
      <c r="AD7" s="24" t="inlineStr">
        <is>
          <t>2026-08-07T12:14:21.123639Z</t>
        </is>
      </c>
      <c r="AE7" s="31" t="inlineStr">
        <is>
          <t>Neutral Elo baseline; executable ask 0.5700 (market_slug=aec-dota2-nh-z10-2026-08-07).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Zero Tenacity</t>
        </is>
      </c>
      <c r="AQ7" s="24" t="inlineStr">
        <is>
          <t>Zero Tenacity</t>
        </is>
      </c>
      <c r="AR7" s="24" t="inlineStr">
        <is>
          <t>Zero Tenacity</t>
        </is>
      </c>
      <c r="AS7" s="24" t="inlineStr">
        <is>
          <t>No Hoodwink</t>
        </is>
      </c>
      <c r="AT7" s="24" t="inlineStr">
        <is>
          <t>No Hoodwink</t>
        </is>
      </c>
      <c r="AU7" s="24" t="inlineStr">
        <is>
          <t>No Hoodwink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b5735afe41509d1bfa8df2510b921846426862fa58936449e65c5e162a34c4c8</t>
        </is>
      </c>
      <c r="BB7" s="24" t="inlineStr">
        <is>
          <t>neutral_elo</t>
        </is>
      </c>
      <c r="BC7" s="24" t="inlineStr">
        <is>
          <t>dota2-tiered-elo-v6</t>
        </is>
      </c>
      <c r="BD7" s="24" t="inlineStr">
        <is>
          <t>b5735afe41509d1bfa8df2510b921846426862fa58936449e65c5e162a34c4c8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dota2-tiered-elo-v6</t>
        </is>
      </c>
      <c r="BH7" s="24" t="inlineStr">
        <is>
          <t>2026-08-07T06:05:28.583196Z</t>
        </is>
      </c>
      <c r="BI7" s="24" t="inlineStr">
        <is>
          <t>["same_event","same_team_same_day","same_league_same_day"]</t>
        </is>
      </c>
      <c r="BJ7" s="25" t="n"/>
      <c r="BK7" s="26" t="n">
        <v>-133</v>
      </c>
      <c r="BL7" s="27" t="n">
        <v>1.75188</v>
      </c>
      <c r="BM7" s="28" t="n">
        <v>0.570815</v>
      </c>
      <c r="BN7" s="28" t="n"/>
      <c r="BO7" s="28" t="n"/>
      <c r="BP7" s="25" t="n"/>
      <c r="BQ7" s="27" t="n">
        <v>1.75188</v>
      </c>
      <c r="BR7" s="28" t="n">
        <v>0.57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0.570815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bcfaf2734c4a4ea1</t>
        </is>
      </c>
      <c r="B8" s="24" t="inlineStr">
        <is>
          <t>2026-08-07T09:11:24.357961Z</t>
        </is>
      </c>
      <c r="C8" s="24" t="inlineStr">
        <is>
          <t>2026-08-07T12:00:00Z</t>
        </is>
      </c>
      <c r="D8" s="24" t="inlineStr">
        <is>
          <t>71775</t>
        </is>
      </c>
      <c r="E8" s="24" t="inlineStr">
        <is>
          <t>DOTA2</t>
        </is>
      </c>
      <c r="F8" s="24" t="inlineStr">
        <is>
          <t>Team Syntax</t>
        </is>
      </c>
      <c r="G8" s="24" t="inlineStr">
        <is>
          <t>Ilbirs eSports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150</v>
      </c>
      <c r="M8" s="27" t="n">
        <v>2.5</v>
      </c>
      <c r="N8" s="28" t="n">
        <v>0.4</v>
      </c>
      <c r="O8" s="28" t="n">
        <v>0.534269</v>
      </c>
      <c r="P8" s="28" t="n"/>
      <c r="Q8" s="28" t="n">
        <v>0.134269</v>
      </c>
      <c r="R8" s="26" t="n">
        <v>87</v>
      </c>
      <c r="S8" s="29" t="n">
        <v>1</v>
      </c>
      <c r="T8" s="24" t="inlineStr">
        <is>
          <t>dota2-tiered-elo-v6</t>
        </is>
      </c>
      <c r="U8" s="24" t="inlineStr">
        <is>
          <t>settled</t>
        </is>
      </c>
      <c r="V8" s="24" t="inlineStr">
        <is>
          <t>loss</t>
        </is>
      </c>
      <c r="W8" s="26" t="n">
        <v>0</v>
      </c>
      <c r="X8" s="26" t="n">
        <v>1</v>
      </c>
      <c r="Y8" s="25" t="n"/>
      <c r="Z8" s="26" t="n">
        <v>150</v>
      </c>
      <c r="AA8" s="28" t="n">
        <v>0.4</v>
      </c>
      <c r="AB8" s="28" t="n">
        <v>0</v>
      </c>
      <c r="AC8" s="30" t="n">
        <v>-1</v>
      </c>
      <c r="AD8" s="24" t="inlineStr">
        <is>
          <t>2026-08-07T15:20:05.107086Z</t>
        </is>
      </c>
      <c r="AE8" s="31" t="inlineStr">
        <is>
          <t>Neutral Elo baseline; executable ask 0.4000 (market_slug=aec-dota2-ill-stx-2026-08-07).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Team Syntax</t>
        </is>
      </c>
      <c r="AQ8" s="24" t="inlineStr">
        <is>
          <t>Team Syntax</t>
        </is>
      </c>
      <c r="AR8" s="24" t="inlineStr">
        <is>
          <t>Team Syntax</t>
        </is>
      </c>
      <c r="AS8" s="24" t="inlineStr">
        <is>
          <t>Ilbirs eSports</t>
        </is>
      </c>
      <c r="AT8" s="24" t="inlineStr">
        <is>
          <t>Ilbirs eSports</t>
        </is>
      </c>
      <c r="AU8" s="24" t="inlineStr">
        <is>
          <t>Ilbirs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f9dedaeb469ef593cde46debd4929efce40f56a153d988595b6823ce5dad05ca</t>
        </is>
      </c>
      <c r="BB8" s="24" t="inlineStr">
        <is>
          <t>neutral_elo</t>
        </is>
      </c>
      <c r="BC8" s="24" t="inlineStr">
        <is>
          <t>dota2-tiered-elo-v6</t>
        </is>
      </c>
      <c r="BD8" s="24" t="inlineStr">
        <is>
          <t>f9dedaeb469ef593cde46debd4929efce40f56a153d988595b6823ce5dad05ca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dota2-tiered-elo-v6</t>
        </is>
      </c>
      <c r="BH8" s="24" t="inlineStr">
        <is>
          <t>2026-08-07T09:11:20.860338Z</t>
        </is>
      </c>
      <c r="BI8" s="24" t="inlineStr">
        <is>
          <t>["same_event","same_team_same_day","same_league_same_day"]</t>
        </is>
      </c>
      <c r="BJ8" s="25" t="n"/>
      <c r="BK8" s="26" t="n">
        <v>150</v>
      </c>
      <c r="BL8" s="27" t="n">
        <v>2.5</v>
      </c>
      <c r="BM8" s="28" t="n">
        <v>0.4</v>
      </c>
      <c r="BN8" s="28" t="n"/>
      <c r="BO8" s="28" t="n"/>
      <c r="BP8" s="25" t="n"/>
      <c r="BQ8" s="27" t="n">
        <v>2.5</v>
      </c>
      <c r="BR8" s="28" t="n">
        <v>0.4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45a61894cd4649f1</t>
        </is>
      </c>
      <c r="B9" s="24" t="inlineStr">
        <is>
          <t>2026-08-08T04:07:53.607771Z</t>
        </is>
      </c>
      <c r="C9" s="24" t="inlineStr">
        <is>
          <t>2026-08-08T09:00:00Z</t>
        </is>
      </c>
      <c r="D9" s="24" t="inlineStr">
        <is>
          <t>74329</t>
        </is>
      </c>
      <c r="E9" s="24" t="inlineStr">
        <is>
          <t>DOTA2</t>
        </is>
      </c>
      <c r="F9" s="24" t="inlineStr">
        <is>
          <t>No Hoodwink</t>
        </is>
      </c>
      <c r="G9" s="24" t="inlineStr">
        <is>
          <t>Ilbirs eSports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138</v>
      </c>
      <c r="M9" s="27" t="n">
        <v>2.38</v>
      </c>
      <c r="N9" s="28" t="n">
        <v>0.420168</v>
      </c>
      <c r="O9" s="28" t="n">
        <v>0.694921</v>
      </c>
      <c r="P9" s="28" t="n"/>
      <c r="Q9" s="28" t="n">
        <v>0.274753</v>
      </c>
      <c r="R9" s="26" t="n">
        <v>100</v>
      </c>
      <c r="S9" s="29" t="n">
        <v>2</v>
      </c>
      <c r="T9" s="24" t="inlineStr">
        <is>
          <t>dota2-tiered-elo-v6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>
        <v>138</v>
      </c>
      <c r="AA9" s="28" t="n">
        <v>0.42</v>
      </c>
      <c r="AB9" s="28" t="n">
        <v>-0.000168</v>
      </c>
      <c r="AC9" s="30" t="n">
        <v>-2</v>
      </c>
      <c r="AD9" s="24" t="inlineStr">
        <is>
          <t>2026-08-08T18:35:14.743910Z</t>
        </is>
      </c>
      <c r="AE9" s="31" t="inlineStr">
        <is>
          <t>Neutral Elo baseline; executable ask 0.4200 (market_slug=aec-dota2-ill-nh-2026-08-08).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No Hoodwink</t>
        </is>
      </c>
      <c r="AQ9" s="24" t="inlineStr">
        <is>
          <t>No Hoodwink</t>
        </is>
      </c>
      <c r="AR9" s="24" t="inlineStr">
        <is>
          <t>No Hoodwink</t>
        </is>
      </c>
      <c r="AS9" s="24" t="inlineStr">
        <is>
          <t>Ilbirs eSports</t>
        </is>
      </c>
      <c r="AT9" s="24" t="inlineStr">
        <is>
          <t>Ilbirs eSports</t>
        </is>
      </c>
      <c r="AU9" s="24" t="inlineStr">
        <is>
          <t>Ilbirs eSports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0cf8a886b6f638698c8273f1686e63957340d124b26747939ba7748e5424e52f</t>
        </is>
      </c>
      <c r="BB9" s="24" t="inlineStr">
        <is>
          <t>neutral_elo</t>
        </is>
      </c>
      <c r="BC9" s="24" t="inlineStr">
        <is>
          <t>dota2-tiered-elo-v6</t>
        </is>
      </c>
      <c r="BD9" s="24" t="inlineStr">
        <is>
          <t>0cf8a886b6f638698c8273f1686e63957340d124b26747939ba7748e5424e52f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dota2-tiered-elo-v6</t>
        </is>
      </c>
      <c r="BH9" s="24" t="inlineStr">
        <is>
          <t>2026-08-08T04:07:52.173653Z</t>
        </is>
      </c>
      <c r="BI9" s="24" t="inlineStr">
        <is>
          <t>["same_event","same_team_same_day","same_league_same_day"]</t>
        </is>
      </c>
      <c r="BJ9" s="25" t="n"/>
      <c r="BK9" s="26" t="n">
        <v>138</v>
      </c>
      <c r="BL9" s="27" t="n">
        <v>2.38</v>
      </c>
      <c r="BM9" s="28" t="n">
        <v>0.420168</v>
      </c>
      <c r="BN9" s="28" t="n"/>
      <c r="BO9" s="28" t="n"/>
      <c r="BP9" s="25" t="n"/>
      <c r="BQ9" s="27" t="n">
        <v>2.38</v>
      </c>
      <c r="BR9" s="28" t="n">
        <v>0.42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0.420168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01ca169d9c424db6</t>
        </is>
      </c>
      <c r="B10" s="24" t="inlineStr">
        <is>
          <t>2026-08-08T04:07:53.607771Z</t>
        </is>
      </c>
      <c r="C10" s="24" t="inlineStr">
        <is>
          <t>2026-08-08T12:00:00Z</t>
        </is>
      </c>
      <c r="D10" s="24" t="inlineStr">
        <is>
          <t>74944</t>
        </is>
      </c>
      <c r="E10" s="24" t="inlineStr">
        <is>
          <t>DOTA2</t>
        </is>
      </c>
      <c r="F10" s="24" t="inlineStr">
        <is>
          <t>PuckChamp</t>
        </is>
      </c>
      <c r="G10" s="24" t="inlineStr">
        <is>
          <t>FTS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156</v>
      </c>
      <c r="M10" s="27" t="n">
        <v>2.56</v>
      </c>
      <c r="N10" s="28" t="n">
        <v>0.390625</v>
      </c>
      <c r="O10" s="28" t="n">
        <v>0.533843</v>
      </c>
      <c r="P10" s="28" t="n"/>
      <c r="Q10" s="28" t="n">
        <v>0.143218</v>
      </c>
      <c r="R10" s="26" t="n">
        <v>92</v>
      </c>
      <c r="S10" s="29" t="n">
        <v>1</v>
      </c>
      <c r="T10" s="24" t="inlineStr">
        <is>
          <t>dota2-tiered-elo-v6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>
        <v>150</v>
      </c>
      <c r="AA10" s="28" t="n">
        <v>0.4</v>
      </c>
      <c r="AB10" s="28" t="n">
        <v>0.009375</v>
      </c>
      <c r="AC10" s="30" t="n">
        <v>1.56</v>
      </c>
      <c r="AD10" s="24" t="inlineStr">
        <is>
          <t>2026-08-08T18:35:16.134540Z</t>
        </is>
      </c>
      <c r="AE10" s="31" t="inlineStr">
        <is>
          <t>Neutral Elo baseline; executable ask 0.3900 (market_slug=aec-dota2-fts-pckcp-2026-08-08).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PuckChamp</t>
        </is>
      </c>
      <c r="AQ10" s="24" t="inlineStr">
        <is>
          <t>PuckChamp</t>
        </is>
      </c>
      <c r="AR10" s="24" t="inlineStr">
        <is>
          <t>PuckChamp</t>
        </is>
      </c>
      <c r="AS10" s="24" t="inlineStr">
        <is>
          <t>FTS</t>
        </is>
      </c>
      <c r="AT10" s="24" t="inlineStr">
        <is>
          <t>FTS</t>
        </is>
      </c>
      <c r="AU10" s="24" t="inlineStr">
        <is>
          <t>FTS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0cf8a886b6f638698c8273f1686e63957340d124b26747939ba7748e5424e52f</t>
        </is>
      </c>
      <c r="BB10" s="24" t="inlineStr">
        <is>
          <t>neutral_elo</t>
        </is>
      </c>
      <c r="BC10" s="24" t="inlineStr">
        <is>
          <t>dota2-tiered-elo-v6</t>
        </is>
      </c>
      <c r="BD10" s="24" t="inlineStr">
        <is>
          <t>0cf8a886b6f638698c8273f1686e63957340d124b26747939ba7748e5424e52f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dota2-tiered-elo-v6</t>
        </is>
      </c>
      <c r="BH10" s="24" t="inlineStr">
        <is>
          <t>2026-08-08T04:07:52.761230Z</t>
        </is>
      </c>
      <c r="BI10" s="24" t="inlineStr">
        <is>
          <t>["same_event","same_team_same_day","same_league_same_day"]</t>
        </is>
      </c>
      <c r="BJ10" s="25" t="n"/>
      <c r="BK10" s="26" t="n">
        <v>156</v>
      </c>
      <c r="BL10" s="27" t="n">
        <v>2.56</v>
      </c>
      <c r="BM10" s="28" t="n">
        <v>0.390625</v>
      </c>
      <c r="BN10" s="28" t="n"/>
      <c r="BO10" s="28" t="n"/>
      <c r="BP10" s="25" t="n"/>
      <c r="BQ10" s="27" t="n">
        <v>2.5</v>
      </c>
      <c r="BR10" s="28" t="n">
        <v>0.4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0.390625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9b6f24dfab3648db</t>
        </is>
      </c>
      <c r="B11" s="24" t="inlineStr">
        <is>
          <t>2026-08-10T05:41:14.399564Z</t>
        </is>
      </c>
      <c r="C11" s="24" t="inlineStr">
        <is>
          <t>2026-08-10T09:00:00Z</t>
        </is>
      </c>
      <c r="D11" s="24" t="inlineStr">
        <is>
          <t>76395</t>
        </is>
      </c>
      <c r="E11" s="24" t="inlineStr">
        <is>
          <t>DOTA2</t>
        </is>
      </c>
      <c r="F11" s="24" t="inlineStr">
        <is>
          <t>MOUZ</t>
        </is>
      </c>
      <c r="G11" s="24" t="inlineStr">
        <is>
          <t>Power Rangers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122</v>
      </c>
      <c r="M11" s="27" t="n">
        <v>2.22</v>
      </c>
      <c r="N11" s="28" t="n">
        <v>0.45045</v>
      </c>
      <c r="O11" s="28" t="n">
        <v>0.617196</v>
      </c>
      <c r="P11" s="28" t="n"/>
      <c r="Q11" s="28" t="n">
        <v>0.166746</v>
      </c>
      <c r="R11" s="26" t="n">
        <v>100</v>
      </c>
      <c r="S11" s="29" t="n">
        <v>1.5</v>
      </c>
      <c r="T11" s="24" t="inlineStr">
        <is>
          <t>dota2-tiered-elo-v6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122</v>
      </c>
      <c r="AA11" s="28" t="n">
        <v>0.45</v>
      </c>
      <c r="AB11" s="28" t="n">
        <v>-0.00045</v>
      </c>
      <c r="AC11" s="30" t="n">
        <v>-1.5</v>
      </c>
      <c r="AD11" s="24" t="inlineStr">
        <is>
          <t>2026-08-10T16:33:35.786710Z</t>
        </is>
      </c>
      <c r="AE11" s="31" t="inlineStr">
        <is>
          <t>Neutral Elo baseline; executable ask 0.4500 (market_slug=aec-dota2-pr-mouz-2026-08-10).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MOUZ</t>
        </is>
      </c>
      <c r="AQ11" s="24" t="inlineStr">
        <is>
          <t>MOUZ</t>
        </is>
      </c>
      <c r="AR11" s="24" t="inlineStr">
        <is>
          <t>MOUZ</t>
        </is>
      </c>
      <c r="AS11" s="24" t="inlineStr">
        <is>
          <t>Power Rangers</t>
        </is>
      </c>
      <c r="AT11" s="24" t="inlineStr">
        <is>
          <t>Power Rangers</t>
        </is>
      </c>
      <c r="AU11" s="24" t="inlineStr">
        <is>
          <t>Power Rangers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2e4ae6cde129603fa72e772e36ee857b52e2bf4f4d2d82d428622477e46d2626</t>
        </is>
      </c>
      <c r="BB11" s="24" t="inlineStr">
        <is>
          <t>neutral_elo</t>
        </is>
      </c>
      <c r="BC11" s="24" t="inlineStr">
        <is>
          <t>dota2-tiered-elo-v6</t>
        </is>
      </c>
      <c r="BD11" s="24" t="inlineStr">
        <is>
          <t>2e4ae6cde129603fa72e772e36ee857b52e2bf4f4d2d82d428622477e46d2626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dota2-tiered-elo-v6</t>
        </is>
      </c>
      <c r="BH11" s="24" t="inlineStr">
        <is>
          <t>2026-08-10T05:41:11.396742Z</t>
        </is>
      </c>
      <c r="BI11" s="24" t="inlineStr">
        <is>
          <t>["same_event","same_team_same_day","same_league_same_day"]</t>
        </is>
      </c>
      <c r="BJ11" s="25" t="n"/>
      <c r="BK11" s="26" t="n">
        <v>122</v>
      </c>
      <c r="BL11" s="27" t="n">
        <v>2.22</v>
      </c>
      <c r="BM11" s="28" t="n">
        <v>0.45045</v>
      </c>
      <c r="BN11" s="28" t="n"/>
      <c r="BO11" s="28" t="n"/>
      <c r="BP11" s="25" t="n"/>
      <c r="BQ11" s="27" t="n">
        <v>2.22</v>
      </c>
      <c r="BR11" s="28" t="n">
        <v>0.45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0.45045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60856079a65f46ee</t>
        </is>
      </c>
      <c r="B12" s="24" t="inlineStr">
        <is>
          <t>2026-08-10T05:41:14.399564Z</t>
        </is>
      </c>
      <c r="C12" s="24" t="inlineStr">
        <is>
          <t>2026-08-10T15:00:00Z</t>
        </is>
      </c>
      <c r="D12" s="24" t="inlineStr">
        <is>
          <t>76396</t>
        </is>
      </c>
      <c r="E12" s="24" t="inlineStr">
        <is>
          <t>DOTA2</t>
        </is>
      </c>
      <c r="F12" s="24" t="inlineStr">
        <is>
          <t>Level UP</t>
        </is>
      </c>
      <c r="G12" s="24" t="inlineStr">
        <is>
          <t>Yellow Submarine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100</v>
      </c>
      <c r="M12" s="27" t="n">
        <v>2</v>
      </c>
      <c r="N12" s="28" t="n">
        <v>0.5</v>
      </c>
      <c r="O12" s="28" t="n">
        <v>0.5843469999999999</v>
      </c>
      <c r="P12" s="28" t="n"/>
      <c r="Q12" s="28" t="n">
        <v>0.08434700000000001</v>
      </c>
      <c r="R12" s="26" t="n">
        <v>62</v>
      </c>
      <c r="S12" s="29" t="n">
        <v>1.25</v>
      </c>
      <c r="T12" s="24" t="inlineStr">
        <is>
          <t>dota2-tiered-elo-v6</t>
        </is>
      </c>
      <c r="U12" s="24" t="inlineStr">
        <is>
          <t>settled</t>
        </is>
      </c>
      <c r="V12" s="24" t="inlineStr">
        <is>
          <t>loss</t>
        </is>
      </c>
      <c r="W12" s="26" t="n">
        <v>1</v>
      </c>
      <c r="X12" s="26" t="n">
        <v>0</v>
      </c>
      <c r="Y12" s="25" t="n"/>
      <c r="Z12" s="26" t="n">
        <v>100</v>
      </c>
      <c r="AA12" s="28" t="n">
        <v>0.5</v>
      </c>
      <c r="AB12" s="28" t="n">
        <v>0</v>
      </c>
      <c r="AC12" s="30" t="n">
        <v>-1.25</v>
      </c>
      <c r="AD12" s="24" t="inlineStr">
        <is>
          <t>2026-08-11T13:09:06.403801Z</t>
        </is>
      </c>
      <c r="AE12" s="31" t="inlineStr">
        <is>
          <t>Neutral Elo baseline; executable ask 0.5000 (market_slug=aec-dota2-yes-lvlup-2026-08-10).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Level UP</t>
        </is>
      </c>
      <c r="AQ12" s="24" t="inlineStr">
        <is>
          <t>Level UP</t>
        </is>
      </c>
      <c r="AR12" s="24" t="inlineStr">
        <is>
          <t>Level UP</t>
        </is>
      </c>
      <c r="AS12" s="24" t="inlineStr">
        <is>
          <t>Yellow Submarine</t>
        </is>
      </c>
      <c r="AT12" s="24" t="inlineStr">
        <is>
          <t>Yellow Submarine</t>
        </is>
      </c>
      <c r="AU12" s="24" t="inlineStr">
        <is>
          <t>Yellow Submarine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2e4ae6cde129603fa72e772e36ee857b52e2bf4f4d2d82d428622477e46d2626</t>
        </is>
      </c>
      <c r="BB12" s="24" t="inlineStr">
        <is>
          <t>neutral_elo</t>
        </is>
      </c>
      <c r="BC12" s="24" t="inlineStr">
        <is>
          <t>dota2-tiered-elo-v6</t>
        </is>
      </c>
      <c r="BD12" s="24" t="inlineStr">
        <is>
          <t>2e4ae6cde129603fa72e772e36ee857b52e2bf4f4d2d82d428622477e46d2626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dota2-tiered-elo-v6</t>
        </is>
      </c>
      <c r="BH12" s="24" t="inlineStr">
        <is>
          <t>2026-08-10T05:41:13.718619Z</t>
        </is>
      </c>
      <c r="BI12" s="24" t="inlineStr">
        <is>
          <t>["same_event","same_team_same_day","same_league_same_day"]</t>
        </is>
      </c>
      <c r="BJ12" s="25" t="n"/>
      <c r="BK12" s="26" t="n">
        <v>100</v>
      </c>
      <c r="BL12" s="27" t="n">
        <v>2</v>
      </c>
      <c r="BM12" s="28" t="n">
        <v>0.5</v>
      </c>
      <c r="BN12" s="28" t="n"/>
      <c r="BO12" s="28" t="n"/>
      <c r="BP12" s="25" t="n"/>
      <c r="BQ12" s="27" t="n">
        <v>2</v>
      </c>
      <c r="BR12" s="28" t="n">
        <v>0.5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be73ecddea644b15</t>
        </is>
      </c>
      <c r="B13" s="24" t="inlineStr">
        <is>
          <t>2026-08-12T08:22:28.832657Z</t>
        </is>
      </c>
      <c r="C13" s="24" t="inlineStr">
        <is>
          <t>2026-08-12T09:00:00Z</t>
        </is>
      </c>
      <c r="D13" s="24" t="inlineStr">
        <is>
          <t>79381</t>
        </is>
      </c>
      <c r="E13" s="24" t="inlineStr">
        <is>
          <t>DOTA2</t>
        </is>
      </c>
      <c r="F13" s="24" t="inlineStr">
        <is>
          <t>Rune Eaters</t>
        </is>
      </c>
      <c r="G13" s="24" t="inlineStr">
        <is>
          <t>Level UP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122</v>
      </c>
      <c r="M13" s="27" t="n">
        <v>2.22</v>
      </c>
      <c r="N13" s="28" t="n">
        <v>0.45045</v>
      </c>
      <c r="O13" s="28" t="n">
        <v>0.5450159999999999</v>
      </c>
      <c r="P13" s="28" t="n"/>
      <c r="Q13" s="28" t="n">
        <v>0.094566</v>
      </c>
      <c r="R13" s="26" t="n">
        <v>67</v>
      </c>
      <c r="S13" s="29" t="n">
        <v>1</v>
      </c>
      <c r="T13" s="24" t="inlineStr">
        <is>
          <t>dota2-tiered-elo-v6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122</v>
      </c>
      <c r="AA13" s="28" t="n">
        <v>0.45</v>
      </c>
      <c r="AB13" s="28" t="n">
        <v>-0.00045</v>
      </c>
      <c r="AC13" s="30" t="n">
        <v>1.22</v>
      </c>
      <c r="AD13" s="24" t="inlineStr">
        <is>
          <t>2026-08-12T14:33:48.625425Z</t>
        </is>
      </c>
      <c r="AE13" s="31" t="inlineStr">
        <is>
          <t>Neutral Elo baseline; executable ask 0.4500 (market_slug=aec-dota2-lvlup-re-2026-08-12).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Rune Eaters</t>
        </is>
      </c>
      <c r="AQ13" s="24" t="inlineStr">
        <is>
          <t>Rune Eaters</t>
        </is>
      </c>
      <c r="AR13" s="24" t="inlineStr">
        <is>
          <t>Rune Eaters</t>
        </is>
      </c>
      <c r="AS13" s="24" t="inlineStr">
        <is>
          <t>Level UP</t>
        </is>
      </c>
      <c r="AT13" s="24" t="inlineStr">
        <is>
          <t>Level UP</t>
        </is>
      </c>
      <c r="AU13" s="24" t="inlineStr">
        <is>
          <t>Level UP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4806051748ca0e0e71f7a78cdec3088c19d0b8147cff09cd9e9a8b19e8dc6791</t>
        </is>
      </c>
      <c r="BB13" s="24" t="inlineStr">
        <is>
          <t>neutral_elo</t>
        </is>
      </c>
      <c r="BC13" s="24" t="inlineStr">
        <is>
          <t>dota2-tiered-elo-v6</t>
        </is>
      </c>
      <c r="BD13" s="24" t="inlineStr">
        <is>
          <t>4806051748ca0e0e71f7a78cdec3088c19d0b8147cff09cd9e9a8b19e8dc6791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dota2-tiered-elo-v6</t>
        </is>
      </c>
      <c r="BH13" s="24" t="inlineStr">
        <is>
          <t>2026-08-12T08:22:23.388322Z</t>
        </is>
      </c>
      <c r="BI13" s="24" t="inlineStr">
        <is>
          <t>["same_event","same_team_same_day","same_league_same_day"]</t>
        </is>
      </c>
      <c r="BJ13" s="25" t="n"/>
      <c r="BK13" s="26" t="n">
        <v>122</v>
      </c>
      <c r="BL13" s="27" t="n">
        <v>2.22</v>
      </c>
      <c r="BM13" s="28" t="n">
        <v>0.45045</v>
      </c>
      <c r="BN13" s="28" t="n"/>
      <c r="BO13" s="28" t="n"/>
      <c r="BP13" s="25" t="n"/>
      <c r="BQ13" s="27" t="n">
        <v>2.22</v>
      </c>
      <c r="BR13" s="28" t="n">
        <v>0.45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0.45045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52e407a4b55f4fdc</t>
        </is>
      </c>
      <c r="B14" s="24" t="inlineStr">
        <is>
          <t>2026-08-12T21:33:42.422268Z</t>
        </is>
      </c>
      <c r="C14" s="24" t="inlineStr">
        <is>
          <t>2026-08-13T05:00:00Z</t>
        </is>
      </c>
      <c r="D14" s="24" t="inlineStr">
        <is>
          <t>77167</t>
        </is>
      </c>
      <c r="E14" s="24" t="inlineStr">
        <is>
          <t>DOTA2</t>
        </is>
      </c>
      <c r="F14" s="24" t="inlineStr">
        <is>
          <t>Xtreme Gaming</t>
        </is>
      </c>
      <c r="G14" s="24" t="inlineStr">
        <is>
          <t>Team Spirit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-233</v>
      </c>
      <c r="M14" s="27" t="n">
        <v>1.429185</v>
      </c>
      <c r="N14" s="28" t="n">
        <v>0.6997</v>
      </c>
      <c r="O14" s="28" t="n">
        <v>0.738336</v>
      </c>
      <c r="P14" s="28" t="n"/>
      <c r="Q14" s="28" t="n">
        <v>0.038636</v>
      </c>
      <c r="R14" s="26" t="n">
        <v>39</v>
      </c>
      <c r="S14" s="29" t="n">
        <v>2</v>
      </c>
      <c r="T14" s="24" t="inlineStr">
        <is>
          <t>dota2-tiered-elo-v6</t>
        </is>
      </c>
      <c r="U14" s="24" t="inlineStr">
        <is>
          <t>settled</t>
        </is>
      </c>
      <c r="V14" s="24" t="inlineStr">
        <is>
          <t>win</t>
        </is>
      </c>
      <c r="W14" s="26" t="n">
        <v>0</v>
      </c>
      <c r="X14" s="26" t="n">
        <v>1</v>
      </c>
      <c r="Y14" s="25" t="n"/>
      <c r="Z14" s="26" t="n"/>
      <c r="AA14" s="28" t="n"/>
      <c r="AB14" s="28" t="n"/>
      <c r="AC14" s="30" t="n">
        <v>0.8584000000000001</v>
      </c>
      <c r="AD14" s="24" t="inlineStr">
        <is>
          <t>2026-08-13T10:07:17.377045Z</t>
        </is>
      </c>
      <c r="AE14" s="31" t="inlineStr">
        <is>
          <t>Neutral Elo baseline; executable ask 0.7000 (market_slug=aec-dota2-ts-xtreme-2026-08-13).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Xtreme Gaming</t>
        </is>
      </c>
      <c r="AQ14" s="24" t="inlineStr">
        <is>
          <t>Xtreme Gaming</t>
        </is>
      </c>
      <c r="AR14" s="24" t="inlineStr">
        <is>
          <t>Xtreme Gaming</t>
        </is>
      </c>
      <c r="AS14" s="24" t="inlineStr">
        <is>
          <t>Team Spirit</t>
        </is>
      </c>
      <c r="AT14" s="24" t="inlineStr">
        <is>
          <t>Team Spirit</t>
        </is>
      </c>
      <c r="AU14" s="24" t="inlineStr">
        <is>
          <t>Team Spirit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3a1a2b913a7c526741b38a48f0957f5889bc186a2bd05c8fa45d935778de3be1</t>
        </is>
      </c>
      <c r="BB14" s="24" t="inlineStr">
        <is>
          <t>neutral_elo</t>
        </is>
      </c>
      <c r="BC14" s="24" t="inlineStr">
        <is>
          <t>dota2-tiered-elo-v6</t>
        </is>
      </c>
      <c r="BD14" s="24" t="inlineStr">
        <is>
          <t>3a1a2b913a7c526741b38a48f0957f5889bc186a2bd05c8fa45d935778de3be1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dota2-tiered-elo-v6</t>
        </is>
      </c>
      <c r="BH14" s="24" t="inlineStr">
        <is>
          <t>2026-08-12T21:33:41.354194Z</t>
        </is>
      </c>
      <c r="BI14" s="24" t="inlineStr">
        <is>
          <t>["same_event","same_team_same_day","same_league_same_day"]</t>
        </is>
      </c>
      <c r="BJ14" s="25" t="n"/>
      <c r="BK14" s="26" t="n">
        <v>-233</v>
      </c>
      <c r="BL14" s="27" t="n">
        <v>1.429185</v>
      </c>
      <c r="BM14" s="28" t="n">
        <v>0.6997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0.6997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b10b248efe554879</t>
        </is>
      </c>
      <c r="B15" s="24" t="inlineStr">
        <is>
          <t>2026-08-13T23:20:14.873483Z</t>
        </is>
      </c>
      <c r="C15" s="24" t="inlineStr">
        <is>
          <t>2026-08-14T02:00:00Z</t>
        </is>
      </c>
      <c r="D15" s="24" t="inlineStr">
        <is>
          <t>80486</t>
        </is>
      </c>
      <c r="E15" s="24" t="inlineStr">
        <is>
          <t>DOTA2</t>
        </is>
      </c>
      <c r="F15" s="24" t="inlineStr">
        <is>
          <t>Team Liquid</t>
        </is>
      </c>
      <c r="G15" s="24" t="inlineStr">
        <is>
          <t>Team Yandex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-178</v>
      </c>
      <c r="M15" s="27" t="n">
        <v>1.561798</v>
      </c>
      <c r="N15" s="28" t="n">
        <v>0.640288</v>
      </c>
      <c r="O15" s="28" t="n">
        <v>0.671279</v>
      </c>
      <c r="P15" s="28" t="n"/>
      <c r="Q15" s="28" t="n">
        <v>0.030991</v>
      </c>
      <c r="R15" s="26" t="n">
        <v>35</v>
      </c>
      <c r="S15" s="29" t="n">
        <v>1.75</v>
      </c>
      <c r="T15" s="24" t="inlineStr">
        <is>
          <t>dota2-tiered-elo-v6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-178</v>
      </c>
      <c r="AA15" s="28" t="n">
        <v>0.64</v>
      </c>
      <c r="AB15" s="28" t="n">
        <v>-0.000288</v>
      </c>
      <c r="AC15" s="30" t="n">
        <v>-1.75</v>
      </c>
      <c r="AD15" s="24" t="inlineStr">
        <is>
          <t>2026-08-14T07:33:28.598608Z</t>
        </is>
      </c>
      <c r="AE15" s="31" t="inlineStr">
        <is>
          <t>Neutral Elo baseline; executable ask 0.6400 (market_slug=aec-dota2-ty-liquid-2026-08-14).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Team Liquid</t>
        </is>
      </c>
      <c r="AQ15" s="24" t="inlineStr">
        <is>
          <t>Team Liquid</t>
        </is>
      </c>
      <c r="AR15" s="24" t="inlineStr">
        <is>
          <t>Team Liquid</t>
        </is>
      </c>
      <c r="AS15" s="24" t="inlineStr">
        <is>
          <t>Team Yandex</t>
        </is>
      </c>
      <c r="AT15" s="24" t="inlineStr">
        <is>
          <t>Team Yandex</t>
        </is>
      </c>
      <c r="AU15" s="24" t="inlineStr">
        <is>
          <t>Team Yandex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f5cee5af74832c737d4489a5fef3ea0a01806681613c8dee5777f95d985f002b</t>
        </is>
      </c>
      <c r="BB15" s="24" t="inlineStr">
        <is>
          <t>neutral_elo</t>
        </is>
      </c>
      <c r="BC15" s="24" t="inlineStr">
        <is>
          <t>dota2-tiered-elo-v6</t>
        </is>
      </c>
      <c r="BD15" s="24" t="inlineStr">
        <is>
          <t>f5cee5af74832c737d4489a5fef3ea0a01806681613c8dee5777f95d985f002b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dota2-tiered-elo-v6</t>
        </is>
      </c>
      <c r="BH15" s="24" t="inlineStr">
        <is>
          <t>2026-08-13T23:20:11.556216Z</t>
        </is>
      </c>
      <c r="BI15" s="24" t="inlineStr">
        <is>
          <t>["same_event","same_team_same_day","same_league_same_day"]</t>
        </is>
      </c>
      <c r="BJ15" s="25" t="n"/>
      <c r="BK15" s="26" t="n">
        <v>-178</v>
      </c>
      <c r="BL15" s="27" t="n">
        <v>1.561798</v>
      </c>
      <c r="BM15" s="28" t="n">
        <v>0.640288</v>
      </c>
      <c r="BN15" s="28" t="n"/>
      <c r="BO15" s="28" t="n"/>
      <c r="BP15" s="25" t="n"/>
      <c r="BQ15" s="27" t="n">
        <v>1.561798</v>
      </c>
      <c r="BR15" s="28" t="n">
        <v>0.64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0.640288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024951f15d97461c</t>
        </is>
      </c>
      <c r="B16" s="24" t="inlineStr">
        <is>
          <t>2026-08-13T23:20:14.873483Z</t>
        </is>
      </c>
      <c r="C16" s="24" t="inlineStr">
        <is>
          <t>2026-08-14T02:00:00Z</t>
        </is>
      </c>
      <c r="D16" s="24" t="inlineStr">
        <is>
          <t>80487</t>
        </is>
      </c>
      <c r="E16" s="24" t="inlineStr">
        <is>
          <t>DOTA2</t>
        </is>
      </c>
      <c r="F16" s="24" t="inlineStr">
        <is>
          <t>Xtreme Gaming</t>
        </is>
      </c>
      <c r="G16" s="24" t="inlineStr">
        <is>
          <t>Team Spirit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-163</v>
      </c>
      <c r="M16" s="27" t="n">
        <v>1.613497</v>
      </c>
      <c r="N16" s="28" t="n">
        <v>0.619772</v>
      </c>
      <c r="O16" s="28" t="n">
        <v>0.798889</v>
      </c>
      <c r="P16" s="28" t="n"/>
      <c r="Q16" s="28" t="n">
        <v>0.179117</v>
      </c>
      <c r="R16" s="26" t="n">
        <v>100</v>
      </c>
      <c r="S16" s="29" t="n">
        <v>2</v>
      </c>
      <c r="T16" s="24" t="inlineStr">
        <is>
          <t>dota2-tiered-elo-v6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-163</v>
      </c>
      <c r="AA16" s="28" t="n">
        <v>0.62</v>
      </c>
      <c r="AB16" s="28" t="n">
        <v>0.000228</v>
      </c>
      <c r="AC16" s="30" t="n">
        <v>1.227</v>
      </c>
      <c r="AD16" s="24" t="inlineStr">
        <is>
          <t>2026-08-14T17:02:21.770579Z</t>
        </is>
      </c>
      <c r="AE16" s="31" t="inlineStr">
        <is>
          <t>Neutral Elo baseline; executable ask 0.6200 (market_slug=aec-dota2-ts-xtreme-2026-08-14).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Xtreme Gaming</t>
        </is>
      </c>
      <c r="AQ16" s="24" t="inlineStr">
        <is>
          <t>Xtreme Gaming</t>
        </is>
      </c>
      <c r="AR16" s="24" t="inlineStr">
        <is>
          <t>Xtreme Gaming</t>
        </is>
      </c>
      <c r="AS16" s="24" t="inlineStr">
        <is>
          <t>Team Spirit</t>
        </is>
      </c>
      <c r="AT16" s="24" t="inlineStr">
        <is>
          <t>Team Spirit</t>
        </is>
      </c>
      <c r="AU16" s="24" t="inlineStr">
        <is>
          <t>Team Spirit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f5cee5af74832c737d4489a5fef3ea0a01806681613c8dee5777f95d985f002b</t>
        </is>
      </c>
      <c r="BB16" s="24" t="inlineStr">
        <is>
          <t>neutral_elo</t>
        </is>
      </c>
      <c r="BC16" s="24" t="inlineStr">
        <is>
          <t>dota2-tiered-elo-v6</t>
        </is>
      </c>
      <c r="BD16" s="24" t="inlineStr">
        <is>
          <t>f5cee5af74832c737d4489a5fef3ea0a01806681613c8dee5777f95d985f002b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dota2-tiered-elo-v6</t>
        </is>
      </c>
      <c r="BH16" s="24" t="inlineStr">
        <is>
          <t>2026-08-13T23:20:12.049029Z</t>
        </is>
      </c>
      <c r="BI16" s="24" t="inlineStr">
        <is>
          <t>["same_event","same_team_same_day","same_league_same_day"]</t>
        </is>
      </c>
      <c r="BJ16" s="25" t="n"/>
      <c r="BK16" s="26" t="n">
        <v>-163</v>
      </c>
      <c r="BL16" s="27" t="n">
        <v>1.613497</v>
      </c>
      <c r="BM16" s="28" t="n">
        <v>0.619772</v>
      </c>
      <c r="BN16" s="28" t="n"/>
      <c r="BO16" s="28" t="n"/>
      <c r="BP16" s="25" t="n"/>
      <c r="BQ16" s="27" t="n">
        <v>1.613497</v>
      </c>
      <c r="BR16" s="28" t="n">
        <v>0.62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0.619772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e155a02371984974</t>
        </is>
      </c>
      <c r="B17" s="24" t="inlineStr">
        <is>
          <t>2026-08-14T04:12:40.191254Z</t>
        </is>
      </c>
      <c r="C17" s="24" t="inlineStr">
        <is>
          <t>2026-08-14T05:00:00Z</t>
        </is>
      </c>
      <c r="D17" s="24" t="inlineStr">
        <is>
          <t>80587</t>
        </is>
      </c>
      <c r="E17" s="24" t="inlineStr">
        <is>
          <t>DOTA2</t>
        </is>
      </c>
      <c r="F17" s="24" t="inlineStr">
        <is>
          <t>OG</t>
        </is>
      </c>
      <c r="G17" s="24" t="inlineStr">
        <is>
          <t>Team Resilience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-113</v>
      </c>
      <c r="M17" s="27" t="n">
        <v>1.884956</v>
      </c>
      <c r="N17" s="28" t="n">
        <v>0.530516</v>
      </c>
      <c r="O17" s="28" t="n">
        <v>0.62947</v>
      </c>
      <c r="P17" s="28" t="n"/>
      <c r="Q17" s="28" t="n">
        <v>0.098954</v>
      </c>
      <c r="R17" s="26" t="n">
        <v>69</v>
      </c>
      <c r="S17" s="29" t="n">
        <v>1.5</v>
      </c>
      <c r="T17" s="24" t="inlineStr">
        <is>
          <t>dota2-tiered-elo-v6</t>
        </is>
      </c>
      <c r="U17" s="24" t="inlineStr">
        <is>
          <t>settled</t>
        </is>
      </c>
      <c r="V17" s="24" t="inlineStr">
        <is>
          <t>loss</t>
        </is>
      </c>
      <c r="W17" s="26" t="n">
        <v>0</v>
      </c>
      <c r="X17" s="26" t="n">
        <v>1</v>
      </c>
      <c r="Y17" s="25" t="n"/>
      <c r="Z17" s="26" t="n">
        <v>-113</v>
      </c>
      <c r="AA17" s="28" t="n">
        <v>0.53</v>
      </c>
      <c r="AB17" s="28" t="n">
        <v>-0.000516</v>
      </c>
      <c r="AC17" s="30" t="n">
        <v>-1.5</v>
      </c>
      <c r="AD17" s="24" t="inlineStr">
        <is>
          <t>2026-08-14T10:45:51.079162Z</t>
        </is>
      </c>
      <c r="AE17" s="31" t="inlineStr">
        <is>
          <t>Neutral Elo baseline; executable ask 0.5300 (market_slug=aec-dota2-tr-og-2026-08-14).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OG</t>
        </is>
      </c>
      <c r="AQ17" s="24" t="inlineStr">
        <is>
          <t>OG</t>
        </is>
      </c>
      <c r="AR17" s="24" t="inlineStr">
        <is>
          <t>OG</t>
        </is>
      </c>
      <c r="AS17" s="24" t="inlineStr">
        <is>
          <t>Team Resilience</t>
        </is>
      </c>
      <c r="AT17" s="24" t="inlineStr">
        <is>
          <t>Team Resilience</t>
        </is>
      </c>
      <c r="AU17" s="24" t="inlineStr">
        <is>
          <t>Team Resilience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c82bd443c08a5d524185078b867c39fa2f757aa43550ce68ebdca921c51338f9</t>
        </is>
      </c>
      <c r="BB17" s="24" t="inlineStr">
        <is>
          <t>neutral_elo</t>
        </is>
      </c>
      <c r="BC17" s="24" t="inlineStr">
        <is>
          <t>dota2-tiered-elo-v6</t>
        </is>
      </c>
      <c r="BD17" s="24" t="inlineStr">
        <is>
          <t>c82bd443c08a5d524185078b867c39fa2f757aa43550ce68ebdca921c51338f9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dota2-tiered-elo-v6</t>
        </is>
      </c>
      <c r="BH17" s="24" t="inlineStr">
        <is>
          <t>2026-08-14T04:12:38.461882Z</t>
        </is>
      </c>
      <c r="BI17" s="24" t="inlineStr">
        <is>
          <t>["same_event","same_team_same_day","same_league_same_day"]</t>
        </is>
      </c>
      <c r="BJ17" s="25" t="n"/>
      <c r="BK17" s="26" t="n">
        <v>-113</v>
      </c>
      <c r="BL17" s="27" t="n">
        <v>1.884956</v>
      </c>
      <c r="BM17" s="28" t="n">
        <v>0.530516</v>
      </c>
      <c r="BN17" s="28" t="n"/>
      <c r="BO17" s="28" t="n"/>
      <c r="BP17" s="25" t="n"/>
      <c r="BQ17" s="27" t="n">
        <v>1.884956</v>
      </c>
      <c r="BR17" s="28" t="n">
        <v>0.53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0.530516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f91acbd23f28449b</t>
        </is>
      </c>
      <c r="B18" s="24" t="inlineStr">
        <is>
          <t>2026-08-14T04:12:40.191254Z</t>
        </is>
      </c>
      <c r="C18" s="24" t="inlineStr">
        <is>
          <t>2026-08-14T05:00:00Z</t>
        </is>
      </c>
      <c r="D18" s="24" t="inlineStr">
        <is>
          <t>80588</t>
        </is>
      </c>
      <c r="E18" s="24" t="inlineStr">
        <is>
          <t>DOTA2</t>
        </is>
      </c>
      <c r="F18" s="24" t="inlineStr">
        <is>
          <t>Nigma Galaxy</t>
        </is>
      </c>
      <c r="G18" s="24" t="inlineStr">
        <is>
          <t>LGD Gaming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-104</v>
      </c>
      <c r="M18" s="27" t="n">
        <v>1.961538</v>
      </c>
      <c r="N18" s="28" t="n">
        <v>0.509804</v>
      </c>
      <c r="O18" s="28" t="n">
        <v>0.57834</v>
      </c>
      <c r="P18" s="28" t="n"/>
      <c r="Q18" s="28" t="n">
        <v>0.068536</v>
      </c>
      <c r="R18" s="26" t="n">
        <v>54</v>
      </c>
      <c r="S18" s="29" t="n">
        <v>1.25</v>
      </c>
      <c r="T18" s="24" t="inlineStr">
        <is>
          <t>dota2-tiered-elo-v6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-104</v>
      </c>
      <c r="AA18" s="28" t="n">
        <v>0.51</v>
      </c>
      <c r="AB18" s="28" t="n">
        <v>0.000196</v>
      </c>
      <c r="AC18" s="30" t="n">
        <v>-1.25</v>
      </c>
      <c r="AD18" s="24" t="inlineStr">
        <is>
          <t>2026-08-14T07:33:32.500280Z</t>
        </is>
      </c>
      <c r="AE18" s="31" t="inlineStr">
        <is>
          <t>Neutral Elo baseline; executable ask 0.5100 (market_slug=aec-dota2-lgd-ngx-2026-08-14).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Nigma Galaxy</t>
        </is>
      </c>
      <c r="AQ18" s="24" t="inlineStr">
        <is>
          <t>Nigma Galaxy</t>
        </is>
      </c>
      <c r="AR18" s="24" t="inlineStr">
        <is>
          <t>Nigma Galaxy</t>
        </is>
      </c>
      <c r="AS18" s="24" t="inlineStr">
        <is>
          <t>LGD Gaming</t>
        </is>
      </c>
      <c r="AT18" s="24" t="inlineStr">
        <is>
          <t>LGD Gaming</t>
        </is>
      </c>
      <c r="AU18" s="24" t="inlineStr">
        <is>
          <t>LGD Gaming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c82bd443c08a5d524185078b867c39fa2f757aa43550ce68ebdca921c51338f9</t>
        </is>
      </c>
      <c r="BB18" s="24" t="inlineStr">
        <is>
          <t>neutral_elo</t>
        </is>
      </c>
      <c r="BC18" s="24" t="inlineStr">
        <is>
          <t>dota2-tiered-elo-v6</t>
        </is>
      </c>
      <c r="BD18" s="24" t="inlineStr">
        <is>
          <t>c82bd443c08a5d524185078b867c39fa2f757aa43550ce68ebdca921c51338f9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dota2-tiered-elo-v6</t>
        </is>
      </c>
      <c r="BH18" s="24" t="inlineStr">
        <is>
          <t>2026-08-14T04:12:38.965098Z</t>
        </is>
      </c>
      <c r="BI18" s="24" t="inlineStr">
        <is>
          <t>["same_event","same_team_same_day","same_league_same_day"]</t>
        </is>
      </c>
      <c r="BJ18" s="25" t="n"/>
      <c r="BK18" s="26" t="n">
        <v>-104</v>
      </c>
      <c r="BL18" s="27" t="n">
        <v>1.961538</v>
      </c>
      <c r="BM18" s="28" t="n">
        <v>0.509804</v>
      </c>
      <c r="BN18" s="28" t="n"/>
      <c r="BO18" s="28" t="n"/>
      <c r="BP18" s="25" t="n"/>
      <c r="BQ18" s="27" t="n">
        <v>1.961538</v>
      </c>
      <c r="BR18" s="28" t="n">
        <v>0.51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0.509804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862a088531354883</t>
        </is>
      </c>
      <c r="B19" s="24" t="inlineStr">
        <is>
          <t>2026-08-14T07:41:49.380151Z</t>
        </is>
      </c>
      <c r="C19" s="24" t="inlineStr">
        <is>
          <t>2026-08-14T08:00:00Z</t>
        </is>
      </c>
      <c r="D19" s="24" t="inlineStr">
        <is>
          <t>81223</t>
        </is>
      </c>
      <c r="E19" s="24" t="inlineStr">
        <is>
          <t>DOTA2</t>
        </is>
      </c>
      <c r="F19" s="24" t="inlineStr">
        <is>
          <t>Team Spirit</t>
        </is>
      </c>
      <c r="G19" s="24" t="inlineStr">
        <is>
          <t>Team Liquid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104</v>
      </c>
      <c r="M19" s="27" t="n">
        <v>2.04</v>
      </c>
      <c r="N19" s="28" t="n">
        <v>0.490196</v>
      </c>
      <c r="O19" s="28" t="n">
        <v>0.548936</v>
      </c>
      <c r="P19" s="28" t="n"/>
      <c r="Q19" s="28" t="n">
        <v>0.05874</v>
      </c>
      <c r="R19" s="26" t="n">
        <v>49</v>
      </c>
      <c r="S19" s="29" t="n">
        <v>1</v>
      </c>
      <c r="T19" s="24" t="inlineStr">
        <is>
          <t>dota2-tiered-elo-v6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104</v>
      </c>
      <c r="AA19" s="28" t="n">
        <v>0.49</v>
      </c>
      <c r="AB19" s="28" t="n">
        <v>-0.000196</v>
      </c>
      <c r="AC19" s="30" t="n">
        <v>-1</v>
      </c>
      <c r="AD19" s="24" t="inlineStr">
        <is>
          <t>2026-08-14T13:54:07.710771Z</t>
        </is>
      </c>
      <c r="AE19" s="31" t="inlineStr">
        <is>
          <t>Neutral Elo baseline; executable ask 0.4900 (market_slug=aec-dota2-liquid-ts-2026-08-14).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Team Spirit</t>
        </is>
      </c>
      <c r="AQ19" s="24" t="inlineStr">
        <is>
          <t>Team Spirit</t>
        </is>
      </c>
      <c r="AR19" s="24" t="inlineStr">
        <is>
          <t>Team Spirit</t>
        </is>
      </c>
      <c r="AS19" s="24" t="inlineStr">
        <is>
          <t>Team Liquid</t>
        </is>
      </c>
      <c r="AT19" s="24" t="inlineStr">
        <is>
          <t>Team Liquid</t>
        </is>
      </c>
      <c r="AU19" s="24" t="inlineStr">
        <is>
          <t>Team Liquid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5efcb95516fc94c0130a104841cebea442c1a87bac72927a073540843ab13bf1</t>
        </is>
      </c>
      <c r="BB19" s="24" t="inlineStr">
        <is>
          <t>neutral_elo</t>
        </is>
      </c>
      <c r="BC19" s="24" t="inlineStr">
        <is>
          <t>dota2-tiered-elo-v6</t>
        </is>
      </c>
      <c r="BD19" s="24" t="inlineStr">
        <is>
          <t>5efcb95516fc94c0130a104841cebea442c1a87bac72927a073540843ab13bf1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dota2-tiered-elo-v6</t>
        </is>
      </c>
      <c r="BH19" s="24" t="inlineStr">
        <is>
          <t>2026-08-14T07:41:49.379913Z</t>
        </is>
      </c>
      <c r="BI19" s="24" t="inlineStr">
        <is>
          <t>["same_event","same_team_same_day","same_league_same_day"]</t>
        </is>
      </c>
      <c r="BJ19" s="25" t="n"/>
      <c r="BK19" s="26" t="n">
        <v>104</v>
      </c>
      <c r="BL19" s="27" t="n">
        <v>2.04</v>
      </c>
      <c r="BM19" s="28" t="n">
        <v>0.490196</v>
      </c>
      <c r="BN19" s="28" t="n"/>
      <c r="BO19" s="28" t="n"/>
      <c r="BP19" s="25" t="n"/>
      <c r="BQ19" s="27" t="n">
        <v>2.04</v>
      </c>
      <c r="BR19" s="28" t="n">
        <v>0.49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0.490196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d0e35cbc9acf49c1</t>
        </is>
      </c>
      <c r="B20" s="24" t="inlineStr">
        <is>
          <t>2026-08-14T23:10:03.447989Z</t>
        </is>
      </c>
      <c r="C20" s="24" t="inlineStr">
        <is>
          <t>2026-08-15T02:00:00Z</t>
        </is>
      </c>
      <c r="D20" s="24" t="inlineStr">
        <is>
          <t>81303</t>
        </is>
      </c>
      <c r="E20" s="24" t="inlineStr">
        <is>
          <t>DOTA2</t>
        </is>
      </c>
      <c r="F20" s="24" t="inlineStr">
        <is>
          <t>Xtreme Gaming</t>
        </is>
      </c>
      <c r="G20" s="24" t="inlineStr">
        <is>
          <t>LGD Gaming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127</v>
      </c>
      <c r="M20" s="27" t="n">
        <v>2.27</v>
      </c>
      <c r="N20" s="28" t="n">
        <v>0.440529</v>
      </c>
      <c r="O20" s="28" t="n">
        <v>0.666751</v>
      </c>
      <c r="P20" s="28" t="n"/>
      <c r="Q20" s="28" t="n">
        <v>0.226222</v>
      </c>
      <c r="R20" s="26" t="n">
        <v>100</v>
      </c>
      <c r="S20" s="29" t="n">
        <v>1.75</v>
      </c>
      <c r="T20" s="24" t="inlineStr">
        <is>
          <t>dota2-tiered-elo-v6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1</v>
      </c>
      <c r="Y20" s="25" t="n"/>
      <c r="Z20" s="26" t="n">
        <v>127</v>
      </c>
      <c r="AA20" s="28" t="n">
        <v>0.44</v>
      </c>
      <c r="AB20" s="28" t="n">
        <v>-0.000529</v>
      </c>
      <c r="AC20" s="30" t="n">
        <v>2.2225</v>
      </c>
      <c r="AD20" s="24" t="inlineStr">
        <is>
          <t>2026-08-15T08:24:20.071040Z</t>
        </is>
      </c>
      <c r="AE20" s="31" t="inlineStr">
        <is>
          <t>Neutral Elo baseline; executable ask 0.4400 (market_slug=aec-dota2-lgd-xtreme-2026-08-15).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Xtreme Gaming</t>
        </is>
      </c>
      <c r="AQ20" s="24" t="inlineStr">
        <is>
          <t>Xtreme Gaming</t>
        </is>
      </c>
      <c r="AR20" s="24" t="inlineStr">
        <is>
          <t>Xtreme Gaming</t>
        </is>
      </c>
      <c r="AS20" s="24" t="inlineStr">
        <is>
          <t>LGD Gaming</t>
        </is>
      </c>
      <c r="AT20" s="24" t="inlineStr">
        <is>
          <t>LGD Gaming</t>
        </is>
      </c>
      <c r="AU20" s="24" t="inlineStr">
        <is>
          <t>LGD Gaming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a2940b8a9d26c2ba52a73e607aff4edcf40edd1fc7ced87ccaf4d34f2344dd04</t>
        </is>
      </c>
      <c r="BB20" s="24" t="inlineStr">
        <is>
          <t>neutral_elo</t>
        </is>
      </c>
      <c r="BC20" s="24" t="inlineStr">
        <is>
          <t>dota2-tiered-elo-v6</t>
        </is>
      </c>
      <c r="BD20" s="24" t="inlineStr">
        <is>
          <t>a2940b8a9d26c2ba52a73e607aff4edcf40edd1fc7ced87ccaf4d34f2344dd04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dota2-tiered-elo-v6</t>
        </is>
      </c>
      <c r="BH20" s="24" t="inlineStr">
        <is>
          <t>2026-08-14T23:10:00.790731Z</t>
        </is>
      </c>
      <c r="BI20" s="24" t="inlineStr">
        <is>
          <t>["same_event","same_team_same_day","same_league_same_day"]</t>
        </is>
      </c>
      <c r="BJ20" s="25" t="n"/>
      <c r="BK20" s="26" t="n">
        <v>127</v>
      </c>
      <c r="BL20" s="27" t="n">
        <v>2.27</v>
      </c>
      <c r="BM20" s="28" t="n">
        <v>0.440529</v>
      </c>
      <c r="BN20" s="28" t="n"/>
      <c r="BO20" s="28" t="n"/>
      <c r="BP20" s="25" t="n"/>
      <c r="BQ20" s="27" t="n">
        <v>2.27</v>
      </c>
      <c r="BR20" s="28" t="n">
        <v>0.44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0.440529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67b3266216434f71</t>
        </is>
      </c>
      <c r="B21" s="24" t="inlineStr">
        <is>
          <t>2026-08-15T02:13:59.522134Z</t>
        </is>
      </c>
      <c r="C21" s="24" t="inlineStr">
        <is>
          <t>2026-08-15T05:00:00Z</t>
        </is>
      </c>
      <c r="D21" s="24" t="inlineStr">
        <is>
          <t>81270</t>
        </is>
      </c>
      <c r="E21" s="24" t="inlineStr">
        <is>
          <t>DOTA2</t>
        </is>
      </c>
      <c r="F21" s="24" t="inlineStr">
        <is>
          <t>Team Spirit</t>
        </is>
      </c>
      <c r="G21" s="24" t="inlineStr">
        <is>
          <t>TEAM VISION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-163</v>
      </c>
      <c r="M21" s="27" t="n">
        <v>1.613497</v>
      </c>
      <c r="N21" s="28" t="n">
        <v>0.619772</v>
      </c>
      <c r="O21" s="28" t="n">
        <v>0.729198</v>
      </c>
      <c r="P21" s="28" t="n"/>
      <c r="Q21" s="28" t="n">
        <v>0.109426</v>
      </c>
      <c r="R21" s="26" t="n">
        <v>75</v>
      </c>
      <c r="S21" s="29" t="n">
        <v>2</v>
      </c>
      <c r="T21" s="24" t="inlineStr">
        <is>
          <t>dota2-tiered-elo-v6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/>
      <c r="AA21" s="28" t="n"/>
      <c r="AB21" s="28" t="n"/>
      <c r="AC21" s="30" t="n">
        <v>1.227</v>
      </c>
      <c r="AD21" s="24" t="inlineStr">
        <is>
          <t>2026-08-15T11:32:11.196185Z</t>
        </is>
      </c>
      <c r="AE21" s="31" t="inlineStr">
        <is>
          <t>Neutral Elo baseline; executable ask 0.6200 (market_slug=aec-dota2-tve-ts-2026-08-15).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Team Spirit</t>
        </is>
      </c>
      <c r="AQ21" s="24" t="inlineStr">
        <is>
          <t>Team Spirit</t>
        </is>
      </c>
      <c r="AR21" s="24" t="inlineStr">
        <is>
          <t>Team Spirit</t>
        </is>
      </c>
      <c r="AS21" s="24" t="inlineStr">
        <is>
          <t>TEAM VISION</t>
        </is>
      </c>
      <c r="AT21" s="24" t="inlineStr">
        <is>
          <t>TEAM VISION</t>
        </is>
      </c>
      <c r="AU21" s="24" t="inlineStr">
        <is>
          <t>TEAM VISION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94d14c84f816218cc9d6aeb8149a9c84f9e17bbb7eb1c49b504e5d925b9f3d83</t>
        </is>
      </c>
      <c r="BB21" s="24" t="inlineStr">
        <is>
          <t>neutral_elo</t>
        </is>
      </c>
      <c r="BC21" s="24" t="inlineStr">
        <is>
          <t>dota2-tiered-elo-v6</t>
        </is>
      </c>
      <c r="BD21" s="24" t="inlineStr">
        <is>
          <t>94d14c84f816218cc9d6aeb8149a9c84f9e17bbb7eb1c49b504e5d925b9f3d83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dota2-tiered-elo-v6</t>
        </is>
      </c>
      <c r="BH21" s="24" t="inlineStr">
        <is>
          <t>2026-08-15T02:13:58.371188Z</t>
        </is>
      </c>
      <c r="BI21" s="24" t="inlineStr">
        <is>
          <t>["same_event","same_team_same_day","same_league_same_day"]</t>
        </is>
      </c>
      <c r="BJ21" s="25" t="n"/>
      <c r="BK21" s="26" t="n">
        <v>-163</v>
      </c>
      <c r="BL21" s="27" t="n">
        <v>1.613497</v>
      </c>
      <c r="BM21" s="28" t="n">
        <v>0.619772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0.619772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7694ccc0a0aa473f</t>
        </is>
      </c>
      <c r="B22" s="24" t="inlineStr">
        <is>
          <t>2026-08-15T11:36:17.023556Z</t>
        </is>
      </c>
      <c r="C22" s="24" t="inlineStr">
        <is>
          <t>2026-08-15T13:00:00Z</t>
        </is>
      </c>
      <c r="D22" s="24" t="inlineStr">
        <is>
          <t>81991</t>
        </is>
      </c>
      <c r="E22" s="24" t="inlineStr">
        <is>
          <t>DOTA2</t>
        </is>
      </c>
      <c r="F22" s="24" t="inlineStr">
        <is>
          <t>Team Yandex</t>
        </is>
      </c>
      <c r="G22" s="24" t="inlineStr">
        <is>
          <t>Iron Wing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-138</v>
      </c>
      <c r="M22" s="27" t="n">
        <v>1.724638</v>
      </c>
      <c r="N22" s="28" t="n">
        <v>0.579832</v>
      </c>
      <c r="O22" s="28" t="n">
        <v>0.639425</v>
      </c>
      <c r="P22" s="28" t="n"/>
      <c r="Q22" s="28" t="n">
        <v>0.059593</v>
      </c>
      <c r="R22" s="26" t="n">
        <v>50</v>
      </c>
      <c r="S22" s="29" t="n">
        <v>1.5</v>
      </c>
      <c r="T22" s="24" t="inlineStr">
        <is>
          <t>dota2-tiered-elo-v6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-138</v>
      </c>
      <c r="AA22" s="28" t="n">
        <v>0.58</v>
      </c>
      <c r="AB22" s="28" t="n">
        <v>0.000168</v>
      </c>
      <c r="AC22" s="30" t="n">
        <v>-1.5</v>
      </c>
      <c r="AD22" s="24" t="inlineStr">
        <is>
          <t>2026-08-15T17:47:43.277928Z</t>
        </is>
      </c>
      <c r="AE22" s="31" t="inlineStr">
        <is>
          <t>Neutral Elo baseline; executable ask 0.5800 (market_slug=aec-dota2-iwr-ty-2026-08-15).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Team Yandex</t>
        </is>
      </c>
      <c r="AQ22" s="24" t="inlineStr">
        <is>
          <t>Team Yandex</t>
        </is>
      </c>
      <c r="AR22" s="24" t="inlineStr">
        <is>
          <t>Team Yandex</t>
        </is>
      </c>
      <c r="AS22" s="24" t="inlineStr">
        <is>
          <t>Iron Wing</t>
        </is>
      </c>
      <c r="AT22" s="24" t="inlineStr">
        <is>
          <t>Iron Wing</t>
        </is>
      </c>
      <c r="AU22" s="24" t="inlineStr">
        <is>
          <t>Iron Wing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70001fc4ec3afbcfc66227c4226dcc2accbaf17f20e7734c209024c5f520b70e</t>
        </is>
      </c>
      <c r="BB22" s="24" t="inlineStr">
        <is>
          <t>neutral_elo</t>
        </is>
      </c>
      <c r="BC22" s="24" t="inlineStr">
        <is>
          <t>dota2-tiered-elo-v6</t>
        </is>
      </c>
      <c r="BD22" s="24" t="inlineStr">
        <is>
          <t>70001fc4ec3afbcfc66227c4226dcc2accbaf17f20e7734c209024c5f520b70e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dota2-tiered-elo-v6</t>
        </is>
      </c>
      <c r="BH22" s="24" t="inlineStr">
        <is>
          <t>2026-08-15T11:36:17.020583Z</t>
        </is>
      </c>
      <c r="BI22" s="24" t="inlineStr">
        <is>
          <t>["same_event","same_team_same_day","same_league_same_day"]</t>
        </is>
      </c>
      <c r="BJ22" s="25" t="n"/>
      <c r="BK22" s="26" t="n">
        <v>-138</v>
      </c>
      <c r="BL22" s="27" t="n">
        <v>1.724638</v>
      </c>
      <c r="BM22" s="28" t="n">
        <v>0.579832</v>
      </c>
      <c r="BN22" s="28" t="n"/>
      <c r="BO22" s="28" t="n"/>
      <c r="BP22" s="25" t="n"/>
      <c r="BQ22" s="27" t="n">
        <v>1.724638</v>
      </c>
      <c r="BR22" s="28" t="n">
        <v>0.58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0.579832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f37f61c380014012</t>
        </is>
      </c>
      <c r="B23" s="24" t="inlineStr">
        <is>
          <t>2026-08-19T23:08:17.010649Z</t>
        </is>
      </c>
      <c r="C23" s="24" t="inlineStr">
        <is>
          <t>2026-08-20T02:00:00Z</t>
        </is>
      </c>
      <c r="D23" s="24" t="inlineStr">
        <is>
          <t>83971</t>
        </is>
      </c>
      <c r="E23" s="24" t="inlineStr">
        <is>
          <t>DOTA2</t>
        </is>
      </c>
      <c r="F23" s="24" t="inlineStr">
        <is>
          <t>Team Spirit</t>
        </is>
      </c>
      <c r="G23" s="24" t="inlineStr">
        <is>
          <t>Iron Wing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108</v>
      </c>
      <c r="M23" s="27" t="n">
        <v>2.08</v>
      </c>
      <c r="N23" s="28" t="n">
        <v>0.480769</v>
      </c>
      <c r="O23" s="28" t="n">
        <v>0.516973</v>
      </c>
      <c r="P23" s="28" t="n"/>
      <c r="Q23" s="28" t="n">
        <v>0.036204</v>
      </c>
      <c r="R23" s="26" t="n">
        <v>38</v>
      </c>
      <c r="S23" s="29" t="n">
        <v>1</v>
      </c>
      <c r="T23" s="24" t="inlineStr">
        <is>
          <t>dota2-tiered-elo-v6</t>
        </is>
      </c>
      <c r="U23" s="24" t="inlineStr">
        <is>
          <t>settled</t>
        </is>
      </c>
      <c r="V23" s="24" t="inlineStr">
        <is>
          <t>win</t>
        </is>
      </c>
      <c r="W23" s="26" t="n">
        <v>1</v>
      </c>
      <c r="X23" s="26" t="n">
        <v>0</v>
      </c>
      <c r="Y23" s="25" t="n"/>
      <c r="Z23" s="26" t="n">
        <v>108</v>
      </c>
      <c r="AA23" s="28" t="n">
        <v>0.48</v>
      </c>
      <c r="AB23" s="28" t="n">
        <v>-0.000769</v>
      </c>
      <c r="AC23" s="30" t="n">
        <v>1.08</v>
      </c>
      <c r="AD23" s="24" t="inlineStr">
        <is>
          <t>2026-08-20T05:34:56.486406Z</t>
        </is>
      </c>
      <c r="AE23" s="31" t="inlineStr">
        <is>
          <t>Neutral Elo baseline; executable ask 0.4800 (market_slug=aec-dota2-iwr-ts-2026-08-20).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Team Spirit</t>
        </is>
      </c>
      <c r="AQ23" s="24" t="inlineStr">
        <is>
          <t>Team Spirit</t>
        </is>
      </c>
      <c r="AR23" s="24" t="inlineStr">
        <is>
          <t>Team Spirit</t>
        </is>
      </c>
      <c r="AS23" s="24" t="inlineStr">
        <is>
          <t>Iron Wing</t>
        </is>
      </c>
      <c r="AT23" s="24" t="inlineStr">
        <is>
          <t>Iron Wing</t>
        </is>
      </c>
      <c r="AU23" s="24" t="inlineStr">
        <is>
          <t>Iron Wing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bfdbd7e25b301245e945bc2682549372eba4b9b9f2f02da7411ebd4fa5140c6b</t>
        </is>
      </c>
      <c r="BB23" s="24" t="inlineStr">
        <is>
          <t>neutral_elo</t>
        </is>
      </c>
      <c r="BC23" s="24" t="inlineStr">
        <is>
          <t>dota2-tiered-elo-v6</t>
        </is>
      </c>
      <c r="BD23" s="24" t="inlineStr">
        <is>
          <t>bfdbd7e25b301245e945bc2682549372eba4b9b9f2f02da7411ebd4fa5140c6b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dota2-tiered-elo-v6</t>
        </is>
      </c>
      <c r="BH23" s="24" t="inlineStr">
        <is>
          <t>2026-08-19T23:08:16.187391Z</t>
        </is>
      </c>
      <c r="BI23" s="24" t="inlineStr">
        <is>
          <t>["same_event","same_team_same_day","same_league_same_day"]</t>
        </is>
      </c>
      <c r="BJ23" s="25" t="n"/>
      <c r="BK23" s="26" t="n">
        <v>108</v>
      </c>
      <c r="BL23" s="27" t="n">
        <v>2.08</v>
      </c>
      <c r="BM23" s="28" t="n">
        <v>0.480769</v>
      </c>
      <c r="BN23" s="28" t="n"/>
      <c r="BO23" s="28" t="n"/>
      <c r="BP23" s="25" t="n"/>
      <c r="BQ23" s="27" t="n">
        <v>2.08</v>
      </c>
      <c r="BR23" s="28" t="n">
        <v>0.48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0.480769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7e70e4fa1e944f51</t>
        </is>
      </c>
      <c r="B24" s="24" t="inlineStr">
        <is>
          <t>2026-08-21T04:32:26.892790Z</t>
        </is>
      </c>
      <c r="C24" s="24" t="inlineStr">
        <is>
          <t>2026-08-21T05:00:00Z</t>
        </is>
      </c>
      <c r="D24" s="24" t="inlineStr">
        <is>
          <t>87400</t>
        </is>
      </c>
      <c r="E24" s="24" t="inlineStr">
        <is>
          <t>DOTA2</t>
        </is>
      </c>
      <c r="F24" s="24" t="inlineStr">
        <is>
          <t>Team Falcons</t>
        </is>
      </c>
      <c r="G24" s="24" t="inlineStr">
        <is>
          <t>Team Liquid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-113</v>
      </c>
      <c r="M24" s="27" t="n">
        <v>1.884956</v>
      </c>
      <c r="N24" s="28" t="n">
        <v>0.530516</v>
      </c>
      <c r="O24" s="28" t="n">
        <v>0.592593</v>
      </c>
      <c r="P24" s="28" t="n"/>
      <c r="Q24" s="28" t="n">
        <v>0.062077</v>
      </c>
      <c r="R24" s="26" t="n">
        <v>51</v>
      </c>
      <c r="S24" s="29" t="n">
        <v>1.25</v>
      </c>
      <c r="T24" s="24" t="inlineStr">
        <is>
          <t>dota2-tiered-elo-v6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>
        <v>-113</v>
      </c>
      <c r="AA24" s="28" t="n">
        <v>0.53</v>
      </c>
      <c r="AB24" s="28" t="n">
        <v>-0.000516</v>
      </c>
      <c r="AC24" s="30" t="n">
        <v>1.1062</v>
      </c>
      <c r="AD24" s="24" t="inlineStr">
        <is>
          <t>2026-08-21T11:27:25.011443Z</t>
        </is>
      </c>
      <c r="AE24" s="31" t="inlineStr">
        <is>
          <t>Neutral Elo baseline; executable ask 0.5300 (market_slug=aec-dota2-liquid-flc-2026-08-21).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Team Falcons</t>
        </is>
      </c>
      <c r="AQ24" s="24" t="inlineStr">
        <is>
          <t>Team Falcons</t>
        </is>
      </c>
      <c r="AR24" s="24" t="inlineStr">
        <is>
          <t>Team Falcons</t>
        </is>
      </c>
      <c r="AS24" s="24" t="inlineStr">
        <is>
          <t>Team Liquid</t>
        </is>
      </c>
      <c r="AT24" s="24" t="inlineStr">
        <is>
          <t>Team Liquid</t>
        </is>
      </c>
      <c r="AU24" s="24" t="inlineStr">
        <is>
          <t>Team Liquid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c4cd22c7cd53413acd5a0a00798cf4e6c3577acd71562a13352ea1ae4594cbb3</t>
        </is>
      </c>
      <c r="BB24" s="24" t="inlineStr">
        <is>
          <t>neutral_elo</t>
        </is>
      </c>
      <c r="BC24" s="24" t="inlineStr">
        <is>
          <t>dota2-tiered-elo-v6</t>
        </is>
      </c>
      <c r="BD24" s="24" t="inlineStr">
        <is>
          <t>c4cd22c7cd53413acd5a0a00798cf4e6c3577acd71562a13352ea1ae4594cbb3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dota2-tiered-elo-v6</t>
        </is>
      </c>
      <c r="BH24" s="24" t="inlineStr">
        <is>
          <t>2026-08-21T04:32:26.137516Z</t>
        </is>
      </c>
      <c r="BI24" s="24" t="inlineStr">
        <is>
          <t>["same_event","same_team_same_day","same_league_same_day"]</t>
        </is>
      </c>
      <c r="BJ24" s="25" t="n"/>
      <c r="BK24" s="26" t="n">
        <v>-113</v>
      </c>
      <c r="BL24" s="27" t="n">
        <v>1.884956</v>
      </c>
      <c r="BM24" s="28" t="n">
        <v>0.530516</v>
      </c>
      <c r="BN24" s="28" t="n"/>
      <c r="BO24" s="28" t="n"/>
      <c r="BP24" s="25" t="n"/>
      <c r="BQ24" s="27" t="n">
        <v>1.884956</v>
      </c>
      <c r="BR24" s="28" t="n">
        <v>0.53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0.530516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a3a0cb5eac584589</t>
        </is>
      </c>
      <c r="B25" s="24" t="inlineStr">
        <is>
          <t>2026-08-21T04:32:26.892790Z</t>
        </is>
      </c>
      <c r="C25" s="24" t="inlineStr">
        <is>
          <t>2026-08-21T08:00:00Z</t>
        </is>
      </c>
      <c r="D25" s="24" t="inlineStr">
        <is>
          <t>87252</t>
        </is>
      </c>
      <c r="E25" s="24" t="inlineStr">
        <is>
          <t>DOTA2</t>
        </is>
      </c>
      <c r="F25" s="24" t="inlineStr">
        <is>
          <t>TEAM VISION</t>
        </is>
      </c>
      <c r="G25" s="24" t="inlineStr">
        <is>
          <t>Team Spirit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-203</v>
      </c>
      <c r="M25" s="27" t="n">
        <v>1.492611</v>
      </c>
      <c r="N25" s="28" t="n">
        <v>0.669967</v>
      </c>
      <c r="O25" s="28" t="n">
        <v>0.737968</v>
      </c>
      <c r="P25" s="28" t="n"/>
      <c r="Q25" s="28" t="n">
        <v>0.06800100000000001</v>
      </c>
      <c r="R25" s="26" t="n">
        <v>54</v>
      </c>
      <c r="S25" s="29" t="n">
        <v>2</v>
      </c>
      <c r="T25" s="24" t="inlineStr">
        <is>
          <t>dota2-tiered-elo-v6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0</v>
      </c>
      <c r="Y25" s="25" t="n"/>
      <c r="Z25" s="26" t="n">
        <v>-203</v>
      </c>
      <c r="AA25" s="28" t="n">
        <v>0.67</v>
      </c>
      <c r="AB25" s="28" t="n">
        <v>3.3e-05</v>
      </c>
      <c r="AC25" s="30" t="n">
        <v>0.9852</v>
      </c>
      <c r="AD25" s="24" t="inlineStr">
        <is>
          <t>2026-08-21T18:25:47.945083Z</t>
        </is>
      </c>
      <c r="AE25" s="31" t="inlineStr">
        <is>
          <t>Neutral Elo baseline; executable ask 0.6700 (market_slug=aec-dota2-ts-tve-2026-08-21).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TEAM VISION</t>
        </is>
      </c>
      <c r="AQ25" s="24" t="inlineStr">
        <is>
          <t>TEAM VISION</t>
        </is>
      </c>
      <c r="AR25" s="24" t="inlineStr">
        <is>
          <t>TEAM VISION</t>
        </is>
      </c>
      <c r="AS25" s="24" t="inlineStr">
        <is>
          <t>Team Spirit</t>
        </is>
      </c>
      <c r="AT25" s="24" t="inlineStr">
        <is>
          <t>Team Spirit</t>
        </is>
      </c>
      <c r="AU25" s="24" t="inlineStr">
        <is>
          <t>Team Spirit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c4cd22c7cd53413acd5a0a00798cf4e6c3577acd71562a13352ea1ae4594cbb3</t>
        </is>
      </c>
      <c r="BB25" s="24" t="inlineStr">
        <is>
          <t>neutral_elo</t>
        </is>
      </c>
      <c r="BC25" s="24" t="inlineStr">
        <is>
          <t>dota2-tiered-elo-v6</t>
        </is>
      </c>
      <c r="BD25" s="24" t="inlineStr">
        <is>
          <t>c4cd22c7cd53413acd5a0a00798cf4e6c3577acd71562a13352ea1ae4594cbb3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dota2-tiered-elo-v6</t>
        </is>
      </c>
      <c r="BH25" s="24" t="inlineStr">
        <is>
          <t>2026-08-21T04:32:26.232147Z</t>
        </is>
      </c>
      <c r="BI25" s="24" t="inlineStr">
        <is>
          <t>["same_event","same_team_same_day","same_league_same_day"]</t>
        </is>
      </c>
      <c r="BJ25" s="25" t="n"/>
      <c r="BK25" s="26" t="n">
        <v>-203</v>
      </c>
      <c r="BL25" s="27" t="n">
        <v>1.492611</v>
      </c>
      <c r="BM25" s="28" t="n">
        <v>0.669967</v>
      </c>
      <c r="BN25" s="28" t="n"/>
      <c r="BO25" s="28" t="n"/>
      <c r="BP25" s="25" t="n"/>
      <c r="BQ25" s="27" t="n">
        <v>1.492611</v>
      </c>
      <c r="BR25" s="28" t="n">
        <v>0.67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0.669967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c7193add4e734a9e</t>
        </is>
      </c>
      <c r="B26" s="24" t="inlineStr">
        <is>
          <t>2026-08-22T01:02:38.186884Z</t>
        </is>
      </c>
      <c r="C26" s="24" t="inlineStr">
        <is>
          <t>2026-08-22T02:00:00Z</t>
        </is>
      </c>
      <c r="D26" s="24" t="inlineStr">
        <is>
          <t>87992</t>
        </is>
      </c>
      <c r="E26" s="24" t="inlineStr">
        <is>
          <t>DOTA2</t>
        </is>
      </c>
      <c r="F26" s="24" t="inlineStr">
        <is>
          <t>Team Liquid</t>
        </is>
      </c>
      <c r="G26" s="24" t="inlineStr">
        <is>
          <t>Team Spirit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156</v>
      </c>
      <c r="M26" s="27" t="n">
        <v>2.56</v>
      </c>
      <c r="N26" s="28" t="n">
        <v>0.390625</v>
      </c>
      <c r="O26" s="28" t="n">
        <v>0.520348</v>
      </c>
      <c r="P26" s="28" t="n"/>
      <c r="Q26" s="28" t="n">
        <v>0.129723</v>
      </c>
      <c r="R26" s="26" t="n">
        <v>85</v>
      </c>
      <c r="S26" s="29" t="n">
        <v>1</v>
      </c>
      <c r="T26" s="24" t="inlineStr">
        <is>
          <t>dota2-tiered-elo-v6</t>
        </is>
      </c>
      <c r="U26" s="24" t="inlineStr">
        <is>
          <t>settled</t>
        </is>
      </c>
      <c r="V26" s="24" t="inlineStr">
        <is>
          <t>loss</t>
        </is>
      </c>
      <c r="W26" s="26" t="n">
        <v>0</v>
      </c>
      <c r="X26" s="26" t="n">
        <v>1</v>
      </c>
      <c r="Y26" s="25" t="n"/>
      <c r="Z26" s="26" t="n">
        <v>156</v>
      </c>
      <c r="AA26" s="28" t="n">
        <v>0.39</v>
      </c>
      <c r="AB26" s="28" t="n">
        <v>-0.000625</v>
      </c>
      <c r="AC26" s="30" t="n">
        <v>-1</v>
      </c>
      <c r="AD26" s="24" t="inlineStr">
        <is>
          <t>2026-08-22T05:02:37.448723Z</t>
        </is>
      </c>
      <c r="AE26" s="31" t="inlineStr">
        <is>
          <t>Neutral Elo baseline; executable ask 0.3900 (market_slug=aec-dota2-ts-liquid-2026-08-22).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Team Liquid</t>
        </is>
      </c>
      <c r="AQ26" s="24" t="inlineStr">
        <is>
          <t>Team Liquid</t>
        </is>
      </c>
      <c r="AR26" s="24" t="inlineStr">
        <is>
          <t>Team Liquid</t>
        </is>
      </c>
      <c r="AS26" s="24" t="inlineStr">
        <is>
          <t>Team Spirit</t>
        </is>
      </c>
      <c r="AT26" s="24" t="inlineStr">
        <is>
          <t>Team Spirit</t>
        </is>
      </c>
      <c r="AU26" s="24" t="inlineStr">
        <is>
          <t>Team Spirit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7fffee2aeddc3f9f365aeada1cf6a0c8e47f94802d2520e5558a96b894494482</t>
        </is>
      </c>
      <c r="BB26" s="24" t="inlineStr">
        <is>
          <t>neutral_elo</t>
        </is>
      </c>
      <c r="BC26" s="24" t="inlineStr">
        <is>
          <t>dota2-tiered-elo-v6</t>
        </is>
      </c>
      <c r="BD26" s="24" t="inlineStr">
        <is>
          <t>7fffee2aeddc3f9f365aeada1cf6a0c8e47f94802d2520e5558a96b894494482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dota2-tiered-elo-v6</t>
        </is>
      </c>
      <c r="BH26" s="24" t="inlineStr">
        <is>
          <t>2026-08-22T01:02:37.890049Z</t>
        </is>
      </c>
      <c r="BI26" s="24" t="inlineStr">
        <is>
          <t>["same_event","same_team_same_day","same_league_same_day"]</t>
        </is>
      </c>
      <c r="BJ26" s="25" t="n"/>
      <c r="BK26" s="26" t="n">
        <v>156</v>
      </c>
      <c r="BL26" s="27" t="n">
        <v>2.56</v>
      </c>
      <c r="BM26" s="28" t="n">
        <v>0.390625</v>
      </c>
      <c r="BN26" s="28" t="n"/>
      <c r="BO26" s="28" t="n"/>
      <c r="BP26" s="25" t="n"/>
      <c r="BQ26" s="27" t="n">
        <v>2.56</v>
      </c>
      <c r="BR26" s="28" t="n">
        <v>0.39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0.390625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69e9d025f75d4b6a</t>
        </is>
      </c>
      <c r="B27" s="24" t="inlineStr">
        <is>
          <t>2026-08-22T09:16:44.530360Z</t>
        </is>
      </c>
      <c r="C27" s="24" t="inlineStr">
        <is>
          <t>2026-08-22T11:00:00Z</t>
        </is>
      </c>
      <c r="D27" s="24" t="inlineStr">
        <is>
          <t>88604</t>
        </is>
      </c>
      <c r="E27" s="24" t="inlineStr">
        <is>
          <t>DOTA2</t>
        </is>
      </c>
      <c r="F27" s="24" t="inlineStr">
        <is>
          <t>Team Spirit</t>
        </is>
      </c>
      <c r="G27" s="24" t="inlineStr">
        <is>
          <t>BoomBoys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170</v>
      </c>
      <c r="M27" s="27" t="n">
        <v>2.7</v>
      </c>
      <c r="N27" s="28" t="n">
        <v>0.37037</v>
      </c>
      <c r="O27" s="28" t="n">
        <v>0.502434</v>
      </c>
      <c r="P27" s="28" t="n"/>
      <c r="Q27" s="28" t="n">
        <v>0.132064</v>
      </c>
      <c r="R27" s="26" t="n">
        <v>86</v>
      </c>
      <c r="S27" s="29" t="n">
        <v>1</v>
      </c>
      <c r="T27" s="24" t="inlineStr">
        <is>
          <t>dota2-tiered-elo-v6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0</v>
      </c>
      <c r="Y27" s="25" t="n"/>
      <c r="Z27" s="26" t="n"/>
      <c r="AA27" s="28" t="n"/>
      <c r="AB27" s="28" t="n"/>
      <c r="AC27" s="30" t="n">
        <v>-1</v>
      </c>
      <c r="AD27" s="24" t="inlineStr">
        <is>
          <t>2026-08-22T15:40:39.310774Z</t>
        </is>
      </c>
      <c r="AE27" s="31" t="inlineStr">
        <is>
          <t>Neutral Elo baseline; executable ask 0.3700 (market_slug=aec-dota2-boo-ts-2026-08-22).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Team Spirit</t>
        </is>
      </c>
      <c r="AQ27" s="24" t="inlineStr">
        <is>
          <t>Team Spirit</t>
        </is>
      </c>
      <c r="AR27" s="24" t="inlineStr">
        <is>
          <t>Team Spirit</t>
        </is>
      </c>
      <c r="AS27" s="24" t="inlineStr">
        <is>
          <t>BoomBoys</t>
        </is>
      </c>
      <c r="AT27" s="24" t="inlineStr">
        <is>
          <t>BoomBoys</t>
        </is>
      </c>
      <c r="AU27" s="24" t="inlineStr">
        <is>
          <t>BoomBoys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d90c36078a7f63122922d780ea21efefa8c74dba672139f2efdde44fa7e2adb7</t>
        </is>
      </c>
      <c r="BB27" s="24" t="inlineStr">
        <is>
          <t>neutral_elo</t>
        </is>
      </c>
      <c r="BC27" s="24" t="inlineStr">
        <is>
          <t>dota2-tiered-elo-v6</t>
        </is>
      </c>
      <c r="BD27" s="24" t="inlineStr">
        <is>
          <t>d90c36078a7f63122922d780ea21efefa8c74dba672139f2efdde44fa7e2adb7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dota2-tiered-elo-v6</t>
        </is>
      </c>
      <c r="BH27" s="24" t="inlineStr">
        <is>
          <t>2026-08-22T09:16:44.333569Z</t>
        </is>
      </c>
      <c r="BI27" s="24" t="inlineStr">
        <is>
          <t>["same_event","same_team_same_day","same_league_same_day"]</t>
        </is>
      </c>
      <c r="BJ27" s="25" t="n"/>
      <c r="BK27" s="26" t="n">
        <v>170</v>
      </c>
      <c r="BL27" s="27" t="n">
        <v>2.7</v>
      </c>
      <c r="BM27" s="28" t="n">
        <v>0.37037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0.37037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e442af85f96f4a04</t>
        </is>
      </c>
      <c r="B28" s="24" t="inlineStr">
        <is>
          <t>2026-08-22T23:01:58.568552Z</t>
        </is>
      </c>
      <c r="C28" s="24" t="inlineStr">
        <is>
          <t>2026-08-23T02:00:00Z</t>
        </is>
      </c>
      <c r="D28" s="24" t="inlineStr">
        <is>
          <t>88796</t>
        </is>
      </c>
      <c r="E28" s="24" t="inlineStr">
        <is>
          <t>DOTA2</t>
        </is>
      </c>
      <c r="F28" s="24" t="inlineStr">
        <is>
          <t>Team Spirit</t>
        </is>
      </c>
      <c r="G28" s="24" t="inlineStr">
        <is>
          <t>Team Yandex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203</v>
      </c>
      <c r="M28" s="27" t="n">
        <v>3.03</v>
      </c>
      <c r="N28" s="28" t="n">
        <v>0.330033</v>
      </c>
      <c r="O28" s="28" t="n">
        <v>0.509369</v>
      </c>
      <c r="P28" s="28" t="n"/>
      <c r="Q28" s="28" t="n">
        <v>0.179336</v>
      </c>
      <c r="R28" s="26" t="n">
        <v>100</v>
      </c>
      <c r="S28" s="29" t="n">
        <v>1.75</v>
      </c>
      <c r="T28" s="24" t="inlineStr">
        <is>
          <t>dota2-tiered-elo-v6</t>
        </is>
      </c>
      <c r="U28" s="24" t="inlineStr">
        <is>
          <t>settled</t>
        </is>
      </c>
      <c r="V28" s="24" t="inlineStr">
        <is>
          <t>loss</t>
        </is>
      </c>
      <c r="W28" s="26" t="n">
        <v>1</v>
      </c>
      <c r="X28" s="26" t="n">
        <v>0</v>
      </c>
      <c r="Y28" s="25" t="n"/>
      <c r="Z28" s="26" t="n">
        <v>203</v>
      </c>
      <c r="AA28" s="28" t="n">
        <v>0.33</v>
      </c>
      <c r="AB28" s="28" t="n">
        <v>-3.3e-05</v>
      </c>
      <c r="AC28" s="30" t="n">
        <v>-1.75</v>
      </c>
      <c r="AD28" s="24" t="inlineStr">
        <is>
          <t>2026-08-23T05:12:52.213813Z</t>
        </is>
      </c>
      <c r="AE28" s="31" t="inlineStr">
        <is>
          <t>Neutral Elo baseline; executable ask 0.3300 (market_slug=aec-dota2-ty-ts-2026-08-23).</t>
        </is>
      </c>
      <c r="AF28" s="31" t="inlineStr">
        <is>
          <t>Config-promoted esports baseline; gates enforced at log time.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Team Spirit</t>
        </is>
      </c>
      <c r="AQ28" s="24" t="inlineStr">
        <is>
          <t>Team Spirit</t>
        </is>
      </c>
      <c r="AR28" s="24" t="inlineStr">
        <is>
          <t>Team Spirit</t>
        </is>
      </c>
      <c r="AS28" s="24" t="inlineStr">
        <is>
          <t>Team Yandex</t>
        </is>
      </c>
      <c r="AT28" s="24" t="inlineStr">
        <is>
          <t>Team Yandex</t>
        </is>
      </c>
      <c r="AU28" s="24" t="inlineStr">
        <is>
          <t>Team Yandex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471c271ef3a161db864006a7d7781269f1695a3cc15d6f3223fa6db56e503a8c</t>
        </is>
      </c>
      <c r="BB28" s="24" t="inlineStr">
        <is>
          <t>neutral_elo</t>
        </is>
      </c>
      <c r="BC28" s="24" t="inlineStr">
        <is>
          <t>dota2-tiered-elo-v6</t>
        </is>
      </c>
      <c r="BD28" s="24" t="inlineStr">
        <is>
          <t>471c271ef3a161db864006a7d7781269f1695a3cc15d6f3223fa6db56e503a8c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dota2-tiered-elo-v6</t>
        </is>
      </c>
      <c r="BH28" s="24" t="inlineStr">
        <is>
          <t>2026-08-22T23:01:58.536925Z</t>
        </is>
      </c>
      <c r="BI28" s="24" t="inlineStr">
        <is>
          <t>["same_event","same_team_same_day","same_league_same_day"]</t>
        </is>
      </c>
      <c r="BJ28" s="25" t="n"/>
      <c r="BK28" s="26" t="n">
        <v>203</v>
      </c>
      <c r="BL28" s="27" t="n">
        <v>3.03</v>
      </c>
      <c r="BM28" s="28" t="n">
        <v>0.330033</v>
      </c>
      <c r="BN28" s="28" t="n"/>
      <c r="BO28" s="28" t="n"/>
      <c r="BP28" s="25" t="n"/>
      <c r="BQ28" s="27" t="n">
        <v>3.03</v>
      </c>
      <c r="BR28" s="28" t="n">
        <v>0.33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0.330033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4de9b3c7de20497e</t>
        </is>
      </c>
      <c r="B29" s="24" t="inlineStr">
        <is>
          <t>2026-08-24T05:34:11.268542Z</t>
        </is>
      </c>
      <c r="C29" s="24" t="inlineStr">
        <is>
          <t>2026-08-24T07:00:00Z</t>
        </is>
      </c>
      <c r="D29" s="24" t="inlineStr">
        <is>
          <t>90696</t>
        </is>
      </c>
      <c r="E29" s="24" t="inlineStr">
        <is>
          <t>DOTA2</t>
        </is>
      </c>
      <c r="F29" s="24" t="inlineStr">
        <is>
          <t>Nemiga Gaming</t>
        </is>
      </c>
      <c r="G29" s="24" t="inlineStr">
        <is>
          <t>Inner Circle x Insanity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138</v>
      </c>
      <c r="M29" s="27" t="n">
        <v>2.38</v>
      </c>
      <c r="N29" s="28" t="n">
        <v>0.420168</v>
      </c>
      <c r="O29" s="28" t="n">
        <v>0.5602819999999999</v>
      </c>
      <c r="P29" s="28" t="n"/>
      <c r="Q29" s="28" t="n">
        <v>0.140114</v>
      </c>
      <c r="R29" s="26" t="n">
        <v>90</v>
      </c>
      <c r="S29" s="29" t="n">
        <v>1.5</v>
      </c>
      <c r="T29" s="24" t="inlineStr">
        <is>
          <t>dota2-tiered-elo-v6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2.07</v>
      </c>
      <c r="AD29" s="24" t="inlineStr">
        <is>
          <t>2026-08-24T11:50:56.945800Z</t>
        </is>
      </c>
      <c r="AE29" s="31" t="inlineStr">
        <is>
          <t>Neutral Elo baseline; executable ask 0.4200 (market_slug=aec-dota2-icxi-nemiga-2026-08-24).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Nemiga Gaming</t>
        </is>
      </c>
      <c r="AQ29" s="24" t="inlineStr">
        <is>
          <t>Nemiga Gaming</t>
        </is>
      </c>
      <c r="AR29" s="24" t="inlineStr">
        <is>
          <t>Nemiga Gaming</t>
        </is>
      </c>
      <c r="AS29" s="24" t="inlineStr">
        <is>
          <t>Inner Circle x Insanity</t>
        </is>
      </c>
      <c r="AT29" s="24" t="inlineStr">
        <is>
          <t>Inner Circle x Insanity</t>
        </is>
      </c>
      <c r="AU29" s="24" t="inlineStr">
        <is>
          <t>Inner Circle x Insanity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9f2ee7fbd68abc69d338f8e91b779a78e35873f6bd9a1a768d6ccc4449246ca2</t>
        </is>
      </c>
      <c r="BB29" s="24" t="inlineStr">
        <is>
          <t>neutral_elo</t>
        </is>
      </c>
      <c r="BC29" s="24" t="inlineStr">
        <is>
          <t>dota2-tiered-elo-v6</t>
        </is>
      </c>
      <c r="BD29" s="24" t="inlineStr">
        <is>
          <t>9f2ee7fbd68abc69d338f8e91b779a78e35873f6bd9a1a768d6ccc4449246ca2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dota2-tiered-elo-v6</t>
        </is>
      </c>
      <c r="BH29" s="24" t="inlineStr">
        <is>
          <t>2026-08-24T05:34:09.379655Z</t>
        </is>
      </c>
      <c r="BI29" s="24" t="inlineStr">
        <is>
          <t>["same_event","same_team_same_day","same_league_same_day"]</t>
        </is>
      </c>
      <c r="BJ29" s="25" t="n"/>
      <c r="BK29" s="26" t="n">
        <v>138</v>
      </c>
      <c r="BL29" s="27" t="n">
        <v>2.38</v>
      </c>
      <c r="BM29" s="28" t="n">
        <v>0.420168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0.420168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b3ea34108758462a</t>
        </is>
      </c>
      <c r="B30" s="24" t="inlineStr">
        <is>
          <t>2026-08-25T05:01:21.265908Z</t>
        </is>
      </c>
      <c r="C30" s="24" t="inlineStr">
        <is>
          <t>2026-08-25T07:00:00Z</t>
        </is>
      </c>
      <c r="D30" s="24" t="inlineStr">
        <is>
          <t>90695</t>
        </is>
      </c>
      <c r="E30" s="24" t="inlineStr">
        <is>
          <t>DOTA2</t>
        </is>
      </c>
      <c r="F30" s="24" t="inlineStr">
        <is>
          <t>Nemiga Gaming</t>
        </is>
      </c>
      <c r="G30" s="24" t="inlineStr">
        <is>
          <t>PuckChamp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-133</v>
      </c>
      <c r="M30" s="27" t="n">
        <v>1.75188</v>
      </c>
      <c r="N30" s="28" t="n">
        <v>0.570815</v>
      </c>
      <c r="O30" s="28" t="n">
        <v>0.505684</v>
      </c>
      <c r="P30" s="28" t="n"/>
      <c r="Q30" s="28" t="n">
        <v>-0.06513099999999999</v>
      </c>
      <c r="R30" s="26" t="n">
        <v>0</v>
      </c>
      <c r="S30" s="29" t="n">
        <v>1</v>
      </c>
      <c r="T30" s="24" t="inlineStr">
        <is>
          <t>dota2-tiered-elo-v6</t>
        </is>
      </c>
      <c r="U30" s="24" t="inlineStr">
        <is>
          <t>settled</t>
        </is>
      </c>
      <c r="V30" s="24" t="inlineStr">
        <is>
          <t>loss</t>
        </is>
      </c>
      <c r="W30" s="26" t="n">
        <v>0</v>
      </c>
      <c r="X30" s="26" t="n">
        <v>1</v>
      </c>
      <c r="Y30" s="25" t="n"/>
      <c r="Z30" s="26" t="n">
        <v>-138</v>
      </c>
      <c r="AA30" s="28" t="n">
        <v>0.58</v>
      </c>
      <c r="AB30" s="28" t="n">
        <v>0.009185</v>
      </c>
      <c r="AC30" s="30" t="n">
        <v>-1</v>
      </c>
      <c r="AD30" s="24" t="inlineStr">
        <is>
          <t>2026-08-25T12:31:54.778659Z</t>
        </is>
      </c>
      <c r="AE30" s="31" t="inlineStr">
        <is>
          <t>Neutral Elo baseline; executable ask 0.5700 (market_slug=aec-dota2-pckcp-nemiga-2026-08-24).</t>
        </is>
      </c>
      <c r="AF30" s="31" t="inlineStr">
        <is>
          <t>Config-promoted esports baseline; gates enforced at log time.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PAPER_CALL_LOW_EDGE</t>
        </is>
      </c>
      <c r="AP30" s="24" t="inlineStr">
        <is>
          <t>Nemiga Gaming</t>
        </is>
      </c>
      <c r="AQ30" s="24" t="inlineStr">
        <is>
          <t>Nemiga Gaming</t>
        </is>
      </c>
      <c r="AR30" s="24" t="inlineStr">
        <is>
          <t>Nemiga Gaming</t>
        </is>
      </c>
      <c r="AS30" s="24" t="inlineStr">
        <is>
          <t>PuckChamp</t>
        </is>
      </c>
      <c r="AT30" s="24" t="inlineStr">
        <is>
          <t>PuckChamp</t>
        </is>
      </c>
      <c r="AU30" s="24" t="inlineStr">
        <is>
          <t>PuckChamp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8545409af1788cd63c4f8692253a5bb229b7e98236baa9277064880300a69fc3</t>
        </is>
      </c>
      <c r="BB30" s="24" t="inlineStr">
        <is>
          <t>neutral_elo</t>
        </is>
      </c>
      <c r="BC30" s="24" t="inlineStr">
        <is>
          <t>dota2-tiered-elo-v6</t>
        </is>
      </c>
      <c r="BD30" s="24" t="inlineStr">
        <is>
          <t>8545409af1788cd63c4f8692253a5bb229b7e98236baa9277064880300a69fc3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dota2-tiered-elo-v6</t>
        </is>
      </c>
      <c r="BH30" s="24" t="inlineStr">
        <is>
          <t>2026-08-25T05:01:20.206505Z</t>
        </is>
      </c>
      <c r="BI30" s="24" t="inlineStr">
        <is>
          <t>["same_event","same_team_same_day","same_league_same_day"]</t>
        </is>
      </c>
      <c r="BJ30" s="25" t="n"/>
      <c r="BK30" s="26" t="n">
        <v>-133</v>
      </c>
      <c r="BL30" s="27" t="n">
        <v>1.75188</v>
      </c>
      <c r="BM30" s="28" t="n">
        <v>0.570815</v>
      </c>
      <c r="BN30" s="28" t="n"/>
      <c r="BO30" s="28" t="n"/>
      <c r="BP30" s="25" t="n"/>
      <c r="BQ30" s="27" t="n">
        <v>1.724638</v>
      </c>
      <c r="BR30" s="28" t="n">
        <v>0.58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0.570815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7a73bb56356c4c3e</t>
        </is>
      </c>
      <c r="B31" s="24" t="inlineStr">
        <is>
          <t>2026-08-25T05:01:21.265908Z</t>
        </is>
      </c>
      <c r="C31" s="24" t="inlineStr">
        <is>
          <t>2026-08-25T10:00:00Z</t>
        </is>
      </c>
      <c r="D31" s="24" t="inlineStr">
        <is>
          <t>90698</t>
        </is>
      </c>
      <c r="E31" s="24" t="inlineStr">
        <is>
          <t>DOTA2</t>
        </is>
      </c>
      <c r="F31" s="24" t="inlineStr">
        <is>
          <t>PuckChamp</t>
        </is>
      </c>
      <c r="G31" s="24" t="inlineStr">
        <is>
          <t>FTS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150</v>
      </c>
      <c r="M31" s="27" t="n">
        <v>2.5</v>
      </c>
      <c r="N31" s="28" t="n">
        <v>0.4</v>
      </c>
      <c r="O31" s="28" t="n">
        <v>0.520268</v>
      </c>
      <c r="P31" s="28" t="n"/>
      <c r="Q31" s="28" t="n">
        <v>0.120268</v>
      </c>
      <c r="R31" s="26" t="n">
        <v>80</v>
      </c>
      <c r="S31" s="29" t="n">
        <v>1.5</v>
      </c>
      <c r="T31" s="24" t="inlineStr">
        <is>
          <t>dota2-tiered-elo-v6</t>
        </is>
      </c>
      <c r="U31" s="24" t="inlineStr">
        <is>
          <t>settled</t>
        </is>
      </c>
      <c r="V31" s="24" t="inlineStr">
        <is>
          <t>loss</t>
        </is>
      </c>
      <c r="W31" s="26" t="n">
        <v>1</v>
      </c>
      <c r="X31" s="26" t="n">
        <v>0</v>
      </c>
      <c r="Y31" s="25" t="n"/>
      <c r="Z31" s="26" t="n">
        <v>150</v>
      </c>
      <c r="AA31" s="28" t="n">
        <v>0.4</v>
      </c>
      <c r="AB31" s="28" t="n">
        <v>0</v>
      </c>
      <c r="AC31" s="30" t="n">
        <v>-1.5</v>
      </c>
      <c r="AD31" s="24" t="inlineStr">
        <is>
          <t>2026-08-25T13:28:58.955212Z</t>
        </is>
      </c>
      <c r="AE31" s="31" t="inlineStr">
        <is>
          <t>Neutral Elo baseline; executable ask 0.4000 (market_slug=aec-dota2-fts-pckcp-2026-08-25).</t>
        </is>
      </c>
      <c r="AF31" s="31" t="inlineStr">
        <is>
          <t>Config-promoted esports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4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PuckChamp</t>
        </is>
      </c>
      <c r="AQ31" s="24" t="inlineStr">
        <is>
          <t>PuckChamp</t>
        </is>
      </c>
      <c r="AR31" s="24" t="inlineStr">
        <is>
          <t>PuckChamp</t>
        </is>
      </c>
      <c r="AS31" s="24" t="inlineStr">
        <is>
          <t>FTS</t>
        </is>
      </c>
      <c r="AT31" s="24" t="inlineStr">
        <is>
          <t>FTS</t>
        </is>
      </c>
      <c r="AU31" s="24" t="inlineStr">
        <is>
          <t>FTS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8545409af1788cd63c4f8692253a5bb229b7e98236baa9277064880300a69fc3</t>
        </is>
      </c>
      <c r="BB31" s="24" t="inlineStr">
        <is>
          <t>neutral_elo</t>
        </is>
      </c>
      <c r="BC31" s="24" t="inlineStr">
        <is>
          <t>dota2-tiered-elo-v6</t>
        </is>
      </c>
      <c r="BD31" s="24" t="inlineStr">
        <is>
          <t>8545409af1788cd63c4f8692253a5bb229b7e98236baa9277064880300a69fc3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dota2-tiered-elo-v6</t>
        </is>
      </c>
      <c r="BH31" s="24" t="inlineStr">
        <is>
          <t>2026-08-25T05:01:20.363495Z</t>
        </is>
      </c>
      <c r="BI31" s="24" t="inlineStr">
        <is>
          <t>["same_event","same_team_same_day","same_league_same_day"]</t>
        </is>
      </c>
      <c r="BJ31" s="25" t="n"/>
      <c r="BK31" s="26" t="n">
        <v>150</v>
      </c>
      <c r="BL31" s="27" t="n">
        <v>2.5</v>
      </c>
      <c r="BM31" s="28" t="n">
        <v>0.4</v>
      </c>
      <c r="BN31" s="28" t="n"/>
      <c r="BO31" s="28" t="n"/>
      <c r="BP31" s="25" t="n"/>
      <c r="BQ31" s="27" t="n">
        <v>2.5</v>
      </c>
      <c r="BR31" s="28" t="n">
        <v>0.4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0.4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e919236426ce48ac</t>
        </is>
      </c>
      <c r="B32" s="24" t="inlineStr">
        <is>
          <t>2026-08-25T13:32:40.981066Z</t>
        </is>
      </c>
      <c r="C32" s="24" t="inlineStr">
        <is>
          <t>2026-08-25T16:00:00Z</t>
        </is>
      </c>
      <c r="D32" s="24" t="inlineStr">
        <is>
          <t>90700</t>
        </is>
      </c>
      <c r="E32" s="24" t="inlineStr">
        <is>
          <t>DOTA2</t>
        </is>
      </c>
      <c r="F32" s="24" t="inlineStr">
        <is>
          <t>Spirit Academy</t>
        </is>
      </c>
      <c r="G32" s="24" t="inlineStr">
        <is>
          <t>RE.Arise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-133</v>
      </c>
      <c r="M32" s="27" t="n">
        <v>1.75188</v>
      </c>
      <c r="N32" s="28" t="n">
        <v>0.570815</v>
      </c>
      <c r="O32" s="28" t="n">
        <v>0.568671</v>
      </c>
      <c r="P32" s="28" t="n"/>
      <c r="Q32" s="28" t="n">
        <v>-0.002144</v>
      </c>
      <c r="R32" s="26" t="n">
        <v>19</v>
      </c>
      <c r="S32" s="29" t="n">
        <v>1</v>
      </c>
      <c r="T32" s="24" t="inlineStr">
        <is>
          <t>dota2-tiered-elo-v6</t>
        </is>
      </c>
      <c r="U32" s="24" t="inlineStr">
        <is>
          <t>settled</t>
        </is>
      </c>
      <c r="V32" s="24" t="inlineStr">
        <is>
          <t>loss</t>
        </is>
      </c>
      <c r="W32" s="26" t="n">
        <v>0</v>
      </c>
      <c r="X32" s="26" t="n">
        <v>1</v>
      </c>
      <c r="Y32" s="25" t="n"/>
      <c r="Z32" s="26" t="n">
        <v>-133</v>
      </c>
      <c r="AA32" s="28" t="n">
        <v>0.57</v>
      </c>
      <c r="AB32" s="28" t="n">
        <v>-0.000815</v>
      </c>
      <c r="AC32" s="30" t="n">
        <v>-1</v>
      </c>
      <c r="AD32" s="24" t="inlineStr">
        <is>
          <t>2026-08-26T12:41:54.077375Z</t>
        </is>
      </c>
      <c r="AE32" s="31" t="inlineStr">
        <is>
          <t>Neutral Elo baseline; executable ask 0.5700 (market_slug=aec-dota2-rae-tsa-2026-08-25).</t>
        </is>
      </c>
      <c r="AF32" s="31" t="inlineStr">
        <is>
          <t>Config-promoted esports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PAPER_CALL_LOW_EDGE</t>
        </is>
      </c>
      <c r="AP32" s="24" t="inlineStr">
        <is>
          <t>Spirit Academy</t>
        </is>
      </c>
      <c r="AQ32" s="24" t="inlineStr">
        <is>
          <t>Spirit Academy</t>
        </is>
      </c>
      <c r="AR32" s="24" t="inlineStr">
        <is>
          <t>Spirit Academy</t>
        </is>
      </c>
      <c r="AS32" s="24" t="inlineStr">
        <is>
          <t>RE.Arise</t>
        </is>
      </c>
      <c r="AT32" s="24" t="inlineStr">
        <is>
          <t>RE.Arise</t>
        </is>
      </c>
      <c r="AU32" s="24" t="inlineStr">
        <is>
          <t>RE.Arise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eb90f0aaaa830f667a300150b0008f423a03b664e1b5fc18a1e81451c20ba640</t>
        </is>
      </c>
      <c r="BB32" s="24" t="inlineStr">
        <is>
          <t>neutral_elo</t>
        </is>
      </c>
      <c r="BC32" s="24" t="inlineStr">
        <is>
          <t>dota2-tiered-elo-v6</t>
        </is>
      </c>
      <c r="BD32" s="24" t="inlineStr">
        <is>
          <t>eb90f0aaaa830f667a300150b0008f423a03b664e1b5fc18a1e81451c20ba640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dota2-tiered-elo-v6</t>
        </is>
      </c>
      <c r="BH32" s="24" t="inlineStr">
        <is>
          <t>2026-08-25T13:32:40.548344Z</t>
        </is>
      </c>
      <c r="BI32" s="24" t="inlineStr">
        <is>
          <t>["same_event","same_team_same_day","same_league_same_day"]</t>
        </is>
      </c>
      <c r="BJ32" s="25" t="n"/>
      <c r="BK32" s="26" t="n">
        <v>-133</v>
      </c>
      <c r="BL32" s="27" t="n">
        <v>1.75188</v>
      </c>
      <c r="BM32" s="28" t="n">
        <v>0.570815</v>
      </c>
      <c r="BN32" s="28" t="n"/>
      <c r="BO32" s="28" t="n"/>
      <c r="BP32" s="25" t="n"/>
      <c r="BQ32" s="27" t="n">
        <v>1.75188</v>
      </c>
      <c r="BR32" s="28" t="n">
        <v>0.57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0.570815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985cff1c3c2044ea</t>
        </is>
      </c>
      <c r="B33" s="24" t="inlineStr">
        <is>
          <t>2026-08-25T13:32:40.981066Z</t>
        </is>
      </c>
      <c r="C33" s="24" t="inlineStr">
        <is>
          <t>2026-08-25T16:00:00Z</t>
        </is>
      </c>
      <c r="D33" s="24" t="inlineStr">
        <is>
          <t>90713</t>
        </is>
      </c>
      <c r="E33" s="24" t="inlineStr">
        <is>
          <t>DOTA2</t>
        </is>
      </c>
      <c r="F33" s="24" t="inlineStr">
        <is>
          <t>Inner Circle x Insanity</t>
        </is>
      </c>
      <c r="G33" s="24" t="inlineStr">
        <is>
          <t>Team Synapse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-233</v>
      </c>
      <c r="M33" s="27" t="n">
        <v>1.429185</v>
      </c>
      <c r="N33" s="28" t="n">
        <v>0.6997</v>
      </c>
      <c r="O33" s="28" t="n">
        <v>0.529493</v>
      </c>
      <c r="P33" s="28" t="n"/>
      <c r="Q33" s="28" t="n">
        <v>-0.170207</v>
      </c>
      <c r="R33" s="26" t="n">
        <v>0</v>
      </c>
      <c r="S33" s="29" t="n">
        <v>1</v>
      </c>
      <c r="T33" s="24" t="inlineStr">
        <is>
          <t>dota2-tiered-elo-v6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>
        <v>-233</v>
      </c>
      <c r="AA33" s="28" t="n">
        <v>0.7</v>
      </c>
      <c r="AB33" s="28" t="n">
        <v>0.0003</v>
      </c>
      <c r="AC33" s="30" t="n">
        <v>0.4292</v>
      </c>
      <c r="AD33" s="24" t="inlineStr">
        <is>
          <t>2026-08-26T12:41:54.347264Z</t>
        </is>
      </c>
      <c r="AE33" s="31" t="inlineStr">
        <is>
          <t>Neutral Elo baseline; executable ask 0.7000 (market_slug=aec-dota2-tsea-icxi-2026-08-25).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PAPER_CALL_MODEL_UNVALIDATED</t>
        </is>
      </c>
      <c r="AP33" s="24" t="inlineStr">
        <is>
          <t>Inner Circle x Insanity</t>
        </is>
      </c>
      <c r="AQ33" s="24" t="inlineStr">
        <is>
          <t>Inner Circle x Insanity</t>
        </is>
      </c>
      <c r="AR33" s="24" t="inlineStr">
        <is>
          <t>Inner Circle x Insanity</t>
        </is>
      </c>
      <c r="AS33" s="24" t="inlineStr">
        <is>
          <t>Team Synapse</t>
        </is>
      </c>
      <c r="AT33" s="24" t="inlineStr">
        <is>
          <t>Team Synapse</t>
        </is>
      </c>
      <c r="AU33" s="24" t="inlineStr">
        <is>
          <t>Team Synapse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eb90f0aaaa830f667a300150b0008f423a03b664e1b5fc18a1e81451c20ba640</t>
        </is>
      </c>
      <c r="BB33" s="24" t="inlineStr">
        <is>
          <t>neutral_elo</t>
        </is>
      </c>
      <c r="BC33" s="24" t="inlineStr">
        <is>
          <t>dota2-tiered-elo-v6</t>
        </is>
      </c>
      <c r="BD33" s="24" t="inlineStr">
        <is>
          <t>eb90f0aaaa830f667a300150b0008f423a03b664e1b5fc18a1e81451c20ba640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dota2-tiered-elo-v6</t>
        </is>
      </c>
      <c r="BH33" s="24" t="inlineStr">
        <is>
          <t>2026-08-25T13:32:40.771346Z</t>
        </is>
      </c>
      <c r="BI33" s="24" t="inlineStr">
        <is>
          <t>["same_event","same_team_same_day","same_league_same_day"]</t>
        </is>
      </c>
      <c r="BJ33" s="25" t="n"/>
      <c r="BK33" s="26" t="n">
        <v>-233</v>
      </c>
      <c r="BL33" s="27" t="n">
        <v>1.429185</v>
      </c>
      <c r="BM33" s="28" t="n">
        <v>0.6997</v>
      </c>
      <c r="BN33" s="28" t="n"/>
      <c r="BO33" s="28" t="n"/>
      <c r="BP33" s="25" t="n"/>
      <c r="BQ33" s="27" t="n">
        <v>1.429185</v>
      </c>
      <c r="BR33" s="28" t="n">
        <v>0.7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0.6997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fbf1864d7dce4113</t>
        </is>
      </c>
      <c r="B34" s="24" t="inlineStr">
        <is>
          <t>2026-08-25T13:32:40.981066Z</t>
        </is>
      </c>
      <c r="C34" s="24" t="inlineStr">
        <is>
          <t>2026-08-25T19:00:00Z</t>
        </is>
      </c>
      <c r="D34" s="24" t="inlineStr">
        <is>
          <t>90701</t>
        </is>
      </c>
      <c r="E34" s="24" t="inlineStr">
        <is>
          <t>DOTA2</t>
        </is>
      </c>
      <c r="F34" s="24" t="inlineStr">
        <is>
          <t>Spirit Academy</t>
        </is>
      </c>
      <c r="G34" s="24" t="inlineStr">
        <is>
          <t>summer bear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-113</v>
      </c>
      <c r="M34" s="27" t="n">
        <v>1.884956</v>
      </c>
      <c r="N34" s="28" t="n">
        <v>0.530516</v>
      </c>
      <c r="O34" s="28" t="n">
        <v>0.683358</v>
      </c>
      <c r="P34" s="28" t="n"/>
      <c r="Q34" s="28" t="n">
        <v>0.152842</v>
      </c>
      <c r="R34" s="26" t="n">
        <v>96</v>
      </c>
      <c r="S34" s="29" t="n">
        <v>1.75</v>
      </c>
      <c r="T34" s="24" t="inlineStr">
        <is>
          <t>dota2-tiered-elo-v6</t>
        </is>
      </c>
      <c r="U34" s="24" t="inlineStr">
        <is>
          <t>settled</t>
        </is>
      </c>
      <c r="V34" s="24" t="inlineStr">
        <is>
          <t>win</t>
        </is>
      </c>
      <c r="W34" s="26" t="n">
        <v>1</v>
      </c>
      <c r="X34" s="26" t="n">
        <v>0</v>
      </c>
      <c r="Y34" s="25" t="n"/>
      <c r="Z34" s="26" t="n">
        <v>-113</v>
      </c>
      <c r="AA34" s="28" t="n">
        <v>0.53</v>
      </c>
      <c r="AB34" s="28" t="n">
        <v>-0.000516</v>
      </c>
      <c r="AC34" s="30" t="n">
        <v>1.5487</v>
      </c>
      <c r="AD34" s="24" t="inlineStr">
        <is>
          <t>2026-08-26T12:41:54.607973Z</t>
        </is>
      </c>
      <c r="AE34" s="31" t="inlineStr">
        <is>
          <t>Neutral Elo baseline; executable ask 0.5300 (market_slug=aec-dota2-sb-tsa-2026-08-25).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Spirit Academy</t>
        </is>
      </c>
      <c r="AQ34" s="24" t="inlineStr">
        <is>
          <t>Spirit Academy</t>
        </is>
      </c>
      <c r="AR34" s="24" t="inlineStr">
        <is>
          <t>Spirit Academy</t>
        </is>
      </c>
      <c r="AS34" s="24" t="inlineStr">
        <is>
          <t>summer bear</t>
        </is>
      </c>
      <c r="AT34" s="24" t="inlineStr">
        <is>
          <t>summer bear</t>
        </is>
      </c>
      <c r="AU34" s="24" t="inlineStr">
        <is>
          <t>summer bear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eb90f0aaaa830f667a300150b0008f423a03b664e1b5fc18a1e81451c20ba640</t>
        </is>
      </c>
      <c r="BB34" s="24" t="inlineStr">
        <is>
          <t>neutral_elo</t>
        </is>
      </c>
      <c r="BC34" s="24" t="inlineStr">
        <is>
          <t>dota2-tiered-elo-v6</t>
        </is>
      </c>
      <c r="BD34" s="24" t="inlineStr">
        <is>
          <t>eb90f0aaaa830f667a300150b0008f423a03b664e1b5fc18a1e81451c20ba640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dota2-tiered-elo-v6</t>
        </is>
      </c>
      <c r="BH34" s="24" t="inlineStr">
        <is>
          <t>2026-08-25T13:32:40.869379Z</t>
        </is>
      </c>
      <c r="BI34" s="24" t="inlineStr">
        <is>
          <t>["same_event","same_team_same_day","same_league_same_day"]</t>
        </is>
      </c>
      <c r="BJ34" s="25" t="n"/>
      <c r="BK34" s="26" t="n">
        <v>-113</v>
      </c>
      <c r="BL34" s="27" t="n">
        <v>1.884956</v>
      </c>
      <c r="BM34" s="28" t="n">
        <v>0.530516</v>
      </c>
      <c r="BN34" s="28" t="n"/>
      <c r="BO34" s="28" t="n"/>
      <c r="BP34" s="25" t="n"/>
      <c r="BQ34" s="27" t="n">
        <v>1.884956</v>
      </c>
      <c r="BR34" s="28" t="n">
        <v>0.53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0.530516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1893949571a74e2e</t>
        </is>
      </c>
      <c r="B35" s="24" t="inlineStr">
        <is>
          <t>2026-08-25T13:32:40.981066Z</t>
        </is>
      </c>
      <c r="C35" s="24" t="inlineStr">
        <is>
          <t>2026-08-25T19:00:00Z</t>
        </is>
      </c>
      <c r="D35" s="24" t="inlineStr">
        <is>
          <t>90714</t>
        </is>
      </c>
      <c r="E35" s="24" t="inlineStr">
        <is>
          <t>DOTA2</t>
        </is>
      </c>
      <c r="F35" s="24" t="inlineStr">
        <is>
          <t>Team Synapse</t>
        </is>
      </c>
      <c r="G35" s="24" t="inlineStr">
        <is>
          <t>DYNASTY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-163</v>
      </c>
      <c r="M35" s="27" t="n">
        <v>1.613497</v>
      </c>
      <c r="N35" s="28" t="n">
        <v>0.619772</v>
      </c>
      <c r="O35" s="28" t="n">
        <v>0.524733</v>
      </c>
      <c r="P35" s="28" t="n"/>
      <c r="Q35" s="28" t="n">
        <v>-0.095039</v>
      </c>
      <c r="R35" s="26" t="n">
        <v>0</v>
      </c>
      <c r="S35" s="29" t="n">
        <v>1</v>
      </c>
      <c r="T35" s="24" t="inlineStr">
        <is>
          <t>dota2-tiered-elo-v6</t>
        </is>
      </c>
      <c r="U35" s="24" t="inlineStr">
        <is>
          <t>settled</t>
        </is>
      </c>
      <c r="V35" s="24" t="inlineStr">
        <is>
          <t>loss</t>
        </is>
      </c>
      <c r="W35" s="26" t="n">
        <v>1</v>
      </c>
      <c r="X35" s="26" t="n">
        <v>0</v>
      </c>
      <c r="Y35" s="25" t="n"/>
      <c r="Z35" s="26" t="n">
        <v>-163</v>
      </c>
      <c r="AA35" s="28" t="n">
        <v>0.62</v>
      </c>
      <c r="AB35" s="28" t="n">
        <v>0.000228</v>
      </c>
      <c r="AC35" s="30" t="n">
        <v>-1</v>
      </c>
      <c r="AD35" s="24" t="inlineStr">
        <is>
          <t>2026-08-26T12:41:54.943429Z</t>
        </is>
      </c>
      <c r="AE35" s="31" t="inlineStr">
        <is>
          <t>Neutral Elo baseline; executable ask 0.6200 (market_slug=aec-dota2-dyn-tsea-2026-08-25).</t>
        </is>
      </c>
      <c r="AF35" s="31" t="inlineStr">
        <is>
          <t>Config-promoted esports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PAPER_CALL_MODEL_UNVALIDATED</t>
        </is>
      </c>
      <c r="AP35" s="24" t="inlineStr">
        <is>
          <t>Team Synapse</t>
        </is>
      </c>
      <c r="AQ35" s="24" t="inlineStr">
        <is>
          <t>Team Synapse</t>
        </is>
      </c>
      <c r="AR35" s="24" t="inlineStr">
        <is>
          <t>Team Synapse</t>
        </is>
      </c>
      <c r="AS35" s="24" t="inlineStr">
        <is>
          <t>DYNASTY</t>
        </is>
      </c>
      <c r="AT35" s="24" t="inlineStr">
        <is>
          <t>DYNASTY</t>
        </is>
      </c>
      <c r="AU35" s="24" t="inlineStr">
        <is>
          <t>DYNASTY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eb90f0aaaa830f667a300150b0008f423a03b664e1b5fc18a1e81451c20ba640</t>
        </is>
      </c>
      <c r="BB35" s="24" t="inlineStr">
        <is>
          <t>neutral_elo</t>
        </is>
      </c>
      <c r="BC35" s="24" t="inlineStr">
        <is>
          <t>dota2-tiered-elo-v6</t>
        </is>
      </c>
      <c r="BD35" s="24" t="inlineStr">
        <is>
          <t>eb90f0aaaa830f667a300150b0008f423a03b664e1b5fc18a1e81451c20ba640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dota2-tiered-elo-v6</t>
        </is>
      </c>
      <c r="BH35" s="24" t="inlineStr">
        <is>
          <t>2026-08-25T13:32:40.942956Z</t>
        </is>
      </c>
      <c r="BI35" s="24" t="inlineStr">
        <is>
          <t>["same_event","same_team_same_day","same_league_same_day"]</t>
        </is>
      </c>
      <c r="BJ35" s="25" t="n"/>
      <c r="BK35" s="26" t="n">
        <v>-163</v>
      </c>
      <c r="BL35" s="27" t="n">
        <v>1.613497</v>
      </c>
      <c r="BM35" s="28" t="n">
        <v>0.619772</v>
      </c>
      <c r="BN35" s="28" t="n"/>
      <c r="BO35" s="28" t="n"/>
      <c r="BP35" s="25" t="n"/>
      <c r="BQ35" s="27" t="n">
        <v>1.613497</v>
      </c>
      <c r="BR35" s="28" t="n">
        <v>0.62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0.619772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dc80a1ce5de2495b</t>
        </is>
      </c>
      <c r="B36" s="24" t="inlineStr">
        <is>
          <t>2026-08-28T02:44:38.193989Z</t>
        </is>
      </c>
      <c r="C36" s="24" t="inlineStr">
        <is>
          <t>2026-08-28T07:00:00Z</t>
        </is>
      </c>
      <c r="D36" s="24" t="inlineStr">
        <is>
          <t>92957</t>
        </is>
      </c>
      <c r="E36" s="24" t="inlineStr">
        <is>
          <t>DOTA2</t>
        </is>
      </c>
      <c r="F36" s="24" t="inlineStr">
        <is>
          <t>Inner Circle x Insanity</t>
        </is>
      </c>
      <c r="G36" s="24" t="inlineStr">
        <is>
          <t>PuckChamp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-213</v>
      </c>
      <c r="M36" s="27" t="n">
        <v>1.469484</v>
      </c>
      <c r="N36" s="28" t="n">
        <v>0.680511</v>
      </c>
      <c r="O36" s="28" t="n">
        <v>0.619959</v>
      </c>
      <c r="P36" s="28" t="n"/>
      <c r="Q36" s="28" t="n">
        <v>-0.060552</v>
      </c>
      <c r="R36" s="26" t="n">
        <v>0</v>
      </c>
      <c r="S36" s="29" t="n">
        <v>1</v>
      </c>
      <c r="T36" s="24" t="inlineStr">
        <is>
          <t>dota2-tiered-elo-v6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0</v>
      </c>
      <c r="Y36" s="25" t="n"/>
      <c r="Z36" s="26" t="n"/>
      <c r="AA36" s="28" t="n"/>
      <c r="AB36" s="28" t="n"/>
      <c r="AC36" s="30" t="n">
        <v>0.4695</v>
      </c>
      <c r="AD36" s="24" t="inlineStr">
        <is>
          <t>2026-08-28T12:32:44.668118Z</t>
        </is>
      </c>
      <c r="AE36" s="31" t="inlineStr">
        <is>
          <t>Neutral Elo baseline; executable ask 0.6800 (market_slug=aec-dota2-pckcp-icxi-2026-08-28).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Inner Circle x Insanity</t>
        </is>
      </c>
      <c r="AQ36" s="24" t="inlineStr">
        <is>
          <t>Inner Circle x Insanity</t>
        </is>
      </c>
      <c r="AR36" s="24" t="inlineStr">
        <is>
          <t>Inner Circle x Insanity</t>
        </is>
      </c>
      <c r="AS36" s="24" t="inlineStr">
        <is>
          <t>PuckChamp</t>
        </is>
      </c>
      <c r="AT36" s="24" t="inlineStr">
        <is>
          <t>PuckChamp</t>
        </is>
      </c>
      <c r="AU36" s="24" t="inlineStr">
        <is>
          <t>PuckChamp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7d4ad5f0795723df23da982df1f9faea81111aae9f70bc87d386644d7566961e</t>
        </is>
      </c>
      <c r="BB36" s="24" t="inlineStr">
        <is>
          <t>neutral_elo</t>
        </is>
      </c>
      <c r="BC36" s="24" t="inlineStr">
        <is>
          <t>dota2-tiered-elo-v6</t>
        </is>
      </c>
      <c r="BD36" s="24" t="inlineStr">
        <is>
          <t>7d4ad5f0795723df23da982df1f9faea81111aae9f70bc87d386644d7566961e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dota2-tiered-elo-v6</t>
        </is>
      </c>
      <c r="BH36" s="24" t="inlineStr">
        <is>
          <t>2026-08-28T02:44:35.817465Z</t>
        </is>
      </c>
      <c r="BI36" s="24" t="inlineStr">
        <is>
          <t>["same_event","same_team_same_day","same_league_same_day"]</t>
        </is>
      </c>
      <c r="BJ36" s="25" t="n"/>
      <c r="BK36" s="26" t="n">
        <v>-213</v>
      </c>
      <c r="BL36" s="27" t="n">
        <v>1.469484</v>
      </c>
      <c r="BM36" s="28" t="n">
        <v>0.680511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0.680511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c5af8af5d9cc40f4</t>
        </is>
      </c>
      <c r="B37" s="24" t="inlineStr">
        <is>
          <t>2026-08-28T12:36:03.784275Z</t>
        </is>
      </c>
      <c r="C37" s="24" t="inlineStr">
        <is>
          <t>2026-08-28T13:00:00Z</t>
        </is>
      </c>
      <c r="D37" s="24" t="inlineStr">
        <is>
          <t>94650</t>
        </is>
      </c>
      <c r="E37" s="24" t="inlineStr">
        <is>
          <t>DOTA2</t>
        </is>
      </c>
      <c r="F37" s="24" t="inlineStr">
        <is>
          <t>Nemiga Gaming</t>
        </is>
      </c>
      <c r="G37" s="24" t="inlineStr">
        <is>
          <t>Team Synapse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117</v>
      </c>
      <c r="M37" s="27" t="n">
        <v>2.17</v>
      </c>
      <c r="N37" s="28" t="n">
        <v>0.460829</v>
      </c>
      <c r="O37" s="28" t="n">
        <v>0.549376</v>
      </c>
      <c r="P37" s="28" t="n"/>
      <c r="Q37" s="28" t="n">
        <v>0.088547</v>
      </c>
      <c r="R37" s="26" t="n">
        <v>64</v>
      </c>
      <c r="S37" s="29" t="n">
        <v>1.25</v>
      </c>
      <c r="T37" s="24" t="inlineStr">
        <is>
          <t>dota2-tiered-elo-v6</t>
        </is>
      </c>
      <c r="U37" s="24" t="inlineStr">
        <is>
          <t>settled</t>
        </is>
      </c>
      <c r="V37" s="24" t="inlineStr">
        <is>
          <t>win</t>
        </is>
      </c>
      <c r="W37" s="26" t="n">
        <v>0</v>
      </c>
      <c r="X37" s="26" t="n">
        <v>1</v>
      </c>
      <c r="Y37" s="25" t="n"/>
      <c r="Z37" s="26" t="n">
        <v>117</v>
      </c>
      <c r="AA37" s="28" t="n">
        <v>0.46</v>
      </c>
      <c r="AB37" s="28" t="n">
        <v>-0.000829</v>
      </c>
      <c r="AC37" s="30" t="n">
        <v>1.4625</v>
      </c>
      <c r="AD37" s="24" t="inlineStr">
        <is>
          <t>2026-08-29T12:39:58.152385Z</t>
        </is>
      </c>
      <c r="AE37" s="31" t="inlineStr">
        <is>
          <t>Neutral Elo baseline; executable ask 0.4600 (market_slug=aec-dota2-tsea-nemiga-2026-08-28).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Nemiga Gaming</t>
        </is>
      </c>
      <c r="AQ37" s="24" t="inlineStr">
        <is>
          <t>Nemiga Gaming</t>
        </is>
      </c>
      <c r="AR37" s="24" t="inlineStr">
        <is>
          <t>Nemiga Gaming</t>
        </is>
      </c>
      <c r="AS37" s="24" t="inlineStr">
        <is>
          <t>Team Synapse</t>
        </is>
      </c>
      <c r="AT37" s="24" t="inlineStr">
        <is>
          <t>Team Synapse</t>
        </is>
      </c>
      <c r="AU37" s="24" t="inlineStr">
        <is>
          <t>Team Synapse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7d203455769028d55cc1d9d48e23ba03016d1a6c1522cb202a484c822336f2e3</t>
        </is>
      </c>
      <c r="BB37" s="24" t="inlineStr">
        <is>
          <t>neutral_elo</t>
        </is>
      </c>
      <c r="BC37" s="24" t="inlineStr">
        <is>
          <t>dota2-tiered-elo-v6</t>
        </is>
      </c>
      <c r="BD37" s="24" t="inlineStr">
        <is>
          <t>7d203455769028d55cc1d9d48e23ba03016d1a6c1522cb202a484c822336f2e3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dota2-tiered-elo-v6</t>
        </is>
      </c>
      <c r="BH37" s="24" t="inlineStr">
        <is>
          <t>2026-08-28T12:36:01.684733Z</t>
        </is>
      </c>
      <c r="BI37" s="24" t="inlineStr">
        <is>
          <t>["same_event","same_team_same_day","same_league_same_day"]</t>
        </is>
      </c>
      <c r="BJ37" s="25" t="n"/>
      <c r="BK37" s="26" t="n">
        <v>117</v>
      </c>
      <c r="BL37" s="27" t="n">
        <v>2.17</v>
      </c>
      <c r="BM37" s="28" t="n">
        <v>0.460829</v>
      </c>
      <c r="BN37" s="28" t="n"/>
      <c r="BO37" s="28" t="n"/>
      <c r="BP37" s="25" t="n"/>
      <c r="BQ37" s="27" t="n">
        <v>2.17</v>
      </c>
      <c r="BR37" s="28" t="n">
        <v>0.46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0.460829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357b5d2bf7d44e3f</t>
        </is>
      </c>
      <c r="B38" s="24" t="inlineStr">
        <is>
          <t>2026-08-28T12:36:03.784275Z</t>
        </is>
      </c>
      <c r="C38" s="24" t="inlineStr">
        <is>
          <t>2026-08-28T16:00:00Z</t>
        </is>
      </c>
      <c r="D38" s="24" t="inlineStr">
        <is>
          <t>94706</t>
        </is>
      </c>
      <c r="E38" s="24" t="inlineStr">
        <is>
          <t>DOTA2</t>
        </is>
      </c>
      <c r="F38" s="24" t="inlineStr">
        <is>
          <t>FTS</t>
        </is>
      </c>
      <c r="G38" s="24" t="inlineStr">
        <is>
          <t>Team Synapse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-186</v>
      </c>
      <c r="M38" s="27" t="n">
        <v>1.537634</v>
      </c>
      <c r="N38" s="28" t="n">
        <v>0.65035</v>
      </c>
      <c r="O38" s="28" t="n">
        <v>0.577353</v>
      </c>
      <c r="P38" s="28" t="n"/>
      <c r="Q38" s="28" t="n">
        <v>-0.07299700000000001</v>
      </c>
      <c r="R38" s="26" t="n">
        <v>0</v>
      </c>
      <c r="S38" s="29" t="n">
        <v>1</v>
      </c>
      <c r="T38" s="24" t="inlineStr">
        <is>
          <t>dota2-tiered-elo-v6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-186</v>
      </c>
      <c r="AA38" s="28" t="n">
        <v>0.65</v>
      </c>
      <c r="AB38" s="28" t="n">
        <v>-0.00035</v>
      </c>
      <c r="AC38" s="30" t="n">
        <v>0.5376</v>
      </c>
      <c r="AD38" s="24" t="inlineStr">
        <is>
          <t>2026-08-29T12:39:58.438119Z</t>
        </is>
      </c>
      <c r="AE38" s="31" t="inlineStr">
        <is>
          <t>Neutral Elo baseline; executable ask 0.6500 (market_slug=aec-dota2-tsea-fts-2026-08-28).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FTS</t>
        </is>
      </c>
      <c r="AQ38" s="24" t="inlineStr">
        <is>
          <t>FTS</t>
        </is>
      </c>
      <c r="AR38" s="24" t="inlineStr">
        <is>
          <t>FTS</t>
        </is>
      </c>
      <c r="AS38" s="24" t="inlineStr">
        <is>
          <t>Team Synapse</t>
        </is>
      </c>
      <c r="AT38" s="24" t="inlineStr">
        <is>
          <t>Team Synapse</t>
        </is>
      </c>
      <c r="AU38" s="24" t="inlineStr">
        <is>
          <t>Team Synapse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7d203455769028d55cc1d9d48e23ba03016d1a6c1522cb202a484c822336f2e3</t>
        </is>
      </c>
      <c r="BB38" s="24" t="inlineStr">
        <is>
          <t>neutral_elo</t>
        </is>
      </c>
      <c r="BC38" s="24" t="inlineStr">
        <is>
          <t>dota2-tiered-elo-v6</t>
        </is>
      </c>
      <c r="BD38" s="24" t="inlineStr">
        <is>
          <t>7d203455769028d55cc1d9d48e23ba03016d1a6c1522cb202a484c822336f2e3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dota2-tiered-elo-v6</t>
        </is>
      </c>
      <c r="BH38" s="24" t="inlineStr">
        <is>
          <t>2026-08-28T12:36:01.806684Z</t>
        </is>
      </c>
      <c r="BI38" s="24" t="inlineStr">
        <is>
          <t>["same_event","same_team_same_day","same_league_same_day"]</t>
        </is>
      </c>
      <c r="BJ38" s="25" t="n"/>
      <c r="BK38" s="26" t="n">
        <v>-186</v>
      </c>
      <c r="BL38" s="27" t="n">
        <v>1.537634</v>
      </c>
      <c r="BM38" s="28" t="n">
        <v>0.65035</v>
      </c>
      <c r="BN38" s="28" t="n"/>
      <c r="BO38" s="28" t="n"/>
      <c r="BP38" s="25" t="n"/>
      <c r="BQ38" s="27" t="n">
        <v>1.537634</v>
      </c>
      <c r="BR38" s="28" t="n">
        <v>0.65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0.65035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c32a2d6b5ca74488</t>
        </is>
      </c>
      <c r="B39" s="24" t="inlineStr">
        <is>
          <t>2026-08-28T12:36:03.784275Z</t>
        </is>
      </c>
      <c r="C39" s="24" t="inlineStr">
        <is>
          <t>2026-08-28T19:00:00Z</t>
        </is>
      </c>
      <c r="D39" s="24" t="inlineStr">
        <is>
          <t>94710</t>
        </is>
      </c>
      <c r="E39" s="24" t="inlineStr">
        <is>
          <t>DOTA2</t>
        </is>
      </c>
      <c r="F39" s="24" t="inlineStr">
        <is>
          <t>Nemiga Gaming</t>
        </is>
      </c>
      <c r="G39" s="24" t="inlineStr">
        <is>
          <t>FTS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-203</v>
      </c>
      <c r="M39" s="27" t="n">
        <v>1.492611</v>
      </c>
      <c r="N39" s="28" t="n">
        <v>0.669967</v>
      </c>
      <c r="O39" s="28" t="n">
        <v>0.52193</v>
      </c>
      <c r="P39" s="28" t="n"/>
      <c r="Q39" s="28" t="n">
        <v>-0.148037</v>
      </c>
      <c r="R39" s="26" t="n">
        <v>0</v>
      </c>
      <c r="S39" s="29" t="n">
        <v>1</v>
      </c>
      <c r="T39" s="24" t="inlineStr">
        <is>
          <t>dota2-tiered-elo-v6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>
        <v>-203</v>
      </c>
      <c r="AA39" s="28" t="n">
        <v>0.67</v>
      </c>
      <c r="AB39" s="28" t="n">
        <v>3.3e-05</v>
      </c>
      <c r="AC39" s="30" t="n">
        <v>-1</v>
      </c>
      <c r="AD39" s="24" t="inlineStr">
        <is>
          <t>2026-08-29T12:39:58.711249Z</t>
        </is>
      </c>
      <c r="AE39" s="31" t="inlineStr">
        <is>
          <t>Neutral Elo baseline; executable ask 0.6700 (market_slug=aec-dota2-fts-nemiga-2026-08-28).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Nemiga Gaming</t>
        </is>
      </c>
      <c r="AQ39" s="24" t="inlineStr">
        <is>
          <t>Nemiga Gaming</t>
        </is>
      </c>
      <c r="AR39" s="24" t="inlineStr">
        <is>
          <t>Nemiga Gaming</t>
        </is>
      </c>
      <c r="AS39" s="24" t="inlineStr">
        <is>
          <t>FTS</t>
        </is>
      </c>
      <c r="AT39" s="24" t="inlineStr">
        <is>
          <t>FTS</t>
        </is>
      </c>
      <c r="AU39" s="24" t="inlineStr">
        <is>
          <t>FTS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7d203455769028d55cc1d9d48e23ba03016d1a6c1522cb202a484c822336f2e3</t>
        </is>
      </c>
      <c r="BB39" s="24" t="inlineStr">
        <is>
          <t>neutral_elo</t>
        </is>
      </c>
      <c r="BC39" s="24" t="inlineStr">
        <is>
          <t>dota2-tiered-elo-v6</t>
        </is>
      </c>
      <c r="BD39" s="24" t="inlineStr">
        <is>
          <t>7d203455769028d55cc1d9d48e23ba03016d1a6c1522cb202a484c822336f2e3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dota2-tiered-elo-v6</t>
        </is>
      </c>
      <c r="BH39" s="24" t="inlineStr">
        <is>
          <t>2026-08-28T12:36:01.968336Z</t>
        </is>
      </c>
      <c r="BI39" s="24" t="inlineStr">
        <is>
          <t>["same_event","same_team_same_day","same_league_same_day"]</t>
        </is>
      </c>
      <c r="BJ39" s="25" t="n"/>
      <c r="BK39" s="26" t="n">
        <v>-203</v>
      </c>
      <c r="BL39" s="27" t="n">
        <v>1.492611</v>
      </c>
      <c r="BM39" s="28" t="n">
        <v>0.669967</v>
      </c>
      <c r="BN39" s="28" t="n"/>
      <c r="BO39" s="28" t="n"/>
      <c r="BP39" s="25" t="n"/>
      <c r="BQ39" s="27" t="n">
        <v>1.492611</v>
      </c>
      <c r="BR39" s="28" t="n">
        <v>0.67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0.669967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02624b5cd57340a3</t>
        </is>
      </c>
      <c r="B40" s="24" t="inlineStr">
        <is>
          <t>2026-08-29T12:43:15.842350Z</t>
        </is>
      </c>
      <c r="C40" s="24" t="inlineStr">
        <is>
          <t>2026-08-29T14:00:00Z</t>
        </is>
      </c>
      <c r="D40" s="24" t="inlineStr">
        <is>
          <t>94954</t>
        </is>
      </c>
      <c r="E40" s="24" t="inlineStr">
        <is>
          <t>DOTA2</t>
        </is>
      </c>
      <c r="F40" s="24" t="inlineStr">
        <is>
          <t>Team Lynx</t>
        </is>
      </c>
      <c r="G40" s="24" t="inlineStr">
        <is>
          <t>HULIGANI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186</v>
      </c>
      <c r="M40" s="27" t="n">
        <v>2.86</v>
      </c>
      <c r="N40" s="28" t="n">
        <v>0.34965</v>
      </c>
      <c r="O40" s="28" t="n">
        <v>0.537506</v>
      </c>
      <c r="P40" s="28" t="n"/>
      <c r="Q40" s="28" t="n">
        <v>0.187856</v>
      </c>
      <c r="R40" s="26" t="n">
        <v>100</v>
      </c>
      <c r="S40" s="29" t="n">
        <v>2</v>
      </c>
      <c r="T40" s="24" t="inlineStr">
        <is>
          <t>dota2-tiered-elo-v6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0</v>
      </c>
      <c r="Y40" s="25" t="n"/>
      <c r="Z40" s="26" t="n">
        <v>186</v>
      </c>
      <c r="AA40" s="28" t="n">
        <v>0.35</v>
      </c>
      <c r="AB40" s="28" t="n">
        <v>0.00035</v>
      </c>
      <c r="AC40" s="30" t="n">
        <v>3.72</v>
      </c>
      <c r="AD40" s="24" t="inlineStr">
        <is>
          <t>2026-08-30T03:32:53.492978Z</t>
        </is>
      </c>
      <c r="AE40" s="31" t="inlineStr">
        <is>
          <t>Neutral Elo baseline; executable ask 0.3500 (market_slug=aec-dota2-hul-lynx-2026-08-29).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PAPER_CALL_MODEL_UNVALIDATED</t>
        </is>
      </c>
      <c r="AP40" s="24" t="inlineStr">
        <is>
          <t>Team Lynx</t>
        </is>
      </c>
      <c r="AQ40" s="24" t="inlineStr">
        <is>
          <t>Team Lynx</t>
        </is>
      </c>
      <c r="AR40" s="24" t="inlineStr">
        <is>
          <t>Team Lynx</t>
        </is>
      </c>
      <c r="AS40" s="24" t="inlineStr">
        <is>
          <t>HULIGANI</t>
        </is>
      </c>
      <c r="AT40" s="24" t="inlineStr">
        <is>
          <t>HULIGANI</t>
        </is>
      </c>
      <c r="AU40" s="24" t="inlineStr">
        <is>
          <t>HULIGANI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fd881fdb1437a021a0706a193c0f0fe728f0b778144e270ca83bc15d0913b3c7</t>
        </is>
      </c>
      <c r="BB40" s="24" t="inlineStr">
        <is>
          <t>neutral_elo</t>
        </is>
      </c>
      <c r="BC40" s="24" t="inlineStr">
        <is>
          <t>dota2-tiered-elo-v6</t>
        </is>
      </c>
      <c r="BD40" s="24" t="inlineStr">
        <is>
          <t>fd881fdb1437a021a0706a193c0f0fe728f0b778144e270ca83bc15d0913b3c7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dota2-tiered-elo-v6</t>
        </is>
      </c>
      <c r="BH40" s="24" t="inlineStr">
        <is>
          <t>2026-08-29T12:43:13.624228Z</t>
        </is>
      </c>
      <c r="BI40" s="24" t="inlineStr">
        <is>
          <t>["same_event","same_team_same_day","same_league_same_day"]</t>
        </is>
      </c>
      <c r="BJ40" s="25" t="n"/>
      <c r="BK40" s="26" t="n">
        <v>186</v>
      </c>
      <c r="BL40" s="27" t="n">
        <v>2.86</v>
      </c>
      <c r="BM40" s="28" t="n">
        <v>0.34965</v>
      </c>
      <c r="BN40" s="28" t="n"/>
      <c r="BO40" s="28" t="n"/>
      <c r="BP40" s="25" t="n"/>
      <c r="BQ40" s="27" t="n">
        <v>2.86</v>
      </c>
      <c r="BR40" s="28" t="n">
        <v>0.35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0.34965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0ee04eda88a543e3</t>
        </is>
      </c>
      <c r="B41" s="24" t="inlineStr">
        <is>
          <t>2026-08-29T12:43:15.842350Z</t>
        </is>
      </c>
      <c r="C41" s="24" t="inlineStr">
        <is>
          <t>2026-08-29T16:00:00Z</t>
        </is>
      </c>
      <c r="D41" s="24" t="inlineStr">
        <is>
          <t>94955</t>
        </is>
      </c>
      <c r="E41" s="24" t="inlineStr">
        <is>
          <t>DOTA2</t>
        </is>
      </c>
      <c r="F41" s="24" t="inlineStr">
        <is>
          <t>PuckChamp</t>
        </is>
      </c>
      <c r="G41" s="24" t="inlineStr">
        <is>
          <t>Team Synapse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-133</v>
      </c>
      <c r="M41" s="27" t="n">
        <v>1.75188</v>
      </c>
      <c r="N41" s="28" t="n">
        <v>0.570815</v>
      </c>
      <c r="O41" s="28" t="n">
        <v>0.6132570000000001</v>
      </c>
      <c r="P41" s="28" t="n"/>
      <c r="Q41" s="28" t="n">
        <v>0.042442</v>
      </c>
      <c r="R41" s="26" t="n">
        <v>41</v>
      </c>
      <c r="S41" s="29" t="n">
        <v>1</v>
      </c>
      <c r="T41" s="24" t="inlineStr">
        <is>
          <t>dota2-tiered-elo-v6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0</v>
      </c>
      <c r="X41" s="26" t="n">
        <v>1</v>
      </c>
      <c r="Y41" s="25" t="n"/>
      <c r="Z41" s="26" t="n">
        <v>-133</v>
      </c>
      <c r="AA41" s="28" t="n">
        <v>0.57</v>
      </c>
      <c r="AB41" s="28" t="n">
        <v>-0.000815</v>
      </c>
      <c r="AC41" s="30" t="n">
        <v>0.7519</v>
      </c>
      <c r="AD41" s="24" t="inlineStr">
        <is>
          <t>2026-08-30T03:32:53.747559Z</t>
        </is>
      </c>
      <c r="AE41" s="31" t="inlineStr">
        <is>
          <t>Neutral Elo baseline; executable ask 0.5700 (market_slug=aec-dota2-tsea-pckcp-2026-08-29).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4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PuckChamp</t>
        </is>
      </c>
      <c r="AQ41" s="24" t="inlineStr">
        <is>
          <t>PuckChamp</t>
        </is>
      </c>
      <c r="AR41" s="24" t="inlineStr">
        <is>
          <t>PuckChamp</t>
        </is>
      </c>
      <c r="AS41" s="24" t="inlineStr">
        <is>
          <t>Team Synapse</t>
        </is>
      </c>
      <c r="AT41" s="24" t="inlineStr">
        <is>
          <t>Team Synapse</t>
        </is>
      </c>
      <c r="AU41" s="24" t="inlineStr">
        <is>
          <t>Team Synapse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fd881fdb1437a021a0706a193c0f0fe728f0b778144e270ca83bc15d0913b3c7</t>
        </is>
      </c>
      <c r="BB41" s="24" t="inlineStr">
        <is>
          <t>neutral_elo</t>
        </is>
      </c>
      <c r="BC41" s="24" t="inlineStr">
        <is>
          <t>dota2-tiered-elo-v6</t>
        </is>
      </c>
      <c r="BD41" s="24" t="inlineStr">
        <is>
          <t>fd881fdb1437a021a0706a193c0f0fe728f0b778144e270ca83bc15d0913b3c7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dota2-tiered-elo-v6</t>
        </is>
      </c>
      <c r="BH41" s="24" t="inlineStr">
        <is>
          <t>2026-08-29T12:43:14.313284Z</t>
        </is>
      </c>
      <c r="BI41" s="24" t="inlineStr">
        <is>
          <t>["same_event","same_team_same_day","same_league_same_day"]</t>
        </is>
      </c>
      <c r="BJ41" s="25" t="n"/>
      <c r="BK41" s="26" t="n">
        <v>-133</v>
      </c>
      <c r="BL41" s="27" t="n">
        <v>1.75188</v>
      </c>
      <c r="BM41" s="28" t="n">
        <v>0.570815</v>
      </c>
      <c r="BN41" s="28" t="n"/>
      <c r="BO41" s="28" t="n"/>
      <c r="BP41" s="25" t="n"/>
      <c r="BQ41" s="27" t="n">
        <v>1.75188</v>
      </c>
      <c r="BR41" s="28" t="n">
        <v>0.57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0.570815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daa67e92c60e4c26</t>
        </is>
      </c>
      <c r="B42" s="24" t="inlineStr">
        <is>
          <t>2026-08-29T16:05:47.044268Z</t>
        </is>
      </c>
      <c r="C42" s="24" t="inlineStr">
        <is>
          <t>2026-08-29T17:00:00Z</t>
        </is>
      </c>
      <c r="D42" s="24" t="inlineStr">
        <is>
          <t>94960</t>
        </is>
      </c>
      <c r="E42" s="24" t="inlineStr">
        <is>
          <t>DOTA2</t>
        </is>
      </c>
      <c r="F42" s="24" t="inlineStr">
        <is>
          <t>Level UP</t>
        </is>
      </c>
      <c r="G42" s="24" t="inlineStr">
        <is>
          <t xml:space="preserve"> Pipsqueak+4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122</v>
      </c>
      <c r="M42" s="27" t="n">
        <v>2.22</v>
      </c>
      <c r="N42" s="28" t="n">
        <v>0.45045</v>
      </c>
      <c r="O42" s="28" t="n">
        <v>0.676331</v>
      </c>
      <c r="P42" s="28" t="n"/>
      <c r="Q42" s="28" t="n">
        <v>0.225881</v>
      </c>
      <c r="R42" s="26" t="n">
        <v>100</v>
      </c>
      <c r="S42" s="29" t="n">
        <v>2</v>
      </c>
      <c r="T42" s="24" t="inlineStr">
        <is>
          <t>dota2-tiered-elo-v6</t>
        </is>
      </c>
      <c r="U42" s="24" t="inlineStr">
        <is>
          <t>settled</t>
        </is>
      </c>
      <c r="V42" s="24" t="inlineStr">
        <is>
          <t>win</t>
        </is>
      </c>
      <c r="W42" s="26" t="n">
        <v>1</v>
      </c>
      <c r="X42" s="26" t="n">
        <v>0</v>
      </c>
      <c r="Y42" s="25" t="n"/>
      <c r="Z42" s="26" t="n">
        <v>122</v>
      </c>
      <c r="AA42" s="28" t="n">
        <v>0.45</v>
      </c>
      <c r="AB42" s="28" t="n">
        <v>-0.00045</v>
      </c>
      <c r="AC42" s="30" t="n">
        <v>2.44</v>
      </c>
      <c r="AD42" s="24" t="inlineStr">
        <is>
          <t>2026-08-30T03:32:54.029258Z</t>
        </is>
      </c>
      <c r="AE42" s="31" t="inlineStr">
        <is>
          <t>Neutral Elo baseline; executable ask 0.4500 (market_slug=aec-dota2-pips4-lvlup-2026-08-29).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4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Level UP</t>
        </is>
      </c>
      <c r="AQ42" s="24" t="inlineStr">
        <is>
          <t>Level UP</t>
        </is>
      </c>
      <c r="AR42" s="24" t="inlineStr">
        <is>
          <t>Level UP</t>
        </is>
      </c>
      <c r="AS42" s="24" t="inlineStr">
        <is>
          <t xml:space="preserve"> Pipsqueak+4</t>
        </is>
      </c>
      <c r="AT42" s="24" t="inlineStr">
        <is>
          <t xml:space="preserve"> Pipsqueak+4</t>
        </is>
      </c>
      <c r="AU42" s="24" t="inlineStr">
        <is>
          <t xml:space="preserve"> Pipsqueak+4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e66a4a4fd46eb7dceedd4e26c842b11ac959d0545f204856f3abe2530f51a243</t>
        </is>
      </c>
      <c r="BB42" s="24" t="inlineStr">
        <is>
          <t>neutral_elo</t>
        </is>
      </c>
      <c r="BC42" s="24" t="inlineStr">
        <is>
          <t>dota2-tiered-elo-v6</t>
        </is>
      </c>
      <c r="BD42" s="24" t="inlineStr">
        <is>
          <t>e66a4a4fd46eb7dceedd4e26c842b11ac959d0545f204856f3abe2530f51a243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dota2-tiered-elo-v6</t>
        </is>
      </c>
      <c r="BH42" s="24" t="inlineStr">
        <is>
          <t>2026-08-29T16:05:46.757082Z</t>
        </is>
      </c>
      <c r="BI42" s="24" t="inlineStr">
        <is>
          <t>["same_event","same_team_same_day","same_league_same_day"]</t>
        </is>
      </c>
      <c r="BJ42" s="25" t="n"/>
      <c r="BK42" s="26" t="n">
        <v>122</v>
      </c>
      <c r="BL42" s="27" t="n">
        <v>2.22</v>
      </c>
      <c r="BM42" s="28" t="n">
        <v>0.45045</v>
      </c>
      <c r="BN42" s="28" t="n"/>
      <c r="BO42" s="28" t="n"/>
      <c r="BP42" s="25" t="n"/>
      <c r="BQ42" s="27" t="n">
        <v>2.22</v>
      </c>
      <c r="BR42" s="28" t="n">
        <v>0.45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0.45045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245659624d80434b</t>
        </is>
      </c>
      <c r="B43" s="24" t="inlineStr">
        <is>
          <t>2026-08-29T16:05:47.044268Z</t>
        </is>
      </c>
      <c r="C43" s="24" t="inlineStr">
        <is>
          <t>2026-08-29T19:00:00Z</t>
        </is>
      </c>
      <c r="D43" s="24" t="inlineStr">
        <is>
          <t>94980</t>
        </is>
      </c>
      <c r="E43" s="24" t="inlineStr">
        <is>
          <t>DOTA2</t>
        </is>
      </c>
      <c r="F43" s="24" t="inlineStr">
        <is>
          <t>Spirit Academy</t>
        </is>
      </c>
      <c r="G43" s="24" t="inlineStr">
        <is>
          <t>Klim Sani4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-223</v>
      </c>
      <c r="M43" s="27" t="n">
        <v>1.44843</v>
      </c>
      <c r="N43" s="28" t="n">
        <v>0.690402</v>
      </c>
      <c r="O43" s="28" t="n">
        <v>0.6129829999999999</v>
      </c>
      <c r="P43" s="28" t="n"/>
      <c r="Q43" s="28" t="n">
        <v>-0.077419</v>
      </c>
      <c r="R43" s="26" t="n">
        <v>0</v>
      </c>
      <c r="S43" s="29" t="n">
        <v>1</v>
      </c>
      <c r="T43" s="24" t="inlineStr">
        <is>
          <t>dota2-tiered-elo-v6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0</v>
      </c>
      <c r="X43" s="26" t="n">
        <v>1</v>
      </c>
      <c r="Y43" s="25" t="n"/>
      <c r="Z43" s="26" t="n">
        <v>-223</v>
      </c>
      <c r="AA43" s="28" t="n">
        <v>0.6899999999999999</v>
      </c>
      <c r="AB43" s="28" t="n">
        <v>-0.000402</v>
      </c>
      <c r="AC43" s="30" t="n">
        <v>0.4484</v>
      </c>
      <c r="AD43" s="24" t="inlineStr">
        <is>
          <t>2026-08-30T03:32:54.323142Z</t>
        </is>
      </c>
      <c r="AE43" s="31" t="inlineStr">
        <is>
          <t>Neutral Elo baseline; executable ask 0.6900 (market_slug=aec-dota2-ks-tsa-2026-08-29).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Spirit Academy</t>
        </is>
      </c>
      <c r="AQ43" s="24" t="inlineStr">
        <is>
          <t>Spirit Academy</t>
        </is>
      </c>
      <c r="AR43" s="24" t="inlineStr">
        <is>
          <t>Spirit Academy</t>
        </is>
      </c>
      <c r="AS43" s="24" t="inlineStr">
        <is>
          <t>Klim Sani4</t>
        </is>
      </c>
      <c r="AT43" s="24" t="inlineStr">
        <is>
          <t>Klim Sani4</t>
        </is>
      </c>
      <c r="AU43" s="24" t="inlineStr">
        <is>
          <t>Klim Sani4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e66a4a4fd46eb7dceedd4e26c842b11ac959d0545f204856f3abe2530f51a243</t>
        </is>
      </c>
      <c r="BB43" s="24" t="inlineStr">
        <is>
          <t>neutral_elo</t>
        </is>
      </c>
      <c r="BC43" s="24" t="inlineStr">
        <is>
          <t>dota2-tiered-elo-v6</t>
        </is>
      </c>
      <c r="BD43" s="24" t="inlineStr">
        <is>
          <t>e66a4a4fd46eb7dceedd4e26c842b11ac959d0545f204856f3abe2530f51a243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dota2-tiered-elo-v6</t>
        </is>
      </c>
      <c r="BH43" s="24" t="inlineStr">
        <is>
          <t>2026-08-29T16:05:46.872813Z</t>
        </is>
      </c>
      <c r="BI43" s="24" t="inlineStr">
        <is>
          <t>["same_event","same_team_same_day","same_league_same_day"]</t>
        </is>
      </c>
      <c r="BJ43" s="25" t="n"/>
      <c r="BK43" s="26" t="n">
        <v>-223</v>
      </c>
      <c r="BL43" s="27" t="n">
        <v>1.44843</v>
      </c>
      <c r="BM43" s="28" t="n">
        <v>0.690402</v>
      </c>
      <c r="BN43" s="28" t="n"/>
      <c r="BO43" s="28" t="n"/>
      <c r="BP43" s="25" t="n"/>
      <c r="BQ43" s="27" t="n">
        <v>1.44843</v>
      </c>
      <c r="BR43" s="28" t="n">
        <v>0.6899999999999999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False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0.690402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4a44d01562f34a01</t>
        </is>
      </c>
      <c r="B44" s="24" t="inlineStr">
        <is>
          <t>2026-08-31T04:43:52.709032Z</t>
        </is>
      </c>
      <c r="C44" s="24" t="inlineStr">
        <is>
          <t>2026-08-31T12:00:00Z</t>
        </is>
      </c>
      <c r="D44" s="24" t="inlineStr">
        <is>
          <t>97036</t>
        </is>
      </c>
      <c r="E44" s="24" t="inlineStr">
        <is>
          <t>DOTA2</t>
        </is>
      </c>
      <c r="F44" s="24" t="inlineStr">
        <is>
          <t>Team Lynx</t>
        </is>
      </c>
      <c r="G44" s="24" t="inlineStr">
        <is>
          <t>Team Synapse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-144</v>
      </c>
      <c r="M44" s="27" t="n">
        <v>1.694444</v>
      </c>
      <c r="N44" s="28" t="n">
        <v>0.590164</v>
      </c>
      <c r="O44" s="28" t="n">
        <v>0.526311</v>
      </c>
      <c r="P44" s="28" t="n"/>
      <c r="Q44" s="28" t="n">
        <v>-0.06385299999999999</v>
      </c>
      <c r="R44" s="26" t="n">
        <v>0</v>
      </c>
      <c r="S44" s="29" t="n">
        <v>1</v>
      </c>
      <c r="T44" s="24" t="inlineStr">
        <is>
          <t>dota2-tiered-elo-v6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0</v>
      </c>
      <c r="X44" s="26" t="n">
        <v>1</v>
      </c>
      <c r="Y44" s="25" t="n"/>
      <c r="Z44" s="26" t="n">
        <v>-144</v>
      </c>
      <c r="AA44" s="28" t="n">
        <v>0.59</v>
      </c>
      <c r="AB44" s="28" t="n">
        <v>-0.000164</v>
      </c>
      <c r="AC44" s="30" t="n">
        <v>-1</v>
      </c>
      <c r="AD44" s="24" t="inlineStr">
        <is>
          <t>2026-08-31T16:01:47.763698Z</t>
        </is>
      </c>
      <c r="AE44" s="31" t="inlineStr">
        <is>
          <t>Neutral Elo baseline; executable ask 0.5900 (market_slug=aec-dota2-tsea-lynx-2026-08-31).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Team Lynx</t>
        </is>
      </c>
      <c r="AQ44" s="24" t="inlineStr">
        <is>
          <t>Team Lynx</t>
        </is>
      </c>
      <c r="AR44" s="24" t="inlineStr">
        <is>
          <t>Team Lynx</t>
        </is>
      </c>
      <c r="AS44" s="24" t="inlineStr">
        <is>
          <t>Team Synapse</t>
        </is>
      </c>
      <c r="AT44" s="24" t="inlineStr">
        <is>
          <t>Team Synapse</t>
        </is>
      </c>
      <c r="AU44" s="24" t="inlineStr">
        <is>
          <t>Team Synapse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04d3b05228f24eeccae7ece33461db49de63bc3a9fbaf298c3e05729b01a848f</t>
        </is>
      </c>
      <c r="BB44" s="24" t="inlineStr">
        <is>
          <t>neutral_elo</t>
        </is>
      </c>
      <c r="BC44" s="24" t="inlineStr">
        <is>
          <t>dota2-tiered-elo-v6</t>
        </is>
      </c>
      <c r="BD44" s="24" t="inlineStr">
        <is>
          <t>04d3b05228f24eeccae7ece33461db49de63bc3a9fbaf298c3e05729b01a848f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dota2-tiered-elo-v6</t>
        </is>
      </c>
      <c r="BH44" s="24" t="inlineStr">
        <is>
          <t>2026-08-31T04:43:51.802632Z</t>
        </is>
      </c>
      <c r="BI44" s="24" t="inlineStr">
        <is>
          <t>["same_event","same_team_same_day","same_league_same_day"]</t>
        </is>
      </c>
      <c r="BJ44" s="25" t="n"/>
      <c r="BK44" s="26" t="n">
        <v>-144</v>
      </c>
      <c r="BL44" s="27" t="n">
        <v>1.694444</v>
      </c>
      <c r="BM44" s="28" t="n">
        <v>0.590164</v>
      </c>
      <c r="BN44" s="28" t="n"/>
      <c r="BO44" s="28" t="n"/>
      <c r="BP44" s="25" t="n"/>
      <c r="BQ44" s="27" t="n">
        <v>1.694444</v>
      </c>
      <c r="BR44" s="28" t="n">
        <v>0.59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0.590164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c9d2be6bd19a4fc8</t>
        </is>
      </c>
      <c r="B45" s="24" t="inlineStr">
        <is>
          <t>2026-08-31T04:43:52.709032Z</t>
        </is>
      </c>
      <c r="C45" s="24" t="inlineStr">
        <is>
          <t>2026-08-31T15:00:00Z</t>
        </is>
      </c>
      <c r="D45" s="24" t="inlineStr">
        <is>
          <t>97279</t>
        </is>
      </c>
      <c r="E45" s="24" t="inlineStr">
        <is>
          <t>DOTA2</t>
        </is>
      </c>
      <c r="F45" s="24" t="inlineStr">
        <is>
          <t>Inner Circle x Insanity</t>
        </is>
      </c>
      <c r="G45" s="24" t="inlineStr">
        <is>
          <t>4ikibamboni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-138</v>
      </c>
      <c r="M45" s="27" t="n">
        <v>1.724638</v>
      </c>
      <c r="N45" s="28" t="n">
        <v>0.579832</v>
      </c>
      <c r="O45" s="28" t="n">
        <v>0.501593</v>
      </c>
      <c r="P45" s="28" t="n"/>
      <c r="Q45" s="28" t="n">
        <v>-0.078239</v>
      </c>
      <c r="R45" s="26" t="n">
        <v>0</v>
      </c>
      <c r="S45" s="29" t="n">
        <v>1</v>
      </c>
      <c r="T45" s="24" t="inlineStr">
        <is>
          <t>dota2-tiered-elo-v6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>
        <v>-138</v>
      </c>
      <c r="AA45" s="28" t="n">
        <v>0.58</v>
      </c>
      <c r="AB45" s="28" t="n">
        <v>0.000168</v>
      </c>
      <c r="AC45" s="30" t="n">
        <v>-1</v>
      </c>
      <c r="AD45" s="24" t="inlineStr">
        <is>
          <t>2026-09-01T04:40:12.015263Z</t>
        </is>
      </c>
      <c r="AE45" s="31" t="inlineStr">
        <is>
          <t>Neutral Elo baseline; executable ask 0.5800 (market_slug=aec-dota2-4iki-icxi-2026-08-31).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Inner Circle x Insanity</t>
        </is>
      </c>
      <c r="AQ45" s="24" t="inlineStr">
        <is>
          <t>Inner Circle x Insanity</t>
        </is>
      </c>
      <c r="AR45" s="24" t="inlineStr">
        <is>
          <t>Inner Circle x Insanity</t>
        </is>
      </c>
      <c r="AS45" s="24" t="inlineStr">
        <is>
          <t>4ikibamboni</t>
        </is>
      </c>
      <c r="AT45" s="24" t="inlineStr">
        <is>
          <t>4ikibamboni</t>
        </is>
      </c>
      <c r="AU45" s="24" t="inlineStr">
        <is>
          <t>4ikibamboni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04d3b05228f24eeccae7ece33461db49de63bc3a9fbaf298c3e05729b01a848f</t>
        </is>
      </c>
      <c r="BB45" s="24" t="inlineStr">
        <is>
          <t>neutral_elo</t>
        </is>
      </c>
      <c r="BC45" s="24" t="inlineStr">
        <is>
          <t>dota2-tiered-elo-v6</t>
        </is>
      </c>
      <c r="BD45" s="24" t="inlineStr">
        <is>
          <t>04d3b05228f24eeccae7ece33461db49de63bc3a9fbaf298c3e05729b01a848f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dota2-tiered-elo-v6</t>
        </is>
      </c>
      <c r="BH45" s="24" t="inlineStr">
        <is>
          <t>2026-08-31T04:43:51.870472Z</t>
        </is>
      </c>
      <c r="BI45" s="24" t="inlineStr">
        <is>
          <t>["same_event","same_team_same_day","same_league_same_day"]</t>
        </is>
      </c>
      <c r="BJ45" s="25" t="n"/>
      <c r="BK45" s="26" t="n">
        <v>-138</v>
      </c>
      <c r="BL45" s="27" t="n">
        <v>1.724638</v>
      </c>
      <c r="BM45" s="28" t="n">
        <v>0.579832</v>
      </c>
      <c r="BN45" s="28" t="n"/>
      <c r="BO45" s="28" t="n"/>
      <c r="BP45" s="25" t="n"/>
      <c r="BQ45" s="27" t="n">
        <v>1.724638</v>
      </c>
      <c r="BR45" s="28" t="n">
        <v>0.58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0.579832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9033c28e5be543c1</t>
        </is>
      </c>
      <c r="B46" s="24" t="inlineStr">
        <is>
          <t>2026-09-01T04:43:41.962596Z</t>
        </is>
      </c>
      <c r="C46" s="24" t="inlineStr">
        <is>
          <t>2026-09-01T12:00:00Z</t>
        </is>
      </c>
      <c r="D46" s="24" t="inlineStr">
        <is>
          <t>97040</t>
        </is>
      </c>
      <c r="E46" s="24" t="inlineStr">
        <is>
          <t>DOTA2</t>
        </is>
      </c>
      <c r="F46" s="24" t="inlineStr">
        <is>
          <t>Team Lynx</t>
        </is>
      </c>
      <c r="G46" s="24" t="inlineStr">
        <is>
          <t>Inner Circle x Insanity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-203</v>
      </c>
      <c r="M46" s="27" t="n">
        <v>1.492611</v>
      </c>
      <c r="N46" s="28" t="n">
        <v>0.669967</v>
      </c>
      <c r="O46" s="28" t="n">
        <v>0.532567</v>
      </c>
      <c r="P46" s="28" t="n"/>
      <c r="Q46" s="28" t="n">
        <v>-0.1374</v>
      </c>
      <c r="R46" s="26" t="n">
        <v>0</v>
      </c>
      <c r="S46" s="29" t="n">
        <v>1</v>
      </c>
      <c r="T46" s="24" t="inlineStr">
        <is>
          <t>dota2-tiered-elo-v6</t>
        </is>
      </c>
      <c r="U46" s="24" t="inlineStr">
        <is>
          <t>settled</t>
        </is>
      </c>
      <c r="V46" s="24" t="inlineStr">
        <is>
          <t>loss</t>
        </is>
      </c>
      <c r="W46" s="26" t="n">
        <v>0</v>
      </c>
      <c r="X46" s="26" t="n">
        <v>1</v>
      </c>
      <c r="Y46" s="25" t="n"/>
      <c r="Z46" s="26" t="n">
        <v>-203</v>
      </c>
      <c r="AA46" s="28" t="n">
        <v>0.67</v>
      </c>
      <c r="AB46" s="28" t="n">
        <v>3.3e-05</v>
      </c>
      <c r="AC46" s="30" t="n">
        <v>-1</v>
      </c>
      <c r="AD46" s="24" t="inlineStr">
        <is>
          <t>2026-09-01T16:02:40.618873Z</t>
        </is>
      </c>
      <c r="AE46" s="31" t="inlineStr">
        <is>
          <t>Neutral Elo baseline; executable ask 0.6700 (market_slug=aec-dota2-icxi-lynx-2026-09-01).</t>
        </is>
      </c>
      <c r="AF46" s="31" t="inlineStr">
        <is>
          <t>Config-promoted esports baseline; gates enforced at log time.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Team Lynx</t>
        </is>
      </c>
      <c r="AQ46" s="24" t="inlineStr">
        <is>
          <t>Team Lynx</t>
        </is>
      </c>
      <c r="AR46" s="24" t="inlineStr">
        <is>
          <t>Team Lynx</t>
        </is>
      </c>
      <c r="AS46" s="24" t="inlineStr">
        <is>
          <t>Inner Circle x Insanity</t>
        </is>
      </c>
      <c r="AT46" s="24" t="inlineStr">
        <is>
          <t>Inner Circle x Insanity</t>
        </is>
      </c>
      <c r="AU46" s="24" t="inlineStr">
        <is>
          <t>Inner Circle x Insanity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085f52f72492d465a10e2346da8d071afe10f7da993d3f603d9169e95b0ab9f6</t>
        </is>
      </c>
      <c r="BB46" s="24" t="inlineStr">
        <is>
          <t>neutral_elo</t>
        </is>
      </c>
      <c r="BC46" s="24" t="inlineStr">
        <is>
          <t>dota2-tiered-elo-v6</t>
        </is>
      </c>
      <c r="BD46" s="24" t="inlineStr">
        <is>
          <t>085f52f72492d465a10e2346da8d071afe10f7da993d3f603d9169e95b0ab9f6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dota2-tiered-elo-v6</t>
        </is>
      </c>
      <c r="BH46" s="24" t="inlineStr">
        <is>
          <t>2026-09-01T04:43:39.942068Z</t>
        </is>
      </c>
      <c r="BI46" s="24" t="inlineStr">
        <is>
          <t>["same_event","same_team_same_day","same_league_same_day"]</t>
        </is>
      </c>
      <c r="BJ46" s="25" t="n"/>
      <c r="BK46" s="26" t="n">
        <v>-203</v>
      </c>
      <c r="BL46" s="27" t="n">
        <v>1.492611</v>
      </c>
      <c r="BM46" s="28" t="n">
        <v>0.669967</v>
      </c>
      <c r="BN46" s="28" t="n"/>
      <c r="BO46" s="28" t="n"/>
      <c r="BP46" s="25" t="n"/>
      <c r="BQ46" s="27" t="n">
        <v>1.492611</v>
      </c>
      <c r="BR46" s="28" t="n">
        <v>0.67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0.669967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accc46a653b643d4</t>
        </is>
      </c>
      <c r="B47" s="24" t="inlineStr">
        <is>
          <t>2026-09-02T04:39:22.950327Z</t>
        </is>
      </c>
      <c r="C47" s="24" t="inlineStr">
        <is>
          <t>2026-09-02T15:00:00Z</t>
        </is>
      </c>
      <c r="D47" s="24" t="inlineStr">
        <is>
          <t>97475</t>
        </is>
      </c>
      <c r="E47" s="24" t="inlineStr">
        <is>
          <t>DOTA2</t>
        </is>
      </c>
      <c r="F47" s="24" t="inlineStr">
        <is>
          <t>4ikibamboni</t>
        </is>
      </c>
      <c r="G47" s="24" t="inlineStr">
        <is>
          <t>Team Synapse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-163</v>
      </c>
      <c r="M47" s="27" t="n">
        <v>1.613497</v>
      </c>
      <c r="N47" s="28" t="n">
        <v>0.619772</v>
      </c>
      <c r="O47" s="28" t="n">
        <v>0.6857490000000001</v>
      </c>
      <c r="P47" s="28" t="n"/>
      <c r="Q47" s="28" t="n">
        <v>0.06597699999999999</v>
      </c>
      <c r="R47" s="26" t="n">
        <v>53</v>
      </c>
      <c r="S47" s="29" t="n">
        <v>1</v>
      </c>
      <c r="T47" s="24" t="inlineStr">
        <is>
          <t>dota2-tiered-elo-v6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-163</v>
      </c>
      <c r="AA47" s="28" t="n">
        <v>0.62</v>
      </c>
      <c r="AB47" s="28" t="n">
        <v>0.000228</v>
      </c>
      <c r="AC47" s="30" t="n">
        <v>0.6135</v>
      </c>
      <c r="AD47" s="24" t="inlineStr">
        <is>
          <t>2026-09-03T04:33:26.719657Z</t>
        </is>
      </c>
      <c r="AE47" s="31" t="inlineStr">
        <is>
          <t>Neutral Elo baseline; executable ask 0.6200 (market_slug=aec-dota2-tsea-4iki-2026-09-02).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4ikibamboni</t>
        </is>
      </c>
      <c r="AQ47" s="24" t="inlineStr">
        <is>
          <t>4ikibamboni</t>
        </is>
      </c>
      <c r="AR47" s="24" t="inlineStr">
        <is>
          <t>4ikibamboni</t>
        </is>
      </c>
      <c r="AS47" s="24" t="inlineStr">
        <is>
          <t>Team Synapse</t>
        </is>
      </c>
      <c r="AT47" s="24" t="inlineStr">
        <is>
          <t>Team Synapse</t>
        </is>
      </c>
      <c r="AU47" s="24" t="inlineStr">
        <is>
          <t>Team Synapse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9f6943e5c3cd352131e06c66f99c54c4dde50af740e8c1beaee8dcbffb582a73</t>
        </is>
      </c>
      <c r="BB47" s="24" t="inlineStr">
        <is>
          <t>neutral_elo</t>
        </is>
      </c>
      <c r="BC47" s="24" t="inlineStr">
        <is>
          <t>dota2-tiered-elo-v6</t>
        </is>
      </c>
      <c r="BD47" s="24" t="inlineStr">
        <is>
          <t>9f6943e5c3cd352131e06c66f99c54c4dde50af740e8c1beaee8dcbffb582a73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dota2-tiered-elo-v6</t>
        </is>
      </c>
      <c r="BH47" s="24" t="inlineStr">
        <is>
          <t>2026-09-02T04:39:22.600063Z</t>
        </is>
      </c>
      <c r="BI47" s="24" t="inlineStr">
        <is>
          <t>["same_event","same_team_same_day","same_league_same_day"]</t>
        </is>
      </c>
      <c r="BJ47" s="25" t="n"/>
      <c r="BK47" s="26" t="n">
        <v>-163</v>
      </c>
      <c r="BL47" s="27" t="n">
        <v>1.613497</v>
      </c>
      <c r="BM47" s="28" t="n">
        <v>0.619772</v>
      </c>
      <c r="BN47" s="28" t="n"/>
      <c r="BO47" s="28" t="n"/>
      <c r="BP47" s="25" t="n"/>
      <c r="BQ47" s="27" t="n">
        <v>1.613497</v>
      </c>
      <c r="BR47" s="28" t="n">
        <v>0.62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0.619772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6c49ffcf526c4eb9</t>
        </is>
      </c>
      <c r="B48" s="24" t="inlineStr">
        <is>
          <t>2026-09-02T16:09:40.588363Z</t>
        </is>
      </c>
      <c r="C48" s="24" t="inlineStr">
        <is>
          <t>2026-09-02T18:00:00Z</t>
        </is>
      </c>
      <c r="D48" s="24" t="inlineStr">
        <is>
          <t>97476</t>
        </is>
      </c>
      <c r="E48" s="24" t="inlineStr">
        <is>
          <t>DOTA2</t>
        </is>
      </c>
      <c r="F48" s="24" t="inlineStr">
        <is>
          <t>Team Lynx</t>
        </is>
      </c>
      <c r="G48" s="24" t="inlineStr">
        <is>
          <t>Level UP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-138</v>
      </c>
      <c r="M48" s="27" t="n">
        <v>1.724638</v>
      </c>
      <c r="N48" s="28" t="n">
        <v>0.579832</v>
      </c>
      <c r="O48" s="28" t="n">
        <v>0.7460869999999999</v>
      </c>
      <c r="P48" s="28" t="n"/>
      <c r="Q48" s="28" t="n">
        <v>0.166255</v>
      </c>
      <c r="R48" s="26" t="n">
        <v>100</v>
      </c>
      <c r="S48" s="29" t="n">
        <v>1.75</v>
      </c>
      <c r="T48" s="24" t="inlineStr">
        <is>
          <t>dota2-tiered-elo-v6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>
        <v>-138</v>
      </c>
      <c r="AA48" s="28" t="n">
        <v>0.58</v>
      </c>
      <c r="AB48" s="28" t="n">
        <v>0.000168</v>
      </c>
      <c r="AC48" s="30" t="n">
        <v>-1.75</v>
      </c>
      <c r="AD48" s="24" t="inlineStr">
        <is>
          <t>2026-09-06T22:02:25.414332Z</t>
        </is>
      </c>
      <c r="AE48" s="31" t="inlineStr">
        <is>
          <t>Neutral Elo baseline; executable ask 0.5800 (market_slug=aec-dota2-lvlup-lynx-2026-09-02).</t>
        </is>
      </c>
      <c r="AF48" s="31" t="inlineStr">
        <is>
          <t>Config-promoted esports baseline; gates enforced at log time.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4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Team Lynx</t>
        </is>
      </c>
      <c r="AQ48" s="24" t="inlineStr">
        <is>
          <t>Team Lynx</t>
        </is>
      </c>
      <c r="AR48" s="24" t="inlineStr">
        <is>
          <t>Team Lynx</t>
        </is>
      </c>
      <c r="AS48" s="24" t="inlineStr">
        <is>
          <t>Level UP</t>
        </is>
      </c>
      <c r="AT48" s="24" t="inlineStr">
        <is>
          <t>Level UP</t>
        </is>
      </c>
      <c r="AU48" s="24" t="inlineStr">
        <is>
          <t>Level UP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b57042868d22b6bfe9547f58b362099a1ca197cbaef5fe68dc21128616c502b9</t>
        </is>
      </c>
      <c r="BB48" s="24" t="inlineStr">
        <is>
          <t>neutral_elo</t>
        </is>
      </c>
      <c r="BC48" s="24" t="inlineStr">
        <is>
          <t>dota2-tiered-elo-v6</t>
        </is>
      </c>
      <c r="BD48" s="24" t="inlineStr">
        <is>
          <t>b57042868d22b6bfe9547f58b362099a1ca197cbaef5fe68dc21128616c502b9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dota2-tiered-elo-v6</t>
        </is>
      </c>
      <c r="BH48" s="24" t="inlineStr">
        <is>
          <t>2026-09-02T16:09:38.678727Z</t>
        </is>
      </c>
      <c r="BI48" s="24" t="inlineStr">
        <is>
          <t>["same_event","same_team_same_day","same_league_same_day"]</t>
        </is>
      </c>
      <c r="BJ48" s="25" t="n"/>
      <c r="BK48" s="26" t="n">
        <v>-138</v>
      </c>
      <c r="BL48" s="27" t="n">
        <v>1.724638</v>
      </c>
      <c r="BM48" s="28" t="n">
        <v>0.579832</v>
      </c>
      <c r="BN48" s="28" t="n"/>
      <c r="BO48" s="28" t="n"/>
      <c r="BP48" s="25" t="n"/>
      <c r="BQ48" s="27" t="n">
        <v>1.724638</v>
      </c>
      <c r="BR48" s="28" t="n">
        <v>0.58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0.579832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f312890a5c224c9f</t>
        </is>
      </c>
      <c r="B49" s="24" t="inlineStr">
        <is>
          <t>2026-09-03T04:36:13.527966Z</t>
        </is>
      </c>
      <c r="C49" s="24" t="inlineStr">
        <is>
          <t>2026-09-03T09:00:00Z</t>
        </is>
      </c>
      <c r="D49" s="24" t="inlineStr">
        <is>
          <t>100689</t>
        </is>
      </c>
      <c r="E49" s="24" t="inlineStr">
        <is>
          <t>DOTA2</t>
        </is>
      </c>
      <c r="F49" s="24" t="inlineStr">
        <is>
          <t>InterActive Philippines</t>
        </is>
      </c>
      <c r="G49" s="24" t="inlineStr">
        <is>
          <t>ЯЧЁ123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108</v>
      </c>
      <c r="M49" s="27" t="n">
        <v>2.08</v>
      </c>
      <c r="N49" s="28" t="n">
        <v>0.480769</v>
      </c>
      <c r="O49" s="28" t="n">
        <v>0.556051</v>
      </c>
      <c r="P49" s="28" t="n"/>
      <c r="Q49" s="28" t="n">
        <v>0.075282</v>
      </c>
      <c r="R49" s="26" t="n">
        <v>58</v>
      </c>
      <c r="S49" s="29" t="n">
        <v>1.25</v>
      </c>
      <c r="T49" s="24" t="inlineStr">
        <is>
          <t>dota2-tiered-elo-v6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1</v>
      </c>
      <c r="X49" s="26" t="n">
        <v>0</v>
      </c>
      <c r="Y49" s="25" t="n"/>
      <c r="Z49" s="26" t="n">
        <v>108</v>
      </c>
      <c r="AA49" s="28" t="n">
        <v>0.48</v>
      </c>
      <c r="AB49" s="28" t="n">
        <v>-0.000769</v>
      </c>
      <c r="AC49" s="30" t="n">
        <v>-1.25</v>
      </c>
      <c r="AD49" s="24" t="inlineStr">
        <is>
          <t>2026-09-03T16:08:53.346753Z</t>
        </is>
      </c>
      <c r="AE49" s="31" t="inlineStr">
        <is>
          <t>Neutral Elo baseline; executable ask 0.4800 (market_slug=aec-dota2-y123-iac-2026-09-03).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PAPER_CALL_MODEL_UNVALIDATED</t>
        </is>
      </c>
      <c r="AP49" s="24" t="inlineStr">
        <is>
          <t>InterActive Philippines</t>
        </is>
      </c>
      <c r="AQ49" s="24" t="inlineStr">
        <is>
          <t>InterActive Philippines</t>
        </is>
      </c>
      <c r="AR49" s="24" t="inlineStr">
        <is>
          <t>InterActive Philippines</t>
        </is>
      </c>
      <c r="AS49" s="24" t="inlineStr">
        <is>
          <t>ЯЧЁ123</t>
        </is>
      </c>
      <c r="AT49" s="24" t="inlineStr">
        <is>
          <t>ЯЧЁ123</t>
        </is>
      </c>
      <c r="AU49" s="24" t="inlineStr">
        <is>
          <t>ЯЧЁ123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dd6a397de36e1809b437ccb67ed4aafbb9421e20c410a6398991ed1ec444365e</t>
        </is>
      </c>
      <c r="BB49" s="24" t="inlineStr">
        <is>
          <t>neutral_elo</t>
        </is>
      </c>
      <c r="BC49" s="24" t="inlineStr">
        <is>
          <t>dota2-tiered-elo-v6</t>
        </is>
      </c>
      <c r="BD49" s="24" t="inlineStr">
        <is>
          <t>dd6a397de36e1809b437ccb67ed4aafbb9421e20c410a6398991ed1ec444365e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dota2-tiered-elo-v6</t>
        </is>
      </c>
      <c r="BH49" s="24" t="inlineStr">
        <is>
          <t>2026-09-03T04:36:11.910434Z</t>
        </is>
      </c>
      <c r="BI49" s="24" t="inlineStr">
        <is>
          <t>["same_event","same_team_same_day","same_league_same_day"]</t>
        </is>
      </c>
      <c r="BJ49" s="25" t="n"/>
      <c r="BK49" s="26" t="n">
        <v>108</v>
      </c>
      <c r="BL49" s="27" t="n">
        <v>2.08</v>
      </c>
      <c r="BM49" s="28" t="n">
        <v>0.480769</v>
      </c>
      <c r="BN49" s="28" t="n"/>
      <c r="BO49" s="28" t="n"/>
      <c r="BP49" s="25" t="n"/>
      <c r="BQ49" s="27" t="n">
        <v>2.08</v>
      </c>
      <c r="BR49" s="28" t="n">
        <v>0.48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0.480769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6ebd2ae4a9a0437e</t>
        </is>
      </c>
      <c r="B50" s="24" t="inlineStr">
        <is>
          <t>2026-09-03T04:36:13.527966Z</t>
        </is>
      </c>
      <c r="C50" s="24" t="inlineStr">
        <is>
          <t>2026-09-03T09:00:00Z</t>
        </is>
      </c>
      <c r="D50" s="24" t="inlineStr">
        <is>
          <t>100363</t>
        </is>
      </c>
      <c r="E50" s="24" t="inlineStr">
        <is>
          <t>DOTA2</t>
        </is>
      </c>
      <c r="F50" s="24" t="inlineStr">
        <is>
          <t>Cloud Rising</t>
        </is>
      </c>
      <c r="G50" s="24" t="inlineStr">
        <is>
          <t>InterActive Philippines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223</v>
      </c>
      <c r="M50" s="27" t="n">
        <v>3.23</v>
      </c>
      <c r="N50" s="28" t="n">
        <v>0.309598</v>
      </c>
      <c r="O50" s="28" t="n">
        <v>0.538497</v>
      </c>
      <c r="P50" s="28" t="n"/>
      <c r="Q50" s="28" t="n">
        <v>0.228899</v>
      </c>
      <c r="R50" s="26" t="n">
        <v>100</v>
      </c>
      <c r="S50" s="29" t="n">
        <v>2</v>
      </c>
      <c r="T50" s="24" t="inlineStr">
        <is>
          <t>dota2-tiered-elo-v6</t>
        </is>
      </c>
      <c r="U50" s="24" t="inlineStr">
        <is>
          <t>settled</t>
        </is>
      </c>
      <c r="V50" s="24" t="inlineStr">
        <is>
          <t>push</t>
        </is>
      </c>
      <c r="W50" s="26" t="n"/>
      <c r="X50" s="26" t="n"/>
      <c r="Y50" s="25" t="n"/>
      <c r="Z50" s="26" t="n"/>
      <c r="AA50" s="28" t="n"/>
      <c r="AB50" s="28" t="n"/>
      <c r="AC50" s="30" t="n">
        <v>0</v>
      </c>
      <c r="AD50" s="24" t="inlineStr">
        <is>
          <t>2026-09-04T10:01:28.589395Z</t>
        </is>
      </c>
      <c r="AE50" s="31" t="inlineStr">
        <is>
          <t>Neutral Elo baseline; executable ask 0.3100 (market_slug=aec-dota2-iac-cr-2026-09-03).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4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Cloud Rising</t>
        </is>
      </c>
      <c r="AQ50" s="24" t="inlineStr">
        <is>
          <t>Cloud Rising</t>
        </is>
      </c>
      <c r="AR50" s="24" t="inlineStr">
        <is>
          <t>Cloud Rising</t>
        </is>
      </c>
      <c r="AS50" s="24" t="inlineStr">
        <is>
          <t>InterActive Philippines</t>
        </is>
      </c>
      <c r="AT50" s="24" t="inlineStr">
        <is>
          <t>InterActive Philippines</t>
        </is>
      </c>
      <c r="AU50" s="24" t="inlineStr">
        <is>
          <t>InterActive Philippines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dd6a397de36e1809b437ccb67ed4aafbb9421e20c410a6398991ed1ec444365e</t>
        </is>
      </c>
      <c r="BB50" s="24" t="inlineStr">
        <is>
          <t>neutral_elo</t>
        </is>
      </c>
      <c r="BC50" s="24" t="inlineStr">
        <is>
          <t>dota2-tiered-elo-v6</t>
        </is>
      </c>
      <c r="BD50" s="24" t="inlineStr">
        <is>
          <t>dd6a397de36e1809b437ccb67ed4aafbb9421e20c410a6398991ed1ec444365e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dota2-tiered-elo-v6</t>
        </is>
      </c>
      <c r="BH50" s="24" t="inlineStr">
        <is>
          <t>2026-09-03T04:36:12.212474Z</t>
        </is>
      </c>
      <c r="BI50" s="24" t="inlineStr">
        <is>
          <t>["same_event","same_team_same_day","same_league_same_day"]</t>
        </is>
      </c>
      <c r="BJ50" s="25" t="n"/>
      <c r="BK50" s="26" t="n">
        <v>223</v>
      </c>
      <c r="BL50" s="27" t="n">
        <v>3.23</v>
      </c>
      <c r="BM50" s="28" t="n">
        <v>0.309598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inlineStr">
        <is>
          <t>esports market settled to a non-binary price (forfeit/postponement per market rules)</t>
        </is>
      </c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0.309598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8e333edbaf5e435f</t>
        </is>
      </c>
      <c r="B51" s="24" t="inlineStr">
        <is>
          <t>2026-09-03T04:36:13.527966Z</t>
        </is>
      </c>
      <c r="C51" s="24" t="inlineStr">
        <is>
          <t>2026-09-03T12:00:00Z</t>
        </is>
      </c>
      <c r="D51" s="24" t="inlineStr">
        <is>
          <t>98303</t>
        </is>
      </c>
      <c r="E51" s="24" t="inlineStr">
        <is>
          <t>DOTA2</t>
        </is>
      </c>
      <c r="F51" s="24" t="inlineStr">
        <is>
          <t>Spirit Academy</t>
        </is>
      </c>
      <c r="G51" s="24" t="inlineStr">
        <is>
          <t>PuckChamp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-150</v>
      </c>
      <c r="M51" s="27" t="n">
        <v>1.666667</v>
      </c>
      <c r="N51" s="28" t="n">
        <v>0.6</v>
      </c>
      <c r="O51" s="28" t="n">
        <v>0.670639</v>
      </c>
      <c r="P51" s="28" t="n"/>
      <c r="Q51" s="28" t="n">
        <v>0.07063899999999999</v>
      </c>
      <c r="R51" s="26" t="n">
        <v>55</v>
      </c>
      <c r="S51" s="29" t="n">
        <v>1.25</v>
      </c>
      <c r="T51" s="24" t="inlineStr">
        <is>
          <t>dota2-tiered-elo-v6</t>
        </is>
      </c>
      <c r="U51" s="24" t="inlineStr">
        <is>
          <t>settled</t>
        </is>
      </c>
      <c r="V51" s="24" t="inlineStr">
        <is>
          <t>win</t>
        </is>
      </c>
      <c r="W51" s="26" t="n">
        <v>1</v>
      </c>
      <c r="X51" s="26" t="n">
        <v>0</v>
      </c>
      <c r="Y51" s="25" t="n"/>
      <c r="Z51" s="26" t="n">
        <v>-150</v>
      </c>
      <c r="AA51" s="28" t="n">
        <v>0.6</v>
      </c>
      <c r="AB51" s="28" t="n">
        <v>0</v>
      </c>
      <c r="AC51" s="30" t="n">
        <v>0.8333</v>
      </c>
      <c r="AD51" s="24" t="inlineStr">
        <is>
          <t>2026-09-03T16:08:53.961987Z</t>
        </is>
      </c>
      <c r="AE51" s="31" t="inlineStr">
        <is>
          <t>Neutral Elo baseline; executable ask 0.6000 (market_slug=aec-dota2-pckcp-tsa-2026-09-03).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4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Spirit Academy</t>
        </is>
      </c>
      <c r="AQ51" s="24" t="inlineStr">
        <is>
          <t>Spirit Academy</t>
        </is>
      </c>
      <c r="AR51" s="24" t="inlineStr">
        <is>
          <t>Spirit Academy</t>
        </is>
      </c>
      <c r="AS51" s="24" t="inlineStr">
        <is>
          <t>PuckChamp</t>
        </is>
      </c>
      <c r="AT51" s="24" t="inlineStr">
        <is>
          <t>PuckChamp</t>
        </is>
      </c>
      <c r="AU51" s="24" t="inlineStr">
        <is>
          <t>PuckChamp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dd6a397de36e1809b437ccb67ed4aafbb9421e20c410a6398991ed1ec444365e</t>
        </is>
      </c>
      <c r="BB51" s="24" t="inlineStr">
        <is>
          <t>neutral_elo</t>
        </is>
      </c>
      <c r="BC51" s="24" t="inlineStr">
        <is>
          <t>dota2-tiered-elo-v6</t>
        </is>
      </c>
      <c r="BD51" s="24" t="inlineStr">
        <is>
          <t>dd6a397de36e1809b437ccb67ed4aafbb9421e20c410a6398991ed1ec444365e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dota2-tiered-elo-v6</t>
        </is>
      </c>
      <c r="BH51" s="24" t="inlineStr">
        <is>
          <t>2026-09-03T04:36:12.290150Z</t>
        </is>
      </c>
      <c r="BI51" s="24" t="inlineStr">
        <is>
          <t>["same_event","same_team_same_day","same_league_same_day"]</t>
        </is>
      </c>
      <c r="BJ51" s="25" t="n"/>
      <c r="BK51" s="26" t="n">
        <v>-150</v>
      </c>
      <c r="BL51" s="27" t="n">
        <v>1.666667</v>
      </c>
      <c r="BM51" s="28" t="n">
        <v>0.6</v>
      </c>
      <c r="BN51" s="28" t="n"/>
      <c r="BO51" s="28" t="n"/>
      <c r="BP51" s="25" t="n"/>
      <c r="BQ51" s="27" t="n">
        <v>1.666667</v>
      </c>
      <c r="BR51" s="28" t="n">
        <v>0.6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0.6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b0acf6eebeb24ecf</t>
        </is>
      </c>
      <c r="B52" s="24" t="inlineStr">
        <is>
          <t>2026-09-04T04:37:13.637201Z</t>
        </is>
      </c>
      <c r="C52" s="24" t="inlineStr">
        <is>
          <t>2026-09-04T09:00:00Z</t>
        </is>
      </c>
      <c r="D52" s="24" t="inlineStr">
        <is>
          <t>100371</t>
        </is>
      </c>
      <c r="E52" s="24" t="inlineStr">
        <is>
          <t>DOTA2</t>
        </is>
      </c>
      <c r="F52" s="24" t="inlineStr">
        <is>
          <t xml:space="preserve"> Pipsqueak+4</t>
        </is>
      </c>
      <c r="G52" s="24" t="inlineStr">
        <is>
          <t>Zero Tenacity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-203</v>
      </c>
      <c r="M52" s="27" t="n">
        <v>1.492611</v>
      </c>
      <c r="N52" s="28" t="n">
        <v>0.669967</v>
      </c>
      <c r="O52" s="28" t="n">
        <v>0.536088</v>
      </c>
      <c r="P52" s="28" t="n"/>
      <c r="Q52" s="28" t="n">
        <v>-0.133879</v>
      </c>
      <c r="R52" s="26" t="n">
        <v>0</v>
      </c>
      <c r="S52" s="29" t="n">
        <v>1</v>
      </c>
      <c r="T52" s="24" t="inlineStr">
        <is>
          <t>dota2-tiered-elo-v6</t>
        </is>
      </c>
      <c r="U52" s="24" t="inlineStr">
        <is>
          <t>settled</t>
        </is>
      </c>
      <c r="V52" s="24" t="inlineStr">
        <is>
          <t>win</t>
        </is>
      </c>
      <c r="W52" s="26" t="n">
        <v>1</v>
      </c>
      <c r="X52" s="26" t="n">
        <v>0</v>
      </c>
      <c r="Y52" s="25" t="n"/>
      <c r="Z52" s="26" t="n">
        <v>-203</v>
      </c>
      <c r="AA52" s="28" t="n">
        <v>0.67</v>
      </c>
      <c r="AB52" s="28" t="n">
        <v>3.3e-05</v>
      </c>
      <c r="AC52" s="30" t="n">
        <v>0.4926</v>
      </c>
      <c r="AD52" s="24" t="inlineStr">
        <is>
          <t>2026-09-04T16:01:23.170616Z</t>
        </is>
      </c>
      <c r="AE52" s="31" t="inlineStr">
        <is>
          <t>Neutral Elo baseline; executable ask 0.6700 (market_slug=aec-dota2-z10-pips4-2026-09-04).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 xml:space="preserve"> Pipsqueak+4</t>
        </is>
      </c>
      <c r="AQ52" s="24" t="inlineStr">
        <is>
          <t xml:space="preserve"> Pipsqueak+4</t>
        </is>
      </c>
      <c r="AR52" s="24" t="inlineStr">
        <is>
          <t xml:space="preserve"> Pipsqueak+4</t>
        </is>
      </c>
      <c r="AS52" s="24" t="inlineStr">
        <is>
          <t>Zero Tenacity</t>
        </is>
      </c>
      <c r="AT52" s="24" t="inlineStr">
        <is>
          <t>Zero Tenacity</t>
        </is>
      </c>
      <c r="AU52" s="24" t="inlineStr">
        <is>
          <t>Zero Tenacity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9b2a5bb5e66c53485210a6a6ba658b60fd78c532718eb9ffbdf6f2db479c0b3c</t>
        </is>
      </c>
      <c r="BB52" s="24" t="inlineStr">
        <is>
          <t>neutral_elo</t>
        </is>
      </c>
      <c r="BC52" s="24" t="inlineStr">
        <is>
          <t>dota2-tiered-elo-v6</t>
        </is>
      </c>
      <c r="BD52" s="24" t="inlineStr">
        <is>
          <t>9b2a5bb5e66c53485210a6a6ba658b60fd78c532718eb9ffbdf6f2db479c0b3c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dota2-tiered-elo-v6</t>
        </is>
      </c>
      <c r="BH52" s="24" t="inlineStr">
        <is>
          <t>2026-09-04T04:37:12.864270Z</t>
        </is>
      </c>
      <c r="BI52" s="24" t="inlineStr">
        <is>
          <t>["same_event","same_team_same_day","same_league_same_day"]</t>
        </is>
      </c>
      <c r="BJ52" s="25" t="n"/>
      <c r="BK52" s="26" t="n">
        <v>-203</v>
      </c>
      <c r="BL52" s="27" t="n">
        <v>1.492611</v>
      </c>
      <c r="BM52" s="28" t="n">
        <v>0.669967</v>
      </c>
      <c r="BN52" s="28" t="n"/>
      <c r="BO52" s="28" t="n"/>
      <c r="BP52" s="25" t="n"/>
      <c r="BQ52" s="27" t="n">
        <v>1.492611</v>
      </c>
      <c r="BR52" s="28" t="n">
        <v>0.67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0.669967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ac5226f21b0648d5</t>
        </is>
      </c>
      <c r="B53" s="24" t="inlineStr">
        <is>
          <t>2026-09-04T04:37:13.637201Z</t>
        </is>
      </c>
      <c r="C53" s="24" t="inlineStr">
        <is>
          <t>2026-09-04T09:00:00Z</t>
        </is>
      </c>
      <c r="D53" s="24" t="inlineStr">
        <is>
          <t>100369</t>
        </is>
      </c>
      <c r="E53" s="24" t="inlineStr">
        <is>
          <t>DOTA2</t>
        </is>
      </c>
      <c r="F53" s="24" t="inlineStr">
        <is>
          <t>Yangon Galacticos</t>
        </is>
      </c>
      <c r="G53" s="24" t="inlineStr">
        <is>
          <t>ЯЧЁ123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122</v>
      </c>
      <c r="M53" s="27" t="n">
        <v>2.22</v>
      </c>
      <c r="N53" s="28" t="n">
        <v>0.45045</v>
      </c>
      <c r="O53" s="28" t="n">
        <v>0.528528</v>
      </c>
      <c r="P53" s="28" t="n"/>
      <c r="Q53" s="28" t="n">
        <v>0.07807799999999999</v>
      </c>
      <c r="R53" s="26" t="n">
        <v>59</v>
      </c>
      <c r="S53" s="29" t="n">
        <v>1.25</v>
      </c>
      <c r="T53" s="24" t="inlineStr">
        <is>
          <t>dota2-tiered-elo-v6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0</v>
      </c>
      <c r="Y53" s="25" t="n"/>
      <c r="Z53" s="26" t="n">
        <v>122</v>
      </c>
      <c r="AA53" s="28" t="n">
        <v>0.45</v>
      </c>
      <c r="AB53" s="28" t="n">
        <v>-0.00045</v>
      </c>
      <c r="AC53" s="30" t="n">
        <v>-1.25</v>
      </c>
      <c r="AD53" s="24" t="inlineStr">
        <is>
          <t>2026-09-04T16:01:23.451862Z</t>
        </is>
      </c>
      <c r="AE53" s="31" t="inlineStr">
        <is>
          <t>Neutral Elo baseline; executable ask 0.4500 (market_slug=aec-dota2-y123-yg-2026-09-04).</t>
        </is>
      </c>
      <c r="AF53" s="31" t="inlineStr">
        <is>
          <t>Config-promoted esports baseline; gates enforced at log time.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PAPER_CALL_MODEL_UNVALIDATED</t>
        </is>
      </c>
      <c r="AP53" s="24" t="inlineStr">
        <is>
          <t>Yangon Galacticos</t>
        </is>
      </c>
      <c r="AQ53" s="24" t="inlineStr">
        <is>
          <t>Yangon Galacticos</t>
        </is>
      </c>
      <c r="AR53" s="24" t="inlineStr">
        <is>
          <t>Yangon Galacticos</t>
        </is>
      </c>
      <c r="AS53" s="24" t="inlineStr">
        <is>
          <t>ЯЧЁ123</t>
        </is>
      </c>
      <c r="AT53" s="24" t="inlineStr">
        <is>
          <t>ЯЧЁ123</t>
        </is>
      </c>
      <c r="AU53" s="24" t="inlineStr">
        <is>
          <t>ЯЧЁ123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9b2a5bb5e66c53485210a6a6ba658b60fd78c532718eb9ffbdf6f2db479c0b3c</t>
        </is>
      </c>
      <c r="BB53" s="24" t="inlineStr">
        <is>
          <t>neutral_elo</t>
        </is>
      </c>
      <c r="BC53" s="24" t="inlineStr">
        <is>
          <t>dota2-tiered-elo-v6</t>
        </is>
      </c>
      <c r="BD53" s="24" t="inlineStr">
        <is>
          <t>9b2a5bb5e66c53485210a6a6ba658b60fd78c532718eb9ffbdf6f2db479c0b3c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dota2-tiered-elo-v6</t>
        </is>
      </c>
      <c r="BH53" s="24" t="inlineStr">
        <is>
          <t>2026-09-04T04:37:12.928714Z</t>
        </is>
      </c>
      <c r="BI53" s="24" t="inlineStr">
        <is>
          <t>["same_event","same_team_same_day","same_league_same_day"]</t>
        </is>
      </c>
      <c r="BJ53" s="25" t="n"/>
      <c r="BK53" s="26" t="n">
        <v>122</v>
      </c>
      <c r="BL53" s="27" t="n">
        <v>2.22</v>
      </c>
      <c r="BM53" s="28" t="n">
        <v>0.45045</v>
      </c>
      <c r="BN53" s="28" t="n"/>
      <c r="BO53" s="28" t="n"/>
      <c r="BP53" s="25" t="n"/>
      <c r="BQ53" s="27" t="n">
        <v>2.22</v>
      </c>
      <c r="BR53" s="28" t="n">
        <v>0.45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0.45045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f17e69b367054337</t>
        </is>
      </c>
      <c r="B54" s="24" t="inlineStr">
        <is>
          <t>2026-09-04T10:04:45.224208Z</t>
        </is>
      </c>
      <c r="C54" s="24" t="inlineStr">
        <is>
          <t>2026-09-04T15:00:00Z</t>
        </is>
      </c>
      <c r="D54" s="24" t="inlineStr">
        <is>
          <t>100375</t>
        </is>
      </c>
      <c r="E54" s="24" t="inlineStr">
        <is>
          <t>DOTA2</t>
        </is>
      </c>
      <c r="F54" s="24" t="inlineStr">
        <is>
          <t>Team Synapse</t>
        </is>
      </c>
      <c r="G54" s="24" t="inlineStr">
        <is>
          <t>Power Rangers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-156</v>
      </c>
      <c r="M54" s="27" t="n">
        <v>1.641026</v>
      </c>
      <c r="N54" s="28" t="n">
        <v>0.609375</v>
      </c>
      <c r="O54" s="28" t="n">
        <v>0.507648</v>
      </c>
      <c r="P54" s="28" t="n"/>
      <c r="Q54" s="28" t="n">
        <v>-0.101727</v>
      </c>
      <c r="R54" s="26" t="n">
        <v>0</v>
      </c>
      <c r="S54" s="29" t="n">
        <v>1</v>
      </c>
      <c r="T54" s="24" t="inlineStr">
        <is>
          <t>dota2-tiered-elo-v6</t>
        </is>
      </c>
      <c r="U54" s="24" t="inlineStr">
        <is>
          <t>settled</t>
        </is>
      </c>
      <c r="V54" s="24" t="inlineStr">
        <is>
          <t>win</t>
        </is>
      </c>
      <c r="W54" s="26" t="n">
        <v>0</v>
      </c>
      <c r="X54" s="26" t="n">
        <v>1</v>
      </c>
      <c r="Y54" s="25" t="n"/>
      <c r="Z54" s="26" t="n">
        <v>-156</v>
      </c>
      <c r="AA54" s="28" t="n">
        <v>0.61</v>
      </c>
      <c r="AB54" s="28" t="n">
        <v>0.000625</v>
      </c>
      <c r="AC54" s="30" t="n">
        <v>0.641</v>
      </c>
      <c r="AD54" s="24" t="inlineStr">
        <is>
          <t>2026-09-04T22:01:32.925148Z</t>
        </is>
      </c>
      <c r="AE54" s="31" t="inlineStr">
        <is>
          <t>Neutral Elo baseline; executable ask 0.6100 (market_slug=aec-dota2-pr-tsea-2026-09-04).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Team Synapse</t>
        </is>
      </c>
      <c r="AQ54" s="24" t="inlineStr">
        <is>
          <t>Team Synapse</t>
        </is>
      </c>
      <c r="AR54" s="24" t="inlineStr">
        <is>
          <t>Team Synapse</t>
        </is>
      </c>
      <c r="AS54" s="24" t="inlineStr">
        <is>
          <t>Power Rangers</t>
        </is>
      </c>
      <c r="AT54" s="24" t="inlineStr">
        <is>
          <t>Power Rangers</t>
        </is>
      </c>
      <c r="AU54" s="24" t="inlineStr">
        <is>
          <t>Power Rangers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b25b33fe6e4d7bdf53830ad5e3edff5fdc0adca2510e1009d96cc90ddf9cd748</t>
        </is>
      </c>
      <c r="BB54" s="24" t="inlineStr">
        <is>
          <t>neutral_elo</t>
        </is>
      </c>
      <c r="BC54" s="24" t="inlineStr">
        <is>
          <t>dota2-tiered-elo-v6</t>
        </is>
      </c>
      <c r="BD54" s="24" t="inlineStr">
        <is>
          <t>b25b33fe6e4d7bdf53830ad5e3edff5fdc0adca2510e1009d96cc90ddf9cd748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dota2-tiered-elo-v6</t>
        </is>
      </c>
      <c r="BH54" s="24" t="inlineStr">
        <is>
          <t>2026-09-04T10:04:44.159755Z</t>
        </is>
      </c>
      <c r="BI54" s="24" t="inlineStr">
        <is>
          <t>["same_event","same_team_same_day","same_league_same_day"]</t>
        </is>
      </c>
      <c r="BJ54" s="25" t="n"/>
      <c r="BK54" s="26" t="n">
        <v>-156</v>
      </c>
      <c r="BL54" s="27" t="n">
        <v>1.641026</v>
      </c>
      <c r="BM54" s="28" t="n">
        <v>0.609375</v>
      </c>
      <c r="BN54" s="28" t="n"/>
      <c r="BO54" s="28" t="n"/>
      <c r="BP54" s="25" t="n"/>
      <c r="BQ54" s="27" t="n">
        <v>1.641026</v>
      </c>
      <c r="BR54" s="28" t="n">
        <v>0.61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0.609375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2a8c910696eb4603</t>
        </is>
      </c>
      <c r="B55" s="24" t="inlineStr">
        <is>
          <t>2026-09-04T16:13:40.758993Z</t>
        </is>
      </c>
      <c r="C55" s="24" t="inlineStr">
        <is>
          <t>2026-09-04T18:00:00Z</t>
        </is>
      </c>
      <c r="D55" s="24" t="inlineStr">
        <is>
          <t>100377</t>
        </is>
      </c>
      <c r="E55" s="24" t="inlineStr">
        <is>
          <t>DOTA2</t>
        </is>
      </c>
      <c r="F55" s="24" t="inlineStr">
        <is>
          <t>Level UP</t>
        </is>
      </c>
      <c r="G55" s="24" t="inlineStr">
        <is>
          <t>Inner Circle x Insanity</t>
        </is>
      </c>
      <c r="H55" s="24" t="inlineStr">
        <is>
          <t>moneyline</t>
        </is>
      </c>
      <c r="I55" s="24" t="inlineStr">
        <is>
          <t>away</t>
        </is>
      </c>
      <c r="J55" s="25" t="n"/>
      <c r="K55" s="24" t="inlineStr">
        <is>
          <t>polymarket_us</t>
        </is>
      </c>
      <c r="L55" s="26" t="n">
        <v>-233</v>
      </c>
      <c r="M55" s="27" t="n">
        <v>1.429185</v>
      </c>
      <c r="N55" s="28" t="n">
        <v>0.6997</v>
      </c>
      <c r="O55" s="28" t="n">
        <v>0.714924</v>
      </c>
      <c r="P55" s="28" t="n"/>
      <c r="Q55" s="28" t="n">
        <v>0.015224</v>
      </c>
      <c r="R55" s="26" t="n">
        <v>28</v>
      </c>
      <c r="S55" s="29" t="n">
        <v>1</v>
      </c>
      <c r="T55" s="24" t="inlineStr">
        <is>
          <t>dota2-tiered-elo-v6</t>
        </is>
      </c>
      <c r="U55" s="24" t="inlineStr">
        <is>
          <t>settled</t>
        </is>
      </c>
      <c r="V55" s="24" t="inlineStr">
        <is>
          <t>win</t>
        </is>
      </c>
      <c r="W55" s="26" t="n">
        <v>1</v>
      </c>
      <c r="X55" s="26" t="n">
        <v>0</v>
      </c>
      <c r="Y55" s="25" t="n"/>
      <c r="Z55" s="26" t="n">
        <v>-233</v>
      </c>
      <c r="AA55" s="28" t="n">
        <v>0.7</v>
      </c>
      <c r="AB55" s="28" t="n">
        <v>0.0003</v>
      </c>
      <c r="AC55" s="30" t="n">
        <v>0.4292</v>
      </c>
      <c r="AD55" s="24" t="inlineStr">
        <is>
          <t>2026-09-04T22:01:33.106429Z</t>
        </is>
      </c>
      <c r="AE55" s="31" t="inlineStr">
        <is>
          <t>Neutral Elo baseline; executable ask 0.7000 (market_slug=aec-dota2-icxi-lvlup-2026-09-04).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Level UP</t>
        </is>
      </c>
      <c r="AQ55" s="24" t="inlineStr">
        <is>
          <t>Level UP</t>
        </is>
      </c>
      <c r="AR55" s="24" t="inlineStr">
        <is>
          <t>Level UP</t>
        </is>
      </c>
      <c r="AS55" s="24" t="inlineStr">
        <is>
          <t>Inner Circle x Insanity</t>
        </is>
      </c>
      <c r="AT55" s="24" t="inlineStr">
        <is>
          <t>Inner Circle x Insanity</t>
        </is>
      </c>
      <c r="AU55" s="24" t="inlineStr">
        <is>
          <t>Inner Circle x Insanity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09db73544c8e94e66382d5587c426f91943a8fe6540bfeb9291986ace9b82d78</t>
        </is>
      </c>
      <c r="BB55" s="24" t="inlineStr">
        <is>
          <t>neutral_elo</t>
        </is>
      </c>
      <c r="BC55" s="24" t="inlineStr">
        <is>
          <t>dota2-tiered-elo-v6</t>
        </is>
      </c>
      <c r="BD55" s="24" t="inlineStr">
        <is>
          <t>09db73544c8e94e66382d5587c426f91943a8fe6540bfeb9291986ace9b82d78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dota2-tiered-elo-v6</t>
        </is>
      </c>
      <c r="BH55" s="24" t="inlineStr">
        <is>
          <t>2026-09-04T16:13:39.852089Z</t>
        </is>
      </c>
      <c r="BI55" s="24" t="inlineStr">
        <is>
          <t>["same_event","same_team_same_day","same_league_same_day"]</t>
        </is>
      </c>
      <c r="BJ55" s="25" t="n"/>
      <c r="BK55" s="26" t="n">
        <v>-233</v>
      </c>
      <c r="BL55" s="27" t="n">
        <v>1.429185</v>
      </c>
      <c r="BM55" s="28" t="n">
        <v>0.6997</v>
      </c>
      <c r="BN55" s="28" t="n"/>
      <c r="BO55" s="28" t="n"/>
      <c r="BP55" s="25" t="n"/>
      <c r="BQ55" s="27" t="n">
        <v>1.429185</v>
      </c>
      <c r="BR55" s="28" t="n">
        <v>0.7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0.6997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fa8829da26db450e</t>
        </is>
      </c>
      <c r="B56" s="24" t="inlineStr">
        <is>
          <t>2026-09-05T04:44:17.258077Z</t>
        </is>
      </c>
      <c r="C56" s="24" t="inlineStr">
        <is>
          <t>2026-09-05T06:00:00Z</t>
        </is>
      </c>
      <c r="D56" s="24" t="inlineStr">
        <is>
          <t>100381</t>
        </is>
      </c>
      <c r="E56" s="24" t="inlineStr">
        <is>
          <t>DOTA2</t>
        </is>
      </c>
      <c r="F56" s="24" t="inlineStr">
        <is>
          <t>Team Nemesis</t>
        </is>
      </c>
      <c r="G56" s="24" t="inlineStr">
        <is>
          <t>InterActive Philippines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-203</v>
      </c>
      <c r="M56" s="27" t="n">
        <v>1.492611</v>
      </c>
      <c r="N56" s="28" t="n">
        <v>0.669967</v>
      </c>
      <c r="O56" s="28" t="n">
        <v>0.757978</v>
      </c>
      <c r="P56" s="28" t="n"/>
      <c r="Q56" s="28" t="n">
        <v>0.08801100000000001</v>
      </c>
      <c r="R56" s="26" t="n">
        <v>64</v>
      </c>
      <c r="S56" s="29" t="n">
        <v>1.25</v>
      </c>
      <c r="T56" s="24" t="inlineStr">
        <is>
          <t>dota2-tiered-elo-v6</t>
        </is>
      </c>
      <c r="U56" s="24" t="inlineStr">
        <is>
          <t>settled</t>
        </is>
      </c>
      <c r="V56" s="24" t="inlineStr">
        <is>
          <t>win</t>
        </is>
      </c>
      <c r="W56" s="26" t="n">
        <v>1</v>
      </c>
      <c r="X56" s="26" t="n">
        <v>0</v>
      </c>
      <c r="Y56" s="25" t="n"/>
      <c r="Z56" s="26" t="n">
        <v>-203</v>
      </c>
      <c r="AA56" s="28" t="n">
        <v>0.67</v>
      </c>
      <c r="AB56" s="28" t="n">
        <v>3.3e-05</v>
      </c>
      <c r="AC56" s="30" t="n">
        <v>0.6158</v>
      </c>
      <c r="AD56" s="24" t="inlineStr">
        <is>
          <t>2026-09-11T10:01:22.979544Z</t>
        </is>
      </c>
      <c r="AE56" s="31" t="inlineStr">
        <is>
          <t>Neutral Elo baseline; executable ask 0.6700 (market_slug=aec-dota2-iac-nem-2026-09-05).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4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Team Nemesis</t>
        </is>
      </c>
      <c r="AQ56" s="24" t="inlineStr">
        <is>
          <t>Team Nemesis</t>
        </is>
      </c>
      <c r="AR56" s="24" t="inlineStr">
        <is>
          <t>Team Nemesis</t>
        </is>
      </c>
      <c r="AS56" s="24" t="inlineStr">
        <is>
          <t>InterActive Philippines</t>
        </is>
      </c>
      <c r="AT56" s="24" t="inlineStr">
        <is>
          <t>InterActive Philippines</t>
        </is>
      </c>
      <c r="AU56" s="24" t="inlineStr">
        <is>
          <t>InterActive Philippines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ea0fd7584c4bb769a2f67a4bd27a87204ad3deb2cd588583c74cab4573bf831f</t>
        </is>
      </c>
      <c r="BB56" s="24" t="inlineStr">
        <is>
          <t>neutral_elo</t>
        </is>
      </c>
      <c r="BC56" s="24" t="inlineStr">
        <is>
          <t>dota2-tiered-elo-v6</t>
        </is>
      </c>
      <c r="BD56" s="24" t="inlineStr">
        <is>
          <t>ea0fd7584c4bb769a2f67a4bd27a87204ad3deb2cd588583c74cab4573bf831f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dota2-tiered-elo-v6</t>
        </is>
      </c>
      <c r="BH56" s="24" t="inlineStr">
        <is>
          <t>2026-09-05T04:44:16.103912Z</t>
        </is>
      </c>
      <c r="BI56" s="24" t="inlineStr">
        <is>
          <t>["same_event","same_team_same_day","same_league_same_day"]</t>
        </is>
      </c>
      <c r="BJ56" s="25" t="n"/>
      <c r="BK56" s="26" t="n">
        <v>-203</v>
      </c>
      <c r="BL56" s="27" t="n">
        <v>1.492611</v>
      </c>
      <c r="BM56" s="28" t="n">
        <v>0.669967</v>
      </c>
      <c r="BN56" s="28" t="n"/>
      <c r="BO56" s="28" t="n"/>
      <c r="BP56" s="25" t="n"/>
      <c r="BQ56" s="27" t="n">
        <v>1.492611</v>
      </c>
      <c r="BR56" s="28" t="n">
        <v>0.67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0.669967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641941857c514b65</t>
        </is>
      </c>
      <c r="B57" s="24" t="inlineStr">
        <is>
          <t>2026-09-05T04:44:17.258077Z</t>
        </is>
      </c>
      <c r="C57" s="24" t="inlineStr">
        <is>
          <t>2026-09-05T09:00:00Z</t>
        </is>
      </c>
      <c r="D57" s="24" t="inlineStr">
        <is>
          <t>100383</t>
        </is>
      </c>
      <c r="E57" s="24" t="inlineStr">
        <is>
          <t>DOTA2</t>
        </is>
      </c>
      <c r="F57" s="24" t="inlineStr">
        <is>
          <t>Yangon Galacticos</t>
        </is>
      </c>
      <c r="G57" s="24" t="inlineStr">
        <is>
          <t>Direborn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163</v>
      </c>
      <c r="M57" s="27" t="n">
        <v>2.63</v>
      </c>
      <c r="N57" s="28" t="n">
        <v>0.380228</v>
      </c>
      <c r="O57" s="28" t="n">
        <v>0.591919</v>
      </c>
      <c r="P57" s="28" t="n"/>
      <c r="Q57" s="28" t="n">
        <v>0.211691</v>
      </c>
      <c r="R57" s="26" t="n">
        <v>100</v>
      </c>
      <c r="S57" s="29" t="n">
        <v>2</v>
      </c>
      <c r="T57" s="24" t="inlineStr">
        <is>
          <t>dota2-tiered-elo-v6</t>
        </is>
      </c>
      <c r="U57" s="24" t="inlineStr">
        <is>
          <t>settled</t>
        </is>
      </c>
      <c r="V57" s="24" t="inlineStr">
        <is>
          <t>push</t>
        </is>
      </c>
      <c r="W57" s="26" t="n"/>
      <c r="X57" s="26" t="n"/>
      <c r="Y57" s="25" t="n"/>
      <c r="Z57" s="26" t="n"/>
      <c r="AA57" s="28" t="n"/>
      <c r="AB57" s="28" t="n"/>
      <c r="AC57" s="30" t="n">
        <v>0</v>
      </c>
      <c r="AD57" s="24" t="inlineStr">
        <is>
          <t>2026-09-08T16:02:44.389109Z</t>
        </is>
      </c>
      <c r="AE57" s="31" t="inlineStr">
        <is>
          <t>Neutral Elo baseline; executable ask 0.3800 (market_slug=aec-dota2-db-yg-2026-09-05).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4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Yangon Galacticos</t>
        </is>
      </c>
      <c r="AQ57" s="24" t="inlineStr">
        <is>
          <t>Yangon Galacticos</t>
        </is>
      </c>
      <c r="AR57" s="24" t="inlineStr">
        <is>
          <t>Yangon Galacticos</t>
        </is>
      </c>
      <c r="AS57" s="24" t="inlineStr">
        <is>
          <t>Direborn</t>
        </is>
      </c>
      <c r="AT57" s="24" t="inlineStr">
        <is>
          <t>Direborn</t>
        </is>
      </c>
      <c r="AU57" s="24" t="inlineStr">
        <is>
          <t>Direborn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ea0fd7584c4bb769a2f67a4bd27a87204ad3deb2cd588583c74cab4573bf831f</t>
        </is>
      </c>
      <c r="BB57" s="24" t="inlineStr">
        <is>
          <t>neutral_elo</t>
        </is>
      </c>
      <c r="BC57" s="24" t="inlineStr">
        <is>
          <t>dota2-tiered-elo-v6</t>
        </is>
      </c>
      <c r="BD57" s="24" t="inlineStr">
        <is>
          <t>ea0fd7584c4bb769a2f67a4bd27a87204ad3deb2cd588583c74cab4573bf831f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dota2-tiered-elo-v6</t>
        </is>
      </c>
      <c r="BH57" s="24" t="inlineStr">
        <is>
          <t>2026-09-05T04:44:16.254261Z</t>
        </is>
      </c>
      <c r="BI57" s="24" t="inlineStr">
        <is>
          <t>["same_event","same_team_same_day","same_league_same_day"]</t>
        </is>
      </c>
      <c r="BJ57" s="25" t="n"/>
      <c r="BK57" s="26" t="n">
        <v>163</v>
      </c>
      <c r="BL57" s="27" t="n">
        <v>2.63</v>
      </c>
      <c r="BM57" s="28" t="n">
        <v>0.380228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inlineStr">
        <is>
          <t>esports market settled to a non-binary price (forfeit/postponement per market rules)</t>
        </is>
      </c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0.380228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21f4bbffb3fa4daa</t>
        </is>
      </c>
      <c r="B58" s="24" t="inlineStr">
        <is>
          <t>2026-09-05T04:44:17.258077Z</t>
        </is>
      </c>
      <c r="C58" s="24" t="inlineStr">
        <is>
          <t>2026-09-05T09:00:00Z</t>
        </is>
      </c>
      <c r="D58" s="24" t="inlineStr">
        <is>
          <t>100385</t>
        </is>
      </c>
      <c r="E58" s="24" t="inlineStr">
        <is>
          <t>DOTA2</t>
        </is>
      </c>
      <c r="F58" s="24" t="inlineStr">
        <is>
          <t>Power Rangers</t>
        </is>
      </c>
      <c r="G58" s="24" t="inlineStr">
        <is>
          <t>Team Lynx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-170</v>
      </c>
      <c r="M58" s="27" t="n">
        <v>1.588235</v>
      </c>
      <c r="N58" s="28" t="n">
        <v>0.62963</v>
      </c>
      <c r="O58" s="28" t="n">
        <v>0.62014</v>
      </c>
      <c r="P58" s="28" t="n"/>
      <c r="Q58" s="28" t="n">
        <v>-0.00949</v>
      </c>
      <c r="R58" s="26" t="n">
        <v>15</v>
      </c>
      <c r="S58" s="29" t="n">
        <v>1</v>
      </c>
      <c r="T58" s="24" t="inlineStr">
        <is>
          <t>dota2-tiered-elo-v6</t>
        </is>
      </c>
      <c r="U58" s="24" t="inlineStr">
        <is>
          <t>settled</t>
        </is>
      </c>
      <c r="V58" s="24" t="inlineStr">
        <is>
          <t>loss</t>
        </is>
      </c>
      <c r="W58" s="26" t="n">
        <v>0</v>
      </c>
      <c r="X58" s="26" t="n">
        <v>1</v>
      </c>
      <c r="Y58" s="25" t="n"/>
      <c r="Z58" s="26" t="n">
        <v>-170</v>
      </c>
      <c r="AA58" s="28" t="n">
        <v>0.63</v>
      </c>
      <c r="AB58" s="28" t="n">
        <v>0.00037</v>
      </c>
      <c r="AC58" s="30" t="n">
        <v>-1</v>
      </c>
      <c r="AD58" s="24" t="inlineStr">
        <is>
          <t>2026-09-05T16:01:29.829685Z</t>
        </is>
      </c>
      <c r="AE58" s="31" t="inlineStr">
        <is>
          <t>Neutral Elo baseline; executable ask 0.6300 (market_slug=aec-dota2-lynx-pr-2026-09-05).</t>
        </is>
      </c>
      <c r="AF58" s="31" t="inlineStr">
        <is>
          <t>Config-promoted esports baseline; gates enforced at log time.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Power Rangers</t>
        </is>
      </c>
      <c r="AQ58" s="24" t="inlineStr">
        <is>
          <t>Power Rangers</t>
        </is>
      </c>
      <c r="AR58" s="24" t="inlineStr">
        <is>
          <t>Power Rangers</t>
        </is>
      </c>
      <c r="AS58" s="24" t="inlineStr">
        <is>
          <t>Team Lynx</t>
        </is>
      </c>
      <c r="AT58" s="24" t="inlineStr">
        <is>
          <t>Team Lynx</t>
        </is>
      </c>
      <c r="AU58" s="24" t="inlineStr">
        <is>
          <t>Team Lynx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ea0fd7584c4bb769a2f67a4bd27a87204ad3deb2cd588583c74cab4573bf831f</t>
        </is>
      </c>
      <c r="BB58" s="24" t="inlineStr">
        <is>
          <t>neutral_elo</t>
        </is>
      </c>
      <c r="BC58" s="24" t="inlineStr">
        <is>
          <t>dota2-tiered-elo-v6</t>
        </is>
      </c>
      <c r="BD58" s="24" t="inlineStr">
        <is>
          <t>ea0fd7584c4bb769a2f67a4bd27a87204ad3deb2cd588583c74cab4573bf831f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dota2-tiered-elo-v6</t>
        </is>
      </c>
      <c r="BH58" s="24" t="inlineStr">
        <is>
          <t>2026-09-05T04:44:16.543422Z</t>
        </is>
      </c>
      <c r="BI58" s="24" t="inlineStr">
        <is>
          <t>["same_event","same_team_same_day","same_league_same_day"]</t>
        </is>
      </c>
      <c r="BJ58" s="25" t="n"/>
      <c r="BK58" s="26" t="n">
        <v>-170</v>
      </c>
      <c r="BL58" s="27" t="n">
        <v>1.588235</v>
      </c>
      <c r="BM58" s="28" t="n">
        <v>0.62963</v>
      </c>
      <c r="BN58" s="28" t="n"/>
      <c r="BO58" s="28" t="n"/>
      <c r="BP58" s="25" t="n"/>
      <c r="BQ58" s="27" t="n">
        <v>1.588235</v>
      </c>
      <c r="BR58" s="28" t="n">
        <v>0.63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False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0.62963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29c22caa473746d2</t>
        </is>
      </c>
      <c r="B59" s="24" t="inlineStr">
        <is>
          <t>2026-09-05T22:06:05.663629Z</t>
        </is>
      </c>
      <c r="C59" s="24" t="inlineStr">
        <is>
          <t>2026-09-06T03:00:00Z</t>
        </is>
      </c>
      <c r="D59" s="24" t="inlineStr">
        <is>
          <t>102144</t>
        </is>
      </c>
      <c r="E59" s="24" t="inlineStr">
        <is>
          <t>DOTA2</t>
        </is>
      </c>
      <c r="F59" s="24" t="inlineStr">
        <is>
          <t>Carstensz</t>
        </is>
      </c>
      <c r="G59" s="24" t="inlineStr">
        <is>
          <t>Yangon Galacticos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113</v>
      </c>
      <c r="M59" s="27" t="n">
        <v>2.13</v>
      </c>
      <c r="N59" s="28" t="n">
        <v>0.469484</v>
      </c>
      <c r="O59" s="28" t="n">
        <v>0.622873</v>
      </c>
      <c r="P59" s="28" t="n"/>
      <c r="Q59" s="28" t="n">
        <v>0.153389</v>
      </c>
      <c r="R59" s="26" t="n">
        <v>97</v>
      </c>
      <c r="S59" s="29" t="n">
        <v>1.75</v>
      </c>
      <c r="T59" s="24" t="inlineStr">
        <is>
          <t>dota2-tiered-elo-v6</t>
        </is>
      </c>
      <c r="U59" s="24" t="inlineStr">
        <is>
          <t>settled</t>
        </is>
      </c>
      <c r="V59" s="24" t="inlineStr">
        <is>
          <t>loss</t>
        </is>
      </c>
      <c r="W59" s="26" t="n">
        <v>0</v>
      </c>
      <c r="X59" s="26" t="n">
        <v>1</v>
      </c>
      <c r="Y59" s="25" t="n"/>
      <c r="Z59" s="26" t="n">
        <v>113</v>
      </c>
      <c r="AA59" s="28" t="n">
        <v>0.47</v>
      </c>
      <c r="AB59" s="28" t="n">
        <v>0.000516</v>
      </c>
      <c r="AC59" s="30" t="n">
        <v>-1.75</v>
      </c>
      <c r="AD59" s="24" t="inlineStr">
        <is>
          <t>2026-09-07T16:01:21.007866Z</t>
        </is>
      </c>
      <c r="AE59" s="31" t="inlineStr">
        <is>
          <t>Neutral Elo baseline; executable ask 0.4700 (market_slug=aec-dota2-yg-carst-2026-09-06).</t>
        </is>
      </c>
      <c r="AF59" s="31" t="inlineStr">
        <is>
          <t>Config-promoted esports baseline; gates enforced at log time.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4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Carstensz</t>
        </is>
      </c>
      <c r="AQ59" s="24" t="inlineStr">
        <is>
          <t>Carstensz</t>
        </is>
      </c>
      <c r="AR59" s="24" t="inlineStr">
        <is>
          <t>Carstensz</t>
        </is>
      </c>
      <c r="AS59" s="24" t="inlineStr">
        <is>
          <t>Yangon Galacticos</t>
        </is>
      </c>
      <c r="AT59" s="24" t="inlineStr">
        <is>
          <t>Yangon Galacticos</t>
        </is>
      </c>
      <c r="AU59" s="24" t="inlineStr">
        <is>
          <t>Yangon Galacticos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afb2b22e04993508f56f78334468c93a0529d472a1c8b60cc6ea441803f62685</t>
        </is>
      </c>
      <c r="BB59" s="24" t="inlineStr">
        <is>
          <t>neutral_elo</t>
        </is>
      </c>
      <c r="BC59" s="24" t="inlineStr">
        <is>
          <t>dota2-tiered-elo-v6</t>
        </is>
      </c>
      <c r="BD59" s="24" t="inlineStr">
        <is>
          <t>afb2b22e04993508f56f78334468c93a0529d472a1c8b60cc6ea441803f62685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dota2-tiered-elo-v6</t>
        </is>
      </c>
      <c r="BH59" s="24" t="inlineStr">
        <is>
          <t>2026-09-05T22:06:04.685487Z</t>
        </is>
      </c>
      <c r="BI59" s="24" t="inlineStr">
        <is>
          <t>["same_event","same_team_same_day","same_league_same_day"]</t>
        </is>
      </c>
      <c r="BJ59" s="25" t="n"/>
      <c r="BK59" s="26" t="n">
        <v>113</v>
      </c>
      <c r="BL59" s="27" t="n">
        <v>2.13</v>
      </c>
      <c r="BM59" s="28" t="n">
        <v>0.469484</v>
      </c>
      <c r="BN59" s="28" t="n"/>
      <c r="BO59" s="28" t="n"/>
      <c r="BP59" s="25" t="n"/>
      <c r="BQ59" s="27" t="n">
        <v>2.13</v>
      </c>
      <c r="BR59" s="28" t="n">
        <v>0.47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0.469484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7295bf76e66041b1</t>
        </is>
      </c>
      <c r="B60" s="24" t="inlineStr">
        <is>
          <t>2026-09-06T04:36:28.106878Z</t>
        </is>
      </c>
      <c r="C60" s="24" t="inlineStr">
        <is>
          <t>2026-09-06T06:00:00Z</t>
        </is>
      </c>
      <c r="D60" s="24" t="inlineStr">
        <is>
          <t>101489</t>
        </is>
      </c>
      <c r="E60" s="24" t="inlineStr">
        <is>
          <t>DOTA2</t>
        </is>
      </c>
      <c r="F60" s="24" t="inlineStr">
        <is>
          <t>Direborn</t>
        </is>
      </c>
      <c r="G60" s="24" t="inlineStr">
        <is>
          <t>InterActive Philippines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-117</v>
      </c>
      <c r="M60" s="27" t="n">
        <v>1.854701</v>
      </c>
      <c r="N60" s="28" t="n">
        <v>0.539171</v>
      </c>
      <c r="O60" s="28" t="n">
        <v>0.563896</v>
      </c>
      <c r="P60" s="28" t="n"/>
      <c r="Q60" s="28" t="n">
        <v>0.024725</v>
      </c>
      <c r="R60" s="26" t="n">
        <v>32</v>
      </c>
      <c r="S60" s="29" t="n">
        <v>1</v>
      </c>
      <c r="T60" s="24" t="inlineStr">
        <is>
          <t>dota2-tiered-elo-v6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>
        <v>-117</v>
      </c>
      <c r="AA60" s="28" t="n">
        <v>0.54</v>
      </c>
      <c r="AB60" s="28" t="n">
        <v>0.000829</v>
      </c>
      <c r="AC60" s="30" t="n">
        <v>0.8547</v>
      </c>
      <c r="AD60" s="24" t="inlineStr">
        <is>
          <t>2026-09-06T16:01:19.405440Z</t>
        </is>
      </c>
      <c r="AE60" s="31" t="inlineStr">
        <is>
          <t>Neutral Elo baseline; executable ask 0.5400 (market_slug=aec-dota2-iac-db-2026-09-06).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paper_call</t>
        </is>
      </c>
      <c r="AL60" s="26" t="n">
        <v>4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Direborn</t>
        </is>
      </c>
      <c r="AQ60" s="24" t="inlineStr">
        <is>
          <t>Direborn</t>
        </is>
      </c>
      <c r="AR60" s="24" t="inlineStr">
        <is>
          <t>Direborn</t>
        </is>
      </c>
      <c r="AS60" s="24" t="inlineStr">
        <is>
          <t>InterActive Philippines</t>
        </is>
      </c>
      <c r="AT60" s="24" t="inlineStr">
        <is>
          <t>InterActive Philippines</t>
        </is>
      </c>
      <c r="AU60" s="24" t="inlineStr">
        <is>
          <t>InterActive Philippines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3d0d09d8d1ea07b99e45a073c327241b77f8e64be67ff4f1767ad33172f8af6c</t>
        </is>
      </c>
      <c r="BB60" s="24" t="inlineStr">
        <is>
          <t>neutral_elo</t>
        </is>
      </c>
      <c r="BC60" s="24" t="inlineStr">
        <is>
          <t>dota2-tiered-elo-v6</t>
        </is>
      </c>
      <c r="BD60" s="24" t="inlineStr">
        <is>
          <t>3d0d09d8d1ea07b99e45a073c327241b77f8e64be67ff4f1767ad33172f8af6c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dota2-tiered-elo-v6</t>
        </is>
      </c>
      <c r="BH60" s="24" t="inlineStr">
        <is>
          <t>2026-09-06T04:36:27.481987Z</t>
        </is>
      </c>
      <c r="BI60" s="24" t="inlineStr">
        <is>
          <t>["same_event","same_team_same_day","same_league_same_day"]</t>
        </is>
      </c>
      <c r="BJ60" s="25" t="n"/>
      <c r="BK60" s="26" t="n">
        <v>-117</v>
      </c>
      <c r="BL60" s="27" t="n">
        <v>1.854701</v>
      </c>
      <c r="BM60" s="28" t="n">
        <v>0.539171</v>
      </c>
      <c r="BN60" s="28" t="n"/>
      <c r="BO60" s="28" t="n"/>
      <c r="BP60" s="25" t="n"/>
      <c r="BQ60" s="27" t="n">
        <v>1.854701</v>
      </c>
      <c r="BR60" s="28" t="n">
        <v>0.54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0.539171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d0ff835cf35a48e5</t>
        </is>
      </c>
      <c r="B61" s="24" t="inlineStr">
        <is>
          <t>2026-09-06T04:36:28.106878Z</t>
        </is>
      </c>
      <c r="C61" s="24" t="inlineStr">
        <is>
          <t>2026-09-06T09:00:00Z</t>
        </is>
      </c>
      <c r="D61" s="24" t="inlineStr">
        <is>
          <t>101531</t>
        </is>
      </c>
      <c r="E61" s="24" t="inlineStr">
        <is>
          <t>DOTA2</t>
        </is>
      </c>
      <c r="F61" s="24" t="inlineStr">
        <is>
          <t xml:space="preserve"> Pipsqueak+4</t>
        </is>
      </c>
      <c r="G61" s="24" t="inlineStr">
        <is>
          <t>Klim Sani4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-156</v>
      </c>
      <c r="M61" s="27" t="n">
        <v>1.641026</v>
      </c>
      <c r="N61" s="28" t="n">
        <v>0.609375</v>
      </c>
      <c r="O61" s="28" t="n">
        <v>0.548995</v>
      </c>
      <c r="P61" s="28" t="n"/>
      <c r="Q61" s="28" t="n">
        <v>-0.06038</v>
      </c>
      <c r="R61" s="26" t="n">
        <v>0</v>
      </c>
      <c r="S61" s="29" t="n">
        <v>1</v>
      </c>
      <c r="T61" s="24" t="inlineStr">
        <is>
          <t>dota2-tiered-elo-v6</t>
        </is>
      </c>
      <c r="U61" s="24" t="inlineStr">
        <is>
          <t>settled</t>
        </is>
      </c>
      <c r="V61" s="24" t="inlineStr">
        <is>
          <t>loss</t>
        </is>
      </c>
      <c r="W61" s="26" t="n">
        <v>1</v>
      </c>
      <c r="X61" s="26" t="n">
        <v>0</v>
      </c>
      <c r="Y61" s="25" t="n"/>
      <c r="Z61" s="26" t="n">
        <v>-156</v>
      </c>
      <c r="AA61" s="28" t="n">
        <v>0.61</v>
      </c>
      <c r="AB61" s="28" t="n">
        <v>0.000625</v>
      </c>
      <c r="AC61" s="30" t="n">
        <v>-1</v>
      </c>
      <c r="AD61" s="24" t="inlineStr">
        <is>
          <t>2026-09-06T16:01:19.618258Z</t>
        </is>
      </c>
      <c r="AE61" s="31" t="inlineStr">
        <is>
          <t>Neutral Elo baseline; executable ask 0.6100 (market_slug=aec-dota2-ks-pips4-2026-09-06).</t>
        </is>
      </c>
      <c r="AF61" s="31" t="inlineStr">
        <is>
          <t>Config-promoted esports baseline; gates enforced at log time.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paper_call</t>
        </is>
      </c>
      <c r="AL61" s="26" t="n">
        <v>4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 xml:space="preserve"> Pipsqueak+4</t>
        </is>
      </c>
      <c r="AQ61" s="24" t="inlineStr">
        <is>
          <t xml:space="preserve"> Pipsqueak+4</t>
        </is>
      </c>
      <c r="AR61" s="24" t="inlineStr">
        <is>
          <t xml:space="preserve"> Pipsqueak+4</t>
        </is>
      </c>
      <c r="AS61" s="24" t="inlineStr">
        <is>
          <t>Klim Sani4</t>
        </is>
      </c>
      <c r="AT61" s="24" t="inlineStr">
        <is>
          <t>Klim Sani4</t>
        </is>
      </c>
      <c r="AU61" s="24" t="inlineStr">
        <is>
          <t>Klim Sani4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3d0d09d8d1ea07b99e45a073c327241b77f8e64be67ff4f1767ad33172f8af6c</t>
        </is>
      </c>
      <c r="BB61" s="24" t="inlineStr">
        <is>
          <t>neutral_elo</t>
        </is>
      </c>
      <c r="BC61" s="24" t="inlineStr">
        <is>
          <t>dota2-tiered-elo-v6</t>
        </is>
      </c>
      <c r="BD61" s="24" t="inlineStr">
        <is>
          <t>3d0d09d8d1ea07b99e45a073c327241b77f8e64be67ff4f1767ad33172f8af6c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dota2-tiered-elo-v6</t>
        </is>
      </c>
      <c r="BH61" s="24" t="inlineStr">
        <is>
          <t>2026-09-06T04:36:27.590323Z</t>
        </is>
      </c>
      <c r="BI61" s="24" t="inlineStr">
        <is>
          <t>["same_event","same_team_same_day","same_league_same_day"]</t>
        </is>
      </c>
      <c r="BJ61" s="25" t="n"/>
      <c r="BK61" s="26" t="n">
        <v>-156</v>
      </c>
      <c r="BL61" s="27" t="n">
        <v>1.641026</v>
      </c>
      <c r="BM61" s="28" t="n">
        <v>0.609375</v>
      </c>
      <c r="BN61" s="28" t="n"/>
      <c r="BO61" s="28" t="n"/>
      <c r="BP61" s="25" t="n"/>
      <c r="BQ61" s="27" t="n">
        <v>1.641026</v>
      </c>
      <c r="BR61" s="28" t="n">
        <v>0.61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0.609375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ca5b4e28136d4bae</t>
        </is>
      </c>
      <c r="B62" s="24" t="inlineStr">
        <is>
          <t>2026-09-06T22:04:45.081762Z</t>
        </is>
      </c>
      <c r="C62" s="24" t="inlineStr">
        <is>
          <t>2026-09-07T03:00:00Z</t>
        </is>
      </c>
      <c r="D62" s="24" t="inlineStr">
        <is>
          <t>102287</t>
        </is>
      </c>
      <c r="E62" s="24" t="inlineStr">
        <is>
          <t>DOTA2</t>
        </is>
      </c>
      <c r="F62" s="24" t="inlineStr">
        <is>
          <t>Team Kinetix</t>
        </is>
      </c>
      <c r="G62" s="24" t="inlineStr">
        <is>
          <t>Direborn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-156</v>
      </c>
      <c r="M62" s="27" t="n">
        <v>1.641026</v>
      </c>
      <c r="N62" s="28" t="n">
        <v>0.609375</v>
      </c>
      <c r="O62" s="28" t="n">
        <v>0.559441</v>
      </c>
      <c r="P62" s="28" t="n"/>
      <c r="Q62" s="28" t="n">
        <v>-0.049934</v>
      </c>
      <c r="R62" s="26" t="n">
        <v>0</v>
      </c>
      <c r="S62" s="29" t="n">
        <v>1</v>
      </c>
      <c r="T62" s="24" t="inlineStr">
        <is>
          <t>dota2-tiered-elo-v6</t>
        </is>
      </c>
      <c r="U62" s="24" t="inlineStr">
        <is>
          <t>settled</t>
        </is>
      </c>
      <c r="V62" s="24" t="inlineStr">
        <is>
          <t>win</t>
        </is>
      </c>
      <c r="W62" s="26" t="n">
        <v>0</v>
      </c>
      <c r="X62" s="26" t="n">
        <v>1</v>
      </c>
      <c r="Y62" s="25" t="n"/>
      <c r="Z62" s="26" t="n">
        <v>-156</v>
      </c>
      <c r="AA62" s="28" t="n">
        <v>0.61</v>
      </c>
      <c r="AB62" s="28" t="n">
        <v>0.000625</v>
      </c>
      <c r="AC62" s="30" t="n">
        <v>0.641</v>
      </c>
      <c r="AD62" s="24" t="inlineStr">
        <is>
          <t>2026-09-07T10:00:56.728289Z</t>
        </is>
      </c>
      <c r="AE62" s="31" t="inlineStr">
        <is>
          <t>Neutral Elo baseline; executable ask 0.6100 (market_slug=aec-dota2-db-tke-2026-09-07).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paper_call</t>
        </is>
      </c>
      <c r="AL62" s="26" t="n">
        <v>4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PAPER_CALL_LOW_EDGE</t>
        </is>
      </c>
      <c r="AP62" s="24" t="inlineStr">
        <is>
          <t>Team Kinetix</t>
        </is>
      </c>
      <c r="AQ62" s="24" t="inlineStr">
        <is>
          <t>Team Kinetix</t>
        </is>
      </c>
      <c r="AR62" s="24" t="inlineStr">
        <is>
          <t>Team Kinetix</t>
        </is>
      </c>
      <c r="AS62" s="24" t="inlineStr">
        <is>
          <t>Direborn</t>
        </is>
      </c>
      <c r="AT62" s="24" t="inlineStr">
        <is>
          <t>Direborn</t>
        </is>
      </c>
      <c r="AU62" s="24" t="inlineStr">
        <is>
          <t>Direborn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febd4f24a91901ebd4b84747702b40168b87003e2f30e7831ae54ff8b2bd7549</t>
        </is>
      </c>
      <c r="BB62" s="24" t="inlineStr">
        <is>
          <t>neutral_elo</t>
        </is>
      </c>
      <c r="BC62" s="24" t="inlineStr">
        <is>
          <t>dota2-tiered-elo-v6</t>
        </is>
      </c>
      <c r="BD62" s="24" t="inlineStr">
        <is>
          <t>febd4f24a91901ebd4b84747702b40168b87003e2f30e7831ae54ff8b2bd7549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dota2-tiered-elo-v6</t>
        </is>
      </c>
      <c r="BH62" s="24" t="inlineStr">
        <is>
          <t>2026-09-06T22:04:44.828717Z</t>
        </is>
      </c>
      <c r="BI62" s="24" t="inlineStr">
        <is>
          <t>["same_event","same_team_same_day","same_league_same_day"]</t>
        </is>
      </c>
      <c r="BJ62" s="25" t="n"/>
      <c r="BK62" s="26" t="n">
        <v>-156</v>
      </c>
      <c r="BL62" s="27" t="n">
        <v>1.641026</v>
      </c>
      <c r="BM62" s="28" t="n">
        <v>0.609375</v>
      </c>
      <c r="BN62" s="28" t="n"/>
      <c r="BO62" s="28" t="n"/>
      <c r="BP62" s="25" t="n"/>
      <c r="BQ62" s="27" t="n">
        <v>1.641026</v>
      </c>
      <c r="BR62" s="28" t="n">
        <v>0.61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0.609375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46ea51528bd94090</t>
        </is>
      </c>
      <c r="B63" s="24" t="inlineStr">
        <is>
          <t>2026-09-07T04:34:11.964416Z</t>
        </is>
      </c>
      <c r="C63" s="24" t="inlineStr">
        <is>
          <t>2026-09-07T06:00:00Z</t>
        </is>
      </c>
      <c r="D63" s="24" t="inlineStr">
        <is>
          <t>102327</t>
        </is>
      </c>
      <c r="E63" s="24" t="inlineStr">
        <is>
          <t>DOTA2</t>
        </is>
      </c>
      <c r="F63" s="24" t="inlineStr">
        <is>
          <t>InterActive Philippines</t>
        </is>
      </c>
      <c r="G63" s="24" t="inlineStr">
        <is>
          <t>Carstensz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-144</v>
      </c>
      <c r="M63" s="27" t="n">
        <v>1.694444</v>
      </c>
      <c r="N63" s="28" t="n">
        <v>0.590164</v>
      </c>
      <c r="O63" s="28" t="n">
        <v>0.677164</v>
      </c>
      <c r="P63" s="28" t="n"/>
      <c r="Q63" s="28" t="n">
        <v>0.08699999999999999</v>
      </c>
      <c r="R63" s="26" t="n">
        <v>64</v>
      </c>
      <c r="S63" s="29" t="n">
        <v>1.25</v>
      </c>
      <c r="T63" s="24" t="inlineStr">
        <is>
          <t>dota2-tiered-elo-v6</t>
        </is>
      </c>
      <c r="U63" s="24" t="inlineStr">
        <is>
          <t>settled</t>
        </is>
      </c>
      <c r="V63" s="24" t="inlineStr">
        <is>
          <t>loss</t>
        </is>
      </c>
      <c r="W63" s="26" t="n">
        <v>1</v>
      </c>
      <c r="X63" s="26" t="n">
        <v>0</v>
      </c>
      <c r="Y63" s="25" t="n"/>
      <c r="Z63" s="26" t="n">
        <v>-144</v>
      </c>
      <c r="AA63" s="28" t="n">
        <v>0.59</v>
      </c>
      <c r="AB63" s="28" t="n">
        <v>-0.000164</v>
      </c>
      <c r="AC63" s="30" t="n">
        <v>-1.25</v>
      </c>
      <c r="AD63" s="24" t="inlineStr">
        <is>
          <t>2026-09-07T10:00:56.931406Z</t>
        </is>
      </c>
      <c r="AE63" s="31" t="inlineStr">
        <is>
          <t>Neutral Elo baseline; executable ask 0.5900 (market_slug=aec-dota2-carst-iac-2026-09-07).</t>
        </is>
      </c>
      <c r="AF63" s="31" t="inlineStr">
        <is>
          <t>Config-promoted esports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4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InterActive Philippines</t>
        </is>
      </c>
      <c r="AQ63" s="24" t="inlineStr">
        <is>
          <t>InterActive Philippines</t>
        </is>
      </c>
      <c r="AR63" s="24" t="inlineStr">
        <is>
          <t>InterActive Philippines</t>
        </is>
      </c>
      <c r="AS63" s="24" t="inlineStr">
        <is>
          <t>Carstensz</t>
        </is>
      </c>
      <c r="AT63" s="24" t="inlineStr">
        <is>
          <t>Carstensz</t>
        </is>
      </c>
      <c r="AU63" s="24" t="inlineStr">
        <is>
          <t>Carstensz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7018ab9f0c6b412dfd8a44132f466470818fac53a1d7559bfad629ca096d5782</t>
        </is>
      </c>
      <c r="BB63" s="24" t="inlineStr">
        <is>
          <t>neutral_elo</t>
        </is>
      </c>
      <c r="BC63" s="24" t="inlineStr">
        <is>
          <t>dota2-tiered-elo-v6</t>
        </is>
      </c>
      <c r="BD63" s="24" t="inlineStr">
        <is>
          <t>7018ab9f0c6b412dfd8a44132f466470818fac53a1d7559bfad629ca096d5782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dota2-tiered-elo-v6</t>
        </is>
      </c>
      <c r="BH63" s="24" t="inlineStr">
        <is>
          <t>2026-09-07T04:34:11.523048Z</t>
        </is>
      </c>
      <c r="BI63" s="24" t="inlineStr">
        <is>
          <t>["same_event","same_team_same_day","same_league_same_day"]</t>
        </is>
      </c>
      <c r="BJ63" s="25" t="n"/>
      <c r="BK63" s="26" t="n">
        <v>-144</v>
      </c>
      <c r="BL63" s="27" t="n">
        <v>1.694444</v>
      </c>
      <c r="BM63" s="28" t="n">
        <v>0.590164</v>
      </c>
      <c r="BN63" s="28" t="n"/>
      <c r="BO63" s="28" t="n"/>
      <c r="BP63" s="25" t="n"/>
      <c r="BQ63" s="27" t="n">
        <v>1.694444</v>
      </c>
      <c r="BR63" s="28" t="n">
        <v>0.59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0.590164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8d34c03e84464a61</t>
        </is>
      </c>
      <c r="B64" s="24" t="inlineStr">
        <is>
          <t>2026-09-07T10:03:21.708186Z</t>
        </is>
      </c>
      <c r="C64" s="24" t="inlineStr">
        <is>
          <t>2026-09-07T12:00:00Z</t>
        </is>
      </c>
      <c r="D64" s="24" t="inlineStr">
        <is>
          <t>105253</t>
        </is>
      </c>
      <c r="E64" s="24" t="inlineStr">
        <is>
          <t>DOTA2</t>
        </is>
      </c>
      <c r="F64" s="24" t="inlineStr">
        <is>
          <t>Klim Sani4</t>
        </is>
      </c>
      <c r="G64" s="24" t="inlineStr">
        <is>
          <t>HULIGANI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-122</v>
      </c>
      <c r="M64" s="27" t="n">
        <v>1.819672</v>
      </c>
      <c r="N64" s="28" t="n">
        <v>0.54955</v>
      </c>
      <c r="O64" s="28" t="n">
        <v>0.639829</v>
      </c>
      <c r="P64" s="28" t="n"/>
      <c r="Q64" s="28" t="n">
        <v>0.090279</v>
      </c>
      <c r="R64" s="26" t="n">
        <v>65</v>
      </c>
      <c r="S64" s="29" t="n">
        <v>1.25</v>
      </c>
      <c r="T64" s="24" t="inlineStr">
        <is>
          <t>dota2-tiered-elo-v6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0</v>
      </c>
      <c r="Y64" s="25" t="n"/>
      <c r="Z64" s="26" t="n">
        <v>-122</v>
      </c>
      <c r="AA64" s="28" t="n">
        <v>0.55</v>
      </c>
      <c r="AB64" s="28" t="n">
        <v>0.00045</v>
      </c>
      <c r="AC64" s="30" t="n">
        <v>1.0246</v>
      </c>
      <c r="AD64" s="24" t="inlineStr">
        <is>
          <t>2026-09-07T16:01:21.197570Z</t>
        </is>
      </c>
      <c r="AE64" s="31" t="inlineStr">
        <is>
          <t>Neutral Elo baseline; executable ask 0.5500 (market_slug=aec-dota2-hul-ks-2026-09-07).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4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Klim Sani4</t>
        </is>
      </c>
      <c r="AQ64" s="24" t="inlineStr">
        <is>
          <t>Klim Sani4</t>
        </is>
      </c>
      <c r="AR64" s="24" t="inlineStr">
        <is>
          <t>Klim Sani4</t>
        </is>
      </c>
      <c r="AS64" s="24" t="inlineStr">
        <is>
          <t>HULIGANI</t>
        </is>
      </c>
      <c r="AT64" s="24" t="inlineStr">
        <is>
          <t>HULIGANI</t>
        </is>
      </c>
      <c r="AU64" s="24" t="inlineStr">
        <is>
          <t>HULIGANI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0939a6cecb205e7b49253b549639d4bd11e096bb20e085142873fd02c06af5ff</t>
        </is>
      </c>
      <c r="BB64" s="24" t="inlineStr">
        <is>
          <t>neutral_elo</t>
        </is>
      </c>
      <c r="BC64" s="24" t="inlineStr">
        <is>
          <t>dota2-tiered-elo-v6</t>
        </is>
      </c>
      <c r="BD64" s="24" t="inlineStr">
        <is>
          <t>0939a6cecb205e7b49253b549639d4bd11e096bb20e085142873fd02c06af5ff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dota2-tiered-elo-v6</t>
        </is>
      </c>
      <c r="BH64" s="24" t="inlineStr">
        <is>
          <t>2026-09-07T10:03:21.114951Z</t>
        </is>
      </c>
      <c r="BI64" s="24" t="inlineStr">
        <is>
          <t>["same_event","same_team_same_day","same_league_same_day"]</t>
        </is>
      </c>
      <c r="BJ64" s="25" t="n"/>
      <c r="BK64" s="26" t="n">
        <v>-122</v>
      </c>
      <c r="BL64" s="27" t="n">
        <v>1.819672</v>
      </c>
      <c r="BM64" s="28" t="n">
        <v>0.54955</v>
      </c>
      <c r="BN64" s="28" t="n"/>
      <c r="BO64" s="28" t="n"/>
      <c r="BP64" s="25" t="n"/>
      <c r="BQ64" s="27" t="n">
        <v>1.819672</v>
      </c>
      <c r="BR64" s="28" t="n">
        <v>0.55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0.54955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94b65342ad6b465c</t>
        </is>
      </c>
      <c r="B65" s="24" t="inlineStr">
        <is>
          <t>2026-09-07T16:03:47.095858Z</t>
        </is>
      </c>
      <c r="C65" s="24" t="inlineStr">
        <is>
          <t>2026-09-07T18:00:00Z</t>
        </is>
      </c>
      <c r="D65" s="24" t="inlineStr">
        <is>
          <t>105260</t>
        </is>
      </c>
      <c r="E65" s="24" t="inlineStr">
        <is>
          <t>DOTA2</t>
        </is>
      </c>
      <c r="F65" s="24" t="inlineStr">
        <is>
          <t xml:space="preserve"> Pipsqueak+4</t>
        </is>
      </c>
      <c r="G65" s="24" t="inlineStr">
        <is>
          <t>GamerLegion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133</v>
      </c>
      <c r="M65" s="27" t="n">
        <v>2.33</v>
      </c>
      <c r="N65" s="28" t="n">
        <v>0.429185</v>
      </c>
      <c r="O65" s="28" t="n">
        <v>0.546702</v>
      </c>
      <c r="P65" s="28" t="n"/>
      <c r="Q65" s="28" t="n">
        <v>0.117517</v>
      </c>
      <c r="R65" s="26" t="n">
        <v>79</v>
      </c>
      <c r="S65" s="29" t="n">
        <v>1.5</v>
      </c>
      <c r="T65" s="24" t="inlineStr">
        <is>
          <t>dota2-tiered-elo-v6</t>
        </is>
      </c>
      <c r="U65" s="24" t="inlineStr">
        <is>
          <t>settled</t>
        </is>
      </c>
      <c r="V65" s="24" t="inlineStr">
        <is>
          <t>loss</t>
        </is>
      </c>
      <c r="W65" s="26" t="n">
        <v>0</v>
      </c>
      <c r="X65" s="26" t="n">
        <v>1</v>
      </c>
      <c r="Y65" s="25" t="n"/>
      <c r="Z65" s="26" t="n">
        <v>133</v>
      </c>
      <c r="AA65" s="28" t="n">
        <v>0.43</v>
      </c>
      <c r="AB65" s="28" t="n">
        <v>0.000815</v>
      </c>
      <c r="AC65" s="30" t="n">
        <v>-1.5</v>
      </c>
      <c r="AD65" s="24" t="inlineStr">
        <is>
          <t>2026-09-07T22:02:32.153643Z</t>
        </is>
      </c>
      <c r="AE65" s="31" t="inlineStr">
        <is>
          <t>Neutral Elo baseline; executable ask 0.4300 (market_slug=aec-dota2-gl-pips4-2026-09-07).</t>
        </is>
      </c>
      <c r="AF65" s="31" t="inlineStr">
        <is>
          <t>Config-promoted esports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4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 xml:space="preserve"> Pipsqueak+4</t>
        </is>
      </c>
      <c r="AQ65" s="24" t="inlineStr">
        <is>
          <t xml:space="preserve"> Pipsqueak+4</t>
        </is>
      </c>
      <c r="AR65" s="24" t="inlineStr">
        <is>
          <t xml:space="preserve"> Pipsqueak+4</t>
        </is>
      </c>
      <c r="AS65" s="24" t="inlineStr">
        <is>
          <t>GamerLegion</t>
        </is>
      </c>
      <c r="AT65" s="24" t="inlineStr">
        <is>
          <t>GamerLegion</t>
        </is>
      </c>
      <c r="AU65" s="24" t="inlineStr">
        <is>
          <t>GamerLegion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65a18ebeba116010d3bc2e500f70ad05acec1e88609db9cde3cdea4f3dc3d923</t>
        </is>
      </c>
      <c r="BB65" s="24" t="inlineStr">
        <is>
          <t>neutral_elo</t>
        </is>
      </c>
      <c r="BC65" s="24" t="inlineStr">
        <is>
          <t>dota2-tiered-elo-v6</t>
        </is>
      </c>
      <c r="BD65" s="24" t="inlineStr">
        <is>
          <t>65a18ebeba116010d3bc2e500f70ad05acec1e88609db9cde3cdea4f3dc3d923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dota2-tiered-elo-v6</t>
        </is>
      </c>
      <c r="BH65" s="24" t="inlineStr">
        <is>
          <t>2026-09-07T16:03:46.017479Z</t>
        </is>
      </c>
      <c r="BI65" s="24" t="inlineStr">
        <is>
          <t>["same_event","same_team_same_day","same_league_same_day"]</t>
        </is>
      </c>
      <c r="BJ65" s="25" t="n"/>
      <c r="BK65" s="26" t="n">
        <v>133</v>
      </c>
      <c r="BL65" s="27" t="n">
        <v>2.33</v>
      </c>
      <c r="BM65" s="28" t="n">
        <v>0.429185</v>
      </c>
      <c r="BN65" s="28" t="n"/>
      <c r="BO65" s="28" t="n"/>
      <c r="BP65" s="25" t="n"/>
      <c r="BQ65" s="27" t="n">
        <v>2.33</v>
      </c>
      <c r="BR65" s="28" t="n">
        <v>0.43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0.429185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e54785f4c9d14361</t>
        </is>
      </c>
      <c r="B66" s="24" t="inlineStr">
        <is>
          <t>2026-09-08T04:36:08.181341Z</t>
        </is>
      </c>
      <c r="C66" s="24" t="inlineStr">
        <is>
          <t>2026-09-08T09:00:00Z</t>
        </is>
      </c>
      <c r="D66" s="24" t="inlineStr">
        <is>
          <t>105706</t>
        </is>
      </c>
      <c r="E66" s="24" t="inlineStr">
        <is>
          <t>DOTA2</t>
        </is>
      </c>
      <c r="F66" s="24" t="inlineStr">
        <is>
          <t>HULIGANI</t>
        </is>
      </c>
      <c r="G66" s="24" t="inlineStr">
        <is>
          <t>Power Rangers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122</v>
      </c>
      <c r="M66" s="27" t="n">
        <v>2.22</v>
      </c>
      <c r="N66" s="28" t="n">
        <v>0.45045</v>
      </c>
      <c r="O66" s="28" t="n">
        <v>0.594849</v>
      </c>
      <c r="P66" s="28" t="n"/>
      <c r="Q66" s="28" t="n">
        <v>0.144399</v>
      </c>
      <c r="R66" s="26" t="n">
        <v>92</v>
      </c>
      <c r="S66" s="29" t="n">
        <v>1.75</v>
      </c>
      <c r="T66" s="24" t="inlineStr">
        <is>
          <t>dota2-tiered-elo-v6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122</v>
      </c>
      <c r="AA66" s="28" t="n">
        <v>0.45</v>
      </c>
      <c r="AB66" s="28" t="n">
        <v>-0.00045</v>
      </c>
      <c r="AC66" s="30" t="n">
        <v>-1.75</v>
      </c>
      <c r="AD66" s="24" t="inlineStr">
        <is>
          <t>2026-09-08T16:02:44.610669Z</t>
        </is>
      </c>
      <c r="AE66" s="31" t="inlineStr">
        <is>
          <t>Neutral Elo baseline; executable ask 0.4500 (market_slug=aec-dota2-pr-hul-2026-09-08).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4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HULIGANI</t>
        </is>
      </c>
      <c r="AQ66" s="24" t="inlineStr">
        <is>
          <t>HULIGANI</t>
        </is>
      </c>
      <c r="AR66" s="24" t="inlineStr">
        <is>
          <t>HULIGANI</t>
        </is>
      </c>
      <c r="AS66" s="24" t="inlineStr">
        <is>
          <t>Power Rangers</t>
        </is>
      </c>
      <c r="AT66" s="24" t="inlineStr">
        <is>
          <t>Power Rangers</t>
        </is>
      </c>
      <c r="AU66" s="24" t="inlineStr">
        <is>
          <t>Power Rangers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fbaac35c0ab39e231e054d9c44913995f69660447ae8195455de94d00604778a</t>
        </is>
      </c>
      <c r="BB66" s="24" t="inlineStr">
        <is>
          <t>neutral_elo</t>
        </is>
      </c>
      <c r="BC66" s="24" t="inlineStr">
        <is>
          <t>dota2-tiered-elo-v6</t>
        </is>
      </c>
      <c r="BD66" s="24" t="inlineStr">
        <is>
          <t>fbaac35c0ab39e231e054d9c44913995f69660447ae8195455de94d00604778a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dota2-tiered-elo-v6</t>
        </is>
      </c>
      <c r="BH66" s="24" t="inlineStr">
        <is>
          <t>2026-09-08T04:36:07.649025Z</t>
        </is>
      </c>
      <c r="BI66" s="24" t="inlineStr">
        <is>
          <t>["same_event","same_team_same_day","same_league_same_day"]</t>
        </is>
      </c>
      <c r="BJ66" s="25" t="n"/>
      <c r="BK66" s="26" t="n">
        <v>122</v>
      </c>
      <c r="BL66" s="27" t="n">
        <v>2.22</v>
      </c>
      <c r="BM66" s="28" t="n">
        <v>0.45045</v>
      </c>
      <c r="BN66" s="28" t="n"/>
      <c r="BO66" s="28" t="n"/>
      <c r="BP66" s="25" t="n"/>
      <c r="BQ66" s="27" t="n">
        <v>2.22</v>
      </c>
      <c r="BR66" s="28" t="n">
        <v>0.45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0.45045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62dff86449b2439d</t>
        </is>
      </c>
      <c r="B67" s="24" t="inlineStr">
        <is>
          <t>2026-09-10T10:04:53.335354Z</t>
        </is>
      </c>
      <c r="C67" s="24" t="inlineStr">
        <is>
          <t>2026-09-10T11:00:00Z</t>
        </is>
      </c>
      <c r="D67" s="24" t="inlineStr">
        <is>
          <t>108610</t>
        </is>
      </c>
      <c r="E67" s="24" t="inlineStr">
        <is>
          <t>DOTA2</t>
        </is>
      </c>
      <c r="F67" s="24" t="inlineStr">
        <is>
          <t>Klim Sani4</t>
        </is>
      </c>
      <c r="G67" s="24" t="inlineStr">
        <is>
          <t>GamerLegion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-178</v>
      </c>
      <c r="M67" s="27" t="n">
        <v>1.561798</v>
      </c>
      <c r="N67" s="28" t="n">
        <v>0.640288</v>
      </c>
      <c r="O67" s="28" t="n">
        <v>0.540797</v>
      </c>
      <c r="P67" s="28" t="n"/>
      <c r="Q67" s="28" t="n">
        <v>-0.099491</v>
      </c>
      <c r="R67" s="26" t="n">
        <v>0</v>
      </c>
      <c r="S67" s="29" t="n">
        <v>1</v>
      </c>
      <c r="T67" s="24" t="inlineStr">
        <is>
          <t>dota2-tiered-elo-v6</t>
        </is>
      </c>
      <c r="U67" s="24" t="inlineStr">
        <is>
          <t>settled</t>
        </is>
      </c>
      <c r="V67" s="24" t="inlineStr">
        <is>
          <t>loss</t>
        </is>
      </c>
      <c r="W67" s="26" t="n">
        <v>1</v>
      </c>
      <c r="X67" s="26" t="n">
        <v>0</v>
      </c>
      <c r="Y67" s="25" t="n"/>
      <c r="Z67" s="26" t="n">
        <v>-178</v>
      </c>
      <c r="AA67" s="28" t="n">
        <v>0.64</v>
      </c>
      <c r="AB67" s="28" t="n">
        <v>-0.000288</v>
      </c>
      <c r="AC67" s="30" t="n">
        <v>-1</v>
      </c>
      <c r="AD67" s="24" t="inlineStr">
        <is>
          <t>2026-09-10T22:02:37.477617Z</t>
        </is>
      </c>
      <c r="AE67" s="31" t="inlineStr">
        <is>
          <t>Neutral Elo baseline; executable ask 0.6400 (market_slug=aec-dota2-gl-ks-2026-09-10).</t>
        </is>
      </c>
      <c r="AF67" s="31" t="inlineStr">
        <is>
          <t>Config-promoted esports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PAPER_CALL_LOW_EDGE</t>
        </is>
      </c>
      <c r="AP67" s="24" t="inlineStr">
        <is>
          <t>Klim Sani4</t>
        </is>
      </c>
      <c r="AQ67" s="24" t="inlineStr">
        <is>
          <t>Klim Sani4</t>
        </is>
      </c>
      <c r="AR67" s="24" t="inlineStr">
        <is>
          <t>Klim Sani4</t>
        </is>
      </c>
      <c r="AS67" s="24" t="inlineStr">
        <is>
          <t>GamerLegion</t>
        </is>
      </c>
      <c r="AT67" s="24" t="inlineStr">
        <is>
          <t>GamerLegion</t>
        </is>
      </c>
      <c r="AU67" s="24" t="inlineStr">
        <is>
          <t>GamerLegion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af46b9a44351a702a58fc465a924d56ae336525623665f49fe3f4ca8e7a6b3c4</t>
        </is>
      </c>
      <c r="BB67" s="24" t="inlineStr">
        <is>
          <t>neutral_elo</t>
        </is>
      </c>
      <c r="BC67" s="24" t="inlineStr">
        <is>
          <t>dota2-tiered-elo-v6</t>
        </is>
      </c>
      <c r="BD67" s="24" t="inlineStr">
        <is>
          <t>af46b9a44351a702a58fc465a924d56ae336525623665f49fe3f4ca8e7a6b3c4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dota2-tiered-elo-v6</t>
        </is>
      </c>
      <c r="BH67" s="24" t="inlineStr">
        <is>
          <t>2026-09-10T10:04:52.510813Z</t>
        </is>
      </c>
      <c r="BI67" s="24" t="inlineStr">
        <is>
          <t>["same_event","same_team_same_day","same_league_same_day"]</t>
        </is>
      </c>
      <c r="BJ67" s="25" t="n"/>
      <c r="BK67" s="26" t="n">
        <v>-178</v>
      </c>
      <c r="BL67" s="27" t="n">
        <v>1.561798</v>
      </c>
      <c r="BM67" s="28" t="n">
        <v>0.640288</v>
      </c>
      <c r="BN67" s="28" t="n"/>
      <c r="BO67" s="28" t="n"/>
      <c r="BP67" s="25" t="n"/>
      <c r="BQ67" s="27" t="n">
        <v>1.561798</v>
      </c>
      <c r="BR67" s="28" t="n">
        <v>0.64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False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0.640288</t>
        </is>
      </c>
      <c r="DK67" s="24" t="n"/>
      <c r="DL67" s="24" t="n"/>
      <c r="DM67" s="24" t="n"/>
      <c r="DN67" s="24" t="n"/>
      <c r="DO67" s="24" t="n"/>
      <c r="DP67" s="24" t="n"/>
      <c r="DQ67" s="24" t="inlineStr">
        <is>
          <t>{"artifact_hash": "af46b9a44351a702a58fc465a924d56ae336525623665f49fe3f4ca8e7a6b3c4", "away_team": "Klim Sani4", "event_id": "108610", "event_start_utc": "2026-09-10T11:00:00Z", "features": {"away_elo": 1818.954355, "away_history_count": 44, "home_elo": 1842.440618, "home_history_count": 88}, "historical_source_observation_times_verified": false, "home_team": "GamerLegion", "inference_inputs": {"book_state": {"games_played": {"bo3:4:15145": 44, "bo3:4:22027": 88}, "inactivity_half_life_days": null, "inactivity_max_pull": null, "k": 48.0, "last_match_utc": {"bo3:4:15145": "2026-09-09T21:00:00Z", "bo3:4:22027": "2026-09-08T20:45:00Z"}, "minimum_reliable_games": null, "platt_intercept": 0.0963932780382462, "platt_slope": 0.8298168959287898, "ratings": {"bo3:4:15145": 1818.954355, "bo3:4:22027": 1842.440618},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"2026-09-10T10:04:52.443189+00:00", "team_ids": ["bo3:4:22027", "bo3:4:15145"]}, "market_type": "moneyline", "model_version": "dota2-tiered-elo-v6", "observed_at_utc": "2026-09-10T10:04:52.443189+00:00", "probabilities": {"away": 0.459203, "home": 0.540797}, "replay_scope": "Exact serving book state, calibration, temperature, inactivity reference and thin-history adjustments; training provenance not certified.", "schema": "esports-elo-replay-v1", "snapshot_hash": "44766b332624261f7ae091b30937280fb43926d08235d9da5827c4251836eee4", "sport": "DOTA2"}</t>
        </is>
      </c>
    </row>
    <row r="68" ht="36" customHeight="1">
      <c r="A68" s="24" t="inlineStr">
        <is>
          <t>bfb87eb3e1eb4016</t>
        </is>
      </c>
      <c r="B68" s="24" t="inlineStr">
        <is>
          <t>2026-09-10T10:04:53.335354Z</t>
        </is>
      </c>
      <c r="C68" s="24" t="inlineStr">
        <is>
          <t>2026-09-10T12:00:00Z</t>
        </is>
      </c>
      <c r="D68" s="24" t="inlineStr">
        <is>
          <t>107745</t>
        </is>
      </c>
      <c r="E68" s="24" t="inlineStr">
        <is>
          <t>DOTA2</t>
        </is>
      </c>
      <c r="F68" s="24" t="inlineStr">
        <is>
          <t>Daxak Club</t>
        </is>
      </c>
      <c r="G68" s="24" t="inlineStr">
        <is>
          <t>Recrent Club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150</v>
      </c>
      <c r="M68" s="27" t="n">
        <v>2.5</v>
      </c>
      <c r="N68" s="28" t="n">
        <v>0.4</v>
      </c>
      <c r="O68" s="28" t="n">
        <v>0.510205</v>
      </c>
      <c r="P68" s="28" t="n"/>
      <c r="Q68" s="28" t="n">
        <v>0.110205</v>
      </c>
      <c r="R68" s="26" t="n">
        <v>75</v>
      </c>
      <c r="S68" s="29" t="n">
        <v>1.5</v>
      </c>
      <c r="T68" s="24" t="inlineStr">
        <is>
          <t>dota2-tiered-elo-v6</t>
        </is>
      </c>
      <c r="U68" s="24" t="inlineStr">
        <is>
          <t>settled</t>
        </is>
      </c>
      <c r="V68" s="24" t="inlineStr">
        <is>
          <t>loss</t>
        </is>
      </c>
      <c r="W68" s="26" t="n">
        <v>1</v>
      </c>
      <c r="X68" s="26" t="n">
        <v>0</v>
      </c>
      <c r="Y68" s="25" t="n"/>
      <c r="Z68" s="26" t="n">
        <v>150</v>
      </c>
      <c r="AA68" s="28" t="n">
        <v>0.4</v>
      </c>
      <c r="AB68" s="28" t="n">
        <v>0</v>
      </c>
      <c r="AC68" s="30" t="n">
        <v>-1.5</v>
      </c>
      <c r="AD68" s="24" t="inlineStr">
        <is>
          <t>2026-09-10T22:02:37.670078Z</t>
        </is>
      </c>
      <c r="AE68" s="31" t="inlineStr">
        <is>
          <t>Neutral Elo baseline; executable ask 0.4000 (market_slug=aec-dota2-rce-dca-2026-09-10).</t>
        </is>
      </c>
      <c r="AF68" s="31" t="inlineStr">
        <is>
          <t>Config-promoted esports baseline; gates enforced at log time.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PAPER_CALL_MODEL_UNVALIDATED</t>
        </is>
      </c>
      <c r="AP68" s="24" t="inlineStr">
        <is>
          <t>Daxak Club</t>
        </is>
      </c>
      <c r="AQ68" s="24" t="inlineStr">
        <is>
          <t>Daxak Club</t>
        </is>
      </c>
      <c r="AR68" s="24" t="inlineStr">
        <is>
          <t>Daxak Club</t>
        </is>
      </c>
      <c r="AS68" s="24" t="inlineStr">
        <is>
          <t>Recrent Club</t>
        </is>
      </c>
      <c r="AT68" s="24" t="inlineStr">
        <is>
          <t>Recrent Club</t>
        </is>
      </c>
      <c r="AU68" s="24" t="inlineStr">
        <is>
          <t>Recrent Club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af46b9a44351a702a58fc465a924d56ae336525623665f49fe3f4ca8e7a6b3c4</t>
        </is>
      </c>
      <c r="BB68" s="24" t="inlineStr">
        <is>
          <t>neutral_elo</t>
        </is>
      </c>
      <c r="BC68" s="24" t="inlineStr">
        <is>
          <t>dota2-tiered-elo-v6</t>
        </is>
      </c>
      <c r="BD68" s="24" t="inlineStr">
        <is>
          <t>af46b9a44351a702a58fc465a924d56ae336525623665f49fe3f4ca8e7a6b3c4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dota2-tiered-elo-v6</t>
        </is>
      </c>
      <c r="BH68" s="24" t="inlineStr">
        <is>
          <t>2026-09-10T10:04:52.679294Z</t>
        </is>
      </c>
      <c r="BI68" s="24" t="inlineStr">
        <is>
          <t>["same_event","same_team_same_day","same_league_same_day"]</t>
        </is>
      </c>
      <c r="BJ68" s="25" t="n"/>
      <c r="BK68" s="26" t="n">
        <v>150</v>
      </c>
      <c r="BL68" s="27" t="n">
        <v>2.5</v>
      </c>
      <c r="BM68" s="28" t="n">
        <v>0.4</v>
      </c>
      <c r="BN68" s="28" t="n"/>
      <c r="BO68" s="28" t="n"/>
      <c r="BP68" s="25" t="n"/>
      <c r="BQ68" s="27" t="n">
        <v>2.5</v>
      </c>
      <c r="BR68" s="28" t="n">
        <v>0.4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0.4</t>
        </is>
      </c>
      <c r="DK68" s="24" t="n"/>
      <c r="DL68" s="24" t="n"/>
      <c r="DM68" s="24" t="n"/>
      <c r="DN68" s="24" t="n"/>
      <c r="DO68" s="24" t="n"/>
      <c r="DP68" s="24" t="n"/>
      <c r="DQ68" s="24" t="inlineStr">
        <is>
          <t>{"artifact_hash": "af46b9a44351a702a58fc465a924d56ae336525623665f49fe3f4ca8e7a6b3c4", "away_team": "Daxak Club", "event_id": "107745", "event_start_utc": "2026-09-10T12:00:00Z", "features": {"away_elo": 1500.0, "away_history_count": 0, "home_elo": 1500.0, "home_history_count": 0}, "historical_source_observation_times_verified": false, "home_team": "Recrent Club", "inference_inputs": {"book_state": {"games_played": {}, "inactivity_half_life_days": null, "inactivity_max_pull": null, "k": 48.0, "last_match_utc": {}, "minimum_reliable_games": null, "platt_intercept": 0.0963932780382462, "platt_slope": 0.8298168959287898,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"2026-09-10T10:04:52.443189+00:00", "team_ids": ["unknown:recrentclub", "unknown:daxakclub"]}, "market_type": "moneyline", "model_version": "dota2-tiered-elo-v6", "observed_at_utc": "2026-09-10T10:04:52.443189+00:00", "probabilities": {"away": 0.489795, "home": 0.510205}, "replay_scope": "Exact serving book state, calibration, temperature, inactivity reference and thin-history adjustments; training provenance not certified.", "schema": "esports-elo-replay-v1", "snapshot_hash": "cae7ea0b61c0b0279ff6e457d451499ee4add5f600cac5df3f85a26e248d7726", "sport": "DOTA2"}</t>
        </is>
      </c>
    </row>
    <row r="69" ht="36" customHeight="1">
      <c r="A69" s="24" t="inlineStr">
        <is>
          <t>b631e003ad724445</t>
        </is>
      </c>
      <c r="B69" s="24" t="inlineStr">
        <is>
          <t>2026-09-10T10:04:53.335354Z</t>
        </is>
      </c>
      <c r="C69" s="24" t="inlineStr">
        <is>
          <t>2026-09-10T15:00:00Z</t>
        </is>
      </c>
      <c r="D69" s="24" t="inlineStr">
        <is>
          <t>107746</t>
        </is>
      </c>
      <c r="E69" s="24" t="inlineStr">
        <is>
          <t>DOTA2</t>
        </is>
      </c>
      <c r="F69" s="24" t="inlineStr">
        <is>
          <t>YBN Club</t>
        </is>
      </c>
      <c r="G69" s="24" t="inlineStr">
        <is>
          <t>Rostikfacekid Club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-156</v>
      </c>
      <c r="M69" s="27" t="n">
        <v>1.641026</v>
      </c>
      <c r="N69" s="28" t="n">
        <v>0.609375</v>
      </c>
      <c r="O69" s="28" t="n">
        <v>0.510205</v>
      </c>
      <c r="P69" s="28" t="n"/>
      <c r="Q69" s="28" t="n">
        <v>-0.09916999999999999</v>
      </c>
      <c r="R69" s="26" t="n">
        <v>0</v>
      </c>
      <c r="S69" s="29" t="n">
        <v>1</v>
      </c>
      <c r="T69" s="24" t="inlineStr">
        <is>
          <t>dota2-tiered-elo-v6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-156</v>
      </c>
      <c r="AA69" s="28" t="n">
        <v>0.61</v>
      </c>
      <c r="AB69" s="28" t="n">
        <v>0.000625</v>
      </c>
      <c r="AC69" s="30" t="n">
        <v>0.641</v>
      </c>
      <c r="AD69" s="24" t="inlineStr">
        <is>
          <t>2026-09-10T22:02:37.861295Z</t>
        </is>
      </c>
      <c r="AE69" s="31" t="inlineStr">
        <is>
          <t>Neutral Elo baseline; executable ask 0.6100 (market_slug=aec-dota2-rco-ycb-2026-09-10).</t>
        </is>
      </c>
      <c r="AF69" s="31" t="inlineStr">
        <is>
          <t>Config-promoted esports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PAPER_CALL_MODEL_UNVALIDATED</t>
        </is>
      </c>
      <c r="AP69" s="24" t="inlineStr">
        <is>
          <t>YBN Club</t>
        </is>
      </c>
      <c r="AQ69" s="24" t="inlineStr">
        <is>
          <t>YBN Club</t>
        </is>
      </c>
      <c r="AR69" s="24" t="inlineStr">
        <is>
          <t>YBN Club</t>
        </is>
      </c>
      <c r="AS69" s="24" t="inlineStr">
        <is>
          <t>Rostikfacekid Club</t>
        </is>
      </c>
      <c r="AT69" s="24" t="inlineStr">
        <is>
          <t>Rostikfacekid Club</t>
        </is>
      </c>
      <c r="AU69" s="24" t="inlineStr">
        <is>
          <t>Rostikfacekid Club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af46b9a44351a702a58fc465a924d56ae336525623665f49fe3f4ca8e7a6b3c4</t>
        </is>
      </c>
      <c r="BB69" s="24" t="inlineStr">
        <is>
          <t>neutral_elo</t>
        </is>
      </c>
      <c r="BC69" s="24" t="inlineStr">
        <is>
          <t>dota2-tiered-elo-v6</t>
        </is>
      </c>
      <c r="BD69" s="24" t="inlineStr">
        <is>
          <t>af46b9a44351a702a58fc465a924d56ae336525623665f49fe3f4ca8e7a6b3c4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dota2-tiered-elo-v6</t>
        </is>
      </c>
      <c r="BH69" s="24" t="inlineStr">
        <is>
          <t>2026-09-10T10:04:52.762270Z</t>
        </is>
      </c>
      <c r="BI69" s="24" t="inlineStr">
        <is>
          <t>["same_event","same_team_same_day","same_league_same_day"]</t>
        </is>
      </c>
      <c r="BJ69" s="25" t="n"/>
      <c r="BK69" s="26" t="n">
        <v>-156</v>
      </c>
      <c r="BL69" s="27" t="n">
        <v>1.641026</v>
      </c>
      <c r="BM69" s="28" t="n">
        <v>0.609375</v>
      </c>
      <c r="BN69" s="28" t="n"/>
      <c r="BO69" s="28" t="n"/>
      <c r="BP69" s="25" t="n"/>
      <c r="BQ69" s="27" t="n">
        <v>1.641026</v>
      </c>
      <c r="BR69" s="28" t="n">
        <v>0.61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0.609375</t>
        </is>
      </c>
      <c r="DK69" s="24" t="n"/>
      <c r="DL69" s="24" t="n"/>
      <c r="DM69" s="24" t="n"/>
      <c r="DN69" s="24" t="n"/>
      <c r="DO69" s="24" t="n"/>
      <c r="DP69" s="24" t="n"/>
      <c r="DQ69" s="24" t="inlineStr">
        <is>
          <t>{"artifact_hash": "af46b9a44351a702a58fc465a924d56ae336525623665f49fe3f4ca8e7a6b3c4", "away_team": "YBN Club", "event_id": "107746", "event_start_utc": "2026-09-10T15:00:00Z", "features": {"away_elo": 1500.0, "away_history_count": 0, "home_elo": 1500.0, "home_history_count": 0}, "historical_source_observation_times_verified": false, "home_team": "Rostikfacekid Club", "inference_inputs": {"book_state": {"games_played": {}, "inactivity_half_life_days": null, "inactivity_max_pull": null, "k": 48.0, "last_match_utc": {}, "minimum_reliable_games": null, "platt_intercept": 0.0963932780382462, "platt_slope": 0.8298168959287898,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"2026-09-10T10:04:52.443189+00:00", "team_ids": ["unknown:rostikfacekidclub", "unknown:ybnclub"]}, "market_type": "moneyline", "model_version": "dota2-tiered-elo-v6", "observed_at_utc": "2026-09-10T10:04:52.443189+00:00", "probabilities": {"away": 0.489795, "home": 0.510205}, "replay_scope": "Exact serving book state, calibration, temperature, inactivity reference and thin-history adjustments; training provenance not certified.", "schema": "esports-elo-replay-v1", "snapshot_hash": "58a0fdd73a02dff551854327dc361ac6ed7b362860d5a8d6dae8eff132327aea", "sport": "DOTA2"}</t>
        </is>
      </c>
    </row>
    <row r="70" ht="36" customHeight="1">
      <c r="A70" s="24" t="inlineStr">
        <is>
          <t>bf58db0c9eb94b16</t>
        </is>
      </c>
      <c r="B70" s="24" t="inlineStr">
        <is>
          <t>2026-09-11T16:05:30.815215Z</t>
        </is>
      </c>
      <c r="C70" s="24" t="inlineStr">
        <is>
          <t>2026-09-11T19:00:00Z</t>
        </is>
      </c>
      <c r="D70" s="24" t="inlineStr">
        <is>
          <t>107750</t>
        </is>
      </c>
      <c r="E70" s="24" t="inlineStr">
        <is>
          <t>DOTA2</t>
        </is>
      </c>
      <c r="F70" s="24" t="inlineStr">
        <is>
          <t>YBN Club</t>
        </is>
      </c>
      <c r="G70" s="24" t="inlineStr">
        <is>
          <t>Cooman Club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-170</v>
      </c>
      <c r="M70" s="27" t="n">
        <v>1.588235</v>
      </c>
      <c r="N70" s="28" t="n">
        <v>0.62963</v>
      </c>
      <c r="O70" s="28" t="n">
        <v>0.509911</v>
      </c>
      <c r="P70" s="28" t="n"/>
      <c r="Q70" s="28" t="n">
        <v>-0.119719</v>
      </c>
      <c r="R70" s="26" t="n">
        <v>0</v>
      </c>
      <c r="S70" s="29" t="n">
        <v>1</v>
      </c>
      <c r="T70" s="24" t="inlineStr">
        <is>
          <t>dota2-tiered-elo-v6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-170</v>
      </c>
      <c r="AA70" s="28" t="n">
        <v>0.63</v>
      </c>
      <c r="AB70" s="28" t="n">
        <v>0.00037</v>
      </c>
      <c r="AC70" s="30" t="n">
        <v>0.5881999999999999</v>
      </c>
      <c r="AD70" s="24" t="inlineStr">
        <is>
          <t>2026-09-11T22:01:47.799965Z</t>
        </is>
      </c>
      <c r="AE70" s="31" t="inlineStr">
        <is>
          <t>Neutral Elo baseline; executable ask 0.6300 (market_slug=aec-dota2-cco-ycb-2026-09-11).</t>
        </is>
      </c>
      <c r="AF70" s="31" t="inlineStr">
        <is>
          <t>Config-promoted esports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paper_call</t>
        </is>
      </c>
      <c r="AL70" s="26" t="n">
        <v>4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PAPER_CALL_MODEL_UNVALIDATED</t>
        </is>
      </c>
      <c r="AP70" s="24" t="inlineStr">
        <is>
          <t>YBN Club</t>
        </is>
      </c>
      <c r="AQ70" s="24" t="inlineStr">
        <is>
          <t>YBN Club</t>
        </is>
      </c>
      <c r="AR70" s="24" t="inlineStr">
        <is>
          <t>YBN Club</t>
        </is>
      </c>
      <c r="AS70" s="24" t="inlineStr">
        <is>
          <t>Cooman Club</t>
        </is>
      </c>
      <c r="AT70" s="24" t="inlineStr">
        <is>
          <t>Cooman Club</t>
        </is>
      </c>
      <c r="AU70" s="24" t="inlineStr">
        <is>
          <t>Cooman Club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eb924c507ecb601cea9379d42385560334162c709b115456ba5fac78313838d5</t>
        </is>
      </c>
      <c r="BB70" s="24" t="inlineStr">
        <is>
          <t>neutral_elo</t>
        </is>
      </c>
      <c r="BC70" s="24" t="inlineStr">
        <is>
          <t>dota2-tiered-elo-v6</t>
        </is>
      </c>
      <c r="BD70" s="24" t="inlineStr">
        <is>
          <t>eb924c507ecb601cea9379d42385560334162c709b115456ba5fac78313838d5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dota2-tiered-elo-v6</t>
        </is>
      </c>
      <c r="BH70" s="24" t="inlineStr">
        <is>
          <t>2026-09-11T16:05:29.377994Z</t>
        </is>
      </c>
      <c r="BI70" s="24" t="inlineStr">
        <is>
          <t>["same_event","same_team_same_day","same_league_same_day"]</t>
        </is>
      </c>
      <c r="BJ70" s="25" t="n"/>
      <c r="BK70" s="26" t="n">
        <v>-170</v>
      </c>
      <c r="BL70" s="27" t="n">
        <v>1.588235</v>
      </c>
      <c r="BM70" s="28" t="n">
        <v>0.62963</v>
      </c>
      <c r="BN70" s="28" t="n"/>
      <c r="BO70" s="28" t="n"/>
      <c r="BP70" s="25" t="n"/>
      <c r="BQ70" s="27" t="n">
        <v>1.588235</v>
      </c>
      <c r="BR70" s="28" t="n">
        <v>0.63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False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0.62963</t>
        </is>
      </c>
      <c r="DK70" s="24" t="n"/>
      <c r="DL70" s="24" t="n"/>
      <c r="DM70" s="24" t="n"/>
      <c r="DN70" s="24" t="n"/>
      <c r="DO70" s="24" t="n"/>
      <c r="DP70" s="24" t="n"/>
      <c r="DQ70" s="24" t="inlineStr">
        <is>
          <t>{"artifact_hash": "eb924c507ecb601cea9379d42385560334162c709b115456ba5fac78313838d5", "away_team": "YBN Club", "event_id": "107750", "event_start_utc": "2026-09-11T19:00:00Z", "features": {"away_elo": 1500.0, "away_history_count": 0, "home_elo": 1500.0, "home_history_count": 0}, "historical_source_observation_times_verified": false, "home_team": "Cooman Club", "inference_inputs": {"book_state": {"games_played": {}, "inactivity_half_life_days": null, "inactivity_max_pull": null, "k": 48.0, "last_match_utc": {}, "minimum_reliable_games": null, "platt_intercept": 0.09360438768383858, "platt_slope": 0.8314561322162585,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"2026-09-11T16:05:29.283061+00:00", "team_ids": ["unknown:coomanclub", "unknown:ybnclub"]}, "market_type": "moneyline", "model_version": "dota2-tiered-elo-v6", "observed_at_utc": "2026-09-11T16:05:29.283061+00:00", "probabilities": {"away": 0.490089, "home": 0.509911}, "replay_scope": "Exact serving book state, calibration, temperature, inactivity reference and thin-history adjustments; training provenance not certified.", "schema": "esports-elo-replay-v1", "snapshot_hash": "1278d9f8aa2184310b3daede2ec8de123a1d864de367be927d09750448bd37ab", "sport": "DOTA2"}</t>
        </is>
      </c>
    </row>
    <row r="71" ht="36" customHeight="1">
      <c r="A71" s="24" t="inlineStr">
        <is>
          <t>c246807ae97a4ca0</t>
        </is>
      </c>
      <c r="B71" s="24" t="inlineStr">
        <is>
          <t>2026-09-12T04:38:18.683452Z</t>
        </is>
      </c>
      <c r="C71" s="24" t="inlineStr">
        <is>
          <t>2026-09-12T05:00:00Z</t>
        </is>
      </c>
      <c r="D71" s="24" t="inlineStr">
        <is>
          <t>109362</t>
        </is>
      </c>
      <c r="E71" s="24" t="inlineStr">
        <is>
          <t>DOTA2</t>
        </is>
      </c>
      <c r="F71" s="24" t="inlineStr">
        <is>
          <t>ЯЧЁ123</t>
        </is>
      </c>
      <c r="G71" s="24" t="inlineStr">
        <is>
          <t>Direborn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-144</v>
      </c>
      <c r="M71" s="27" t="n">
        <v>1.694444</v>
      </c>
      <c r="N71" s="28" t="n">
        <v>0.590164</v>
      </c>
      <c r="O71" s="28" t="n">
        <v>0.5742969999999999</v>
      </c>
      <c r="P71" s="28" t="n"/>
      <c r="Q71" s="28" t="n">
        <v>-0.015867</v>
      </c>
      <c r="R71" s="26" t="n">
        <v>12</v>
      </c>
      <c r="S71" s="29" t="n">
        <v>1</v>
      </c>
      <c r="T71" s="24" t="inlineStr">
        <is>
          <t>dota2-tiered-elo-v6</t>
        </is>
      </c>
      <c r="U71" s="24" t="inlineStr">
        <is>
          <t>settled</t>
        </is>
      </c>
      <c r="V71" s="24" t="inlineStr">
        <is>
          <t>win</t>
        </is>
      </c>
      <c r="W71" s="26" t="n">
        <v>0</v>
      </c>
      <c r="X71" s="26" t="n">
        <v>1</v>
      </c>
      <c r="Y71" s="25" t="n"/>
      <c r="Z71" s="26" t="n">
        <v>-144</v>
      </c>
      <c r="AA71" s="28" t="n">
        <v>0.59</v>
      </c>
      <c r="AB71" s="28" t="n">
        <v>-0.000164</v>
      </c>
      <c r="AC71" s="30" t="n">
        <v>0.6944</v>
      </c>
      <c r="AD71" s="24" t="inlineStr">
        <is>
          <t>2026-09-12T10:01:54.460147Z</t>
        </is>
      </c>
      <c r="AE71" s="31" t="inlineStr">
        <is>
          <t>Neutral Elo baseline; executable ask 0.5900 (market_slug=aec-dota2-db-y123-2026-09-12).</t>
        </is>
      </c>
      <c r="AF71" s="31" t="inlineStr">
        <is>
          <t>Config-promoted esports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paper_call</t>
        </is>
      </c>
      <c r="AL71" s="26" t="n">
        <v>4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PAPER_CALL_MODEL_UNVALIDATED</t>
        </is>
      </c>
      <c r="AP71" s="24" t="inlineStr">
        <is>
          <t>ЯЧЁ123</t>
        </is>
      </c>
      <c r="AQ71" s="24" t="inlineStr">
        <is>
          <t>ЯЧЁ123</t>
        </is>
      </c>
      <c r="AR71" s="24" t="inlineStr">
        <is>
          <t>ЯЧЁ123</t>
        </is>
      </c>
      <c r="AS71" s="24" t="inlineStr">
        <is>
          <t>Direborn</t>
        </is>
      </c>
      <c r="AT71" s="24" t="inlineStr">
        <is>
          <t>Direborn</t>
        </is>
      </c>
      <c r="AU71" s="24" t="inlineStr">
        <is>
          <t>Direborn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44770a8449a3e7162e152d9dce46bbd14aef83a416a0f24f37bc8b035e9ca3ed</t>
        </is>
      </c>
      <c r="BB71" s="24" t="inlineStr">
        <is>
          <t>neutral_elo</t>
        </is>
      </c>
      <c r="BC71" s="24" t="inlineStr">
        <is>
          <t>dota2-tiered-elo-v6</t>
        </is>
      </c>
      <c r="BD71" s="24" t="inlineStr">
        <is>
          <t>44770a8449a3e7162e152d9dce46bbd14aef83a416a0f24f37bc8b035e9ca3ed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dota2-tiered-elo-v6</t>
        </is>
      </c>
      <c r="BH71" s="24" t="inlineStr">
        <is>
          <t>2026-09-12T04:38:16.720275Z</t>
        </is>
      </c>
      <c r="BI71" s="24" t="inlineStr">
        <is>
          <t>["same_event","same_team_same_day","same_league_same_day"]</t>
        </is>
      </c>
      <c r="BJ71" s="25" t="n"/>
      <c r="BK71" s="26" t="n">
        <v>-144</v>
      </c>
      <c r="BL71" s="27" t="n">
        <v>1.694444</v>
      </c>
      <c r="BM71" s="28" t="n">
        <v>0.590164</v>
      </c>
      <c r="BN71" s="28" t="n"/>
      <c r="BO71" s="28" t="n"/>
      <c r="BP71" s="25" t="n"/>
      <c r="BQ71" s="27" t="n">
        <v>1.694444</v>
      </c>
      <c r="BR71" s="28" t="n">
        <v>0.59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False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0.590164</t>
        </is>
      </c>
      <c r="DK71" s="24" t="n"/>
      <c r="DL71" s="24" t="n"/>
      <c r="DM71" s="24" t="n"/>
      <c r="DN71" s="24" t="n"/>
      <c r="DO71" s="24" t="n"/>
      <c r="DP71" s="24" t="n"/>
      <c r="DQ71" s="24" t="inlineStr">
        <is>
          <t>{"artifact_hash": "44770a8449a3e7162e152d9dce46bbd14aef83a416a0f24f37bc8b035e9ca3ed", "away_team": "\u042f\u0427\u0401123", "event_id": "109362", "event_start_utc": "2026-09-12T05:00:00Z", "features": {"away_elo": 1500.0, "away_history_count": 0, "home_elo": 1632.596899, "home_history_count": 24}, "historical_source_observation_times_verified": false, "home_team": "Direborn", "inference_inputs": {"book_state": {"games_played": {"bo3:4:24344": 24}, "inactivity_half_life_days": null, "inactivity_max_pull": null, "k": 48.0, "last_match_utc": {"bo3:4:24344": "2026-09-11T07:00:00Z"}, "minimum_reliable_games": null, "platt_intercept": 0.0928155021931158, "platt_slope": 0.832748698858141, "ratings": {"bo3:4:24344": 1632.596899},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"2026-09-12T04:38:16.658308+00:00", "team_ids": ["bo3:4:24344", "unknown:\u044f\u0447\u0435123"]}, "market_type": "moneyline", "model_version": "dota2-tiered-elo-v6", "observed_at_utc": "2026-09-12T04:38:16.658308+00:00", "probabilities": {"away": 0.425703, "home": 0.574297}, "replay_scope": "Exact serving book state, calibration, temperature, inactivity reference and thin-history adjustments; training provenance not certified.", "schema": "esports-elo-replay-v1", "snapshot_hash": "e6f8babd54f8ac84b79132efa43cc58c1b4c4bcd4ce7fa218b7b3c9446089139", "sport": "DOTA2"}</t>
        </is>
      </c>
    </row>
    <row r="72" ht="36" customHeight="1">
      <c r="A72" s="24" t="inlineStr">
        <is>
          <t>10484d520b254874</t>
        </is>
      </c>
      <c r="B72" s="24" t="inlineStr">
        <is>
          <t>2026-09-12T10:07:53.769723Z</t>
        </is>
      </c>
      <c r="C72" s="24" t="inlineStr">
        <is>
          <t>2026-09-12T11:00:00Z</t>
        </is>
      </c>
      <c r="D72" s="24" t="inlineStr">
        <is>
          <t>108753</t>
        </is>
      </c>
      <c r="E72" s="24" t="inlineStr">
        <is>
          <t>DOTA2</t>
        </is>
      </c>
      <c r="F72" s="24" t="inlineStr">
        <is>
          <t>GamerLegion</t>
        </is>
      </c>
      <c r="G72" s="24" t="inlineStr">
        <is>
          <t xml:space="preserve"> Pipsqueak+4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-203</v>
      </c>
      <c r="M72" s="27" t="n">
        <v>1.492611</v>
      </c>
      <c r="N72" s="28" t="n">
        <v>0.669967</v>
      </c>
      <c r="O72" s="28" t="n">
        <v>0.562568</v>
      </c>
      <c r="P72" s="28" t="n"/>
      <c r="Q72" s="28" t="n">
        <v>-0.107399</v>
      </c>
      <c r="R72" s="26" t="n">
        <v>0</v>
      </c>
      <c r="S72" s="29" t="n">
        <v>1</v>
      </c>
      <c r="T72" s="24" t="inlineStr">
        <is>
          <t>dota2-tiered-elo-v6</t>
        </is>
      </c>
      <c r="U72" s="24" t="inlineStr">
        <is>
          <t>settled</t>
        </is>
      </c>
      <c r="V72" s="24" t="inlineStr">
        <is>
          <t>loss</t>
        </is>
      </c>
      <c r="W72" s="26" t="n">
        <v>0</v>
      </c>
      <c r="X72" s="26" t="n">
        <v>1</v>
      </c>
      <c r="Y72" s="25" t="n"/>
      <c r="Z72" s="26" t="n">
        <v>-203</v>
      </c>
      <c r="AA72" s="28" t="n">
        <v>0.67</v>
      </c>
      <c r="AB72" s="28" t="n">
        <v>3.3e-05</v>
      </c>
      <c r="AC72" s="30" t="n">
        <v>-1</v>
      </c>
      <c r="AD72" s="24" t="inlineStr">
        <is>
          <t>2026-09-12T16:02:10.539513Z</t>
        </is>
      </c>
      <c r="AE72" s="31" t="inlineStr">
        <is>
          <t>Neutral Elo baseline; executable ask 0.6700 (market_slug=aec-dota2-pips4-gl-2026-09-12).</t>
        </is>
      </c>
      <c r="AF72" s="31" t="inlineStr">
        <is>
          <t>Config-promoted esports baseline; gates enforced at log time.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GamerLegion</t>
        </is>
      </c>
      <c r="AQ72" s="24" t="inlineStr">
        <is>
          <t>GamerLegion</t>
        </is>
      </c>
      <c r="AR72" s="24" t="inlineStr">
        <is>
          <t>GamerLegion</t>
        </is>
      </c>
      <c r="AS72" s="24" t="inlineStr">
        <is>
          <t xml:space="preserve"> Pipsqueak+4</t>
        </is>
      </c>
      <c r="AT72" s="24" t="inlineStr">
        <is>
          <t xml:space="preserve"> Pipsqueak+4</t>
        </is>
      </c>
      <c r="AU72" s="24" t="inlineStr">
        <is>
          <t xml:space="preserve"> Pipsqueak+4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a4dc8ace14d1c432799e792413052f6166931ef4fb245a18de7b501169901072</t>
        </is>
      </c>
      <c r="BB72" s="24" t="inlineStr">
        <is>
          <t>neutral_elo</t>
        </is>
      </c>
      <c r="BC72" s="24" t="inlineStr">
        <is>
          <t>dota2-tiered-elo-v6</t>
        </is>
      </c>
      <c r="BD72" s="24" t="inlineStr">
        <is>
          <t>a4dc8ace14d1c432799e792413052f6166931ef4fb245a18de7b501169901072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dota2-tiered-elo-v6</t>
        </is>
      </c>
      <c r="BH72" s="24" t="inlineStr">
        <is>
          <t>2026-09-12T10:07:51.982646Z</t>
        </is>
      </c>
      <c r="BI72" s="24" t="inlineStr">
        <is>
          <t>["same_event","same_team_same_day","same_league_same_day"]</t>
        </is>
      </c>
      <c r="BJ72" s="25" t="n"/>
      <c r="BK72" s="26" t="n">
        <v>-203</v>
      </c>
      <c r="BL72" s="27" t="n">
        <v>1.492611</v>
      </c>
      <c r="BM72" s="28" t="n">
        <v>0.669967</v>
      </c>
      <c r="BN72" s="28" t="n"/>
      <c r="BO72" s="28" t="n"/>
      <c r="BP72" s="25" t="n"/>
      <c r="BQ72" s="27" t="n">
        <v>1.492611</v>
      </c>
      <c r="BR72" s="28" t="n">
        <v>0.67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False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0.669967</t>
        </is>
      </c>
      <c r="DK72" s="24" t="n"/>
      <c r="DL72" s="24" t="n"/>
      <c r="DM72" s="24" t="n"/>
      <c r="DN72" s="24" t="n"/>
      <c r="DO72" s="24" t="n"/>
      <c r="DP72" s="24" t="n"/>
      <c r="DQ72" s="24" t="inlineStr">
        <is>
          <t>{"artifact_hash": "a4dc8ace14d1c432799e792413052f6166931ef4fb245a18de7b501169901072", "away_team": "GamerLegion", "event_id": "108753", "event_start_utc": "2026-09-12T11:00:00Z", "features": {"away_elo": 1808.88584, "away_history_count": 89, "home_elo": 1730.560818, "home_history_count": 127}, "historical_source_observation_times_verified": false, "home_team": " Pipsqueak+4", "inference_inputs": {"book_state": {"games_played": {"bo3:4:21435": 127, "bo3:4:22027": 89}, "inactivity_half_life_days": null, "inactivity_max_pull": null, "k": 48.0, "last_match_utc": {"bo3:4:21435": "2026-09-08T12:40:00Z", "bo3:4:22027": "2026-09-10T12:00:00Z"}, "minimum_reliable_games": null, "platt_intercept": 0.08954882973537674, "platt_slope": 0.8290335404784215, "ratings": {"bo3:4:21435": 1730.560818, "bo3:4:22027": 1808.88584},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"2026-09-12T10:07:51.888110+00:00", "team_ids": ["bo3:4:21435", "bo3:4:22027"]}, "market_type": "moneyline", "model_version": "dota2-tiered-elo-v6", "observed_at_utc": "2026-09-12T10:07:51.888110+00:00", "probabilities": {"away": 0.562568, "home": 0.437432}, "replay_scope": "Exact serving book state, calibration, temperature, inactivity reference and thin-history adjustments; training provenance not certified.", "schema": "esports-elo-replay-v1", "snapshot_hash": "4e44c29eb2a56e25f79f48a7ae12ee27f1224ec7fefe0b1e5cbbde792f958360", "sport": "DOTA2"}</t>
        </is>
      </c>
    </row>
    <row r="73" ht="36" customHeight="1">
      <c r="A73" s="24" t="inlineStr">
        <is>
          <t>d15abafa05914225</t>
        </is>
      </c>
      <c r="B73" s="24" t="inlineStr">
        <is>
          <t>2026-09-12T10:07:53.769723Z</t>
        </is>
      </c>
      <c r="C73" s="24" t="inlineStr">
        <is>
          <t>2026-09-12T11:00:00Z</t>
        </is>
      </c>
      <c r="D73" s="24" t="inlineStr">
        <is>
          <t>109379</t>
        </is>
      </c>
      <c r="E73" s="24" t="inlineStr">
        <is>
          <t>DOTA2</t>
        </is>
      </c>
      <c r="F73" s="24" t="inlineStr">
        <is>
          <t>Team Bored</t>
        </is>
      </c>
      <c r="G73" s="24" t="inlineStr">
        <is>
          <t>Xipto Esports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-150</v>
      </c>
      <c r="M73" s="27" t="n">
        <v>1.666667</v>
      </c>
      <c r="N73" s="28" t="n">
        <v>0.6</v>
      </c>
      <c r="O73" s="28" t="n">
        <v>0.509482</v>
      </c>
      <c r="P73" s="28" t="n"/>
      <c r="Q73" s="28" t="n">
        <v>-0.090518</v>
      </c>
      <c r="R73" s="26" t="n">
        <v>0</v>
      </c>
      <c r="S73" s="29" t="n">
        <v>1</v>
      </c>
      <c r="T73" s="24" t="inlineStr">
        <is>
          <t>dota2-tiered-elo-v6</t>
        </is>
      </c>
      <c r="U73" s="24" t="inlineStr">
        <is>
          <t>settled</t>
        </is>
      </c>
      <c r="V73" s="24" t="inlineStr">
        <is>
          <t>loss</t>
        </is>
      </c>
      <c r="W73" s="26" t="n">
        <v>1</v>
      </c>
      <c r="X73" s="26" t="n">
        <v>0</v>
      </c>
      <c r="Y73" s="25" t="n"/>
      <c r="Z73" s="26" t="n">
        <v>-150</v>
      </c>
      <c r="AA73" s="28" t="n">
        <v>0.6</v>
      </c>
      <c r="AB73" s="28" t="n">
        <v>0</v>
      </c>
      <c r="AC73" s="30" t="n">
        <v>-1</v>
      </c>
      <c r="AD73" s="24" t="inlineStr">
        <is>
          <t>2026-09-12T16:02:10.745770Z</t>
        </is>
      </c>
      <c r="AE73" s="31" t="inlineStr">
        <is>
          <t>Neutral Elo baseline; executable ask 0.6000 (market_slug=aec-dota2-xe-bored-2026-09-12).</t>
        </is>
      </c>
      <c r="AF73" s="31" t="inlineStr">
        <is>
          <t>Config-promoted esports baseline; gates enforced at log time.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PAPER_CALL_MODEL_UNVALIDATED</t>
        </is>
      </c>
      <c r="AP73" s="24" t="inlineStr">
        <is>
          <t>Team Bored</t>
        </is>
      </c>
      <c r="AQ73" s="24" t="inlineStr">
        <is>
          <t>Team Bored</t>
        </is>
      </c>
      <c r="AR73" s="24" t="inlineStr">
        <is>
          <t>Team Bored</t>
        </is>
      </c>
      <c r="AS73" s="24" t="inlineStr">
        <is>
          <t>Xipto Esports</t>
        </is>
      </c>
      <c r="AT73" s="24" t="inlineStr">
        <is>
          <t>Xipto Esports</t>
        </is>
      </c>
      <c r="AU73" s="24" t="inlineStr">
        <is>
          <t>Xipto Esports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a4dc8ace14d1c432799e792413052f6166931ef4fb245a18de7b501169901072</t>
        </is>
      </c>
      <c r="BB73" s="24" t="inlineStr">
        <is>
          <t>neutral_elo</t>
        </is>
      </c>
      <c r="BC73" s="24" t="inlineStr">
        <is>
          <t>dota2-tiered-elo-v6</t>
        </is>
      </c>
      <c r="BD73" s="24" t="inlineStr">
        <is>
          <t>a4dc8ace14d1c432799e792413052f6166931ef4fb245a18de7b501169901072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dota2-tiered-elo-v6</t>
        </is>
      </c>
      <c r="BH73" s="24" t="inlineStr">
        <is>
          <t>2026-09-12T10:07:52.403761Z</t>
        </is>
      </c>
      <c r="BI73" s="24" t="inlineStr">
        <is>
          <t>["same_event","same_team_same_day","same_league_same_day"]</t>
        </is>
      </c>
      <c r="BJ73" s="25" t="n"/>
      <c r="BK73" s="26" t="n">
        <v>-150</v>
      </c>
      <c r="BL73" s="27" t="n">
        <v>1.666667</v>
      </c>
      <c r="BM73" s="28" t="n">
        <v>0.6</v>
      </c>
      <c r="BN73" s="28" t="n"/>
      <c r="BO73" s="28" t="n"/>
      <c r="BP73" s="25" t="n"/>
      <c r="BQ73" s="27" t="n">
        <v>1.666667</v>
      </c>
      <c r="BR73" s="28" t="n">
        <v>0.6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0.6</t>
        </is>
      </c>
      <c r="DK73" s="24" t="n"/>
      <c r="DL73" s="24" t="n"/>
      <c r="DM73" s="24" t="n"/>
      <c r="DN73" s="24" t="n"/>
      <c r="DO73" s="24" t="n"/>
      <c r="DP73" s="24" t="n"/>
      <c r="DQ73" s="24" t="inlineStr">
        <is>
          <t>{"artifact_hash": "a4dc8ace14d1c432799e792413052f6166931ef4fb245a18de7b501169901072", "away_team": "Team Bored", "event_id": "109379", "event_start_utc": "2026-09-12T11:00:00Z", "features": {"away_elo": 1500.0, "away_history_count": 0, "home_elo": 1500.0, "home_history_count": 0}, "historical_source_observation_times_verified": false, "home_team": "Xipto Esports", "inference_inputs": {"book_state": {"games_played": {}, "inactivity_half_life_days": null, "inactivity_max_pull": null, "k": 48.0, "last_match_utc": {}, "minimum_reliable_games": null, "platt_intercept": 0.08954882973537674, "platt_slope": 0.8290335404784215,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"2026-09-12T10:07:51.888110+00:00", "team_ids": ["unknown:xiptoesports", "unknown:teambored"]}, "market_type": "moneyline", "model_version": "dota2-tiered-elo-v6", "observed_at_utc": "2026-09-12T10:07:51.888110+00:00", "probabilities": {"away": 0.490518, "home": 0.509482}, "replay_scope": "Exact serving book state, calibration, temperature, inactivity reference and thin-history adjustments; training provenance not certified.", "schema": "esports-elo-replay-v1", "snapshot_hash": "f9e89c083917b090e8bc9200487bd713dc8153c3bd8087988bf1bc42df2b5547", "sport": "DOTA2"}</t>
        </is>
      </c>
    </row>
    <row r="74" ht="36" customHeight="1">
      <c r="A74" s="24" t="inlineStr">
        <is>
          <t>0567440e0bd74eba</t>
        </is>
      </c>
      <c r="B74" s="24" t="inlineStr">
        <is>
          <t>2026-09-12T10:07:53.769723Z</t>
        </is>
      </c>
      <c r="C74" s="24" t="inlineStr">
        <is>
          <t>2026-09-12T12:00:00Z</t>
        </is>
      </c>
      <c r="D74" s="24" t="inlineStr">
        <is>
          <t>107681</t>
        </is>
      </c>
      <c r="E74" s="24" t="inlineStr">
        <is>
          <t>DOTA2</t>
        </is>
      </c>
      <c r="F74" s="24" t="inlineStr">
        <is>
          <t>Daxak Club</t>
        </is>
      </c>
      <c r="G74" s="24" t="inlineStr">
        <is>
          <t>Stariy Bog Club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100</v>
      </c>
      <c r="M74" s="27" t="n">
        <v>2</v>
      </c>
      <c r="N74" s="28" t="n">
        <v>0.5</v>
      </c>
      <c r="O74" s="28" t="n">
        <v>0.509482</v>
      </c>
      <c r="P74" s="28" t="n"/>
      <c r="Q74" s="28" t="n">
        <v>0.009482000000000001</v>
      </c>
      <c r="R74" s="26" t="n">
        <v>25</v>
      </c>
      <c r="S74" s="29" t="n">
        <v>1</v>
      </c>
      <c r="T74" s="24" t="inlineStr">
        <is>
          <t>dota2-tiered-elo-v6</t>
        </is>
      </c>
      <c r="U74" s="24" t="inlineStr">
        <is>
          <t>settled</t>
        </is>
      </c>
      <c r="V74" s="24" t="inlineStr">
        <is>
          <t>loss</t>
        </is>
      </c>
      <c r="W74" s="26" t="n">
        <v>1</v>
      </c>
      <c r="X74" s="26" t="n">
        <v>0</v>
      </c>
      <c r="Y74" s="25" t="n"/>
      <c r="Z74" s="26" t="n">
        <v>100</v>
      </c>
      <c r="AA74" s="28" t="n">
        <v>0.5</v>
      </c>
      <c r="AB74" s="28" t="n">
        <v>0</v>
      </c>
      <c r="AC74" s="30" t="n">
        <v>-1</v>
      </c>
      <c r="AD74" s="24" t="inlineStr">
        <is>
          <t>2026-09-12T16:02:10.924823Z</t>
        </is>
      </c>
      <c r="AE74" s="31" t="inlineStr">
        <is>
          <t>Neutral Elo baseline; executable ask 0.5000 (market_slug=aec-dota2-sbc-dca-2026-09-12).</t>
        </is>
      </c>
      <c r="AF74" s="31" t="inlineStr">
        <is>
          <t>Config-promoted esports baseline; gates enforced at log time.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PAPER_CALL_MODEL_UNVALIDATED</t>
        </is>
      </c>
      <c r="AP74" s="24" t="inlineStr">
        <is>
          <t>Daxak Club</t>
        </is>
      </c>
      <c r="AQ74" s="24" t="inlineStr">
        <is>
          <t>Daxak Club</t>
        </is>
      </c>
      <c r="AR74" s="24" t="inlineStr">
        <is>
          <t>Daxak Club</t>
        </is>
      </c>
      <c r="AS74" s="24" t="inlineStr">
        <is>
          <t>Stariy Bog Club</t>
        </is>
      </c>
      <c r="AT74" s="24" t="inlineStr">
        <is>
          <t>Stariy Bog Club</t>
        </is>
      </c>
      <c r="AU74" s="24" t="inlineStr">
        <is>
          <t>Stariy Bog Club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a4dc8ace14d1c432799e792413052f6166931ef4fb245a18de7b501169901072</t>
        </is>
      </c>
      <c r="BB74" s="24" t="inlineStr">
        <is>
          <t>neutral_elo</t>
        </is>
      </c>
      <c r="BC74" s="24" t="inlineStr">
        <is>
          <t>dota2-tiered-elo-v6</t>
        </is>
      </c>
      <c r="BD74" s="24" t="inlineStr">
        <is>
          <t>a4dc8ace14d1c432799e792413052f6166931ef4fb245a18de7b501169901072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dota2-tiered-elo-v6</t>
        </is>
      </c>
      <c r="BH74" s="24" t="inlineStr">
        <is>
          <t>2026-09-12T10:07:52.745561Z</t>
        </is>
      </c>
      <c r="BI74" s="24" t="inlineStr">
        <is>
          <t>["same_event","same_team_same_day","same_league_same_day"]</t>
        </is>
      </c>
      <c r="BJ74" s="25" t="n"/>
      <c r="BK74" s="26" t="n">
        <v>100</v>
      </c>
      <c r="BL74" s="27" t="n">
        <v>2</v>
      </c>
      <c r="BM74" s="28" t="n">
        <v>0.5</v>
      </c>
      <c r="BN74" s="28" t="n"/>
      <c r="BO74" s="28" t="n"/>
      <c r="BP74" s="25" t="n"/>
      <c r="BQ74" s="27" t="n">
        <v>2</v>
      </c>
      <c r="BR74" s="28" t="n">
        <v>0.5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0.5</t>
        </is>
      </c>
      <c r="DK74" s="24" t="n"/>
      <c r="DL74" s="24" t="n"/>
      <c r="DM74" s="24" t="n"/>
      <c r="DN74" s="24" t="n"/>
      <c r="DO74" s="24" t="n"/>
      <c r="DP74" s="24" t="n"/>
      <c r="DQ74" s="24" t="inlineStr">
        <is>
          <t>{"artifact_hash": "a4dc8ace14d1c432799e792413052f6166931ef4fb245a18de7b501169901072", "away_team": "Daxak Club", "event_id": "107681", "event_start_utc": "2026-09-12T12:00:00Z", "features": {"away_elo": 1500.0, "away_history_count": 0, "home_elo": 1500.0, "home_history_count": 0}, "historical_source_observation_times_verified": false, "home_team": "Stariy Bog Club", "inference_inputs": {"book_state": {"games_played": {}, "inactivity_half_life_days": null, "inactivity_max_pull": null, "k": 48.0, "last_match_utc": {}, "minimum_reliable_games": null, "platt_intercept": 0.08954882973537674, "platt_slope": 0.8290335404784215,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"2026-09-12T10:07:51.888110+00:00", "team_ids": ["unknown:stariybogclub", "unknown:daxakclub"]}, "market_type": "moneyline", "model_version": "dota2-tiered-elo-v6", "observed_at_utc": "2026-09-12T10:07:51.888110+00:00", "probabilities": {"away": 0.490518, "home": 0.509482}, "replay_scope": "Exact serving book state, calibration, temperature, inactivity reference and thin-history adjustments; training provenance not certified.", "schema": "esports-elo-replay-v1", "snapshot_hash": "ef85557b2019cf1acdae0a2661eb3b50bcb13990e867d71677b5f7621794b274", "sport": "DOTA2"}</t>
        </is>
      </c>
    </row>
    <row r="75" ht="36" customHeight="1">
      <c r="A75" s="24" t="inlineStr">
        <is>
          <t>e10472b72ae44a27</t>
        </is>
      </c>
      <c r="B75" s="24" t="inlineStr">
        <is>
          <t>2026-09-12T10:07:53.769723Z</t>
        </is>
      </c>
      <c r="C75" s="24" t="inlineStr">
        <is>
          <t>2026-09-12T14:00:00Z</t>
        </is>
      </c>
      <c r="D75" s="24" t="inlineStr">
        <is>
          <t>109270</t>
        </is>
      </c>
      <c r="E75" s="24" t="inlineStr">
        <is>
          <t>DOTA2</t>
        </is>
      </c>
      <c r="F75" s="24" t="inlineStr">
        <is>
          <t>Dawn Bulls</t>
        </is>
      </c>
      <c r="G75" s="24" t="inlineStr">
        <is>
          <t>MOUZ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-144</v>
      </c>
      <c r="M75" s="27" t="n">
        <v>1.694444</v>
      </c>
      <c r="N75" s="28" t="n">
        <v>0.590164</v>
      </c>
      <c r="O75" s="28" t="n">
        <v>0.674308</v>
      </c>
      <c r="P75" s="28" t="n"/>
      <c r="Q75" s="28" t="n">
        <v>0.084144</v>
      </c>
      <c r="R75" s="26" t="n">
        <v>62</v>
      </c>
      <c r="S75" s="29" t="n">
        <v>1.25</v>
      </c>
      <c r="T75" s="24" t="inlineStr">
        <is>
          <t>dota2-tiered-elo-v6</t>
        </is>
      </c>
      <c r="U75" s="24" t="inlineStr">
        <is>
          <t>settled</t>
        </is>
      </c>
      <c r="V75" s="24" t="inlineStr">
        <is>
          <t>loss</t>
        </is>
      </c>
      <c r="W75" s="26" t="n">
        <v>1</v>
      </c>
      <c r="X75" s="26" t="n">
        <v>0</v>
      </c>
      <c r="Y75" s="25" t="n"/>
      <c r="Z75" s="26" t="n">
        <v>-144</v>
      </c>
      <c r="AA75" s="28" t="n">
        <v>0.59</v>
      </c>
      <c r="AB75" s="28" t="n">
        <v>-0.000164</v>
      </c>
      <c r="AC75" s="30" t="n">
        <v>-1.25</v>
      </c>
      <c r="AD75" s="24" t="inlineStr">
        <is>
          <t>2026-09-12T22:03:23.925234Z</t>
        </is>
      </c>
      <c r="AE75" s="31" t="inlineStr">
        <is>
          <t>Neutral Elo baseline; executable ask 0.5900 (market_slug=aec-dota2-mouz-dba-2026-09-12).</t>
        </is>
      </c>
      <c r="AF75" s="31" t="inlineStr">
        <is>
          <t>Config-promoted esports baseline; gates enforced at log time.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Dawn Bulls</t>
        </is>
      </c>
      <c r="AQ75" s="24" t="inlineStr">
        <is>
          <t>Dawn Bulls</t>
        </is>
      </c>
      <c r="AR75" s="24" t="inlineStr">
        <is>
          <t>Dawn Bulls</t>
        </is>
      </c>
      <c r="AS75" s="24" t="inlineStr">
        <is>
          <t>MOUZ</t>
        </is>
      </c>
      <c r="AT75" s="24" t="inlineStr">
        <is>
          <t>MOUZ</t>
        </is>
      </c>
      <c r="AU75" s="24" t="inlineStr">
        <is>
          <t>MOUZ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a4dc8ace14d1c432799e792413052f6166931ef4fb245a18de7b501169901072</t>
        </is>
      </c>
      <c r="BB75" s="24" t="inlineStr">
        <is>
          <t>neutral_elo</t>
        </is>
      </c>
      <c r="BC75" s="24" t="inlineStr">
        <is>
          <t>dota2-tiered-elo-v6</t>
        </is>
      </c>
      <c r="BD75" s="24" t="inlineStr">
        <is>
          <t>a4dc8ace14d1c432799e792413052f6166931ef4fb245a18de7b501169901072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dota2-tiered-elo-v6</t>
        </is>
      </c>
      <c r="BH75" s="24" t="inlineStr">
        <is>
          <t>2026-09-12T10:07:52.861365Z</t>
        </is>
      </c>
      <c r="BI75" s="24" t="inlineStr">
        <is>
          <t>["same_event","same_team_same_day","same_league_same_day"]</t>
        </is>
      </c>
      <c r="BJ75" s="25" t="n"/>
      <c r="BK75" s="26" t="n">
        <v>-144</v>
      </c>
      <c r="BL75" s="27" t="n">
        <v>1.694444</v>
      </c>
      <c r="BM75" s="28" t="n">
        <v>0.590164</v>
      </c>
      <c r="BN75" s="28" t="n"/>
      <c r="BO75" s="28" t="n"/>
      <c r="BP75" s="25" t="n"/>
      <c r="BQ75" s="27" t="n">
        <v>1.694444</v>
      </c>
      <c r="BR75" s="28" t="n">
        <v>0.59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0.590164</t>
        </is>
      </c>
      <c r="DK75" s="24" t="n"/>
      <c r="DL75" s="24" t="n"/>
      <c r="DM75" s="24" t="n"/>
      <c r="DN75" s="24" t="n"/>
      <c r="DO75" s="24" t="n"/>
      <c r="DP75" s="24" t="n"/>
      <c r="DQ75" s="24" t="inlineStr">
        <is>
          <t>{"artifact_hash": "a4dc8ace14d1c432799e792413052f6166931ef4fb245a18de7b501169901072", "away_team": "Dawn Bulls", "event_id": "109270", "event_start_utc": "2026-09-12T14:00:00Z", "features": {"away_elo": 1470.124642, "away_history_count": 7, "home_elo": 1689.151324, "home_history_count": 354}, "historical_source_observation_times_verified": false, "home_team": "MOUZ", "inference_inputs": {"book_state": {"games_played": {"bo3:4:15032": 354, "bo3:4:15105": 7}, "inactivity_half_life_days": null, "inactivity_max_pull": null, "k": 48.0, "last_match_utc": {"bo3:4:15032": "2026-09-09T21:00:00Z", "bo3:4:15105": "2024-01-16T01:00:00Z"}, "minimum_reliable_games": null, "platt_intercept": 0.08954882973537674, "platt_slope": 0.8290335404784215, "ratings": {"bo3:4:15032": 1689.151324, "bo3:4:15105": 1470.124642},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"2026-09-12T10:07:51.888110+00:00", "team_ids": ["bo3:4:15032", "bo3:4:15105"]}, "market_type": "moneyline", "model_version": "dota2-tiered-elo-v6", "observed_at_utc": "2026-09-12T10:07:51.888110+00:00", "probabilities": {"away": 0.325692, "home": 0.674308}, "replay_scope": "Exact serving book state, calibration, temperature, inactivity reference and thin-history adjustments; training provenance not certified.", "schema": "esports-elo-replay-v1", "snapshot_hash": "0cc47a839b43342b74ec1329ae05413a1d06ce9d893a241a1e836df49362acaf", "sport": "DOTA2"}</t>
        </is>
      </c>
    </row>
    <row r="76" ht="36" customHeight="1">
      <c r="A76" s="24" t="inlineStr">
        <is>
          <t>75c8dde7c5cf48bf</t>
        </is>
      </c>
      <c r="B76" s="24" t="inlineStr">
        <is>
          <t>2026-09-12T10:07:53.769723Z</t>
        </is>
      </c>
      <c r="C76" s="24" t="inlineStr">
        <is>
          <t>2026-09-12T15:00:00Z</t>
        </is>
      </c>
      <c r="D76" s="24" t="inlineStr">
        <is>
          <t>107869</t>
        </is>
      </c>
      <c r="E76" s="24" t="inlineStr">
        <is>
          <t>DOTA2</t>
        </is>
      </c>
      <c r="F76" s="24" t="inlineStr">
        <is>
          <t>Stariy Bog Club</t>
        </is>
      </c>
      <c r="G76" s="24" t="inlineStr">
        <is>
          <t>VooDooSh Club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-150</v>
      </c>
      <c r="M76" s="27" t="n">
        <v>1.666667</v>
      </c>
      <c r="N76" s="28" t="n">
        <v>0.6</v>
      </c>
      <c r="O76" s="28" t="n">
        <v>0.509482</v>
      </c>
      <c r="P76" s="28" t="n"/>
      <c r="Q76" s="28" t="n">
        <v>-0.090518</v>
      </c>
      <c r="R76" s="26" t="n">
        <v>0</v>
      </c>
      <c r="S76" s="29" t="n">
        <v>1</v>
      </c>
      <c r="T76" s="24" t="inlineStr">
        <is>
          <t>dota2-tiered-elo-v6</t>
        </is>
      </c>
      <c r="U76" s="24" t="inlineStr">
        <is>
          <t>settled</t>
        </is>
      </c>
      <c r="V76" s="24" t="inlineStr">
        <is>
          <t>loss</t>
        </is>
      </c>
      <c r="W76" s="26" t="n">
        <v>1</v>
      </c>
      <c r="X76" s="26" t="n">
        <v>0</v>
      </c>
      <c r="Y76" s="25" t="n"/>
      <c r="Z76" s="26" t="n">
        <v>-150</v>
      </c>
      <c r="AA76" s="28" t="n">
        <v>0.6</v>
      </c>
      <c r="AB76" s="28" t="n">
        <v>0</v>
      </c>
      <c r="AC76" s="30" t="n">
        <v>-1</v>
      </c>
      <c r="AD76" s="24" t="inlineStr">
        <is>
          <t>2026-09-12T22:03:24.186913Z</t>
        </is>
      </c>
      <c r="AE76" s="31" t="inlineStr">
        <is>
          <t>Neutral Elo baseline; executable ask 0.6000 (market_slug=aec-dota2-vco-sbc-2026-09-12).</t>
        </is>
      </c>
      <c r="AF76" s="31" t="inlineStr">
        <is>
          <t>Config-promoted esports baseline; gates enforced at log time.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PAPER_CALL_MODEL_UNVALIDATED</t>
        </is>
      </c>
      <c r="AP76" s="24" t="inlineStr">
        <is>
          <t>Stariy Bog Club</t>
        </is>
      </c>
      <c r="AQ76" s="24" t="inlineStr">
        <is>
          <t>Stariy Bog Club</t>
        </is>
      </c>
      <c r="AR76" s="24" t="inlineStr">
        <is>
          <t>Stariy Bog Club</t>
        </is>
      </c>
      <c r="AS76" s="24" t="inlineStr">
        <is>
          <t>VooDooSh Club</t>
        </is>
      </c>
      <c r="AT76" s="24" t="inlineStr">
        <is>
          <t>VooDooSh Club</t>
        </is>
      </c>
      <c r="AU76" s="24" t="inlineStr">
        <is>
          <t>VooDooSh Club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a4dc8ace14d1c432799e792413052f6166931ef4fb245a18de7b501169901072</t>
        </is>
      </c>
      <c r="BB76" s="24" t="inlineStr">
        <is>
          <t>neutral_elo</t>
        </is>
      </c>
      <c r="BC76" s="24" t="inlineStr">
        <is>
          <t>dota2-tiered-elo-v6</t>
        </is>
      </c>
      <c r="BD76" s="24" t="inlineStr">
        <is>
          <t>a4dc8ace14d1c432799e792413052f6166931ef4fb245a18de7b501169901072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dota2-tiered-elo-v6</t>
        </is>
      </c>
      <c r="BH76" s="24" t="inlineStr">
        <is>
          <t>2026-09-12T10:07:52.932655Z</t>
        </is>
      </c>
      <c r="BI76" s="24" t="inlineStr">
        <is>
          <t>["same_event","same_team_same_day","same_league_same_day"]</t>
        </is>
      </c>
      <c r="BJ76" s="25" t="n"/>
      <c r="BK76" s="26" t="n">
        <v>-150</v>
      </c>
      <c r="BL76" s="27" t="n">
        <v>1.666667</v>
      </c>
      <c r="BM76" s="28" t="n">
        <v>0.6</v>
      </c>
      <c r="BN76" s="28" t="n"/>
      <c r="BO76" s="28" t="n"/>
      <c r="BP76" s="25" t="n"/>
      <c r="BQ76" s="27" t="n">
        <v>1.666667</v>
      </c>
      <c r="BR76" s="28" t="n">
        <v>0.6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False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0.6</t>
        </is>
      </c>
      <c r="DK76" s="24" t="n"/>
      <c r="DL76" s="24" t="n"/>
      <c r="DM76" s="24" t="n"/>
      <c r="DN76" s="24" t="n"/>
      <c r="DO76" s="24" t="n"/>
      <c r="DP76" s="24" t="n"/>
      <c r="DQ76" s="24" t="inlineStr">
        <is>
          <t>{"artifact_hash": "a4dc8ace14d1c432799e792413052f6166931ef4fb245a18de7b501169901072", "away_team": "Stariy Bog Club", "event_id": "107869", "event_start_utc": "2026-09-12T15:00:00Z", "features": {"away_elo": 1500.0, "away_history_count": 0, "home_elo": 1500.0, "home_history_count": 0}, "historical_source_observation_times_verified": false, "home_team": "VooDooSh Club", "inference_inputs": {"book_state": {"games_played": {}, "inactivity_half_life_days": null, "inactivity_max_pull": null, "k": 48.0, "last_match_utc": {}, "minimum_reliable_games": null, "platt_intercept": 0.08954882973537674, "platt_slope": 0.8290335404784215,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"2026-09-12T10:07:51.888110+00:00", "team_ids": ["unknown:voodooshclub", "unknown:stariybogclub"]}, "market_type": "moneyline", "model_version": "dota2-tiered-elo-v6", "observed_at_utc": "2026-09-12T10:07:51.888110+00:00", "probabilities": {"away": 0.490518, "home": 0.509482}, "replay_scope": "Exact serving book state, calibration, temperature, inactivity reference and thin-history adjustments; training provenance not certified.", "schema": "esports-elo-replay-v1", "snapshot_hash": "d9ace3fc7b16f3671d82b4ae3946088940544dab3ef8c2ef6422cec343a70b58", "sport": "DOTA2"}</t>
        </is>
      </c>
    </row>
    <row r="77" ht="36" customHeight="1">
      <c r="A77" s="24" t="inlineStr">
        <is>
          <t>cc5252c08a2346ef</t>
        </is>
      </c>
      <c r="B77" s="24" t="inlineStr">
        <is>
          <t>2026-09-12T16:08:21.494352Z</t>
        </is>
      </c>
      <c r="C77" s="24" t="inlineStr">
        <is>
          <t>2026-09-12T17:00:00Z</t>
        </is>
      </c>
      <c r="D77" s="24" t="inlineStr">
        <is>
          <t>108754</t>
        </is>
      </c>
      <c r="E77" s="24" t="inlineStr">
        <is>
          <t>DOTA2</t>
        </is>
      </c>
      <c r="F77" s="24" t="inlineStr">
        <is>
          <t>Klim Sani4</t>
        </is>
      </c>
      <c r="G77" s="24" t="inlineStr">
        <is>
          <t>HULIGANI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-203</v>
      </c>
      <c r="M77" s="27" t="n">
        <v>1.492611</v>
      </c>
      <c r="N77" s="28" t="n">
        <v>0.669967</v>
      </c>
      <c r="O77" s="28" t="n">
        <v>0.692636</v>
      </c>
      <c r="P77" s="28" t="n"/>
      <c r="Q77" s="28" t="n">
        <v>0.022669</v>
      </c>
      <c r="R77" s="26" t="n">
        <v>31</v>
      </c>
      <c r="S77" s="29" t="n">
        <v>1</v>
      </c>
      <c r="T77" s="24" t="inlineStr">
        <is>
          <t>dota2-tiered-elo-v6</t>
        </is>
      </c>
      <c r="U77" s="24" t="inlineStr">
        <is>
          <t>settled</t>
        </is>
      </c>
      <c r="V77" s="24" t="inlineStr">
        <is>
          <t>win</t>
        </is>
      </c>
      <c r="W77" s="26" t="n">
        <v>1</v>
      </c>
      <c r="X77" s="26" t="n">
        <v>0</v>
      </c>
      <c r="Y77" s="25" t="n"/>
      <c r="Z77" s="26" t="n">
        <v>-203</v>
      </c>
      <c r="AA77" s="28" t="n">
        <v>0.67</v>
      </c>
      <c r="AB77" s="28" t="n">
        <v>3.3e-05</v>
      </c>
      <c r="AC77" s="30" t="n">
        <v>0.4926</v>
      </c>
      <c r="AD77" s="24" t="inlineStr">
        <is>
          <t>2026-09-12T22:03:24.490299Z</t>
        </is>
      </c>
      <c r="AE77" s="31" t="inlineStr">
        <is>
          <t>Neutral Elo baseline; executable ask 0.6700 (market_slug=aec-dota2-hul-ks-2026-09-12).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Klim Sani4</t>
        </is>
      </c>
      <c r="AQ77" s="24" t="inlineStr">
        <is>
          <t>Klim Sani4</t>
        </is>
      </c>
      <c r="AR77" s="24" t="inlineStr">
        <is>
          <t>Klim Sani4</t>
        </is>
      </c>
      <c r="AS77" s="24" t="inlineStr">
        <is>
          <t>HULIGANI</t>
        </is>
      </c>
      <c r="AT77" s="24" t="inlineStr">
        <is>
          <t>HULIGANI</t>
        </is>
      </c>
      <c r="AU77" s="24" t="inlineStr">
        <is>
          <t>HULIGANI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ade9cd7e3e1ad94687e8d65da6cd3beeeb08cee8fdbbcf0d081365bbe396da0e</t>
        </is>
      </c>
      <c r="BB77" s="24" t="inlineStr">
        <is>
          <t>neutral_elo</t>
        </is>
      </c>
      <c r="BC77" s="24" t="inlineStr">
        <is>
          <t>dota2-tiered-elo-v6</t>
        </is>
      </c>
      <c r="BD77" s="24" t="inlineStr">
        <is>
          <t>ade9cd7e3e1ad94687e8d65da6cd3beeeb08cee8fdbbcf0d081365bbe396da0e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dota2-tiered-elo-v6</t>
        </is>
      </c>
      <c r="BH77" s="24" t="inlineStr">
        <is>
          <t>2026-09-12T16:08:19.773409Z</t>
        </is>
      </c>
      <c r="BI77" s="24" t="inlineStr">
        <is>
          <t>["same_event","same_team_same_day","same_league_same_day"]</t>
        </is>
      </c>
      <c r="BJ77" s="25" t="n"/>
      <c r="BK77" s="26" t="n">
        <v>-203</v>
      </c>
      <c r="BL77" s="27" t="n">
        <v>1.492611</v>
      </c>
      <c r="BM77" s="28" t="n">
        <v>0.669967</v>
      </c>
      <c r="BN77" s="28" t="n"/>
      <c r="BO77" s="28" t="n"/>
      <c r="BP77" s="25" t="n"/>
      <c r="BQ77" s="27" t="n">
        <v>1.492611</v>
      </c>
      <c r="BR77" s="28" t="n">
        <v>0.67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0.669967</t>
        </is>
      </c>
      <c r="DK77" s="24" t="n"/>
      <c r="DL77" s="24" t="n"/>
      <c r="DM77" s="24" t="n"/>
      <c r="DN77" s="24" t="n"/>
      <c r="DO77" s="24" t="n"/>
      <c r="DP77" s="24" t="n"/>
      <c r="DQ77" s="24" t="inlineStr">
        <is>
          <t>{"artifact_hash": "ade9cd7e3e1ad94687e8d65da6cd3beeeb08cee8fdbbcf0d081365bbe396da0e", "away_team": "Klim Sani4", "event_id": "108754", "event_start_utc": "2026-09-12T17:00:00Z", "features": {"away_elo": 1831.896588, "away_history_count": 46, "home_elo": 1608.978538, "home_history_count": 334}, "historical_source_observation_times_verified": false, "home_team": "HULIGANI", "inference_inputs": {"book_state": {"games_played": {"bo3:4:15098": 334, "bo3:4:15145": 46}, "inactivity_half_life_days": null, "inactivity_max_pull": null, "k": 48.0, "last_match_utc": {"bo3:4:15098": "2026-09-09T12:00:00Z", "bo3:4:15145": "2026-09-10T16:00:00Z"}, "minimum_reliable_games": null, "platt_intercept": 0.0902113491380178, "platt_slope": 0.8283441474966624, "ratings": {"bo3:4:15098": 1608.978538, "bo3:4:15145": 1831.896588},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"2026-09-12T16:08:19.714071+00:00", "team_ids": ["bo3:4:15098", "bo3:4:15145"]}, "market_type": "moneyline", "model_version": "dota2-tiered-elo-v6", "observed_at_utc": "2026-09-12T16:08:19.714071+00:00", "probabilities": {"away": 0.692636, "home": 0.307364}, "replay_scope": "Exact serving book state, calibration, temperature, inactivity reference and thin-history adjustments; training provenance not certified.", "schema": "esports-elo-replay-v1", "snapshot_hash": "2fa501d8193b9b3924212418557807afb70818dbc79d0548c89f3f5a1e92f092", "sport": "DOTA2"}</t>
        </is>
      </c>
    </row>
    <row r="78" ht="36" customHeight="1">
      <c r="A78" s="24" t="inlineStr">
        <is>
          <t>8abb9a5521d14d90</t>
        </is>
      </c>
      <c r="B78" s="24" t="inlineStr">
        <is>
          <t>2026-09-12T16:08:21.494352Z</t>
        </is>
      </c>
      <c r="C78" s="24" t="inlineStr">
        <is>
          <t>2026-09-12T18:00:00Z</t>
        </is>
      </c>
      <c r="D78" s="24" t="inlineStr">
        <is>
          <t>108685</t>
        </is>
      </c>
      <c r="E78" s="24" t="inlineStr">
        <is>
          <t>DOTA2</t>
        </is>
      </c>
      <c r="F78" s="24" t="inlineStr">
        <is>
          <t>YBN Club</t>
        </is>
      </c>
      <c r="G78" s="24" t="inlineStr">
        <is>
          <t>Rostik999 Club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-170</v>
      </c>
      <c r="M78" s="27" t="n">
        <v>1.588235</v>
      </c>
      <c r="N78" s="28" t="n">
        <v>0.62963</v>
      </c>
      <c r="O78" s="28" t="n">
        <v>0.509552</v>
      </c>
      <c r="P78" s="28" t="n"/>
      <c r="Q78" s="28" t="n">
        <v>-0.120078</v>
      </c>
      <c r="R78" s="26" t="n">
        <v>0</v>
      </c>
      <c r="S78" s="29" t="n">
        <v>1</v>
      </c>
      <c r="T78" s="24" t="inlineStr">
        <is>
          <t>dota2-tiered-elo-v6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>
        <v>-170</v>
      </c>
      <c r="AA78" s="28" t="n">
        <v>0.63</v>
      </c>
      <c r="AB78" s="28" t="n">
        <v>0.00037</v>
      </c>
      <c r="AC78" s="30" t="n">
        <v>0.5881999999999999</v>
      </c>
      <c r="AD78" s="24" t="inlineStr">
        <is>
          <t>2026-09-13T04:35:09.932484Z</t>
        </is>
      </c>
      <c r="AE78" s="31" t="inlineStr">
        <is>
          <t>Neutral Elo baseline; executable ask 0.6300 (market_slug=aec-dota2-rcos-ycb-2026-09-12).</t>
        </is>
      </c>
      <c r="AF78" s="31" t="inlineStr">
        <is>
          <t>Config-promoted esports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PAPER_CALL_MODEL_UNVALIDATED</t>
        </is>
      </c>
      <c r="AP78" s="24" t="inlineStr">
        <is>
          <t>YBN Club</t>
        </is>
      </c>
      <c r="AQ78" s="24" t="inlineStr">
        <is>
          <t>YBN Club</t>
        </is>
      </c>
      <c r="AR78" s="24" t="inlineStr">
        <is>
          <t>YBN Club</t>
        </is>
      </c>
      <c r="AS78" s="24" t="inlineStr">
        <is>
          <t>Rostik999 Club</t>
        </is>
      </c>
      <c r="AT78" s="24" t="inlineStr">
        <is>
          <t>Rostik999 Club</t>
        </is>
      </c>
      <c r="AU78" s="24" t="inlineStr">
        <is>
          <t>Rostik999 Club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ade9cd7e3e1ad94687e8d65da6cd3beeeb08cee8fdbbcf0d081365bbe396da0e</t>
        </is>
      </c>
      <c r="BB78" s="24" t="inlineStr">
        <is>
          <t>neutral_elo</t>
        </is>
      </c>
      <c r="BC78" s="24" t="inlineStr">
        <is>
          <t>dota2-tiered-elo-v6</t>
        </is>
      </c>
      <c r="BD78" s="24" t="inlineStr">
        <is>
          <t>ade9cd7e3e1ad94687e8d65da6cd3beeeb08cee8fdbbcf0d081365bbe396da0e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dota2-tiered-elo-v6</t>
        </is>
      </c>
      <c r="BH78" s="24" t="inlineStr">
        <is>
          <t>2026-09-12T16:08:19.878898Z</t>
        </is>
      </c>
      <c r="BI78" s="24" t="inlineStr">
        <is>
          <t>["same_event","same_team_same_day","same_league_same_day"]</t>
        </is>
      </c>
      <c r="BJ78" s="25" t="n"/>
      <c r="BK78" s="26" t="n">
        <v>-170</v>
      </c>
      <c r="BL78" s="27" t="n">
        <v>1.588235</v>
      </c>
      <c r="BM78" s="28" t="n">
        <v>0.62963</v>
      </c>
      <c r="BN78" s="28" t="n"/>
      <c r="BO78" s="28" t="n"/>
      <c r="BP78" s="25" t="n"/>
      <c r="BQ78" s="27" t="n">
        <v>1.588235</v>
      </c>
      <c r="BR78" s="28" t="n">
        <v>0.63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0.62963</t>
        </is>
      </c>
      <c r="DK78" s="24" t="n"/>
      <c r="DL78" s="24" t="n"/>
      <c r="DM78" s="24" t="n"/>
      <c r="DN78" s="24" t="n"/>
      <c r="DO78" s="24" t="n"/>
      <c r="DP78" s="24" t="n"/>
      <c r="DQ78" s="24" t="inlineStr">
        <is>
          <t>{"artifact_hash": "ade9cd7e3e1ad94687e8d65da6cd3beeeb08cee8fdbbcf0d081365bbe396da0e", "away_team": "YBN Club", "event_id": "108685", "event_start_utc": "2026-09-12T18:00:00Z", "features": {"away_elo": 1500.0, "away_history_count": 0, "home_elo": 1500.0, "home_history_count": 0}, "historical_source_observation_times_verified": false, "home_team": "Rostik999 Club", "inference_inputs": {"book_state": {"games_played": {}, "inactivity_half_life_days": null, "inactivity_max_pull": null, "k": 48.0, "last_match_utc": {}, "minimum_reliable_games": null, "platt_intercept": 0.0902113491380178, "platt_slope": 0.8283441474966624, "ratings": {},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"2026-09-12T16:08:19.714071+00:00", "team_ids": ["unknown:rostik999club", "unknown:ybnclub"]}, "market_type": "moneyline", "model_version": "dota2-tiered-elo-v6", "observed_at_utc": "2026-09-12T16:08:19.714071+00:00", "probabilities": {"away": 0.490448, "home": 0.509552}, "replay_scope": "Exact serving book state, calibration, temperature, inactivity reference and thin-history adjustments; training provenance not certified.", "schema": "esports-elo-replay-v1", "snapshot_hash": "1957e3b5e2b51c3d82b4463778ab65021e895e94b3fd8b043af8439419a09123", "sport": "DOTA2"}</t>
        </is>
      </c>
    </row>
    <row r="79" ht="36" customHeight="1">
      <c r="A79" s="24" t="inlineStr">
        <is>
          <t>182ee6ce02b44c2a</t>
        </is>
      </c>
      <c r="B79" s="24" t="inlineStr">
        <is>
          <t>2026-09-13T10:27:50.323040Z</t>
        </is>
      </c>
      <c r="C79" s="24" t="inlineStr">
        <is>
          <t>2026-09-13T11:00:00Z</t>
        </is>
      </c>
      <c r="D79" s="24" t="inlineStr">
        <is>
          <t>110761</t>
        </is>
      </c>
      <c r="E79" s="24" t="inlineStr">
        <is>
          <t>DOTA2</t>
        </is>
      </c>
      <c r="F79" s="24" t="inlineStr">
        <is>
          <t>Klim Sani4</t>
        </is>
      </c>
      <c r="G79" s="24" t="inlineStr">
        <is>
          <t>Dawn Bulls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-194</v>
      </c>
      <c r="M79" s="27" t="n">
        <v>1.515464</v>
      </c>
      <c r="N79" s="28" t="n">
        <v>0.659864</v>
      </c>
      <c r="O79" s="28" t="n">
        <v>0.639276</v>
      </c>
      <c r="P79" s="28" t="n"/>
      <c r="Q79" s="28" t="n">
        <v>-0.020588</v>
      </c>
      <c r="R79" s="26" t="n">
        <v>10</v>
      </c>
      <c r="S79" s="29" t="n">
        <v>1</v>
      </c>
      <c r="T79" s="24" t="inlineStr">
        <is>
          <t>dota2-tiered-elo-v6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/>
      <c r="AA79" s="28" t="n"/>
      <c r="AB79" s="28" t="n"/>
      <c r="AC79" s="30" t="n">
        <v>-1</v>
      </c>
      <c r="AD79" s="24" t="inlineStr">
        <is>
          <t>2026-09-13T22:02:55.332376Z</t>
        </is>
      </c>
      <c r="AE79" s="31" t="inlineStr">
        <is>
          <t>Neutral Elo baseline; executable ask 0.6600 (market_slug=aec-dota2-dba-ks-2026-09-13).</t>
        </is>
      </c>
      <c r="AF79" s="31" t="inlineStr">
        <is>
          <t>Config-promoted esports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Klim Sani4</t>
        </is>
      </c>
      <c r="AQ79" s="24" t="inlineStr">
        <is>
          <t>Klim Sani4</t>
        </is>
      </c>
      <c r="AR79" s="24" t="inlineStr">
        <is>
          <t>Klim Sani4</t>
        </is>
      </c>
      <c r="AS79" s="24" t="inlineStr">
        <is>
          <t>Dawn Bulls</t>
        </is>
      </c>
      <c r="AT79" s="24" t="inlineStr">
        <is>
          <t>Dawn Bulls</t>
        </is>
      </c>
      <c r="AU79" s="24" t="inlineStr">
        <is>
          <t>Dawn Bulls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9f6d5685241bbc6f0861cc3e60cd07b3c324bf4aca6529f04e9e8d3406a16ac5</t>
        </is>
      </c>
      <c r="BB79" s="24" t="inlineStr">
        <is>
          <t>neutral_elo</t>
        </is>
      </c>
      <c r="BC79" s="24" t="inlineStr">
        <is>
          <t>dota2-tiered-elo-v6</t>
        </is>
      </c>
      <c r="BD79" s="24" t="inlineStr">
        <is>
          <t>9f6d5685241bbc6f0861cc3e60cd07b3c324bf4aca6529f04e9e8d3406a16ac5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dota2-tiered-elo-v6</t>
        </is>
      </c>
      <c r="BH79" s="24" t="inlineStr">
        <is>
          <t>2026-09-13T10:27:23.276130Z</t>
        </is>
      </c>
      <c r="BI79" s="24" t="inlineStr">
        <is>
          <t>["same_event","same_team_same_day","same_league_same_day"]</t>
        </is>
      </c>
      <c r="BJ79" s="25" t="n"/>
      <c r="BK79" s="26" t="n">
        <v>-194</v>
      </c>
      <c r="BL79" s="27" t="n">
        <v>1.515464</v>
      </c>
      <c r="BM79" s="28" t="n">
        <v>0.659864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0.659864</t>
        </is>
      </c>
      <c r="DK79" s="24" t="n"/>
      <c r="DL79" s="24" t="n"/>
      <c r="DM79" s="24" t="n"/>
      <c r="DN79" s="24" t="n"/>
      <c r="DO79" s="24" t="n"/>
      <c r="DP79" s="24" t="n"/>
      <c r="DQ79" s="24" t="inlineStr">
        <is>
          <t>{"artifact_hash": "9f6d5685241bbc6f0861cc3e60cd07b3c324bf4aca6529f04e9e8d3406a16ac5", "away_team": "Klim Sani4", "event_id": "110761", "event_start_utc": "2026-09-13T11:00:00Z", "features": {"away_elo": 1845.935868, "away_history_count": 47, "home_elo": 1549.015888, "home_history_count": 1}, "historical_source_observation_times_verified": false, "home_team": "Dawn Bulls", "inference_inputs": {"book_state": {"games_played": {"bo3:4:15145": 47, "bo3:4:25301": 1}, "inactivity_half_life_days": null, "inactivity_max_pull": null, "k": 48.0, "last_match_utc": {"bo3:4:15145": "2026-09-12T17:00:00Z", "bo3:4:25301": "2026-09-12T14:00:00Z"}, "minimum_reliable_games": null, "platt_intercept": 0.09083573756588802, "platt_slope": 0.8289265193389558, "ratings": {"bo3:4:15145": 1845.935868, "bo3:4:25301": 1549.015888},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"2026-09-13T10:27:23.220229+00:00", "team_ids": ["bo3:4:25301", "bo3:4:15145"]}, "market_type": "moneyline", "model_version": "dota2-tiered-elo-v6", "observed_at_utc": "2026-09-13T10:27:23.220229+00:00", "probabilities": {"away": 0.639276, "home": 0.360724}, "replay_scope": "Exact serving book state, calibration, temperature, inactivity reference and thin-history adjustments; training provenance not certified.", "schema": "esports-elo-replay-v1", "snapshot_hash": "cc4e455835ad8f994b0b03cd154a4064465138cbfa080fb23a693a59b03a8986", "sport": "DOTA2"}</t>
        </is>
      </c>
    </row>
    <row r="80" ht="36" customHeight="1">
      <c r="A80" s="24" t="inlineStr">
        <is>
          <t>01303febefdd4f14</t>
        </is>
      </c>
      <c r="B80" s="24" t="inlineStr">
        <is>
          <t>2026-09-13T16:26:11.698298Z</t>
        </is>
      </c>
      <c r="C80" s="24" t="inlineStr">
        <is>
          <t>2026-09-13T18:00:00Z</t>
        </is>
      </c>
      <c r="D80" s="24" t="inlineStr">
        <is>
          <t>111400</t>
        </is>
      </c>
      <c r="E80" s="24" t="inlineStr">
        <is>
          <t>DOTA2</t>
        </is>
      </c>
      <c r="F80" s="24" t="inlineStr">
        <is>
          <t>Spirit Academy</t>
        </is>
      </c>
      <c r="G80" s="24" t="inlineStr">
        <is>
          <t>Kalmychata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-133</v>
      </c>
      <c r="M80" s="27" t="n">
        <v>1.75188</v>
      </c>
      <c r="N80" s="28" t="n">
        <v>0.570815</v>
      </c>
      <c r="O80" s="28" t="n">
        <v>0.500342</v>
      </c>
      <c r="P80" s="28" t="n"/>
      <c r="Q80" s="28" t="n">
        <v>-0.07047299999999999</v>
      </c>
      <c r="R80" s="26" t="n">
        <v>0</v>
      </c>
      <c r="S80" s="29" t="n">
        <v>1</v>
      </c>
      <c r="T80" s="24" t="inlineStr">
        <is>
          <t>dota2-tiered-elo-v6</t>
        </is>
      </c>
      <c r="U80" s="24" t="inlineStr">
        <is>
          <t>settled</t>
        </is>
      </c>
      <c r="V80" s="24" t="inlineStr">
        <is>
          <t>win</t>
        </is>
      </c>
      <c r="W80" s="26" t="n">
        <v>0</v>
      </c>
      <c r="X80" s="26" t="n">
        <v>1</v>
      </c>
      <c r="Y80" s="25" t="n"/>
      <c r="Z80" s="26" t="n"/>
      <c r="AA80" s="28" t="n"/>
      <c r="AB80" s="28" t="n"/>
      <c r="AC80" s="30" t="n">
        <v>0.7519</v>
      </c>
      <c r="AD80" s="24" t="inlineStr">
        <is>
          <t>2026-09-14T10:01:23.844285Z</t>
        </is>
      </c>
      <c r="AE80" s="31" t="inlineStr">
        <is>
          <t>Neutral Elo baseline; executable ask 0.5700 (market_slug=aec-dota2-kalmy-tsa-2026-09-13).</t>
        </is>
      </c>
      <c r="AF80" s="31" t="inlineStr">
        <is>
          <t>Config-promoted esports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Spirit Academy</t>
        </is>
      </c>
      <c r="AQ80" s="24" t="inlineStr">
        <is>
          <t>Spirit Academy</t>
        </is>
      </c>
      <c r="AR80" s="24" t="inlineStr">
        <is>
          <t>Spirit Academy</t>
        </is>
      </c>
      <c r="AS80" s="24" t="inlineStr">
        <is>
          <t>Kalmychata</t>
        </is>
      </c>
      <c r="AT80" s="24" t="inlineStr">
        <is>
          <t>Kalmychata</t>
        </is>
      </c>
      <c r="AU80" s="24" t="inlineStr">
        <is>
          <t>Kalmychata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abd9c53383697887f52eb6f01bcf7c01350f11da24771de476616a0fd7ec80d6</t>
        </is>
      </c>
      <c r="BB80" s="24" t="inlineStr">
        <is>
          <t>neutral_elo</t>
        </is>
      </c>
      <c r="BC80" s="24" t="inlineStr">
        <is>
          <t>dota2-tiered-elo-v6</t>
        </is>
      </c>
      <c r="BD80" s="24" t="inlineStr">
        <is>
          <t>abd9c53383697887f52eb6f01bcf7c01350f11da24771de476616a0fd7ec80d6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dota2-tiered-elo-v6</t>
        </is>
      </c>
      <c r="BH80" s="24" t="inlineStr">
        <is>
          <t>2026-09-13T16:25:44.240712Z</t>
        </is>
      </c>
      <c r="BI80" s="24" t="inlineStr">
        <is>
          <t>["same_event","same_team_same_day","same_league_same_day"]</t>
        </is>
      </c>
      <c r="BJ80" s="25" t="n"/>
      <c r="BK80" s="26" t="n">
        <v>-133</v>
      </c>
      <c r="BL80" s="27" t="n">
        <v>1.75188</v>
      </c>
      <c r="BM80" s="28" t="n">
        <v>0.570815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0.570815</t>
        </is>
      </c>
      <c r="DK80" s="24" t="n"/>
      <c r="DL80" s="24" t="n"/>
      <c r="DM80" s="24" t="n"/>
      <c r="DN80" s="24" t="n"/>
      <c r="DO80" s="24" t="n"/>
      <c r="DP80" s="24" t="n"/>
      <c r="DQ80" s="24" t="inlineStr">
        <is>
          <t>{"artifact_hash": "abd9c53383697887f52eb6f01bcf7c01350f11da24771de476616a0fd7ec80d6", "away_team": "Spirit Academy", "event_id": "111400", "event_start_utc": "2026-09-13T18:00:00Z", "features": {"away_elo": 1588.17387, "away_history_count": 108, "home_elo": 1639.617838, "home_history_count": 159}, "historical_source_observation_times_verified": false, "home_team": "Kalmychata", "inference_inputs": {"book_state": {"games_played": {"bo3:4:15089": 159, "bo3:4:21945": 108}, "inactivity_half_life_days": null, "inactivity_max_pull": null, "k": 48.0, "last_match_utc": {"bo3:4:15089": "2026-04-08T16:30:00Z", "bo3:4:21945": "2026-09-05T18:10:00Z"}, "minimum_reliable_games": null, "platt_intercept": 0.09218323732224677, "platt_slope": 0.8325831548266974, "ratings": {"bo3:4:15089": 1639.617838, "bo3:4:21945": 1588.17387},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"2026-09-13T16:25:37.925288+00:00", "team_ids": ["bo3:4:15089", "bo3:4:21945"]}, "market_type": "moneyline", "model_version": "dota2-tiered-elo-v6", "observed_at_utc": "2026-09-13T16:25:37.925288+00:00", "probabilities": {"away": 0.499658, "home": 0.500342}, "replay_scope": "Exact serving book state, calibration, temperature, inactivity reference and thin-history adjustments; training provenance not certified.", "schema": "esports-elo-replay-v1", "snapshot_hash": "95a03f49bf4e8aa3a479cd18cbb1a88854998cdb2461f211d6641f921a55a881", "sport": "DOTA2"}</t>
        </is>
      </c>
    </row>
    <row r="81" ht="36" customHeight="1">
      <c r="A81" s="24" t="inlineStr">
        <is>
          <t>90508598303a4373</t>
        </is>
      </c>
      <c r="B81" s="24" t="inlineStr">
        <is>
          <t>2026-09-15T10:10:29.130880Z</t>
        </is>
      </c>
      <c r="C81" s="24" t="inlineStr">
        <is>
          <t>2026-09-15T15:00:00Z</t>
        </is>
      </c>
      <c r="D81" s="24" t="inlineStr">
        <is>
          <t>110378</t>
        </is>
      </c>
      <c r="E81" s="24" t="inlineStr">
        <is>
          <t>DOTA2</t>
        </is>
      </c>
      <c r="F81" s="24" t="inlineStr">
        <is>
          <t>Cooman Club</t>
        </is>
      </c>
      <c r="G81" s="24" t="inlineStr">
        <is>
          <t>Stray Club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-163</v>
      </c>
      <c r="M81" s="27" t="n">
        <v>1.613497</v>
      </c>
      <c r="N81" s="28" t="n">
        <v>0.619772</v>
      </c>
      <c r="O81" s="28" t="n">
        <v>0.510145</v>
      </c>
      <c r="P81" s="28" t="n"/>
      <c r="Q81" s="28" t="n">
        <v>-0.109627</v>
      </c>
      <c r="R81" s="26" t="n">
        <v>0</v>
      </c>
      <c r="S81" s="29" t="n">
        <v>1</v>
      </c>
      <c r="T81" s="24" t="inlineStr">
        <is>
          <t>dota2-tiered-elo-v6</t>
        </is>
      </c>
      <c r="U81" s="24" t="inlineStr">
        <is>
          <t>settled</t>
        </is>
      </c>
      <c r="V81" s="24" t="inlineStr">
        <is>
          <t>loss</t>
        </is>
      </c>
      <c r="W81" s="26" t="n">
        <v>1</v>
      </c>
      <c r="X81" s="26" t="n">
        <v>0</v>
      </c>
      <c r="Y81" s="25" t="n"/>
      <c r="Z81" s="26" t="n"/>
      <c r="AA81" s="28" t="n"/>
      <c r="AB81" s="28" t="n"/>
      <c r="AC81" s="30" t="n">
        <v>-1</v>
      </c>
      <c r="AD81" s="24" t="inlineStr">
        <is>
          <t>2026-09-16T05:06:01.629927Z</t>
        </is>
      </c>
      <c r="AE81" s="31" t="inlineStr">
        <is>
          <t>Neutral Elo baseline; executable ask 0.6200 (market_slug=aec-dota2-sct-cco-2026-09-15).</t>
        </is>
      </c>
      <c r="AF81" s="31" t="inlineStr">
        <is>
          <t>Config-promoted esports baseline; gates enforced at log time.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PAPER_CALL_MODEL_UNVALIDATED</t>
        </is>
      </c>
      <c r="AP81" s="24" t="inlineStr">
        <is>
          <t>Cooman Club</t>
        </is>
      </c>
      <c r="AQ81" s="24" t="inlineStr">
        <is>
          <t>Cooman Club</t>
        </is>
      </c>
      <c r="AR81" s="24" t="inlineStr">
        <is>
          <t>Cooman Club</t>
        </is>
      </c>
      <c r="AS81" s="24" t="inlineStr">
        <is>
          <t>Stray Club</t>
        </is>
      </c>
      <c r="AT81" s="24" t="inlineStr">
        <is>
          <t>Stray Club</t>
        </is>
      </c>
      <c r="AU81" s="24" t="inlineStr">
        <is>
          <t>Stray Club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4a9a751eca5892c255155843a115f4c936cc0b903dc88bec449eb88358357261</t>
        </is>
      </c>
      <c r="BB81" s="24" t="inlineStr">
        <is>
          <t>neutral_elo</t>
        </is>
      </c>
      <c r="BC81" s="24" t="inlineStr">
        <is>
          <t>dota2-tiered-elo-v6</t>
        </is>
      </c>
      <c r="BD81" s="24" t="inlineStr">
        <is>
          <t>4a9a751eca5892c255155843a115f4c936cc0b903dc88bec449eb88358357261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dota2-tiered-elo-v6</t>
        </is>
      </c>
      <c r="BH81" s="24" t="inlineStr">
        <is>
          <t>2026-09-15T10:10:03.995295Z</t>
        </is>
      </c>
      <c r="BI81" s="24" t="inlineStr">
        <is>
          <t>["same_event","same_team_same_day","same_league_same_day"]</t>
        </is>
      </c>
      <c r="BJ81" s="25" t="n"/>
      <c r="BK81" s="26" t="n">
        <v>-163</v>
      </c>
      <c r="BL81" s="27" t="n">
        <v>1.613497</v>
      </c>
      <c r="BM81" s="28" t="n">
        <v>0.619772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0.619772</t>
        </is>
      </c>
      <c r="DK81" s="24" t="n"/>
      <c r="DL81" s="24" t="n"/>
      <c r="DM81" s="24" t="n"/>
      <c r="DN81" s="24" t="n"/>
      <c r="DO81" s="24" t="n"/>
      <c r="DP81" s="24" t="n"/>
      <c r="DQ81" s="24" t="inlineStr">
        <is>
          <t>{"artifact_hash": "4a9a751eca5892c255155843a115f4c936cc0b903dc88bec449eb88358357261", "away_team": "Cooman Club", "event_id": "110378", "event_start_utc": "2026-09-15T15:00:00Z", "features": {"away_elo": 1500.0, "away_history_count": 0, "home_elo": 1500.0, "home_history_count": 0}, "historical_source_observation_times_verified": false, "home_team": "Stray Club", "inference_inputs": {"book_state": {"games_played": {}, "inactivity_half_life_days": null, "inactivity_max_pull": null, "k": 48.0, "last_match_utc": {}, "minimum_reliable_games": null, "platt_intercept": 0.09582248117155226, "platt_slope": 0.8303916550381869,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"2026-09-15T10:09:44.110032+00:00", "team_ids": ["unknown:strayclub", "unknown:coomanclub"]}, "market_type": "moneyline", "model_version": "dota2-tiered-elo-v6", "observed_at_utc": "2026-09-15T10:09:44.110032+00:00", "probabilities": {"away": 0.489855, "home": 0.510145}, "replay_scope": "Exact serving book state, calibration, temperature, inactivity reference and thin-history adjustments; training provenance not certified.", "schema": "esports-elo-replay-v1", "snapshot_hash": "eb3092b757486fc2ee9ff565881a511f805270351b89dc249babe0bcf22e127b", "sport": "DOTA2"}</t>
        </is>
      </c>
    </row>
    <row r="82" ht="36" customHeight="1">
      <c r="A82" s="24" t="inlineStr">
        <is>
          <t>a233c4a791694da5</t>
        </is>
      </c>
      <c r="B82" s="24" t="inlineStr">
        <is>
          <t>2026-09-17T10:12:01.754349Z</t>
        </is>
      </c>
      <c r="C82" s="24" t="inlineStr">
        <is>
          <t>2026-09-17T14:00:00Z</t>
        </is>
      </c>
      <c r="D82" s="24" t="inlineStr">
        <is>
          <t>114544</t>
        </is>
      </c>
      <c r="E82" s="24" t="inlineStr">
        <is>
          <t>DOTA2</t>
        </is>
      </c>
      <c r="F82" s="24" t="inlineStr">
        <is>
          <t>Stariy Bog Club</t>
        </is>
      </c>
      <c r="G82" s="24" t="inlineStr">
        <is>
          <t>Rostikfacekid Club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133</v>
      </c>
      <c r="M82" s="27" t="n">
        <v>2.33</v>
      </c>
      <c r="N82" s="28" t="n">
        <v>0.429185</v>
      </c>
      <c r="O82" s="28" t="n">
        <v>0.509996</v>
      </c>
      <c r="P82" s="28" t="n"/>
      <c r="Q82" s="28" t="n">
        <v>0.08081099999999999</v>
      </c>
      <c r="R82" s="26" t="n">
        <v>60</v>
      </c>
      <c r="S82" s="29" t="n">
        <v>1.25</v>
      </c>
      <c r="T82" s="24" t="inlineStr">
        <is>
          <t>dota2-tiered-elo-v6</t>
        </is>
      </c>
      <c r="U82" s="24" t="inlineStr">
        <is>
          <t>settled</t>
        </is>
      </c>
      <c r="V82" s="24" t="inlineStr">
        <is>
          <t>loss</t>
        </is>
      </c>
      <c r="W82" s="26" t="n">
        <v>1</v>
      </c>
      <c r="X82" s="26" t="n">
        <v>0</v>
      </c>
      <c r="Y82" s="25" t="n"/>
      <c r="Z82" s="26" t="n"/>
      <c r="AA82" s="28" t="n"/>
      <c r="AB82" s="28" t="n"/>
      <c r="AC82" s="30" t="n">
        <v>-1.25</v>
      </c>
      <c r="AD82" s="24" t="inlineStr">
        <is>
          <t>2026-09-17T22:03:21.394078Z</t>
        </is>
      </c>
      <c r="AE82" s="31" t="inlineStr">
        <is>
          <t>Neutral Elo baseline; executable ask 0.4300 (market_slug=aec-dota2-rco-sbc-2026-09-17).</t>
        </is>
      </c>
      <c r="AF82" s="31" t="inlineStr">
        <is>
          <t>Config-promoted esports baseline; gates enforced at log time.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PAPER_CALL_MODEL_UNVALIDATED</t>
        </is>
      </c>
      <c r="AP82" s="24" t="inlineStr">
        <is>
          <t>Stariy Bog Club</t>
        </is>
      </c>
      <c r="AQ82" s="24" t="inlineStr">
        <is>
          <t>Stariy Bog Club</t>
        </is>
      </c>
      <c r="AR82" s="24" t="inlineStr">
        <is>
          <t>Stariy Bog Club</t>
        </is>
      </c>
      <c r="AS82" s="24" t="inlineStr">
        <is>
          <t>Rostikfacekid Club</t>
        </is>
      </c>
      <c r="AT82" s="24" t="inlineStr">
        <is>
          <t>Rostikfacekid Club</t>
        </is>
      </c>
      <c r="AU82" s="24" t="inlineStr">
        <is>
          <t>Rostikfacekid Club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0a1d59abf07f450bdf15695380726e2d87dac0b408a179866954f3cba02ee4d0</t>
        </is>
      </c>
      <c r="BB82" s="24" t="inlineStr">
        <is>
          <t>neutral_elo</t>
        </is>
      </c>
      <c r="BC82" s="24" t="inlineStr">
        <is>
          <t>dota2-tiered-elo-v6</t>
        </is>
      </c>
      <c r="BD82" s="24" t="inlineStr">
        <is>
          <t>0a1d59abf07f450bdf15695380726e2d87dac0b408a179866954f3cba02ee4d0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dota2-tiered-elo-v6</t>
        </is>
      </c>
      <c r="BH82" s="24" t="inlineStr">
        <is>
          <t>2026-09-17T10:11:35.583520Z</t>
        </is>
      </c>
      <c r="BI82" s="24" t="inlineStr">
        <is>
          <t>["same_event","same_team_same_day","same_league_same_day"]</t>
        </is>
      </c>
      <c r="BJ82" s="25" t="n"/>
      <c r="BK82" s="26" t="n">
        <v>133</v>
      </c>
      <c r="BL82" s="27" t="n">
        <v>2.33</v>
      </c>
      <c r="BM82" s="28" t="n">
        <v>0.429185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0.429185</t>
        </is>
      </c>
      <c r="DK82" s="24" t="n"/>
      <c r="DL82" s="24" t="n"/>
      <c r="DM82" s="24" t="n"/>
      <c r="DN82" s="24" t="n"/>
      <c r="DO82" s="24" t="n"/>
      <c r="DP82" s="24" t="n"/>
      <c r="DQ82" s="24" t="inlineStr">
        <is>
          <t>{"artifact_hash": "0a1d59abf07f450bdf15695380726e2d87dac0b408a179866954f3cba02ee4d0", "away_team": "Stariy Bog Club", "event_id": "114544", "event_start_utc": "2026-09-17T14:00:00Z", "features": {"away_elo": 1500.0, "away_history_count": 0, "home_elo": 1500.0, "home_history_count": 0}, "historical_source_observation_times_verified": false, "home_team": "Rostikfacekid Club", "inference_inputs": {"book_state": {"games_played": {}, "inactivity_half_life_days": null, "inactivity_max_pull": null, "k": 48.0, "last_match_utc": {}, "minimum_reliable_games": null, "platt_intercept": 0.09441632122386781, "platt_slope": 0.832507470159688,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"2026-09-17T10:11:25.275354+00:00", "team_ids": ["unknown:rostikfacekidclub", "unknown:stariybogclub"]}, "market_type": "moneyline", "model_version": "dota2-tiered-elo-v6", "observed_at_utc": "2026-09-17T10:11:25.275354+00:00", "probabilities": {"away": 0.490004, "home": 0.509996}, "replay_scope": "Exact serving book state, calibration, temperature, inactivity reference and thin-history adjustments; training provenance not certified.", "schema": "esports-elo-replay-v1", "snapshot_hash": "c7ac1c1bf411ef8af8b0492f8ecea765d2a7e84f4b031395a3ad08b18d89dd68", "sport": "DOTA2"}</t>
        </is>
      </c>
    </row>
    <row r="83" ht="36" customHeight="1">
      <c r="A83" s="24" t="inlineStr">
        <is>
          <t>1758bda922e34ade</t>
        </is>
      </c>
      <c r="B83" s="24" t="inlineStr">
        <is>
          <t>2026-09-17T16:19:07.118984Z</t>
        </is>
      </c>
      <c r="C83" s="24" t="inlineStr">
        <is>
          <t>2026-09-17T18:00:00Z</t>
        </is>
      </c>
      <c r="D83" s="24" t="inlineStr">
        <is>
          <t>115847</t>
        </is>
      </c>
      <c r="E83" s="24" t="inlineStr">
        <is>
          <t>DOTA2</t>
        </is>
      </c>
      <c r="F83" s="24" t="inlineStr">
        <is>
          <t>VooDooSh Club</t>
        </is>
      </c>
      <c r="G83" s="24" t="inlineStr">
        <is>
          <t>Stray Club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-104</v>
      </c>
      <c r="M83" s="27" t="n">
        <v>1.961538</v>
      </c>
      <c r="N83" s="28" t="n">
        <v>0.509804</v>
      </c>
      <c r="O83" s="28" t="n">
        <v>0.509997</v>
      </c>
      <c r="P83" s="28" t="n"/>
      <c r="Q83" s="28" t="n">
        <v>0.000193</v>
      </c>
      <c r="R83" s="26" t="n">
        <v>20</v>
      </c>
      <c r="S83" s="29" t="n">
        <v>1</v>
      </c>
      <c r="T83" s="24" t="inlineStr">
        <is>
          <t>dota2-tiered-elo-v6</t>
        </is>
      </c>
      <c r="U83" s="24" t="inlineStr">
        <is>
          <t>settled</t>
        </is>
      </c>
      <c r="V83" s="24" t="inlineStr">
        <is>
          <t>push</t>
        </is>
      </c>
      <c r="W83" s="26" t="n"/>
      <c r="X83" s="26" t="n"/>
      <c r="Y83" s="25" t="n"/>
      <c r="Z83" s="26" t="n"/>
      <c r="AA83" s="28" t="n"/>
      <c r="AB83" s="28" t="n"/>
      <c r="AC83" s="30" t="n">
        <v>0</v>
      </c>
      <c r="AD83" s="24" t="inlineStr">
        <is>
          <t>2026-09-18T06:14:50.357444Z</t>
        </is>
      </c>
      <c r="AE83" s="31" t="inlineStr">
        <is>
          <t>Neutral Elo baseline; executable ask 0.5100 (market_slug=aec-dota2-sct-vco-2026-09-17).</t>
        </is>
      </c>
      <c r="AF83" s="31" t="inlineStr">
        <is>
          <t>Config-promoted esports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PAPER_CALL_MODEL_UNVALIDATED</t>
        </is>
      </c>
      <c r="AP83" s="24" t="inlineStr">
        <is>
          <t>VooDooSh Club</t>
        </is>
      </c>
      <c r="AQ83" s="24" t="inlineStr">
        <is>
          <t>VooDooSh Club</t>
        </is>
      </c>
      <c r="AR83" s="24" t="inlineStr">
        <is>
          <t>VooDooSh Club</t>
        </is>
      </c>
      <c r="AS83" s="24" t="inlineStr">
        <is>
          <t>Stray Club</t>
        </is>
      </c>
      <c r="AT83" s="24" t="inlineStr">
        <is>
          <t>Stray Club</t>
        </is>
      </c>
      <c r="AU83" s="24" t="inlineStr">
        <is>
          <t>Stray Club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3970d353587d312f5accfea4fff01a4d3def27110f766fc64dfdf59dcceb0f50</t>
        </is>
      </c>
      <c r="BB83" s="24" t="inlineStr">
        <is>
          <t>neutral_elo</t>
        </is>
      </c>
      <c r="BC83" s="24" t="inlineStr">
        <is>
          <t>dota2-tiered-elo-v6</t>
        </is>
      </c>
      <c r="BD83" s="24" t="inlineStr">
        <is>
          <t>3970d353587d312f5accfea4fff01a4d3def27110f766fc64dfdf59dcceb0f50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dota2-tiered-elo-v6</t>
        </is>
      </c>
      <c r="BH83" s="24" t="inlineStr">
        <is>
          <t>2026-09-17T16:18:50.912090Z</t>
        </is>
      </c>
      <c r="BI83" s="24" t="inlineStr">
        <is>
          <t>["same_event","same_team_same_day","same_league_same_day"]</t>
        </is>
      </c>
      <c r="BJ83" s="25" t="n"/>
      <c r="BK83" s="26" t="n">
        <v>-104</v>
      </c>
      <c r="BL83" s="27" t="n">
        <v>1.961538</v>
      </c>
      <c r="BM83" s="28" t="n">
        <v>0.509804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inlineStr">
        <is>
          <t>esports market settled to a non-binary price (forfeit/postponement per market rules); BO3 has no confirming finished-match result either</t>
        </is>
      </c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0.509804</t>
        </is>
      </c>
      <c r="DK83" s="24" t="n"/>
      <c r="DL83" s="24" t="n"/>
      <c r="DM83" s="24" t="n"/>
      <c r="DN83" s="24" t="n"/>
      <c r="DO83" s="24" t="n"/>
      <c r="DP83" s="24" t="n"/>
      <c r="DQ83" s="24" t="inlineStr">
        <is>
          <t>{"artifact_hash": "3970d353587d312f5accfea4fff01a4d3def27110f766fc64dfdf59dcceb0f50", "away_team": "VooDooSh Club", "event_id": "115847", "event_start_utc": "2026-09-17T18:00:00Z", "features": {"away_elo": 1500.0, "away_history_count": 0, "home_elo": 1500.0, "home_history_count": 0}, "historical_source_observation_times_verified": false, "home_team": "Stray Club", "inference_inputs": {"book_state": {"games_played": {}, "inactivity_half_life_days": null, "inactivity_max_pull": null, "k": 48.0, "last_match_utc": {}, "minimum_reliable_games": null, "platt_intercept": 0.09442030917934734, "platt_slope": 0.8325319755455935,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"2026-09-17T16:18:50.358091+00:00", "team_ids": ["unknown:strayclub", "unknown:voodooshclub"]}, "market_type": "moneyline", "model_version": "dota2-tiered-elo-v6", "observed_at_utc": "2026-09-17T16:18:50.358091+00:00", "probabilities": {"away": 0.490003, "home": 0.509997}, "replay_scope": "Exact serving book state, calibration, temperature, inactivity reference and thin-history adjustments; training provenance not certified.", "schema": "esports-elo-replay-v1", "snapshot_hash": "6b3f6af8366a42eff652ae92efa524c1ed099455225810997ce2c7f5bafe23b4", "sport": "DOTA2"}</t>
        </is>
      </c>
    </row>
    <row r="84" ht="36" customHeight="1">
      <c r="A84" s="24" t="inlineStr">
        <is>
          <t>21ef04d51a3540b5</t>
        </is>
      </c>
      <c r="B84" s="24" t="inlineStr">
        <is>
          <t>2026-09-18T08:32:14.651610Z</t>
        </is>
      </c>
      <c r="C84" s="24" t="inlineStr">
        <is>
          <t>2026-09-18T09:00:00Z</t>
        </is>
      </c>
      <c r="D84" s="24" t="inlineStr">
        <is>
          <t>113376</t>
        </is>
      </c>
      <c r="E84" s="24" t="inlineStr">
        <is>
          <t>DOTA2</t>
        </is>
      </c>
      <c r="F84" s="24" t="inlineStr">
        <is>
          <t>Team Synapse</t>
        </is>
      </c>
      <c r="G84" s="24" t="inlineStr">
        <is>
          <t>Team Lynx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-186</v>
      </c>
      <c r="M84" s="27" t="n">
        <v>1.537634</v>
      </c>
      <c r="N84" s="28" t="n">
        <v>0.65035</v>
      </c>
      <c r="O84" s="28" t="n">
        <v>0.525644</v>
      </c>
      <c r="P84" s="28" t="n"/>
      <c r="Q84" s="28" t="n">
        <v>-0.124706</v>
      </c>
      <c r="R84" s="26" t="n">
        <v>0</v>
      </c>
      <c r="S84" s="29" t="n">
        <v>1</v>
      </c>
      <c r="T84" s="24" t="inlineStr">
        <is>
          <t>dota2-tiered-elo-v6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/>
      <c r="AA84" s="28" t="n"/>
      <c r="AB84" s="28" t="n"/>
      <c r="AC84" s="30" t="n">
        <v>0.5376</v>
      </c>
      <c r="AD84" s="24" t="inlineStr">
        <is>
          <t>2026-09-19T10:01:47.542040Z</t>
        </is>
      </c>
      <c r="AE84" s="31" t="inlineStr">
        <is>
          <t>Neutral Elo baseline; executable ask 0.6500 (market_slug=aec-dota2-lynx-tsea-2026-09-18).</t>
        </is>
      </c>
      <c r="AF84" s="31" t="inlineStr">
        <is>
          <t>Config-promoted esports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4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PAPER_CALL_LOW_EDGE</t>
        </is>
      </c>
      <c r="AP84" s="24" t="inlineStr">
        <is>
          <t>Team Synapse</t>
        </is>
      </c>
      <c r="AQ84" s="24" t="inlineStr">
        <is>
          <t>Team Synapse</t>
        </is>
      </c>
      <c r="AR84" s="24" t="inlineStr">
        <is>
          <t>Team Synapse</t>
        </is>
      </c>
      <c r="AS84" s="24" t="inlineStr">
        <is>
          <t>Team Lynx</t>
        </is>
      </c>
      <c r="AT84" s="24" t="inlineStr">
        <is>
          <t>Team Lynx</t>
        </is>
      </c>
      <c r="AU84" s="24" t="inlineStr">
        <is>
          <t>Team Lynx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34bd69c072b304d6a8faba4a16602bc28a4c12f5efbda02100f4cc8bc77af14b</t>
        </is>
      </c>
      <c r="BB84" s="24" t="inlineStr">
        <is>
          <t>neutral_elo</t>
        </is>
      </c>
      <c r="BC84" s="24" t="inlineStr">
        <is>
          <t>dota2-tiered-elo-v6</t>
        </is>
      </c>
      <c r="BD84" s="24" t="inlineStr">
        <is>
          <t>34bd69c072b304d6a8faba4a16602bc28a4c12f5efbda02100f4cc8bc77af14b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dota2-tiered-elo-v6</t>
        </is>
      </c>
      <c r="BH84" s="24" t="inlineStr">
        <is>
          <t>2026-09-18T08:00:05.632269Z</t>
        </is>
      </c>
      <c r="BI84" s="24" t="inlineStr">
        <is>
          <t>["same_event","same_team_same_day","same_league_same_day"]</t>
        </is>
      </c>
      <c r="BJ84" s="25" t="n"/>
      <c r="BK84" s="26" t="n">
        <v>-186</v>
      </c>
      <c r="BL84" s="27" t="n">
        <v>1.537634</v>
      </c>
      <c r="BM84" s="28" t="n">
        <v>0.65035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False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0.65035</t>
        </is>
      </c>
      <c r="DK84" s="24" t="n"/>
      <c r="DL84" s="24" t="n"/>
      <c r="DM84" s="24" t="n"/>
      <c r="DN84" s="24" t="n"/>
      <c r="DO84" s="24" t="n"/>
      <c r="DP84" s="24" t="n"/>
      <c r="DQ84" s="24" t="inlineStr">
        <is>
          <t>{"artifact_hash": "34bd69c072b304d6a8faba4a16602bc28a4c12f5efbda02100f4cc8bc77af14b", "away_team": "Team Synapse", "event_id": "113376", "event_start_utc": "2026-09-18T09:00:00Z", "features": {"away_elo": 1705.160243, "away_history_count": 16, "home_elo": 1657.781193, "home_history_count": 175}, "historical_source_observation_times_verified": false, "home_team": "Team Lynx", "inference_inputs": {"book_state": {"games_played": {"bo3:4:19913": 175, "bo3:4:25201": 16}, "inactivity_half_life_days": null, "inactivity_max_pull": null, "k": 48.0, "last_match_utc": {"bo3:4:19913": "2026-09-17T15:00:00Z", "bo3:4:25201": "2026-09-16T09:00:00Z"}, "minimum_reliable_games": null, "platt_intercept": 0.09336333549119102, "platt_slope": 0.8327425094023032, "ratings": {"bo3:4:19913": 1657.781193, "bo3:4:25201": 1705.160243},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"2026-09-18T08:00:05.422895+00:00", "team_ids": ["bo3:4:19913", "bo3:4:25201"]}, "market_type": "moneyline", "model_version": "dota2-tiered-elo-v6", "observed_at_utc": "2026-09-18T08:00:05.422895+00:00", "probabilities": {"away": 0.525644, "home": 0.474356}, "replay_scope": "Exact serving book state, calibration, temperature, inactivity reference and thin-history adjustments; training provenance not certified.", "schema": "esports-elo-replay-v1", "snapshot_hash": "0a2d1bf1ebcd14f26b3557f7e6adbef6f2f88f23e0fdf10c990259bf8dd88868", "sport": "DOTA2"}</t>
        </is>
      </c>
    </row>
    <row r="85" ht="36" customHeight="1">
      <c r="A85" s="24" t="inlineStr">
        <is>
          <t>14460bbe67994358</t>
        </is>
      </c>
      <c r="B85" s="24" t="inlineStr">
        <is>
          <t>2026-09-20T05:03:48.724866Z</t>
        </is>
      </c>
      <c r="C85" s="24" t="inlineStr">
        <is>
          <t>2026-09-20T07:00:00Z</t>
        </is>
      </c>
      <c r="D85" s="24" t="inlineStr">
        <is>
          <t>118795</t>
        </is>
      </c>
      <c r="E85" s="24" t="inlineStr">
        <is>
          <t>DOTA2</t>
        </is>
      </c>
      <c r="F85" s="24" t="inlineStr">
        <is>
          <t>Xtreme Gaming</t>
        </is>
      </c>
      <c r="G85" s="24" t="inlineStr">
        <is>
          <t>Conventus Stellarum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-138</v>
      </c>
      <c r="M85" s="27" t="n">
        <v>1.724638</v>
      </c>
      <c r="N85" s="28" t="n">
        <v>0.579832</v>
      </c>
      <c r="O85" s="28" t="n">
        <v>0.582441</v>
      </c>
      <c r="P85" s="28" t="n"/>
      <c r="Q85" s="28" t="n">
        <v>0.002609</v>
      </c>
      <c r="R85" s="26" t="n">
        <v>21</v>
      </c>
      <c r="S85" s="29" t="n">
        <v>1</v>
      </c>
      <c r="T85" s="24" t="inlineStr">
        <is>
          <t>dota2-tiered-elo-v6</t>
        </is>
      </c>
      <c r="U85" s="24" t="inlineStr">
        <is>
          <t>settled</t>
        </is>
      </c>
      <c r="V85" s="24" t="inlineStr">
        <is>
          <t>win</t>
        </is>
      </c>
      <c r="W85" s="26" t="n">
        <v>1</v>
      </c>
      <c r="X85" s="26" t="n">
        <v>0</v>
      </c>
      <c r="Y85" s="25" t="n"/>
      <c r="Z85" s="26" t="n"/>
      <c r="AA85" s="28" t="n"/>
      <c r="AB85" s="28" t="n"/>
      <c r="AC85" s="30" t="n">
        <v>0.7246</v>
      </c>
      <c r="AD85" s="24" t="inlineStr">
        <is>
          <t>2026-09-20T16:02:05.160022Z</t>
        </is>
      </c>
      <c r="AE85" s="31" t="inlineStr">
        <is>
          <t>Neutral Elo baseline; executable ask 0.5800 (market_slug=aec-dota2-cs-xtreme-2026-09-20).</t>
        </is>
      </c>
      <c r="AF85" s="31" t="inlineStr">
        <is>
          <t>Config-promoted esports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Xtreme Gaming</t>
        </is>
      </c>
      <c r="AQ85" s="24" t="inlineStr">
        <is>
          <t>Xtreme Gaming</t>
        </is>
      </c>
      <c r="AR85" s="24" t="inlineStr">
        <is>
          <t>Xtreme Gaming</t>
        </is>
      </c>
      <c r="AS85" s="24" t="inlineStr">
        <is>
          <t>Conventus Stellarum</t>
        </is>
      </c>
      <c r="AT85" s="24" t="inlineStr">
        <is>
          <t>Conventus Stellarum</t>
        </is>
      </c>
      <c r="AU85" s="24" t="inlineStr">
        <is>
          <t>Conventus Stellarum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92d95d7844024aac9c26ce1100e3455f009857e61689a23f06a00439f533facd</t>
        </is>
      </c>
      <c r="BB85" s="24" t="inlineStr">
        <is>
          <t>neutral_elo</t>
        </is>
      </c>
      <c r="BC85" s="24" t="inlineStr">
        <is>
          <t>dota2-tiered-elo-v6</t>
        </is>
      </c>
      <c r="BD85" s="24" t="inlineStr">
        <is>
          <t>92d95d7844024aac9c26ce1100e3455f009857e61689a23f06a00439f533facd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dota2-tiered-elo-v6</t>
        </is>
      </c>
      <c r="BH85" s="24" t="inlineStr">
        <is>
          <t>2026-09-20T05:03:14.854806Z</t>
        </is>
      </c>
      <c r="BI85" s="24" t="inlineStr">
        <is>
          <t>["same_event","same_team_same_day","same_league_same_day"]</t>
        </is>
      </c>
      <c r="BJ85" s="25" t="n"/>
      <c r="BK85" s="26" t="n">
        <v>-138</v>
      </c>
      <c r="BL85" s="27" t="n">
        <v>1.724638</v>
      </c>
      <c r="BM85" s="28" t="n">
        <v>0.579832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0.579832</t>
        </is>
      </c>
      <c r="DK85" s="24" t="n"/>
      <c r="DL85" s="24" t="n"/>
      <c r="DM85" s="24" t="n"/>
      <c r="DN85" s="24" t="n"/>
      <c r="DO85" s="24" t="n"/>
      <c r="DP85" s="24" t="n"/>
      <c r="DQ85" s="24" t="inlineStr">
        <is>
          <t>{"artifact_hash": "92d95d7844024aac9c26ce1100e3455f009857e61689a23f06a00439f533facd", "away_team": "Xtreme Gaming", "event_id": "118795", "event_start_utc": "2026-09-20T07:00:00Z", "features": {"away_elo": 1739.10475, "away_history_count": 296, "home_elo": 1564.792104, "home_history_count": 1}, "historical_source_observation_times_verified": false, "home_team": "Conventus Stellarum", "inference_inputs": {"book_state": {"games_played": {"bo3:4:15776": 296, "bo3:4:25326": 1}, "inactivity_half_life_days": null, "inactivity_max_pull": null, "k": 48.0, "last_match_utc": {"bo3:4:15776": "2026-09-19T07:10:00Z", "bo3:4:25326": "2026-09-19T11:00:00Z"}, "minimum_reliable_games": null, "platt_intercept": 0.0982251025553948, "platt_slope": 0.8327333026387519, "ratings": {"bo3:4:15776": 1739.10475, "bo3:4:25326": 1564.792104},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"2026-09-20T05:03:14.778893+00:00", "team_ids": ["bo3:4:25326", "bo3:4:15776"]}, "market_type": "moneyline", "model_version": "dota2-tiered-elo-v6", "observed_at_utc": "2026-09-20T05:03:14.778893+00:00", "probabilities": {"away": 0.582441, "home": 0.417559}, "replay_scope": "Exact serving book state, calibration, temperature, inactivity reference and thin-history adjustments; training provenance not certified.", "schema": "esports-elo-replay-v1", "snapshot_hash": "8fde76c3954a6c34956a2e188b39901cc2973f6e28f34261237c61d4dbf9180e", "sport": "DOTA2"}</t>
        </is>
      </c>
    </row>
    <row r="86" ht="36" customHeight="1">
      <c r="A86" s="24" t="inlineStr">
        <is>
          <t>95bb02d8d3714f34</t>
        </is>
      </c>
      <c r="B86" s="24" t="inlineStr">
        <is>
          <t>2026-09-20T10:31:00.925225Z</t>
        </is>
      </c>
      <c r="C86" s="24" t="inlineStr">
        <is>
          <t>2026-09-20T13:00:00Z</t>
        </is>
      </c>
      <c r="D86" s="24" t="inlineStr">
        <is>
          <t>118817</t>
        </is>
      </c>
      <c r="E86" s="24" t="inlineStr">
        <is>
          <t>DOTA2</t>
        </is>
      </c>
      <c r="F86" s="24" t="inlineStr">
        <is>
          <t>Yakult Brothers</t>
        </is>
      </c>
      <c r="G86" s="24" t="inlineStr">
        <is>
          <t xml:space="preserve"> Pipsqueak+4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-133</v>
      </c>
      <c r="M86" s="27" t="n">
        <v>1.75188</v>
      </c>
      <c r="N86" s="28" t="n">
        <v>0.570815</v>
      </c>
      <c r="O86" s="28" t="n">
        <v>0.732981</v>
      </c>
      <c r="P86" s="28" t="n"/>
      <c r="Q86" s="28" t="n">
        <v>0.162166</v>
      </c>
      <c r="R86" s="26" t="n">
        <v>100</v>
      </c>
      <c r="S86" s="29" t="n">
        <v>1.75</v>
      </c>
      <c r="T86" s="24" t="inlineStr">
        <is>
          <t>dota2-tiered-elo-v6</t>
        </is>
      </c>
      <c r="U86" s="24" t="inlineStr">
        <is>
          <t>settled</t>
        </is>
      </c>
      <c r="V86" s="24" t="inlineStr">
        <is>
          <t>win</t>
        </is>
      </c>
      <c r="W86" s="26" t="n">
        <v>0</v>
      </c>
      <c r="X86" s="26" t="n">
        <v>1</v>
      </c>
      <c r="Y86" s="25" t="n"/>
      <c r="Z86" s="26" t="n"/>
      <c r="AA86" s="28" t="n"/>
      <c r="AB86" s="28" t="n"/>
      <c r="AC86" s="30" t="n">
        <v>1.3158</v>
      </c>
      <c r="AD86" s="24" t="inlineStr">
        <is>
          <t>2026-09-20T22:18:40.007997Z</t>
        </is>
      </c>
      <c r="AE86" s="31" t="inlineStr">
        <is>
          <t>Neutral Elo baseline; executable ask 0.5700 (market_slug=aec-dota2-pips4-yb-2026-09-20).</t>
        </is>
      </c>
      <c r="AF86" s="31" t="inlineStr">
        <is>
          <t>Config-promoted esports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Yakult Brothers</t>
        </is>
      </c>
      <c r="AQ86" s="24" t="inlineStr">
        <is>
          <t>Yakult Brothers</t>
        </is>
      </c>
      <c r="AR86" s="24" t="inlineStr">
        <is>
          <t>Yakult Brothers</t>
        </is>
      </c>
      <c r="AS86" s="24" t="inlineStr">
        <is>
          <t xml:space="preserve"> Pipsqueak+4</t>
        </is>
      </c>
      <c r="AT86" s="24" t="inlineStr">
        <is>
          <t xml:space="preserve"> Pipsqueak+4</t>
        </is>
      </c>
      <c r="AU86" s="24" t="inlineStr">
        <is>
          <t xml:space="preserve"> Pipsqueak+4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d5f8f05db99dc76f54b58995b2ea56b0b933837da0cb78b0a7692c246725a963</t>
        </is>
      </c>
      <c r="BB86" s="24" t="inlineStr">
        <is>
          <t>neutral_elo</t>
        </is>
      </c>
      <c r="BC86" s="24" t="inlineStr">
        <is>
          <t>dota2-tiered-elo-v6</t>
        </is>
      </c>
      <c r="BD86" s="24" t="inlineStr">
        <is>
          <t>d5f8f05db99dc76f54b58995b2ea56b0b933837da0cb78b0a7692c246725a963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dota2-tiered-elo-v6</t>
        </is>
      </c>
      <c r="BH86" s="24" t="inlineStr">
        <is>
          <t>2026-09-20T10:30:48.317386Z</t>
        </is>
      </c>
      <c r="BI86" s="24" t="inlineStr">
        <is>
          <t>["same_event","same_team_same_day","same_league_same_day"]</t>
        </is>
      </c>
      <c r="BJ86" s="25" t="n"/>
      <c r="BK86" s="26" t="n">
        <v>-133</v>
      </c>
      <c r="BL86" s="27" t="n">
        <v>1.75188</v>
      </c>
      <c r="BM86" s="28" t="n">
        <v>0.570815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0.570815</t>
        </is>
      </c>
      <c r="DK86" s="24" t="n"/>
      <c r="DL86" s="24" t="n"/>
      <c r="DM86" s="24" t="n"/>
      <c r="DN86" s="24" t="n"/>
      <c r="DO86" s="24" t="n"/>
      <c r="DP86" s="24" t="n"/>
      <c r="DQ86" s="24" t="inlineStr">
        <is>
          <t>{"artifact_hash": "d5f8f05db99dc76f54b58995b2ea56b0b933837da0cb78b0a7692c246725a963", "away_team": "Yakult Brothers", "event_id": "118817", "event_start_utc": "2026-09-20T13:00:00Z", "features": {"away_elo": 1534.932614, "away_history_count": 10, "home_elo": 1744.443362, "home_history_count": 130}, "historical_source_observation_times_verified": false, "home_team": " Pipsqueak+4", "inference_inputs": {"book_state": {"games_played": {"bo3:4:21435": 130, "bo3:4:22248": 10}, "inactivity_half_life_days": null, "inactivity_max_pull": null, "k": 48.0, "last_match_utc": {"bo3:4:21435": "2026-09-19T15:15:00Z", "bo3:4:22248": "2026-01-31T05:00:00Z"}, "minimum_reliable_games": null, "platt_intercept": 0.0982251025553948, "platt_slope": 0.8327333026387519, "ratings": {"bo3:4:21435": 1744.443362, "bo3:4:22248": 1534.932614},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"2026-09-20T10:30:37.979619+00:00", "team_ids": ["bo3:4:21435", "bo3:4:22248"]}, "market_type": "moneyline", "model_version": "dota2-tiered-elo-v6", "observed_at_utc": "2026-09-20T10:30:37.979619+00:00", "probabilities": {"away": 0.267019, "home": 0.732981}, "replay_scope": "Exact serving book state, calibration, temperature, inactivity reference and thin-history adjustments; training provenance not certified.", "schema": "esports-elo-replay-v1", "snapshot_hash": "1c5a695c5c39efee751dd6e962806514f806b285335efe273733378c48cbc046", "sport": "DOTA2"}</t>
        </is>
      </c>
    </row>
    <row r="87" ht="36" customHeight="1">
      <c r="A87" s="24" t="inlineStr">
        <is>
          <t>aac2aad04c1d4004</t>
        </is>
      </c>
      <c r="B87" s="24" t="inlineStr">
        <is>
          <t>2026-09-21T04:40:30.298569Z</t>
        </is>
      </c>
      <c r="C87" s="24" t="inlineStr">
        <is>
          <t>2026-09-21T07:00:00Z</t>
        </is>
      </c>
      <c r="D87" s="24" t="inlineStr">
        <is>
          <t>119745</t>
        </is>
      </c>
      <c r="E87" s="24" t="inlineStr">
        <is>
          <t>DOTA2</t>
        </is>
      </c>
      <c r="F87" s="24" t="inlineStr">
        <is>
          <t xml:space="preserve"> Pipsqueak+4</t>
        </is>
      </c>
      <c r="G87" s="24" t="inlineStr">
        <is>
          <t>GamerLegion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122</v>
      </c>
      <c r="M87" s="27" t="n">
        <v>2.22</v>
      </c>
      <c r="N87" s="28" t="n">
        <v>0.45045</v>
      </c>
      <c r="O87" s="28" t="n">
        <v>0.505708</v>
      </c>
      <c r="P87" s="28" t="n"/>
      <c r="Q87" s="28" t="n">
        <v>0.055258</v>
      </c>
      <c r="R87" s="26" t="n">
        <v>48</v>
      </c>
      <c r="S87" s="29" t="n">
        <v>1</v>
      </c>
      <c r="T87" s="24" t="inlineStr">
        <is>
          <t>dota2-tiered-elo-v6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1</v>
      </c>
      <c r="Y87" s="25" t="n"/>
      <c r="Z87" s="26" t="n"/>
      <c r="AA87" s="28" t="n"/>
      <c r="AB87" s="28" t="n"/>
      <c r="AC87" s="30" t="n">
        <v>1.22</v>
      </c>
      <c r="AD87" s="24" t="inlineStr">
        <is>
          <t>2026-09-21T16:10:39.021339Z</t>
        </is>
      </c>
      <c r="AE87" s="31" t="inlineStr">
        <is>
          <t>Neutral Elo baseline; executable ask 0.4500 (market_slug=aec-dota2-gl-pips4-2026-09-21).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 xml:space="preserve"> Pipsqueak+4</t>
        </is>
      </c>
      <c r="AQ87" s="24" t="inlineStr">
        <is>
          <t xml:space="preserve"> Pipsqueak+4</t>
        </is>
      </c>
      <c r="AR87" s="24" t="inlineStr">
        <is>
          <t xml:space="preserve"> Pipsqueak+4</t>
        </is>
      </c>
      <c r="AS87" s="24" t="inlineStr">
        <is>
          <t>GamerLegion</t>
        </is>
      </c>
      <c r="AT87" s="24" t="inlineStr">
        <is>
          <t>GamerLegion</t>
        </is>
      </c>
      <c r="AU87" s="24" t="inlineStr">
        <is>
          <t>GamerLegion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a559c66b454b54617345b5bd21e6e0cdd5cc8bc425e67c7dca3a8a39c0cf3265</t>
        </is>
      </c>
      <c r="BB87" s="24" t="inlineStr">
        <is>
          <t>neutral_elo</t>
        </is>
      </c>
      <c r="BC87" s="24" t="inlineStr">
        <is>
          <t>dota2-tiered-elo-v6</t>
        </is>
      </c>
      <c r="BD87" s="24" t="inlineStr">
        <is>
          <t>a559c66b454b54617345b5bd21e6e0cdd5cc8bc425e67c7dca3a8a39c0cf3265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dota2-tiered-elo-v6</t>
        </is>
      </c>
      <c r="BH87" s="24" t="inlineStr">
        <is>
          <t>2026-09-21T04:39:29.229987Z</t>
        </is>
      </c>
      <c r="BI87" s="24" t="inlineStr">
        <is>
          <t>["same_event","same_team_same_day","same_league_same_day"]</t>
        </is>
      </c>
      <c r="BJ87" s="25" t="n"/>
      <c r="BK87" s="26" t="n">
        <v>122</v>
      </c>
      <c r="BL87" s="27" t="n">
        <v>2.22</v>
      </c>
      <c r="BM87" s="28" t="n">
        <v>0.45045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0.45045</t>
        </is>
      </c>
      <c r="DK87" s="24" t="n"/>
      <c r="DL87" s="24" t="n"/>
      <c r="DM87" s="24" t="n"/>
      <c r="DN87" s="24" t="n"/>
      <c r="DO87" s="24" t="n"/>
      <c r="DP87" s="24" t="n"/>
      <c r="DQ87" s="24" t="inlineStr">
        <is>
          <t>{"artifact_hash": "a559c66b454b54617345b5bd21e6e0cdd5cc8bc425e67c7dca3a8a39c0cf3265", "away_team": " Pipsqueak+4", "event_id": "119745", "event_start_utc": "2026-09-21T07:00:00Z", "features": {"away_elo": 1776.933424, "away_history_count": 131, "home_elo": 1762.387845, "home_history_count": 92}, "historical_source_observation_times_verified": false, "home_team": "GamerLegion", "inference_inputs": {"book_state": {"games_played": {"bo3:4:21435": 131, "bo3:4:22027": 92}, "inactivity_half_life_days": null, "inactivity_max_pull": null, "k": 48.0, "last_match_utc": {"bo3:4:21435": "2026-09-20T13:15:00Z", "bo3:4:22027": "2026-09-20T11:15:00Z"}, "minimum_reliable_games": null, "platt_intercept": 0.09761065118702555, "platt_slope": 0.8374322326095197, "ratings": {"bo3:4:21435": 1776.933424, "bo3:4:22027": 1762.387845},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"2026-09-21T04:39:29.095931+00:00", "team_ids": ["bo3:4:22027", "bo3:4:21435"]}, "market_type": "moneyline", "model_version": "dota2-tiered-elo-v6", "observed_at_utc": "2026-09-21T04:39:29.095931+00:00", "probabilities": {"away": 0.494292, "home": 0.505708}, "replay_scope": "Exact serving book state, calibration, temperature, inactivity reference and thin-history adjustments; training provenance not certified.", "schema": "esports-elo-replay-v1", "snapshot_hash": "824903ff03fd5ec8601e88da19c1500c91d7a763783b4b5f12f0248ed63e3207", "sport": "DOTA2"}</t>
        </is>
      </c>
    </row>
    <row r="88" ht="36" customHeight="1">
      <c r="A88" s="24" t="inlineStr">
        <is>
          <t>9c15959f76134579</t>
        </is>
      </c>
      <c r="B88" s="24" t="inlineStr">
        <is>
          <t>2026-09-21T04:40:30.298569Z</t>
        </is>
      </c>
      <c r="C88" s="24" t="inlineStr">
        <is>
          <t>2026-09-21T10:00:00Z</t>
        </is>
      </c>
      <c r="D88" s="24" t="inlineStr">
        <is>
          <t>119746</t>
        </is>
      </c>
      <c r="E88" s="24" t="inlineStr">
        <is>
          <t>DOTA2</t>
        </is>
      </c>
      <c r="F88" s="24" t="inlineStr">
        <is>
          <t>MOUZ</t>
        </is>
      </c>
      <c r="G88" s="24" t="inlineStr">
        <is>
          <t>Team Nemesis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127</v>
      </c>
      <c r="M88" s="27" t="n">
        <v>2.27</v>
      </c>
      <c r="N88" s="28" t="n">
        <v>0.440529</v>
      </c>
      <c r="O88" s="28" t="n">
        <v>0.722506</v>
      </c>
      <c r="P88" s="28" t="n"/>
      <c r="Q88" s="28" t="n">
        <v>0.281977</v>
      </c>
      <c r="R88" s="26" t="n">
        <v>100</v>
      </c>
      <c r="S88" s="29" t="n">
        <v>2</v>
      </c>
      <c r="T88" s="24" t="inlineStr">
        <is>
          <t>dota2-tiered-elo-v6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/>
      <c r="AA88" s="28" t="n"/>
      <c r="AB88" s="28" t="n"/>
      <c r="AC88" s="30" t="n">
        <v>2.54</v>
      </c>
      <c r="AD88" s="24" t="inlineStr">
        <is>
          <t>2026-09-21T16:10:39.437439Z</t>
        </is>
      </c>
      <c r="AE88" s="31" t="inlineStr">
        <is>
          <t>Neutral Elo baseline; executable ask 0.4400 (market_slug=aec-dota2-nem-mouz-2026-09-21).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MOUZ</t>
        </is>
      </c>
      <c r="AQ88" s="24" t="inlineStr">
        <is>
          <t>MOUZ</t>
        </is>
      </c>
      <c r="AR88" s="24" t="inlineStr">
        <is>
          <t>MOUZ</t>
        </is>
      </c>
      <c r="AS88" s="24" t="inlineStr">
        <is>
          <t>Team Nemesis</t>
        </is>
      </c>
      <c r="AT88" s="24" t="inlineStr">
        <is>
          <t>Team Nemesis</t>
        </is>
      </c>
      <c r="AU88" s="24" t="inlineStr">
        <is>
          <t>Team Nemesis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a559c66b454b54617345b5bd21e6e0cdd5cc8bc425e67c7dca3a8a39c0cf3265</t>
        </is>
      </c>
      <c r="BB88" s="24" t="inlineStr">
        <is>
          <t>neutral_elo</t>
        </is>
      </c>
      <c r="BC88" s="24" t="inlineStr">
        <is>
          <t>dota2-tiered-elo-v6</t>
        </is>
      </c>
      <c r="BD88" s="24" t="inlineStr">
        <is>
          <t>a559c66b454b54617345b5bd21e6e0cdd5cc8bc425e67c7dca3a8a39c0cf3265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dota2-tiered-elo-v6</t>
        </is>
      </c>
      <c r="BH88" s="24" t="inlineStr">
        <is>
          <t>2026-09-21T04:39:41.865941Z</t>
        </is>
      </c>
      <c r="BI88" s="24" t="inlineStr">
        <is>
          <t>["same_event","same_team_same_day","same_league_same_day"]</t>
        </is>
      </c>
      <c r="BJ88" s="25" t="n"/>
      <c r="BK88" s="26" t="n">
        <v>127</v>
      </c>
      <c r="BL88" s="27" t="n">
        <v>2.27</v>
      </c>
      <c r="BM88" s="28" t="n">
        <v>0.440529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0.440529</t>
        </is>
      </c>
      <c r="DK88" s="24" t="n"/>
      <c r="DL88" s="24" t="n"/>
      <c r="DM88" s="24" t="n"/>
      <c r="DN88" s="24" t="n"/>
      <c r="DO88" s="24" t="n"/>
      <c r="DP88" s="24" t="n"/>
      <c r="DQ88" s="24" t="inlineStr">
        <is>
          <t>{"artifact_hash": "a559c66b454b54617345b5bd21e6e0cdd5cc8bc425e67c7dca3a8a39c0cf3265", "away_team": "MOUZ", "event_id": "119746", "event_start_utc": "2026-09-21T10:00:00Z", "features": {"away_elo": 1657.21168, "away_history_count": 357, "home_elo": 1872.364851, "home_history_count": 124}, "historical_source_observation_times_verified": false, "home_team": "Team Nemesis", "inference_inputs": {"book_state": {"games_played": {"bo3:4:15032": 357, "bo3:4:20355": 124}, "inactivity_half_life_days": null, "inactivity_max_pull": null, "k": 48.0, "last_match_utc": {"bo3:4:15032": "2026-09-20T18:00:00Z", "bo3:4:20355": "2026-09-20T16:00:00Z"}, "minimum_reliable_games": null, "platt_intercept": 0.09761065118702555, "platt_slope": 0.8374322326095197, "ratings": {"bo3:4:15032": 1657.21168, "bo3:4:20355": 1872.364851},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"2026-09-21T04:39:29.095931+00:00", "team_ids": ["bo3:4:20355", "bo3:4:15032"]}, "market_type": "moneyline", "model_version": "dota2-tiered-elo-v6", "observed_at_utc": "2026-09-21T04:39:29.095931+00:00", "probabilities": {"away": 0.277494, "home": 0.722506}, "replay_scope": "Exact serving book state, calibration, temperature, inactivity reference and thin-history adjustments; training provenance not certified.", "schema": "esports-elo-replay-v1", "snapshot_hash": "522b6b8a6b78bb39a8dd5759e160d1615a2fc00930062f70b75d6e3288a119aa", "sport": "DOTA2"}</t>
        </is>
      </c>
    </row>
    <row r="89" ht="36" customHeight="1">
      <c r="A89" s="24" t="inlineStr">
        <is>
          <t>93929e6b8fa94d3a</t>
        </is>
      </c>
      <c r="B89" s="24" t="inlineStr">
        <is>
          <t>2026-09-21T10:09:22.563790Z</t>
        </is>
      </c>
      <c r="C89" s="24" t="inlineStr">
        <is>
          <t>2026-09-21T15:00:00Z</t>
        </is>
      </c>
      <c r="D89" s="24" t="inlineStr">
        <is>
          <t>119370</t>
        </is>
      </c>
      <c r="E89" s="24" t="inlineStr">
        <is>
          <t>DOTA2</t>
        </is>
      </c>
      <c r="F89" s="24" t="inlineStr">
        <is>
          <t>Spirit Academy</t>
        </is>
      </c>
      <c r="G89" s="24" t="inlineStr">
        <is>
          <t>Team Synapse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-163</v>
      </c>
      <c r="M89" s="27" t="n">
        <v>1.613497</v>
      </c>
      <c r="N89" s="28" t="n">
        <v>0.619772</v>
      </c>
      <c r="O89" s="28" t="n">
        <v>0.677662</v>
      </c>
      <c r="P89" s="28" t="n"/>
      <c r="Q89" s="28" t="n">
        <v>0.05789</v>
      </c>
      <c r="R89" s="26" t="n">
        <v>49</v>
      </c>
      <c r="S89" s="29" t="n">
        <v>1</v>
      </c>
      <c r="T89" s="24" t="inlineStr">
        <is>
          <t>dota2-tiered-elo-v6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1</v>
      </c>
      <c r="Y89" s="25" t="n"/>
      <c r="Z89" s="26" t="n"/>
      <c r="AA89" s="28" t="n"/>
      <c r="AB89" s="28" t="n"/>
      <c r="AC89" s="30" t="n">
        <v>0.6135</v>
      </c>
      <c r="AD89" s="24" t="inlineStr">
        <is>
          <t>2026-09-21T22:02:22.794739Z</t>
        </is>
      </c>
      <c r="AE89" s="31" t="inlineStr">
        <is>
          <t>Neutral Elo baseline; executable ask 0.6200 (market_slug=aec-dota2-tsea-tsa-2026-09-21).</t>
        </is>
      </c>
      <c r="AF89" s="31" t="inlineStr">
        <is>
          <t>Config-promoted esports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Spirit Academy</t>
        </is>
      </c>
      <c r="AQ89" s="24" t="inlineStr">
        <is>
          <t>Spirit Academy</t>
        </is>
      </c>
      <c r="AR89" s="24" t="inlineStr">
        <is>
          <t>Spirit Academy</t>
        </is>
      </c>
      <c r="AS89" s="24" t="inlineStr">
        <is>
          <t>Team Synapse</t>
        </is>
      </c>
      <c r="AT89" s="24" t="inlineStr">
        <is>
          <t>Team Synapse</t>
        </is>
      </c>
      <c r="AU89" s="24" t="inlineStr">
        <is>
          <t>Team Synapse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285b481ad13a9b9591f061208b7147317414441e6430aa1d6a09a5d56781245c</t>
        </is>
      </c>
      <c r="BB89" s="24" t="inlineStr">
        <is>
          <t>neutral_elo</t>
        </is>
      </c>
      <c r="BC89" s="24" t="inlineStr">
        <is>
          <t>dota2-tiered-elo-v6</t>
        </is>
      </c>
      <c r="BD89" s="24" t="inlineStr">
        <is>
          <t>285b481ad13a9b9591f061208b7147317414441e6430aa1d6a09a5d56781245c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dota2-tiered-elo-v6</t>
        </is>
      </c>
      <c r="BH89" s="24" t="inlineStr">
        <is>
          <t>2026-09-21T10:08:54.316005Z</t>
        </is>
      </c>
      <c r="BI89" s="24" t="inlineStr">
        <is>
          <t>["same_event","same_team_same_day","same_league_same_day"]</t>
        </is>
      </c>
      <c r="BJ89" s="25" t="n"/>
      <c r="BK89" s="26" t="n">
        <v>-163</v>
      </c>
      <c r="BL89" s="27" t="n">
        <v>1.613497</v>
      </c>
      <c r="BM89" s="28" t="n">
        <v>0.619772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0.619772</t>
        </is>
      </c>
      <c r="DK89" s="24" t="n"/>
      <c r="DL89" s="24" t="n"/>
      <c r="DM89" s="24" t="n"/>
      <c r="DN89" s="24" t="n"/>
      <c r="DO89" s="24" t="n"/>
      <c r="DP89" s="24" t="n"/>
      <c r="DQ89" s="24" t="inlineStr">
        <is>
          <t>{"artifact_hash": "285b481ad13a9b9591f061208b7147317414441e6430aa1d6a09a5d56781245c", "away_team": "Spirit Academy", "event_id": "119370", "event_start_utc": "2026-09-21T15:00:00Z", "features": {"away_elo": 1577.523998, "away_history_count": 113, "home_elo": 1742.344769, "home_history_count": 18}, "historical_source_observation_times_verified": false, "home_team": "Team Synapse", "inference_inputs": {"book_state": {"games_played": {"bo3:4:21945": 113, "bo3:4:25201": 18}, "inactivity_half_life_days": null, "inactivity_max_pull": null, "k": 48.0, "last_match_utc": {"bo3:4:21945": "2026-09-19T13:25:00Z", "bo3:4:25201": "2026-09-19T09:25:00Z"}, "minimum_reliable_games": null, "platt_intercept": 0.09662715403093078, "platt_slope": 0.8383582311538623, "ratings": {"bo3:4:21945": 1577.523998, "bo3:4:25201": 1742.344769},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"2026-09-21T10:08:30.193093+00:00", "team_ids": ["bo3:4:25201", "bo3:4:21945"]}, "market_type": "moneyline", "model_version": "dota2-tiered-elo-v6", "observed_at_utc": "2026-09-21T10:08:30.193093+00:00", "probabilities": {"away": 0.322338, "home": 0.677662}, "replay_scope": "Exact serving book state, calibration, temperature, inactivity reference and thin-history adjustments; training provenance not certified.", "schema": "esports-elo-replay-v1", "snapshot_hash": "d0fdbf93518c62926803033cbf434543a03a556bf0af98127405aed787734567", "sport": "DOTA2"}</t>
        </is>
      </c>
    </row>
    <row r="90" ht="36" customHeight="1">
      <c r="A90" s="24" t="inlineStr">
        <is>
          <t>606d016f65884106</t>
        </is>
      </c>
      <c r="B90" s="24" t="inlineStr">
        <is>
          <t>2026-09-21T10:09:22.563790Z</t>
        </is>
      </c>
      <c r="C90" s="24" t="inlineStr">
        <is>
          <t>2026-09-21T15:30:00Z</t>
        </is>
      </c>
      <c r="D90" s="24" t="inlineStr">
        <is>
          <t>119816</t>
        </is>
      </c>
      <c r="E90" s="24" t="inlineStr">
        <is>
          <t>DOTA2</t>
        </is>
      </c>
      <c r="F90" s="24" t="inlineStr">
        <is>
          <t>NS Team</t>
        </is>
      </c>
      <c r="G90" s="24" t="inlineStr">
        <is>
          <t>YBN Team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-178</v>
      </c>
      <c r="M90" s="27" t="n">
        <v>1.561798</v>
      </c>
      <c r="N90" s="28" t="n">
        <v>0.640288</v>
      </c>
      <c r="O90" s="28" t="n">
        <v>0.576178</v>
      </c>
      <c r="P90" s="28" t="n"/>
      <c r="Q90" s="28" t="n">
        <v>-0.06411</v>
      </c>
      <c r="R90" s="26" t="n">
        <v>0</v>
      </c>
      <c r="S90" s="29" t="n">
        <v>1</v>
      </c>
      <c r="T90" s="24" t="inlineStr">
        <is>
          <t>dota2-tiered-elo-v6</t>
        </is>
      </c>
      <c r="U90" s="24" t="inlineStr">
        <is>
          <t>settled</t>
        </is>
      </c>
      <c r="V90" s="24" t="inlineStr">
        <is>
          <t>loss</t>
        </is>
      </c>
      <c r="W90" s="26" t="n">
        <v>1</v>
      </c>
      <c r="X90" s="26" t="n">
        <v>0</v>
      </c>
      <c r="Y90" s="25" t="n"/>
      <c r="Z90" s="26" t="n">
        <v>-178</v>
      </c>
      <c r="AA90" s="28" t="n">
        <v>0.64</v>
      </c>
      <c r="AB90" s="28" t="n">
        <v>-0.000288</v>
      </c>
      <c r="AC90" s="30" t="n">
        <v>-1</v>
      </c>
      <c r="AD90" s="24" t="inlineStr">
        <is>
          <t>2026-09-21T22:02:23.177842Z</t>
        </is>
      </c>
      <c r="AE90" s="31" t="inlineStr">
        <is>
          <t>Neutral Elo baseline; executable ask 0.6400 (market_slug=aec-dota2-ybn-ns-2026-09-21).</t>
        </is>
      </c>
      <c r="AF90" s="31" t="inlineStr">
        <is>
          <t>Config-promoted esports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PAPER_CALL_LOW_EDGE</t>
        </is>
      </c>
      <c r="AP90" s="24" t="inlineStr">
        <is>
          <t>NS Team</t>
        </is>
      </c>
      <c r="AQ90" s="24" t="inlineStr">
        <is>
          <t>NS Team</t>
        </is>
      </c>
      <c r="AR90" s="24" t="inlineStr">
        <is>
          <t>NS Team</t>
        </is>
      </c>
      <c r="AS90" s="24" t="inlineStr">
        <is>
          <t>YBN Team</t>
        </is>
      </c>
      <c r="AT90" s="24" t="inlineStr">
        <is>
          <t>YBN Team</t>
        </is>
      </c>
      <c r="AU90" s="24" t="inlineStr">
        <is>
          <t>YBN Team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285b481ad13a9b9591f061208b7147317414441e6430aa1d6a09a5d56781245c</t>
        </is>
      </c>
      <c r="BB90" s="24" t="inlineStr">
        <is>
          <t>neutral_elo</t>
        </is>
      </c>
      <c r="BC90" s="24" t="inlineStr">
        <is>
          <t>dota2-tiered-elo-v6</t>
        </is>
      </c>
      <c r="BD90" s="24" t="inlineStr">
        <is>
          <t>285b481ad13a9b9591f061208b7147317414441e6430aa1d6a09a5d56781245c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dota2-tiered-elo-v6</t>
        </is>
      </c>
      <c r="BH90" s="24" t="inlineStr">
        <is>
          <t>2026-09-21T10:08:54.393218Z</t>
        </is>
      </c>
      <c r="BI90" s="24" t="inlineStr">
        <is>
          <t>["same_event","same_team_same_day","same_league_same_day"]</t>
        </is>
      </c>
      <c r="BJ90" s="25" t="n"/>
      <c r="BK90" s="26" t="n">
        <v>-178</v>
      </c>
      <c r="BL90" s="27" t="n">
        <v>1.561798</v>
      </c>
      <c r="BM90" s="28" t="n">
        <v>0.640288</v>
      </c>
      <c r="BN90" s="28" t="n"/>
      <c r="BO90" s="28" t="n"/>
      <c r="BP90" s="25" t="n"/>
      <c r="BQ90" s="27" t="n">
        <v>1.561798</v>
      </c>
      <c r="BR90" s="28" t="n">
        <v>0.64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False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0.640288</t>
        </is>
      </c>
      <c r="DK90" s="24" t="n"/>
      <c r="DL90" s="24" t="n"/>
      <c r="DM90" s="24" t="n"/>
      <c r="DN90" s="24" t="n"/>
      <c r="DO90" s="24" t="n"/>
      <c r="DP90" s="24" t="n"/>
      <c r="DQ90" s="24" t="inlineStr">
        <is>
          <t>{"artifact_hash": "285b481ad13a9b9591f061208b7147317414441e6430aa1d6a09a5d56781245c", "away_team": "NS Team", "event_id": "119816", "event_start_utc": "2026-09-21T15:30:00Z", "features": {"away_elo": 1412.932349, "away_history_count": 4, "home_elo": 1631.135528, "home_history_count": 15}, "historical_source_observation_times_verified": false, "home_team": "YBN Team", "inference_inputs": {"book_state": {"games_played": {"bo3:4:20842": 15, "bo3:4:22043": 4}, "inactivity_half_life_days": null, "inactivity_max_pull": null, "k": 48.0, "last_match_utc": {"bo3:4:20842": "2025-10-05T17:00:00Z", "bo3:4:22043": "2025-11-24T13:00:00Z"}, "minimum_reliable_games": null, "platt_intercept": 0.09662715403093078, "platt_slope": 0.8383582311538623, "ratings": {"bo3:4:20842": 1631.135528, "bo3:4:22043": 1412.932349},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"2026-09-21T10:08:30.193093+00:00", "team_ids": ["bo3:4:20842", "bo3:4:22043"]}, "market_type": "moneyline", "model_version": "dota2-tiered-elo-v6", "observed_at_utc": "2026-09-21T10:08:30.193093+00:00", "probabilities": {"away": 0.423822, "home": 0.576178}, "replay_scope": "Exact serving book state, calibration, temperature, inactivity reference and thin-history adjustments; training provenance not certified.", "schema": "esports-elo-replay-v1", "snapshot_hash": "7d77c22177c9a855232d5f2c624157ade884f3853ce89e9863cf268ced22cade", "sport": "DOTA2"}</t>
        </is>
      </c>
    </row>
    <row r="91" ht="36" customHeight="1">
      <c r="A91" s="24" t="inlineStr">
        <is>
          <t>f2fa364703534893</t>
        </is>
      </c>
      <c r="B91" s="24" t="inlineStr">
        <is>
          <t>2026-09-21T16:17:34.242781Z</t>
        </is>
      </c>
      <c r="C91" s="24" t="inlineStr">
        <is>
          <t>2026-09-21T18:00:00Z</t>
        </is>
      </c>
      <c r="D91" s="24" t="inlineStr">
        <is>
          <t>119817</t>
        </is>
      </c>
      <c r="E91" s="24" t="inlineStr">
        <is>
          <t>DOTA2</t>
        </is>
      </c>
      <c r="F91" s="24" t="inlineStr">
        <is>
          <t>Rostik Team</t>
        </is>
      </c>
      <c r="G91" s="24" t="inlineStr">
        <is>
          <t>Travoman Team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-163</v>
      </c>
      <c r="M91" s="27" t="n">
        <v>1.613497</v>
      </c>
      <c r="N91" s="28" t="n">
        <v>0.619772</v>
      </c>
      <c r="O91" s="28" t="n">
        <v>0.511687</v>
      </c>
      <c r="P91" s="28" t="n"/>
      <c r="Q91" s="28" t="n">
        <v>-0.108085</v>
      </c>
      <c r="R91" s="26" t="n">
        <v>0</v>
      </c>
      <c r="S91" s="29" t="n">
        <v>1</v>
      </c>
      <c r="T91" s="24" t="inlineStr">
        <is>
          <t>dota2-tiered-elo-v6</t>
        </is>
      </c>
      <c r="U91" s="24" t="inlineStr">
        <is>
          <t>settled</t>
        </is>
      </c>
      <c r="V91" s="24" t="inlineStr">
        <is>
          <t>loss</t>
        </is>
      </c>
      <c r="W91" s="26" t="n">
        <v>1</v>
      </c>
      <c r="X91" s="26" t="n">
        <v>0</v>
      </c>
      <c r="Y91" s="25" t="n"/>
      <c r="Z91" s="26" t="n"/>
      <c r="AA91" s="28" t="n"/>
      <c r="AB91" s="28" t="n"/>
      <c r="AC91" s="30" t="n">
        <v>-1</v>
      </c>
      <c r="AD91" s="24" t="inlineStr">
        <is>
          <t>2026-09-22T04:40:42.021224Z</t>
        </is>
      </c>
      <c r="AE91" s="31" t="inlineStr">
        <is>
          <t>Neutral Elo baseline; executable ask 0.6200 (market_slug=aec-dota2-tt-rt-2026-09-21).</t>
        </is>
      </c>
      <c r="AF91" s="31" t="inlineStr">
        <is>
          <t>Config-promoted esports baseline; gates enforced at log time.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Rostik Team</t>
        </is>
      </c>
      <c r="AQ91" s="24" t="inlineStr">
        <is>
          <t>Rostik Team</t>
        </is>
      </c>
      <c r="AR91" s="24" t="inlineStr">
        <is>
          <t>Rostik Team</t>
        </is>
      </c>
      <c r="AS91" s="24" t="inlineStr">
        <is>
          <t>Travoman Team</t>
        </is>
      </c>
      <c r="AT91" s="24" t="inlineStr">
        <is>
          <t>Travoman Team</t>
        </is>
      </c>
      <c r="AU91" s="24" t="inlineStr">
        <is>
          <t>Travoman Team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c47d1aa42b0f7b097881b08019de633e6097d6b39bc85c7be2e487d89b6911bf</t>
        </is>
      </c>
      <c r="BB91" s="24" t="inlineStr">
        <is>
          <t>neutral_elo</t>
        </is>
      </c>
      <c r="BC91" s="24" t="inlineStr">
        <is>
          <t>dota2-tiered-elo-v6</t>
        </is>
      </c>
      <c r="BD91" s="24" t="inlineStr">
        <is>
          <t>c47d1aa42b0f7b097881b08019de633e6097d6b39bc85c7be2e487d89b6911bf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dota2-tiered-elo-v6</t>
        </is>
      </c>
      <c r="BH91" s="24" t="inlineStr">
        <is>
          <t>2026-09-21T16:17:17.633312Z</t>
        </is>
      </c>
      <c r="BI91" s="24" t="inlineStr">
        <is>
          <t>["same_event","same_team_same_day","same_league_same_day"]</t>
        </is>
      </c>
      <c r="BJ91" s="25" t="n"/>
      <c r="BK91" s="26" t="n">
        <v>-163</v>
      </c>
      <c r="BL91" s="27" t="n">
        <v>1.613497</v>
      </c>
      <c r="BM91" s="28" t="n">
        <v>0.619772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0.619772</t>
        </is>
      </c>
      <c r="DK91" s="24" t="n"/>
      <c r="DL91" s="24" t="n"/>
      <c r="DM91" s="24" t="n"/>
      <c r="DN91" s="24" t="n"/>
      <c r="DO91" s="24" t="n"/>
      <c r="DP91" s="24" t="n"/>
      <c r="DQ91" s="24" t="inlineStr">
        <is>
          <t>{"artifact_hash": "c47d1aa42b0f7b097881b08019de633e6097d6b39bc85c7be2e487d89b6911bf", "away_team": "Rostik Team", "event_id": "119817", "event_start_utc": "2026-09-21T18:00:00Z", "features": {"away_elo": 1576.217993, "away_history_count": 15, "home_elo": 1555.823655, "home_history_count": 21}, "historical_source_observation_times_verified": false, "home_team": "Travoman Team", "inference_inputs": {"book_state": {"games_played": {"bo3:4:20835": 15, "bo3:4:20839": 21}, "inactivity_half_life_days": null, "inactivity_max_pull": null, "k": 48.0, "last_match_utc": {"bo3:4:20835": "2025-11-30T14:10:00Z", "bo3:4:20839": "2025-11-30T08:00:00Z"}, "minimum_reliable_games": null, "platt_intercept": 0.09514456061871922, "platt_slope": 0.8376863483256618, "ratings": {"bo3:4:20835": 1576.217993, "bo3:4:20839": 1555.823655},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"2026-09-21T16:17:17.205732+00:00", "team_ids": ["bo3:4:20839", "bo3:4:20835"]}, "market_type": "moneyline", "model_version": "dota2-tiered-elo-v6", "observed_at_utc": "2026-09-21T16:17:17.205732+00:00", "probabilities": {"away": 0.488313, "home": 0.511687}, "replay_scope": "Exact serving book state, calibration, temperature, inactivity reference and thin-history adjustments; training provenance not certified.", "schema": "esports-elo-replay-v1", "snapshot_hash": "b5bb7a7e2bd772b69f4851b984149d96bc3cc0bbd91d2d9ac9030520a62ef013", "sport": "DOTA2"}</t>
        </is>
      </c>
    </row>
    <row r="92" ht="36" customHeight="1">
      <c r="A92" s="24" t="inlineStr">
        <is>
          <t>8bbcefffd85b44bd</t>
        </is>
      </c>
      <c r="B92" s="24" t="inlineStr">
        <is>
          <t>2026-09-22T04:51:57.173975Z</t>
        </is>
      </c>
      <c r="C92" s="24" t="inlineStr">
        <is>
          <t>2026-09-22T07:00:00Z</t>
        </is>
      </c>
      <c r="D92" s="24" t="inlineStr">
        <is>
          <t>121061</t>
        </is>
      </c>
      <c r="E92" s="24" t="inlineStr">
        <is>
          <t>DOTA2</t>
        </is>
      </c>
      <c r="F92" s="24" t="inlineStr">
        <is>
          <t>GamerLegion</t>
        </is>
      </c>
      <c r="G92" s="24" t="inlineStr">
        <is>
          <t>Team Nemesis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144</v>
      </c>
      <c r="M92" s="27" t="n">
        <v>2.44</v>
      </c>
      <c r="N92" s="28" t="n">
        <v>0.409836</v>
      </c>
      <c r="O92" s="28" t="n">
        <v>0.6082</v>
      </c>
      <c r="P92" s="28" t="n"/>
      <c r="Q92" s="28" t="n">
        <v>0.198364</v>
      </c>
      <c r="R92" s="26" t="n">
        <v>100</v>
      </c>
      <c r="S92" s="29" t="n">
        <v>2</v>
      </c>
      <c r="T92" s="24" t="inlineStr">
        <is>
          <t>dota2-tiered-elo-v6</t>
        </is>
      </c>
      <c r="U92" s="24" t="inlineStr">
        <is>
          <t>settled</t>
        </is>
      </c>
      <c r="V92" s="24" t="inlineStr">
        <is>
          <t>loss</t>
        </is>
      </c>
      <c r="W92" s="26" t="n">
        <v>1</v>
      </c>
      <c r="X92" s="26" t="n">
        <v>0</v>
      </c>
      <c r="Y92" s="25" t="n"/>
      <c r="Z92" s="26" t="n"/>
      <c r="AA92" s="28" t="n"/>
      <c r="AB92" s="28" t="n"/>
      <c r="AC92" s="30" t="n">
        <v>-2</v>
      </c>
      <c r="AD92" s="24" t="inlineStr">
        <is>
          <t>2026-09-22T16:02:32.217510Z</t>
        </is>
      </c>
      <c r="AE92" s="31" t="inlineStr">
        <is>
          <t>Neutral Elo baseline; executable ask 0.4100 (market_slug=aec-dota2-nem-gl-2026-09-22).</t>
        </is>
      </c>
      <c r="AF92" s="31" t="inlineStr">
        <is>
          <t>Config-promoted esports baseline; gates enforced at log time.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GamerLegion</t>
        </is>
      </c>
      <c r="AQ92" s="24" t="inlineStr">
        <is>
          <t>GamerLegion</t>
        </is>
      </c>
      <c r="AR92" s="24" t="inlineStr">
        <is>
          <t>GamerLegion</t>
        </is>
      </c>
      <c r="AS92" s="24" t="inlineStr">
        <is>
          <t>Team Nemesis</t>
        </is>
      </c>
      <c r="AT92" s="24" t="inlineStr">
        <is>
          <t>Team Nemesis</t>
        </is>
      </c>
      <c r="AU92" s="24" t="inlineStr">
        <is>
          <t>Team Nemesis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c09e17fd29fe57a109e8a8aee2a37844e927020f60a456112e2ca335f9b481fa</t>
        </is>
      </c>
      <c r="BB92" s="24" t="inlineStr">
        <is>
          <t>neutral_elo</t>
        </is>
      </c>
      <c r="BC92" s="24" t="inlineStr">
        <is>
          <t>dota2-tiered-elo-v6</t>
        </is>
      </c>
      <c r="BD92" s="24" t="inlineStr">
        <is>
          <t>c09e17fd29fe57a109e8a8aee2a37844e927020f60a456112e2ca335f9b481fa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dota2-tiered-elo-v6</t>
        </is>
      </c>
      <c r="BH92" s="24" t="inlineStr">
        <is>
          <t>2026-09-22T04:50:59.506283Z</t>
        </is>
      </c>
      <c r="BI92" s="24" t="inlineStr">
        <is>
          <t>["same_event","same_team_same_day","same_league_same_day"]</t>
        </is>
      </c>
      <c r="BJ92" s="25" t="n"/>
      <c r="BK92" s="26" t="n">
        <v>144</v>
      </c>
      <c r="BL92" s="27" t="n">
        <v>2.44</v>
      </c>
      <c r="BM92" s="28" t="n">
        <v>0.409836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0.409836</t>
        </is>
      </c>
      <c r="DK92" s="24" t="n"/>
      <c r="DL92" s="24" t="n"/>
      <c r="DM92" s="24" t="n"/>
      <c r="DN92" s="24" t="n"/>
      <c r="DO92" s="24" t="n"/>
      <c r="DP92" s="24" t="n"/>
      <c r="DQ92" s="24" t="inlineStr">
        <is>
          <t>{"artifact_hash": "c09e17fd29fe57a109e8a8aee2a37844e927020f60a456112e2ca335f9b481fa", "away_team": "GamerLegion", "event_id": "121061", "event_start_utc": "2026-09-22T07:00:00Z", "features": {"away_elo": 1799.747312, "away_history_count": 93, "home_elo": 1888.237391, "home_history_count": 125}, "historical_source_observation_times_verified": false, "home_team": "Team Nemesis", "inference_inputs": {"book_state": {"games_played": {"bo3:4:20355": 125, "bo3:4:22027": 93}, "inactivity_half_life_days": null, "inactivity_max_pull": null, "k": 48.0, "last_match_utc": {"bo3:4:20355": "2026-09-21T10:30:00Z", "bo3:4:22027": "2026-09-21T07:00:00Z"}, "minimum_reliable_games": null, "platt_intercept": 0.09434386281116292, "platt_slope": 0.8355754143743471, "ratings": {"bo3:4:20355": 1888.237391, "bo3:4:22027": 1799.747312},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"2026-09-22T04:50:53.638197+00:00", "team_ids": ["bo3:4:20355", "bo3:4:22027"]}, "market_type": "moneyline", "model_version": "dota2-tiered-elo-v6", "observed_at_utc": "2026-09-22T04:50:53.638197+00:00", "probabilities": {"away": 0.3918, "home": 0.6082}, "replay_scope": "Exact serving book state, calibration, temperature, inactivity reference and thin-history adjustments; training provenance not certified.", "schema": "esports-elo-replay-v1", "snapshot_hash": "3c6406ddda0bfd7e42170197c67139e28c66d9a8fa7bf8c1eaa56483a176f78e", "sport": "DOTA2"}</t>
        </is>
      </c>
    </row>
    <row r="93" ht="36" customHeight="1">
      <c r="A93" s="24" t="inlineStr">
        <is>
          <t>9e762ef680e34c72</t>
        </is>
      </c>
      <c r="B93" s="24" t="inlineStr">
        <is>
          <t>2026-09-22T04:51:57.173975Z</t>
        </is>
      </c>
      <c r="C93" s="24" t="inlineStr">
        <is>
          <t>2026-09-22T09:00:00Z</t>
        </is>
      </c>
      <c r="D93" s="24" t="inlineStr">
        <is>
          <t>121226</t>
        </is>
      </c>
      <c r="E93" s="24" t="inlineStr">
        <is>
          <t>DOTA2</t>
        </is>
      </c>
      <c r="F93" s="24" t="inlineStr">
        <is>
          <t>Team Lynx</t>
        </is>
      </c>
      <c r="G93" s="24" t="inlineStr">
        <is>
          <t>Zero Tenacity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104</v>
      </c>
      <c r="M93" s="27" t="n">
        <v>2.04</v>
      </c>
      <c r="N93" s="28" t="n">
        <v>0.490196</v>
      </c>
      <c r="O93" s="28" t="n">
        <v>0.505142</v>
      </c>
      <c r="P93" s="28" t="n"/>
      <c r="Q93" s="28" t="n">
        <v>0.014946</v>
      </c>
      <c r="R93" s="26" t="n">
        <v>27</v>
      </c>
      <c r="S93" s="29" t="n">
        <v>1</v>
      </c>
      <c r="T93" s="24" t="inlineStr">
        <is>
          <t>dota2-tiered-elo-v6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0</v>
      </c>
      <c r="Y93" s="25" t="n"/>
      <c r="Z93" s="26" t="n"/>
      <c r="AA93" s="28" t="n"/>
      <c r="AB93" s="28" t="n"/>
      <c r="AC93" s="30" t="n">
        <v>-1</v>
      </c>
      <c r="AD93" s="24" t="inlineStr">
        <is>
          <t>2026-09-22T16:02:32.470903Z</t>
        </is>
      </c>
      <c r="AE93" s="31" t="inlineStr">
        <is>
          <t>Neutral Elo baseline; executable ask 0.4900 (market_slug=aec-dota2-z10-lynx-2026-09-22).</t>
        </is>
      </c>
      <c r="AF93" s="31" t="inlineStr">
        <is>
          <t>Config-promoted esports baseline; gates enforced at log time.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paper_call</t>
        </is>
      </c>
      <c r="AL93" s="26" t="n">
        <v>4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PAPER_CALL_LOW_EDGE</t>
        </is>
      </c>
      <c r="AP93" s="24" t="inlineStr">
        <is>
          <t>Team Lynx</t>
        </is>
      </c>
      <c r="AQ93" s="24" t="inlineStr">
        <is>
          <t>Team Lynx</t>
        </is>
      </c>
      <c r="AR93" s="24" t="inlineStr">
        <is>
          <t>Team Lynx</t>
        </is>
      </c>
      <c r="AS93" s="24" t="inlineStr">
        <is>
          <t>Zero Tenacity</t>
        </is>
      </c>
      <c r="AT93" s="24" t="inlineStr">
        <is>
          <t>Zero Tenacity</t>
        </is>
      </c>
      <c r="AU93" s="24" t="inlineStr">
        <is>
          <t>Zero Tenacity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c09e17fd29fe57a109e8a8aee2a37844e927020f60a456112e2ca335f9b481fa</t>
        </is>
      </c>
      <c r="BB93" s="24" t="inlineStr">
        <is>
          <t>neutral_elo</t>
        </is>
      </c>
      <c r="BC93" s="24" t="inlineStr">
        <is>
          <t>dota2-tiered-elo-v6</t>
        </is>
      </c>
      <c r="BD93" s="24" t="inlineStr">
        <is>
          <t>c09e17fd29fe57a109e8a8aee2a37844e927020f60a456112e2ca335f9b481fa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dota2-tiered-elo-v6</t>
        </is>
      </c>
      <c r="BH93" s="24" t="inlineStr">
        <is>
          <t>2026-09-22T04:50:59.576052Z</t>
        </is>
      </c>
      <c r="BI93" s="24" t="inlineStr">
        <is>
          <t>["same_event","same_team_same_day","same_league_same_day"]</t>
        </is>
      </c>
      <c r="BJ93" s="25" t="n"/>
      <c r="BK93" s="26" t="n">
        <v>104</v>
      </c>
      <c r="BL93" s="27" t="n">
        <v>2.04</v>
      </c>
      <c r="BM93" s="28" t="n">
        <v>0.490196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0.490196</t>
        </is>
      </c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"c09e17fd29fe57a109e8a8aee2a37844e927020f60a456112e2ca335f9b481fa", "away_team": "Team Lynx", "event_id": "121226", "event_start_utc": "2026-09-22T09:00:00Z", "features": {"away_elo": 1626.36317, "away_history_count": 179, "home_elo": 1611.991722, "home_history_count": 345}, "historical_source_observation_times_verified": false, "home_team": "Zero Tenacity", "inference_inputs": {"book_state": {"games_played": {"bo3:4:18713": 345, "bo3:4:19913": 179}, "inactivity_half_life_days": null, "inactivity_max_pull": null, "k": 48.0, "last_match_utc": {"bo3:4:18713": "2026-09-21T12:00:00Z", "bo3:4:19913": "2026-09-21T18:00:00Z"}, "minimum_reliable_games": null, "platt_intercept": 0.09434386281116292, "platt_slope": 0.8355754143743471, "ratings": {"bo3:4:18713": 1611.991722, "bo3:4:19913": 1626.36317},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"2026-09-22T04:50:53.638197+00:00", "team_ids": ["bo3:4:18713", "bo3:4:19913"]}, "market_type": "moneyline", "model_version": "dota2-tiered-elo-v6", "observed_at_utc": "2026-09-22T04:50:53.638197+00:00", "probabilities": {"away": 0.494858, "home": 0.505142}, "replay_scope": "Exact serving book state, calibration, temperature, inactivity reference and thin-history adjustments; training provenance not certified.", "schema": "esports-elo-replay-v1", "snapshot_hash": "2a240843081dcc75791f286fd8204d27e113a09188cb8f25f45550d8ab6e733c", "sport": "DOTA2"}</t>
        </is>
      </c>
    </row>
    <row r="94" ht="36" customHeight="1">
      <c r="A94" s="24" t="inlineStr">
        <is>
          <t>20ada3dabe924659</t>
        </is>
      </c>
      <c r="B94" s="24" t="inlineStr">
        <is>
          <t>2026-09-22T10:10:23.479065Z</t>
        </is>
      </c>
      <c r="C94" s="24" t="inlineStr">
        <is>
          <t>2026-09-22T13:00:00Z</t>
        </is>
      </c>
      <c r="D94" s="24" t="inlineStr">
        <is>
          <t>119818</t>
        </is>
      </c>
      <c r="E94" s="24" t="inlineStr">
        <is>
          <t>DOTA2</t>
        </is>
      </c>
      <c r="F94" s="24" t="inlineStr">
        <is>
          <t>Daxak Team</t>
        </is>
      </c>
      <c r="G94" s="24" t="inlineStr">
        <is>
          <t>avice Team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127</v>
      </c>
      <c r="M94" s="27" t="n">
        <v>2.27</v>
      </c>
      <c r="N94" s="28" t="n">
        <v>0.440529</v>
      </c>
      <c r="O94" s="28" t="n">
        <v>0.51023</v>
      </c>
      <c r="P94" s="28" t="n"/>
      <c r="Q94" s="28" t="n">
        <v>0.069701</v>
      </c>
      <c r="R94" s="26" t="n">
        <v>55</v>
      </c>
      <c r="S94" s="29" t="n">
        <v>1.25</v>
      </c>
      <c r="T94" s="24" t="inlineStr">
        <is>
          <t>dota2-tiered-elo-v6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0</v>
      </c>
      <c r="Y94" s="25" t="n"/>
      <c r="Z94" s="26" t="n"/>
      <c r="AA94" s="28" t="n"/>
      <c r="AB94" s="28" t="n"/>
      <c r="AC94" s="30" t="n">
        <v>-1.25</v>
      </c>
      <c r="AD94" s="24" t="inlineStr">
        <is>
          <t>2026-09-23T04:34:08.462279Z</t>
        </is>
      </c>
      <c r="AE94" s="31" t="inlineStr">
        <is>
          <t>Neutral Elo baseline; executable ask 0.4400 (market_slug=aec-dota2-avi-dxk-2026-09-22).</t>
        </is>
      </c>
      <c r="AF94" s="31" t="inlineStr">
        <is>
          <t>Config-promoted esports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PAPER_CALL_MODEL_UNVALIDATED</t>
        </is>
      </c>
      <c r="AP94" s="24" t="inlineStr">
        <is>
          <t>Daxak Team</t>
        </is>
      </c>
      <c r="AQ94" s="24" t="inlineStr">
        <is>
          <t>Daxak Team</t>
        </is>
      </c>
      <c r="AR94" s="24" t="inlineStr">
        <is>
          <t>Daxak Team</t>
        </is>
      </c>
      <c r="AS94" s="24" t="inlineStr">
        <is>
          <t>avice Team</t>
        </is>
      </c>
      <c r="AT94" s="24" t="inlineStr">
        <is>
          <t>avice Team</t>
        </is>
      </c>
      <c r="AU94" s="24" t="inlineStr">
        <is>
          <t>avice Team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79c42233d7ac5e8ac077a230b9b526ae8b0162c9260dd58ed98acf7dcb151c06</t>
        </is>
      </c>
      <c r="BB94" s="24" t="inlineStr">
        <is>
          <t>neutral_elo</t>
        </is>
      </c>
      <c r="BC94" s="24" t="inlineStr">
        <is>
          <t>dota2-tiered-elo-v6</t>
        </is>
      </c>
      <c r="BD94" s="24" t="inlineStr">
        <is>
          <t>79c42233d7ac5e8ac077a230b9b526ae8b0162c9260dd58ed98acf7dcb151c06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dota2-tiered-elo-v6</t>
        </is>
      </c>
      <c r="BH94" s="24" t="inlineStr">
        <is>
          <t>2026-09-22T10:09:44.481284Z</t>
        </is>
      </c>
      <c r="BI94" s="24" t="inlineStr">
        <is>
          <t>["same_event","same_team_same_day","same_league_same_day"]</t>
        </is>
      </c>
      <c r="BJ94" s="25" t="n"/>
      <c r="BK94" s="26" t="n">
        <v>127</v>
      </c>
      <c r="BL94" s="27" t="n">
        <v>2.27</v>
      </c>
      <c r="BM94" s="28" t="n">
        <v>0.440529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0.440529</t>
        </is>
      </c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"79c42233d7ac5e8ac077a230b9b526ae8b0162c9260dd58ed98acf7dcb151c06", "away_team": "Daxak Team", "event_id": "119818", "event_start_utc": "2026-09-22T13:00:00Z", "features": {"away_elo": 1500.0, "away_history_count": 0, "home_elo": 1500.0, "home_history_count": 0}, "historical_source_observation_times_verified": false, "home_team": "avice Team", "inference_inputs": {"book_state": {"games_played": {}, "inactivity_half_life_days": null, "inactivity_max_pull": null, "k": 48.0, "last_match_utc": {}, "minimum_reliable_games": null, "platt_intercept": 0.09662439842567334, "platt_slope": 0.8360853180634342,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"2026-09-22T10:09:34.796288+00:00", "team_ids": ["unknown:aviceteam", "unknown:daxakteam"]}, "market_type": "moneyline", "model_version": "dota2-tiered-elo-v6", "observed_at_utc": "2026-09-22T10:09:34.796288+00:00", "probabilities": {"away": 0.48977, "home": 0.51023}, "replay_scope": "Exact serving book state, calibration, temperature, inactivity reference and thin-history adjustments; training provenance not certified.", "schema": "esports-elo-replay-v1", "snapshot_hash": "7dc11af330089d04a46aefc009aa7ffc8bae33bcd8453defac0f47d81733637a", "sport": "DOTA2"}</t>
        </is>
      </c>
    </row>
    <row r="95" ht="36" customHeight="1">
      <c r="A95" s="24" t="inlineStr">
        <is>
          <t>dbd0ffbb584b4880</t>
        </is>
      </c>
      <c r="B95" s="24" t="inlineStr">
        <is>
          <t>2026-09-22T10:10:23.479065Z</t>
        </is>
      </c>
      <c r="C95" s="24" t="inlineStr">
        <is>
          <t>2026-09-22T15:00:00Z</t>
        </is>
      </c>
      <c r="D95" s="24" t="inlineStr">
        <is>
          <t>121227</t>
        </is>
      </c>
      <c r="E95" s="24" t="inlineStr">
        <is>
          <t>DOTA2</t>
        </is>
      </c>
      <c r="F95" s="24" t="inlineStr">
        <is>
          <t>Yellow Submarine</t>
        </is>
      </c>
      <c r="G95" s="24" t="inlineStr">
        <is>
          <t>Two Move</t>
        </is>
      </c>
      <c r="H95" s="24" t="inlineStr">
        <is>
          <t>moneyline</t>
        </is>
      </c>
      <c r="I95" s="24" t="inlineStr">
        <is>
          <t>away</t>
        </is>
      </c>
      <c r="J95" s="25" t="n"/>
      <c r="K95" s="24" t="inlineStr">
        <is>
          <t>polymarket_us</t>
        </is>
      </c>
      <c r="L95" s="26" t="n">
        <v>-113</v>
      </c>
      <c r="M95" s="27" t="n">
        <v>1.884956</v>
      </c>
      <c r="N95" s="28" t="n">
        <v>0.530516</v>
      </c>
      <c r="O95" s="28" t="n">
        <v>0.573434</v>
      </c>
      <c r="P95" s="28" t="n"/>
      <c r="Q95" s="28" t="n">
        <v>0.042918</v>
      </c>
      <c r="R95" s="26" t="n">
        <v>41</v>
      </c>
      <c r="S95" s="29" t="n">
        <v>1</v>
      </c>
      <c r="T95" s="24" t="inlineStr">
        <is>
          <t>dota2-tiered-elo-v6</t>
        </is>
      </c>
      <c r="U95" s="24" t="inlineStr">
        <is>
          <t>settled</t>
        </is>
      </c>
      <c r="V95" s="24" t="inlineStr">
        <is>
          <t>win</t>
        </is>
      </c>
      <c r="W95" s="26" t="n">
        <v>1</v>
      </c>
      <c r="X95" s="26" t="n">
        <v>0</v>
      </c>
      <c r="Y95" s="25" t="n"/>
      <c r="Z95" s="26" t="n"/>
      <c r="AA95" s="28" t="n"/>
      <c r="AB95" s="28" t="n"/>
      <c r="AC95" s="30" t="n">
        <v>0.885</v>
      </c>
      <c r="AD95" s="24" t="inlineStr">
        <is>
          <t>2026-09-23T04:34:08.657676Z</t>
        </is>
      </c>
      <c r="AE95" s="31" t="inlineStr">
        <is>
          <t>Neutral Elo baseline; executable ask 0.5300 (market_slug=aec-dota2-tm-yes-2026-09-22).</t>
        </is>
      </c>
      <c r="AF95" s="31" t="inlineStr">
        <is>
          <t>Config-promoted esports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Yellow Submarine</t>
        </is>
      </c>
      <c r="AQ95" s="24" t="inlineStr">
        <is>
          <t>Yellow Submarine</t>
        </is>
      </c>
      <c r="AR95" s="24" t="inlineStr">
        <is>
          <t>Yellow Submarine</t>
        </is>
      </c>
      <c r="AS95" s="24" t="inlineStr">
        <is>
          <t>Two Move</t>
        </is>
      </c>
      <c r="AT95" s="24" t="inlineStr">
        <is>
          <t>Two Move</t>
        </is>
      </c>
      <c r="AU95" s="24" t="inlineStr">
        <is>
          <t>Two Move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79c42233d7ac5e8ac077a230b9b526ae8b0162c9260dd58ed98acf7dcb151c06</t>
        </is>
      </c>
      <c r="BB95" s="24" t="inlineStr">
        <is>
          <t>neutral_elo</t>
        </is>
      </c>
      <c r="BC95" s="24" t="inlineStr">
        <is>
          <t>dota2-tiered-elo-v6</t>
        </is>
      </c>
      <c r="BD95" s="24" t="inlineStr">
        <is>
          <t>79c42233d7ac5e8ac077a230b9b526ae8b0162c9260dd58ed98acf7dcb151c06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dota2-tiered-elo-v6</t>
        </is>
      </c>
      <c r="BH95" s="24" t="inlineStr">
        <is>
          <t>2026-09-22T10:09:55.013172Z</t>
        </is>
      </c>
      <c r="BI95" s="24" t="inlineStr">
        <is>
          <t>["same_event","same_team_same_day","same_league_same_day"]</t>
        </is>
      </c>
      <c r="BJ95" s="25" t="n"/>
      <c r="BK95" s="26" t="n">
        <v>-113</v>
      </c>
      <c r="BL95" s="27" t="n">
        <v>1.884956</v>
      </c>
      <c r="BM95" s="28" t="n">
        <v>0.530516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0.530516</t>
        </is>
      </c>
      <c r="DK95" s="24" t="n"/>
      <c r="DL95" s="24" t="n"/>
      <c r="DM95" s="24" t="n"/>
      <c r="DN95" s="24" t="n"/>
      <c r="DO95" s="24" t="n"/>
      <c r="DP95" s="24" t="n"/>
      <c r="DQ95" s="24" t="inlineStr">
        <is>
          <t>{"artifact_hash": "79c42233d7ac5e8ac077a230b9b526ae8b0162c9260dd58ed98acf7dcb151c06", "away_team": "Yellow Submarine", "event_id": "121227", "event_start_utc": "2026-09-22T15:00:00Z", "features": {"away_elo": 1792.51459, "away_history_count": 280, "home_elo": 1699.779467, "home_history_count": 14}, "historical_source_observation_times_verified": false, "home_team": "Two Move", "inference_inputs": {"book_state": {"games_played": {"bo3:4:16486": 280, "bo3:4:23662": 14}, "inactivity_half_life_days": null, "inactivity_max_pull": null, "k": 48.0, "last_match_utc": {"bo3:4:16486": "2026-09-21T18:00:00Z", "bo3:4:23662": "2026-09-21T12:00:00Z"}, "minimum_reliable_games": null, "platt_intercept": 0.09662439842567334, "platt_slope": 0.8360853180634342, "ratings": {"bo3:4:16486": 1792.51459, "bo3:4:23662": 1699.779467},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"2026-09-22T10:09:34.796288+00:00", "team_ids": ["bo3:4:23662", "bo3:4:16486"]}, "market_type": "moneyline", "model_version": "dota2-tiered-elo-v6", "observed_at_utc": "2026-09-22T10:09:34.796288+00:00", "probabilities": {"away": 0.573434, "home": 0.426566}, "replay_scope": "Exact serving book state, calibration, temperature, inactivity reference and thin-history adjustments; training provenance not certified.", "schema": "esports-elo-replay-v1", "snapshot_hash": "861160f68e8b7b1ec5f0f73a9a6a632ef81f0f7074ef606965ab62b2dc4bb2bc", "sport": "DOTA2"}</t>
        </is>
      </c>
    </row>
    <row r="96" ht="36" customHeight="1">
      <c r="A96" s="24" t="inlineStr">
        <is>
          <t>4be77e84a1194e0b</t>
        </is>
      </c>
      <c r="B96" s="24" t="inlineStr">
        <is>
          <t>2026-09-23T10:11:28.398177Z</t>
        </is>
      </c>
      <c r="C96" s="24" t="inlineStr">
        <is>
          <t>2026-09-23T15:00:00Z</t>
        </is>
      </c>
      <c r="D96" s="24" t="inlineStr">
        <is>
          <t>119830</t>
        </is>
      </c>
      <c r="E96" s="24" t="inlineStr">
        <is>
          <t>DOTA2</t>
        </is>
      </c>
      <c r="F96" s="24" t="inlineStr">
        <is>
          <t>gpk Team</t>
        </is>
      </c>
      <c r="G96" s="24" t="inlineStr">
        <is>
          <t>avice Team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0.510778</v>
      </c>
      <c r="P96" s="28" t="n"/>
      <c r="Q96" s="28" t="n">
        <v>-0.060037</v>
      </c>
      <c r="R96" s="26" t="n">
        <v>0</v>
      </c>
      <c r="S96" s="29" t="n">
        <v>1</v>
      </c>
      <c r="T96" s="24" t="inlineStr">
        <is>
          <t>dota2-tiered-elo-v6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-133</v>
      </c>
      <c r="AA96" s="28" t="n">
        <v>0.57</v>
      </c>
      <c r="AB96" s="28" t="n">
        <v>-0.000815</v>
      </c>
      <c r="AC96" s="30" t="n">
        <v>0.7519</v>
      </c>
      <c r="AD96" s="24" t="inlineStr">
        <is>
          <t>2026-09-23T22:27:43.078471Z</t>
        </is>
      </c>
      <c r="AE96" s="31" t="inlineStr">
        <is>
          <t>Neutral Elo baseline; executable ask 0.5700 (market_slug=aec-dota2-avi-gpk-2026-09-23).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PAPER_CALL_MODEL_UNVALIDATED</t>
        </is>
      </c>
      <c r="AP96" s="24" t="inlineStr">
        <is>
          <t>gpk Team</t>
        </is>
      </c>
      <c r="AQ96" s="24" t="inlineStr">
        <is>
          <t>gpk Team</t>
        </is>
      </c>
      <c r="AR96" s="24" t="inlineStr">
        <is>
          <t>gpk Team</t>
        </is>
      </c>
      <c r="AS96" s="24" t="inlineStr">
        <is>
          <t>avice Team</t>
        </is>
      </c>
      <c r="AT96" s="24" t="inlineStr">
        <is>
          <t>avice Team</t>
        </is>
      </c>
      <c r="AU96" s="24" t="inlineStr">
        <is>
          <t>avice Team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7c88b128c38a813c3c7d9705b1cdee3cd223333ed1d85d46c7f84fca9e8c7723</t>
        </is>
      </c>
      <c r="BB96" s="24" t="inlineStr">
        <is>
          <t>neutral_elo</t>
        </is>
      </c>
      <c r="BC96" s="24" t="inlineStr">
        <is>
          <t>dota2-tiered-elo-v6</t>
        </is>
      </c>
      <c r="BD96" s="24" t="inlineStr">
        <is>
          <t>7c88b128c38a813c3c7d9705b1cdee3cd223333ed1d85d46c7f84fca9e8c7723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dota2-tiered-elo-v6</t>
        </is>
      </c>
      <c r="BH96" s="24" t="inlineStr">
        <is>
          <t>2026-09-23T10:11:04.878348Z</t>
        </is>
      </c>
      <c r="BI96" s="24" t="inlineStr">
        <is>
          <t>["same_event","same_team_same_day","same_league_same_day"]</t>
        </is>
      </c>
      <c r="BJ96" s="25" t="n"/>
      <c r="BK96" s="26" t="n">
        <v>-133</v>
      </c>
      <c r="BL96" s="27" t="n">
        <v>1.75188</v>
      </c>
      <c r="BM96" s="28" t="n">
        <v>0.570815</v>
      </c>
      <c r="BN96" s="28" t="n"/>
      <c r="BO96" s="28" t="n"/>
      <c r="BP96" s="25" t="n"/>
      <c r="BQ96" s="27" t="n">
        <v>1.75188</v>
      </c>
      <c r="BR96" s="28" t="n">
        <v>0.57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0.570815</t>
        </is>
      </c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"7c88b128c38a813c3c7d9705b1cdee3cd223333ed1d85d46c7f84fca9e8c7723", "away_team": "gpk Team", "event_id": "119830", "event_start_utc": "2026-09-23T15:00:00Z", "features": {"away_elo": 1500.0, "away_history_count": 0, "home_elo": 1500.0, "home_history_count": 0}, "historical_source_observation_times_verified": false, "home_team": "avice Team", "inference_inputs": {"book_state": {"games_played": {}, "inactivity_half_life_days": null, "inactivity_max_pull": null, "k": 48.0, "last_match_utc": {}, "minimum_reliable_games": null, "platt_intercept": 0.10181087300023718, "platt_slope": 0.8287939113369333,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"2026-09-23T10:10:42.871427+00:00", "team_ids": ["unknown:aviceteam", "unknown:gpkteam"]}, "market_type": "moneyline", "model_version": "dota2-tiered-elo-v6", "observed_at_utc": "2026-09-23T10:10:42.871427+00:00", "probabilities": {"away": 0.489222, "home": 0.510778}, "replay_scope": "Exact serving book state, calibration, temperature, inactivity reference and thin-history adjustments; training provenance not certified.", "schema": "esports-elo-replay-v1", "snapshot_hash": "d8187bd45ec14be61b4b1abb8809746c75b405702535096ff84484248fbb6d1b", "sport": "DOTA2"}</t>
        </is>
      </c>
    </row>
    <row r="97" ht="36" customHeight="1">
      <c r="A97" s="24" t="inlineStr">
        <is>
          <t>987b1b802db249d4</t>
        </is>
      </c>
      <c r="B97" s="24" t="inlineStr">
        <is>
          <t>2026-09-24T10:13:11.600549Z</t>
        </is>
      </c>
      <c r="C97" s="24" t="inlineStr">
        <is>
          <t>2026-09-24T12:00:00Z</t>
        </is>
      </c>
      <c r="D97" s="24" t="inlineStr">
        <is>
          <t>124246</t>
        </is>
      </c>
      <c r="E97" s="24" t="inlineStr">
        <is>
          <t>DOTA2</t>
        </is>
      </c>
      <c r="F97" s="24" t="inlineStr">
        <is>
          <t>Team Lynx</t>
        </is>
      </c>
      <c r="G97" s="24" t="inlineStr">
        <is>
          <t>Two Move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-150</v>
      </c>
      <c r="M97" s="27" t="n">
        <v>1.666667</v>
      </c>
      <c r="N97" s="28" t="n">
        <v>0.6</v>
      </c>
      <c r="O97" s="28" t="n">
        <v>0.525774</v>
      </c>
      <c r="P97" s="28" t="n"/>
      <c r="Q97" s="28" t="n">
        <v>-0.074226</v>
      </c>
      <c r="R97" s="26" t="n">
        <v>0</v>
      </c>
      <c r="S97" s="29" t="n">
        <v>1</v>
      </c>
      <c r="T97" s="24" t="inlineStr">
        <is>
          <t>dota2-tiered-elo-v6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/>
      <c r="AA97" s="28" t="n"/>
      <c r="AB97" s="28" t="n"/>
      <c r="AC97" s="30" t="n">
        <v>-1</v>
      </c>
      <c r="AD97" s="24" t="inlineStr">
        <is>
          <t>2026-09-24T16:05:09.101510Z</t>
        </is>
      </c>
      <c r="AE97" s="31" t="inlineStr">
        <is>
          <t>Neutral Elo baseline; executable ask 0.6000 (market_slug=aec-dota2-tm-lynx-2026-09-24).</t>
        </is>
      </c>
      <c r="AF97" s="31" t="inlineStr">
        <is>
          <t>Config-promoted esports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Team Lynx</t>
        </is>
      </c>
      <c r="AQ97" s="24" t="inlineStr">
        <is>
          <t>Team Lynx</t>
        </is>
      </c>
      <c r="AR97" s="24" t="inlineStr">
        <is>
          <t>Team Lynx</t>
        </is>
      </c>
      <c r="AS97" s="24" t="inlineStr">
        <is>
          <t>Two Move</t>
        </is>
      </c>
      <c r="AT97" s="24" t="inlineStr">
        <is>
          <t>Two Move</t>
        </is>
      </c>
      <c r="AU97" s="24" t="inlineStr">
        <is>
          <t>Two Move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ab0452bbd2cf0571de0537d905095d35e90f4bf16b3f835e6af9ef290ed7236d</t>
        </is>
      </c>
      <c r="BB97" s="24" t="inlineStr">
        <is>
          <t>neutral_elo</t>
        </is>
      </c>
      <c r="BC97" s="24" t="inlineStr">
        <is>
          <t>dota2-tiered-elo-v6</t>
        </is>
      </c>
      <c r="BD97" s="24" t="inlineStr">
        <is>
          <t>ab0452bbd2cf0571de0537d905095d35e90f4bf16b3f835e6af9ef290ed7236d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dota2-tiered-elo-v6</t>
        </is>
      </c>
      <c r="BH97" s="24" t="inlineStr">
        <is>
          <t>2026-09-24T10:12:33.185500Z</t>
        </is>
      </c>
      <c r="BI97" s="24" t="inlineStr">
        <is>
          <t>["same_event","same_team_same_day","same_league_same_day"]</t>
        </is>
      </c>
      <c r="BJ97" s="25" t="n"/>
      <c r="BK97" s="26" t="n">
        <v>-150</v>
      </c>
      <c r="BL97" s="27" t="n">
        <v>1.666667</v>
      </c>
      <c r="BM97" s="28" t="n">
        <v>0.6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0.6</t>
        </is>
      </c>
      <c r="DK97" s="24" t="n"/>
      <c r="DL97" s="24" t="n"/>
      <c r="DM97" s="24" t="n"/>
      <c r="DN97" s="24" t="n"/>
      <c r="DO97" s="24" t="n"/>
      <c r="DP97" s="24" t="n"/>
      <c r="DQ97" s="24" t="inlineStr">
        <is>
          <t>{"artifact_hash": "ab0452bbd2cf0571de0537d905095d35e90f4bf16b3f835e6af9ef290ed7236d", "away_team": "Team Lynx", "event_id": "124246", "event_start_utc": "2026-09-24T12:00:00Z", "features": {"away_elo": 1686.375386, "away_history_count": 181, "home_elo": 1691.660045, "home_history_count": 16}, "historical_source_observation_times_verified": false, "home_team": "Two Move", "inference_inputs": {"book_state": {"games_played": {"bo3:4:19913": 181, "bo3:4:23662": 16}, "inactivity_half_life_days": null, "inactivity_max_pull": null, "k": 48.0, "last_match_utc": {"bo3:4:19913": "2026-09-23T19:00:00Z", "bo3:4:23662": "2026-09-23T12:00:00Z"}, "minimum_reliable_games": null, "platt_intercept": 0.09902869403602561, "platt_slope": 0.8326167106195069, "ratings": {"bo3:4:19913": 1686.375386, "bo3:4:23662": 1691.660045},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"2026-09-24T10:12:26.706231+00:00", "team_ids": ["bo3:4:23662", "bo3:4:19913"]}, "market_type": "moneyline", "model_version": "dota2-tiered-elo-v6", "observed_at_utc": "2026-09-24T10:12:26.706231+00:00", "probabilities": {"away": 0.474226, "home": 0.525774}, "replay_scope": "Exact serving book state, calibration, temperature, inactivity reference and thin-history adjustments; training provenance not certified.", "schema": "esports-elo-replay-v1", "snapshot_hash": "9a9d1a2cbacf7e91b10dfb376cc23cb16c3c530b9ecbcf29fd42cec976a9faa6", "sport": "DOTA2"}</t>
        </is>
      </c>
    </row>
    <row r="98" ht="36" customHeight="1">
      <c r="A98" s="24" t="inlineStr">
        <is>
          <t>b8d281acdef04b66</t>
        </is>
      </c>
      <c r="B98" s="24" t="inlineStr">
        <is>
          <t>2026-09-24T16:14:43.893271Z</t>
        </is>
      </c>
      <c r="C98" s="24" t="inlineStr">
        <is>
          <t>2026-09-24T18:00:00Z</t>
        </is>
      </c>
      <c r="D98" s="24" t="inlineStr">
        <is>
          <t>120727</t>
        </is>
      </c>
      <c r="E98" s="24" t="inlineStr">
        <is>
          <t>DOTA2</t>
        </is>
      </c>
      <c r="F98" s="24" t="inlineStr">
        <is>
          <t>Stray Team</t>
        </is>
      </c>
      <c r="G98" s="24" t="inlineStr">
        <is>
          <t>Travoman Team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-150</v>
      </c>
      <c r="M98" s="27" t="n">
        <v>1.666667</v>
      </c>
      <c r="N98" s="28" t="n">
        <v>0.6</v>
      </c>
      <c r="O98" s="28" t="n">
        <v>0.548746</v>
      </c>
      <c r="P98" s="28" t="n"/>
      <c r="Q98" s="28" t="n">
        <v>-0.051254</v>
      </c>
      <c r="R98" s="26" t="n">
        <v>0</v>
      </c>
      <c r="S98" s="29" t="n">
        <v>1</v>
      </c>
      <c r="T98" s="24" t="inlineStr">
        <is>
          <t>dota2-tiered-elo-v6</t>
        </is>
      </c>
      <c r="U98" s="24" t="inlineStr">
        <is>
          <t>settled</t>
        </is>
      </c>
      <c r="V98" s="24" t="inlineStr">
        <is>
          <t>win</t>
        </is>
      </c>
      <c r="W98" s="26" t="n">
        <v>0</v>
      </c>
      <c r="X98" s="26" t="n">
        <v>1</v>
      </c>
      <c r="Y98" s="25" t="n"/>
      <c r="Z98" s="26" t="n">
        <v>-150</v>
      </c>
      <c r="AA98" s="28" t="n">
        <v>0.6</v>
      </c>
      <c r="AB98" s="28" t="n">
        <v>0</v>
      </c>
      <c r="AC98" s="30" t="n">
        <v>0.6667</v>
      </c>
      <c r="AD98" s="24" t="inlineStr">
        <is>
          <t>2026-09-24T22:03:13.115218Z</t>
        </is>
      </c>
      <c r="AE98" s="31" t="inlineStr">
        <is>
          <t>Neutral Elo baseline; executable ask 0.6000 (market_slug=aec-dota2-tt-stray-2026-09-24).</t>
        </is>
      </c>
      <c r="AF98" s="31" t="inlineStr">
        <is>
          <t>Config-promoted esports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Stray Team</t>
        </is>
      </c>
      <c r="AQ98" s="24" t="inlineStr">
        <is>
          <t>Stray Team</t>
        </is>
      </c>
      <c r="AR98" s="24" t="inlineStr">
        <is>
          <t>Stray Team</t>
        </is>
      </c>
      <c r="AS98" s="24" t="inlineStr">
        <is>
          <t>Travoman Team</t>
        </is>
      </c>
      <c r="AT98" s="24" t="inlineStr">
        <is>
          <t>Travoman Team</t>
        </is>
      </c>
      <c r="AU98" s="24" t="inlineStr">
        <is>
          <t>Travoman Team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5cf7264d0ffcef8bab742124c824f7f4ae66a570fdce89e1a9f82f11ab2c5588</t>
        </is>
      </c>
      <c r="BB98" s="24" t="inlineStr">
        <is>
          <t>neutral_elo</t>
        </is>
      </c>
      <c r="BC98" s="24" t="inlineStr">
        <is>
          <t>dota2-tiered-elo-v6</t>
        </is>
      </c>
      <c r="BD98" s="24" t="inlineStr">
        <is>
          <t>5cf7264d0ffcef8bab742124c824f7f4ae66a570fdce89e1a9f82f11ab2c5588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dota2-tiered-elo-v6</t>
        </is>
      </c>
      <c r="BH98" s="24" t="inlineStr">
        <is>
          <t>2026-09-24T16:14:23.537100Z</t>
        </is>
      </c>
      <c r="BI98" s="24" t="inlineStr">
        <is>
          <t>["same_event","same_team_same_day","same_league_same_day"]</t>
        </is>
      </c>
      <c r="BJ98" s="25" t="n"/>
      <c r="BK98" s="26" t="n">
        <v>-150</v>
      </c>
      <c r="BL98" s="27" t="n">
        <v>1.666667</v>
      </c>
      <c r="BM98" s="28" t="n">
        <v>0.6</v>
      </c>
      <c r="BN98" s="28" t="n"/>
      <c r="BO98" s="28" t="n"/>
      <c r="BP98" s="25" t="n"/>
      <c r="BQ98" s="27" t="n">
        <v>1.666667</v>
      </c>
      <c r="BR98" s="28" t="n">
        <v>0.6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</t>
        </is>
      </c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"5cf7264d0ffcef8bab742124c824f7f4ae66a570fdce89e1a9f82f11ab2c5588", "away_team": "Stray Team", "event_id": "120727", "event_start_utc": "2026-09-24T18:00:00Z", "features": {"away_elo": 1487.796227, "away_history_count": 19, "home_elo": 1555.793574, "home_history_count": 21}, "historical_source_observation_times_verified": false, "home_team": "Travoman Team", "inference_inputs": {"book_state": {"games_played": {"bo3:4:20839": 21, "bo3:4:20840": 19}, "inactivity_half_life_days": null, "inactivity_max_pull": null, "k": 48.0, "last_match_utc": {"bo3:4:20839": "2025-11-30T08:00:00Z", "bo3:4:20840": "2025-11-25T14:20:00Z"}, "minimum_reliable_games": null, "platt_intercept": 0.09846766276949492, "platt_slope": 0.832846919284567, "ratings": {"bo3:4:20839": 1555.793574, "bo3:4:20840": 1487.796227},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"2026-09-24T16:14:23.429815+00:00", "team_ids": ["bo3:4:20839", "bo3:4:20840"]}, "market_type": "moneyline", "model_version": "dota2-tiered-elo-v6", "observed_at_utc": "2026-09-24T16:14:23.429815+00:00", "probabilities": {"away": 0.451254, "home": 0.548746}, "replay_scope": "Exact serving book state, calibration, temperature, inactivity reference and thin-history adjustments; training provenance not certified.", "schema": "esports-elo-replay-v1", "snapshot_hash": "fd85ff22ea90f0eaf6db8faa55014ca9f66981ecfca9c911dbb3627cd2013a91", "sport": "DOTA2"}</t>
        </is>
      </c>
    </row>
    <row r="99" ht="36" customHeight="1">
      <c r="A99" s="24" t="inlineStr">
        <is>
          <t>fce5a38ecd5a4310</t>
        </is>
      </c>
      <c r="B99" s="24" t="inlineStr">
        <is>
          <t>2026-09-25T10:13:30.283607Z</t>
        </is>
      </c>
      <c r="C99" s="24" t="inlineStr">
        <is>
          <t>2026-09-25T13:00:00Z</t>
        </is>
      </c>
      <c r="D99" s="24" t="inlineStr">
        <is>
          <t>125285</t>
        </is>
      </c>
      <c r="E99" s="24" t="inlineStr">
        <is>
          <t>DOTA2</t>
        </is>
      </c>
      <c r="F99" s="24" t="inlineStr">
        <is>
          <t>Yellow Submarine</t>
        </is>
      </c>
      <c r="G99" s="24" t="inlineStr">
        <is>
          <t>Team Synapse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-108</v>
      </c>
      <c r="M99" s="27" t="n">
        <v>1.925926</v>
      </c>
      <c r="N99" s="28" t="n">
        <v>0.519231</v>
      </c>
      <c r="O99" s="28" t="n">
        <v>0.527456</v>
      </c>
      <c r="P99" s="28" t="n"/>
      <c r="Q99" s="28" t="n">
        <v>0.008225</v>
      </c>
      <c r="R99" s="26" t="n">
        <v>24</v>
      </c>
      <c r="S99" s="29" t="n">
        <v>1</v>
      </c>
      <c r="T99" s="24" t="inlineStr">
        <is>
          <t>dota2-tiered-elo-v6</t>
        </is>
      </c>
      <c r="U99" s="24" t="inlineStr">
        <is>
          <t>settled</t>
        </is>
      </c>
      <c r="V99" s="24" t="inlineStr">
        <is>
          <t>win</t>
        </is>
      </c>
      <c r="W99" s="26" t="n">
        <v>0</v>
      </c>
      <c r="X99" s="26" t="n">
        <v>1</v>
      </c>
      <c r="Y99" s="25" t="n"/>
      <c r="Z99" s="26" t="n"/>
      <c r="AA99" s="28" t="n"/>
      <c r="AB99" s="28" t="n"/>
      <c r="AC99" s="30" t="n">
        <v>0.9258999999999999</v>
      </c>
      <c r="AD99" s="24" t="inlineStr">
        <is>
          <t>2026-09-25T22:02:05.397732Z</t>
        </is>
      </c>
      <c r="AE99" s="31" t="inlineStr">
        <is>
          <t>Neutral Elo baseline; executable ask 0.5200 (market_slug=aec-dota2-tsea-yes-2026-09-25).</t>
        </is>
      </c>
      <c r="AF99" s="31" t="inlineStr">
        <is>
          <t>Config-promoted esports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Yellow Submarine</t>
        </is>
      </c>
      <c r="AQ99" s="24" t="inlineStr">
        <is>
          <t>Yellow Submarine</t>
        </is>
      </c>
      <c r="AR99" s="24" t="inlineStr">
        <is>
          <t>Yellow Submarine</t>
        </is>
      </c>
      <c r="AS99" s="24" t="inlineStr">
        <is>
          <t>Team Synapse</t>
        </is>
      </c>
      <c r="AT99" s="24" t="inlineStr">
        <is>
          <t>Team Synapse</t>
        </is>
      </c>
      <c r="AU99" s="24" t="inlineStr">
        <is>
          <t>Team Synapse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3c04f0ec177f9a4c0b286f22b87c7e218553671e50e0b2fe31909d47a2019f8a</t>
        </is>
      </c>
      <c r="BB99" s="24" t="inlineStr">
        <is>
          <t>neutral_elo</t>
        </is>
      </c>
      <c r="BC99" s="24" t="inlineStr">
        <is>
          <t>dota2-tiered-elo-v6</t>
        </is>
      </c>
      <c r="BD99" s="24" t="inlineStr">
        <is>
          <t>3c04f0ec177f9a4c0b286f22b87c7e218553671e50e0b2fe31909d47a2019f8a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dota2-tiered-elo-v6</t>
        </is>
      </c>
      <c r="BH99" s="24" t="inlineStr">
        <is>
          <t>2026-09-25T10:13:19.860868Z</t>
        </is>
      </c>
      <c r="BI99" s="24" t="inlineStr">
        <is>
          <t>["same_event","same_team_same_day","same_league_same_day"]</t>
        </is>
      </c>
      <c r="BJ99" s="25" t="n"/>
      <c r="BK99" s="26" t="n">
        <v>-108</v>
      </c>
      <c r="BL99" s="27" t="n">
        <v>1.925926</v>
      </c>
      <c r="BM99" s="28" t="n">
        <v>0.519231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0.519231</t>
        </is>
      </c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"3c04f0ec177f9a4c0b286f22b87c7e218553671e50e0b2fe31909d47a2019f8a", "away_team": "Yellow Submarine", "event_id": "125285", "event_start_utc": "2026-09-25T13:00:00Z", "features": {"away_elo": 1806.75852, "away_history_count": 283, "home_elo": 1816.190895, "home_history_count": 21}, "historical_source_observation_times_verified": false, "home_team": "Team Synapse", "inference_inputs": {"book_state": {"games_played": {"bo3:4:16486": 283, "bo3:4:25201": 21}, "inactivity_half_life_days": null, "inactivity_max_pull": null, "k": 48.0, "last_match_utc": {"bo3:4:16486": "2026-09-24T15:00:00Z", "bo3:4:25201": "2026-09-23T15:00:00Z"}, "minimum_reliable_games": null, "platt_intercept": 0.09857743268315498, "platt_slope": 0.8325769809770426, "ratings": {"bo3:4:16486": 1806.75852, "bo3:4:25201": 1816.190895},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"2026-09-25T10:13:05.443744+00:00", "team_ids": ["bo3:4:25201", "bo3:4:16486"]}, "market_type": "moneyline", "model_version": "dota2-tiered-elo-v6", "observed_at_utc": "2026-09-25T10:13:05.443744+00:00", "probabilities": {"away": 0.472544, "home": 0.527456}, "replay_scope": "Exact serving book state, calibration, temperature, inactivity reference and thin-history adjustments; training provenance not certified.", "schema": "esports-elo-replay-v1", "snapshot_hash": "5a17d34367d065c7b9fa57fcedb1ad60416bafca651ac759b7cee79873c122e6", "sport": "DOTA2"}</t>
        </is>
      </c>
    </row>
    <row r="100" ht="36" customHeight="1">
      <c r="A100" s="24" t="inlineStr">
        <is>
          <t>72fb9c07ad6d418b</t>
        </is>
      </c>
      <c r="B100" s="24" t="inlineStr">
        <is>
          <t>2026-09-25T16:12:21.607564Z</t>
        </is>
      </c>
      <c r="C100" s="24" t="inlineStr">
        <is>
          <t>2026-09-25T18:00:00Z</t>
        </is>
      </c>
      <c r="D100" s="24" t="inlineStr">
        <is>
          <t>122313</t>
        </is>
      </c>
      <c r="E100" s="24" t="inlineStr">
        <is>
          <t>DOTA2</t>
        </is>
      </c>
      <c r="F100" s="24" t="inlineStr">
        <is>
          <t>Travoman Team</t>
        </is>
      </c>
      <c r="G100" s="24" t="inlineStr">
        <is>
          <t>YBN Team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186</v>
      </c>
      <c r="M100" s="27" t="n">
        <v>2.86</v>
      </c>
      <c r="N100" s="28" t="n">
        <v>0.34965</v>
      </c>
      <c r="O100" s="28" t="n">
        <v>0.551061</v>
      </c>
      <c r="P100" s="28" t="n"/>
      <c r="Q100" s="28" t="n">
        <v>0.201411</v>
      </c>
      <c r="R100" s="26" t="n">
        <v>100</v>
      </c>
      <c r="S100" s="29" t="n">
        <v>2</v>
      </c>
      <c r="T100" s="24" t="inlineStr">
        <is>
          <t>dota2-tiered-elo-v6</t>
        </is>
      </c>
      <c r="U100" s="24" t="inlineStr">
        <is>
          <t>settled</t>
        </is>
      </c>
      <c r="V100" s="24" t="inlineStr">
        <is>
          <t>win</t>
        </is>
      </c>
      <c r="W100" s="26" t="n">
        <v>0</v>
      </c>
      <c r="X100" s="26" t="n">
        <v>1</v>
      </c>
      <c r="Y100" s="25" t="n"/>
      <c r="Z100" s="26" t="n"/>
      <c r="AA100" s="28" t="n"/>
      <c r="AB100" s="28" t="n"/>
      <c r="AC100" s="30" t="n">
        <v>3.72</v>
      </c>
      <c r="AD100" s="24" t="inlineStr">
        <is>
          <t>2026-09-25T22:02:05.770268Z</t>
        </is>
      </c>
      <c r="AE100" s="31" t="inlineStr">
        <is>
          <t>Neutral Elo baseline; executable ask 0.3500 (market_slug=aec-dota2-ybn-tt-2026-09-25).</t>
        </is>
      </c>
      <c r="AF100" s="31" t="inlineStr">
        <is>
          <t>Config-promoted esports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Travoman Team</t>
        </is>
      </c>
      <c r="AQ100" s="24" t="inlineStr">
        <is>
          <t>Travoman Team</t>
        </is>
      </c>
      <c r="AR100" s="24" t="inlineStr">
        <is>
          <t>Travoman Team</t>
        </is>
      </c>
      <c r="AS100" s="24" t="inlineStr">
        <is>
          <t>YBN Team</t>
        </is>
      </c>
      <c r="AT100" s="24" t="inlineStr">
        <is>
          <t>YBN Team</t>
        </is>
      </c>
      <c r="AU100" s="24" t="inlineStr">
        <is>
          <t>YBN Team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f99b90a90a2dde03f829d5c925c578c929e58306af0d82ee9fbc42dff6b990ad</t>
        </is>
      </c>
      <c r="BB100" s="24" t="inlineStr">
        <is>
          <t>neutral_elo</t>
        </is>
      </c>
      <c r="BC100" s="24" t="inlineStr">
        <is>
          <t>dota2-tiered-elo-v6</t>
        </is>
      </c>
      <c r="BD100" s="24" t="inlineStr">
        <is>
          <t>f99b90a90a2dde03f829d5c925c578c929e58306af0d82ee9fbc42dff6b990ad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dota2-tiered-elo-v6</t>
        </is>
      </c>
      <c r="BH100" s="24" t="inlineStr">
        <is>
          <t>2026-09-25T16:12:21.590970Z</t>
        </is>
      </c>
      <c r="BI100" s="24" t="inlineStr">
        <is>
          <t>["same_event","same_team_same_day","same_league_same_day"]</t>
        </is>
      </c>
      <c r="BJ100" s="25" t="n"/>
      <c r="BK100" s="26" t="n">
        <v>186</v>
      </c>
      <c r="BL100" s="27" t="n">
        <v>2.86</v>
      </c>
      <c r="BM100" s="28" t="n">
        <v>0.34965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0.34965</t>
        </is>
      </c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"f99b90a90a2dde03f829d5c925c578c929e58306af0d82ee9fbc42dff6b990ad", "away_team": "Travoman Team", "event_id": "122313", "event_start_utc": "2026-09-25T18:00:00Z", "features": {"away_elo": 1555.786033, "away_history_count": 21, "home_elo": 1631.082716, "home_history_count": 15}, "historical_source_observation_times_verified": false, "home_team": "YBN Team", "inference_inputs": {"book_state": {"games_played": {"bo3:4:20839": 21, "bo3:4:20842": 15}, "inactivity_half_life_days": null, "inactivity_max_pull": null, "k": 48.0, "last_match_utc": {"bo3:4:20839": "2025-11-30T08:00:00Z", "bo3:4:20842": "2025-10-05T17:00:00Z"}, "minimum_reliable_games": null, "platt_intercept": 0.09796976366084133, "platt_slope": 0.8299092330973148, "ratings": {"bo3:4:20839": 1555.786033, "bo3:4:20842": 1631.082716},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"2026-09-25T16:12:21.521157+00:00", "team_ids": ["bo3:4:20842", "bo3:4:20839"]}, "market_type": "moneyline", "model_version": "dota2-tiered-elo-v6", "observed_at_utc": "2026-09-25T16:12:21.521157+00:00", "probabilities": {"away": 0.448939, "home": 0.551061}, "replay_scope": "Exact serving book state, calibration, temperature, inactivity reference and thin-history adjustments; training provenance not certified.", "schema": "esports-elo-replay-v1", "snapshot_hash": "1c92064526d07c0baedc999c995676823a09f55763494b4ef84dbfb0245a4a66", "sport": "DOTA2"}</t>
        </is>
      </c>
    </row>
    <row r="101" ht="36" customHeight="1">
      <c r="A101" s="24" t="inlineStr">
        <is>
          <t>42b8d28976f24156</t>
        </is>
      </c>
      <c r="B101" s="24" t="inlineStr">
        <is>
          <t>2026-09-27T05:04:23.654791Z</t>
        </is>
      </c>
      <c r="C101" s="24" t="inlineStr">
        <is>
          <t>2026-09-27T08:00:00Z</t>
        </is>
      </c>
      <c r="D101" s="24" t="inlineStr">
        <is>
          <t>128436</t>
        </is>
      </c>
      <c r="E101" s="24" t="inlineStr">
        <is>
          <t>DOTA2</t>
        </is>
      </c>
      <c r="F101" s="24" t="inlineStr">
        <is>
          <t>Natus Vincere</t>
        </is>
      </c>
      <c r="G101" s="24" t="inlineStr">
        <is>
          <t>LGD Gaming</t>
        </is>
      </c>
      <c r="H101" s="24" t="inlineStr">
        <is>
          <t>moneyline</t>
        </is>
      </c>
      <c r="I101" s="24" t="inlineStr">
        <is>
          <t>away</t>
        </is>
      </c>
      <c r="J101" s="25" t="n"/>
      <c r="K101" s="24" t="inlineStr">
        <is>
          <t>polymarket_us</t>
        </is>
      </c>
      <c r="L101" s="26" t="n">
        <v>-170</v>
      </c>
      <c r="M101" s="27" t="n">
        <v>1.588235</v>
      </c>
      <c r="N101" s="28" t="n">
        <v>0.62963</v>
      </c>
      <c r="O101" s="28" t="n">
        <v>0.592374</v>
      </c>
      <c r="P101" s="28" t="n"/>
      <c r="Q101" s="28" t="n">
        <v>-0.037256</v>
      </c>
      <c r="R101" s="26" t="n">
        <v>1</v>
      </c>
      <c r="S101" s="29" t="n">
        <v>1</v>
      </c>
      <c r="T101" s="24" t="inlineStr">
        <is>
          <t>dota2-tiered-elo-v6</t>
        </is>
      </c>
      <c r="U101" s="24" t="inlineStr">
        <is>
          <t>settled</t>
        </is>
      </c>
      <c r="V101" s="24" t="inlineStr">
        <is>
          <t>win</t>
        </is>
      </c>
      <c r="W101" s="26" t="n">
        <v>1</v>
      </c>
      <c r="X101" s="26" t="n">
        <v>0</v>
      </c>
      <c r="Y101" s="25" t="n"/>
      <c r="Z101" s="26" t="n">
        <v>-163</v>
      </c>
      <c r="AA101" s="28" t="n">
        <v>0.62</v>
      </c>
      <c r="AB101" s="28" t="n">
        <v>-0.00963</v>
      </c>
      <c r="AC101" s="30" t="n">
        <v>0.5881999999999999</v>
      </c>
      <c r="AD101" s="24" t="inlineStr">
        <is>
          <t>2026-09-27T16:02:14.492051Z</t>
        </is>
      </c>
      <c r="AE101" s="31" t="inlineStr">
        <is>
          <t>Neutral Elo baseline; executable ask 0.6300 (market_slug=aec-dota2-lgd-navi-2026-09-27).</t>
        </is>
      </c>
      <c r="AF101" s="31" t="inlineStr">
        <is>
          <t>Config-promoted esports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Natus Vincere</t>
        </is>
      </c>
      <c r="AQ101" s="24" t="inlineStr">
        <is>
          <t>Natus Vincere</t>
        </is>
      </c>
      <c r="AR101" s="24" t="inlineStr">
        <is>
          <t>Natus Vincere</t>
        </is>
      </c>
      <c r="AS101" s="24" t="inlineStr">
        <is>
          <t>LGD Gaming</t>
        </is>
      </c>
      <c r="AT101" s="24" t="inlineStr">
        <is>
          <t>LGD Gaming</t>
        </is>
      </c>
      <c r="AU101" s="24" t="inlineStr">
        <is>
          <t>LGD Gaming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090d803278e9431d4239fd624e5e15a153668a7c26b8ced639f6e5f6c4c46c0c</t>
        </is>
      </c>
      <c r="BB101" s="24" t="inlineStr">
        <is>
          <t>neutral_elo</t>
        </is>
      </c>
      <c r="BC101" s="24" t="inlineStr">
        <is>
          <t>dota2-tiered-elo-v6</t>
        </is>
      </c>
      <c r="BD101" s="24" t="inlineStr">
        <is>
          <t>090d803278e9431d4239fd624e5e15a153668a7c26b8ced639f6e5f6c4c46c0c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dota2-tiered-elo-v6</t>
        </is>
      </c>
      <c r="BH101" s="24" t="inlineStr">
        <is>
          <t>2026-09-27T05:03:51.376801Z</t>
        </is>
      </c>
      <c r="BI101" s="24" t="inlineStr">
        <is>
          <t>["same_event","same_team_same_day","same_league_same_day"]</t>
        </is>
      </c>
      <c r="BJ101" s="25" t="n"/>
      <c r="BK101" s="26" t="n">
        <v>-170</v>
      </c>
      <c r="BL101" s="27" t="n">
        <v>1.588235</v>
      </c>
      <c r="BM101" s="28" t="n">
        <v>0.62963</v>
      </c>
      <c r="BN101" s="28" t="n"/>
      <c r="BO101" s="28" t="n"/>
      <c r="BP101" s="25" t="n"/>
      <c r="BQ101" s="27" t="n">
        <v>1.613497</v>
      </c>
      <c r="BR101" s="28" t="n">
        <v>0.62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0.62963</t>
        </is>
      </c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"090d803278e9431d4239fd624e5e15a153668a7c26b8ced639f6e5f6c4c46c0c", "away_team": "Natus Vincere", "event_id": "128436", "event_start_utc": "2026-09-27T08:00:00Z", "features": {"away_elo": 2078.81291, "away_history_count": 246, "home_elo": 1965.499326, "home_history_count": 97}, "historical_source_observation_times_verified": false, "home_team": "LGD Gaming", "inference_inputs": {"book_state": {"games_played": {"bo3:4:16676": 246, "bo3:4:16711": 97}, "inactivity_half_life_days": null, "inactivity_max_pull": null, "k": 48.0, "last_match_utc": {"bo3:4:16676": "2026-09-26T14:50:00Z", "bo3:4:16711": "2026-09-26T12:10:00Z"}, "minimum_reliable_games": null, "platt_intercept": 0.09901132313441624, "platt_slope": 0.8290404158109227, "ratings": {"bo3:4:16676": 2078.81291, "bo3:4:16711": 1965.499326},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"2026-09-27T05:03:51.110509+00:00", "team_ids": ["bo3:4:16711", "bo3:4:16676"]}, "market_type": "moneyline", "model_version": "dota2-tiered-elo-v6", "observed_at_utc": "2026-09-27T05:03:51.110509+00:00", "probabilities": {"away": 0.592374, "home": 0.407626}, "replay_scope": "Exact serving book state, calibration, temperature, inactivity reference and thin-history adjustments; training provenance not certified.", "schema": "esports-elo-replay-v1", "snapshot_hash": "c2c5992a564291746b75a6a62cc4bfebe3c15e4d7a8ea2c4ad2120f0a12b9136", "sport": "DOTA2"}</t>
        </is>
      </c>
    </row>
    <row r="102" ht="36" customHeight="1">
      <c r="A102" s="24" t="inlineStr">
        <is>
          <t>8f4150bb2a20451c</t>
        </is>
      </c>
      <c r="B102" s="24" t="inlineStr">
        <is>
          <t>2026-09-27T10:31:52.408013Z</t>
        </is>
      </c>
      <c r="C102" s="24" t="inlineStr">
        <is>
          <t>2026-09-27T12:00:00Z</t>
        </is>
      </c>
      <c r="D102" s="24" t="inlineStr">
        <is>
          <t>129114</t>
        </is>
      </c>
      <c r="E102" s="24" t="inlineStr">
        <is>
          <t>DOTA2</t>
        </is>
      </c>
      <c r="F102" s="24" t="inlineStr">
        <is>
          <t>avice Team</t>
        </is>
      </c>
      <c r="G102" s="24" t="inlineStr">
        <is>
          <t>Cake Team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-104</v>
      </c>
      <c r="M102" s="27" t="n">
        <v>1.961538</v>
      </c>
      <c r="N102" s="28" t="n">
        <v>0.509804</v>
      </c>
      <c r="O102" s="28" t="n">
        <v>0.510314</v>
      </c>
      <c r="P102" s="28" t="n"/>
      <c r="Q102" s="28" t="n">
        <v>0.00051</v>
      </c>
      <c r="R102" s="26" t="n">
        <v>20</v>
      </c>
      <c r="S102" s="29" t="n">
        <v>1</v>
      </c>
      <c r="T102" s="24" t="inlineStr">
        <is>
          <t>dota2-tiered-elo-v6</t>
        </is>
      </c>
      <c r="U102" s="24" t="inlineStr">
        <is>
          <t>settled</t>
        </is>
      </c>
      <c r="V102" s="24" t="inlineStr">
        <is>
          <t>win</t>
        </is>
      </c>
      <c r="W102" s="26" t="n">
        <v>0</v>
      </c>
      <c r="X102" s="26" t="n">
        <v>1</v>
      </c>
      <c r="Y102" s="25" t="n"/>
      <c r="Z102" s="26" t="n"/>
      <c r="AA102" s="28" t="n"/>
      <c r="AB102" s="28" t="n"/>
      <c r="AC102" s="30" t="n">
        <v>0.9615</v>
      </c>
      <c r="AD102" s="24" t="inlineStr">
        <is>
          <t>2026-09-27T22:03:29.234117Z</t>
        </is>
      </c>
      <c r="AE102" s="31" t="inlineStr">
        <is>
          <t>Neutral Elo baseline; executable ask 0.5100 (market_slug=aec-dota2-cake-avi-2026-09-27).</t>
        </is>
      </c>
      <c r="AF102" s="31" t="inlineStr">
        <is>
          <t>Config-promoted esports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PAPER_CALL_MODEL_UNVALIDATED</t>
        </is>
      </c>
      <c r="AP102" s="24" t="inlineStr">
        <is>
          <t>avice Team</t>
        </is>
      </c>
      <c r="AQ102" s="24" t="inlineStr">
        <is>
          <t>avice Team</t>
        </is>
      </c>
      <c r="AR102" s="24" t="inlineStr">
        <is>
          <t>avice Team</t>
        </is>
      </c>
      <c r="AS102" s="24" t="inlineStr">
        <is>
          <t>Cake Team</t>
        </is>
      </c>
      <c r="AT102" s="24" t="inlineStr">
        <is>
          <t>Cake Team</t>
        </is>
      </c>
      <c r="AU102" s="24" t="inlineStr">
        <is>
          <t>Cake Team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83ec443e6025807886c03f9da9e0403aa920f17c6463b063330254056d7a45b4</t>
        </is>
      </c>
      <c r="BB102" s="24" t="inlineStr">
        <is>
          <t>neutral_elo</t>
        </is>
      </c>
      <c r="BC102" s="24" t="inlineStr">
        <is>
          <t>dota2-tiered-elo-v6</t>
        </is>
      </c>
      <c r="BD102" s="24" t="inlineStr">
        <is>
          <t>83ec443e6025807886c03f9da9e0403aa920f17c6463b063330254056d7a45b4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dota2-tiered-elo-v6</t>
        </is>
      </c>
      <c r="BH102" s="24" t="inlineStr">
        <is>
          <t>2026-09-27T10:31:30.989757Z</t>
        </is>
      </c>
      <c r="BI102" s="24" t="inlineStr">
        <is>
          <t>["same_event","same_team_same_day","same_league_same_day"]</t>
        </is>
      </c>
      <c r="BJ102" s="25" t="n"/>
      <c r="BK102" s="26" t="n">
        <v>-104</v>
      </c>
      <c r="BL102" s="27" t="n">
        <v>1.961538</v>
      </c>
      <c r="BM102" s="28" t="n">
        <v>0.509804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0.509804</t>
        </is>
      </c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"83ec443e6025807886c03f9da9e0403aa920f17c6463b063330254056d7a45b4", "away_team": "avice Team", "event_id": "129114", "event_start_utc": "2026-09-27T12:00:00Z", "features": {"away_elo": 1500.0, "away_history_count": 0, "home_elo": 1500.0, "home_history_count": 0}, "historical_source_observation_times_verified": false, "home_team": "Cake Team", "inference_inputs": {"book_state": {"games_played": {}, "inactivity_half_life_days": null, "inactivity_max_pull": null, "k": 48.0, "last_match_utc": {}, "minimum_reliable_games": null, "platt_intercept": 0.09742005459066362, "platt_slope": 0.8275859819996193,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"2026-09-27T10:31:30.918990+00:00", "team_ids": ["unknown:caketeam", "unknown:aviceteam"]}, "market_type": "moneyline", "model_version": "dota2-tiered-elo-v6", "observed_at_utc": "2026-09-27T10:31:30.918990+00:00", "probabilities": {"away": 0.489686, "home": 0.510314}, "replay_scope": "Exact serving book state, calibration, temperature, inactivity reference and thin-history adjustments; training provenance not certified.", "schema": "esports-elo-replay-v1", "snapshot_hash": "e2e8966f590c240b3a690ea9cb6e2a233e3a78bf94c5d84c4a425c4463ee23d0", "sport": "DOTA2"}</t>
        </is>
      </c>
    </row>
    <row r="103" ht="36" customHeight="1">
      <c r="A103" s="24" t="inlineStr">
        <is>
          <t>192f76afd72b4ec5</t>
        </is>
      </c>
      <c r="B103" s="24" t="inlineStr">
        <is>
          <t>2026-09-27T10:31:52.408013Z</t>
        </is>
      </c>
      <c r="C103" s="24" t="inlineStr">
        <is>
          <t>2026-09-27T12:00:00Z</t>
        </is>
      </c>
      <c r="D103" s="24" t="inlineStr">
        <is>
          <t>128674</t>
        </is>
      </c>
      <c r="E103" s="24" t="inlineStr">
        <is>
          <t>DOTA2</t>
        </is>
      </c>
      <c r="F103" s="24" t="inlineStr">
        <is>
          <t>Stray Team</t>
        </is>
      </c>
      <c r="G103" s="24" t="inlineStr">
        <is>
          <t>YBN Team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163</v>
      </c>
      <c r="M103" s="27" t="n">
        <v>2.63</v>
      </c>
      <c r="N103" s="28" t="n">
        <v>0.380228</v>
      </c>
      <c r="O103" s="28" t="n">
        <v>0.578214</v>
      </c>
      <c r="P103" s="28" t="n"/>
      <c r="Q103" s="28" t="n">
        <v>0.197986</v>
      </c>
      <c r="R103" s="26" t="n">
        <v>100</v>
      </c>
      <c r="S103" s="29" t="n">
        <v>2</v>
      </c>
      <c r="T103" s="24" t="inlineStr">
        <is>
          <t>dota2-tiered-elo-v6</t>
        </is>
      </c>
      <c r="U103" s="24" t="inlineStr">
        <is>
          <t>settled</t>
        </is>
      </c>
      <c r="V103" s="24" t="inlineStr">
        <is>
          <t>win</t>
        </is>
      </c>
      <c r="W103" s="26" t="n">
        <v>0</v>
      </c>
      <c r="X103" s="26" t="n">
        <v>1</v>
      </c>
      <c r="Y103" s="25" t="n"/>
      <c r="Z103" s="26" t="n"/>
      <c r="AA103" s="28" t="n"/>
      <c r="AB103" s="28" t="n"/>
      <c r="AC103" s="30" t="n">
        <v>3.26</v>
      </c>
      <c r="AD103" s="24" t="inlineStr">
        <is>
          <t>2026-09-27T22:03:29.745441Z</t>
        </is>
      </c>
      <c r="AE103" s="31" t="inlineStr">
        <is>
          <t>Neutral Elo baseline; executable ask 0.3800 (market_slug=aec-dota2-ybn-stray-2026-09-26).</t>
        </is>
      </c>
      <c r="AF103" s="31" t="inlineStr">
        <is>
          <t>Config-promoted esports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4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Stray Team</t>
        </is>
      </c>
      <c r="AQ103" s="24" t="inlineStr">
        <is>
          <t>Stray Team</t>
        </is>
      </c>
      <c r="AR103" s="24" t="inlineStr">
        <is>
          <t>Stray Team</t>
        </is>
      </c>
      <c r="AS103" s="24" t="inlineStr">
        <is>
          <t>YBN Team</t>
        </is>
      </c>
      <c r="AT103" s="24" t="inlineStr">
        <is>
          <t>YBN Team</t>
        </is>
      </c>
      <c r="AU103" s="24" t="inlineStr">
        <is>
          <t>YBN Team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83ec443e6025807886c03f9da9e0403aa920f17c6463b063330254056d7a45b4</t>
        </is>
      </c>
      <c r="BB103" s="24" t="inlineStr">
        <is>
          <t>neutral_elo</t>
        </is>
      </c>
      <c r="BC103" s="24" t="inlineStr">
        <is>
          <t>dota2-tiered-elo-v6</t>
        </is>
      </c>
      <c r="BD103" s="24" t="inlineStr">
        <is>
          <t>83ec443e6025807886c03f9da9e0403aa920f17c6463b063330254056d7a45b4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dota2-tiered-elo-v6</t>
        </is>
      </c>
      <c r="BH103" s="24" t="inlineStr">
        <is>
          <t>2026-09-27T10:31:31.038369Z</t>
        </is>
      </c>
      <c r="BI103" s="24" t="inlineStr">
        <is>
          <t>["same_event","same_team_same_day","same_league_same_day"]</t>
        </is>
      </c>
      <c r="BJ103" s="25" t="n"/>
      <c r="BK103" s="26" t="n">
        <v>163</v>
      </c>
      <c r="BL103" s="27" t="n">
        <v>2.63</v>
      </c>
      <c r="BM103" s="28" t="n">
        <v>0.380228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0.380228</t>
        </is>
      </c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"83ec443e6025807886c03f9da9e0403aa920f17c6463b063330254056d7a45b4", "away_team": "Stray Team", "event_id": "128674", "event_start_utc": "2026-09-27T12:00:00Z", "features": {"away_elo": 1487.819824, "away_history_count": 19, "home_elo": 1631.05837, "home_history_count": 15}, "historical_source_observation_times_verified": false, "home_team": "YBN Team", "inference_inputs": {"book_state": {"games_played": {"bo3:4:20840": 19, "bo3:4:20842": 15}, "inactivity_half_life_days": null, "inactivity_max_pull": null, "k": 48.0, "last_match_utc": {"bo3:4:20840": "2025-11-25T14:20:00Z", "bo3:4:20842": "2025-10-05T17:00:00Z"}, "minimum_reliable_games": null, "platt_intercept": 0.09742005459066362, "platt_slope": 0.8275859819996193, "ratings": {"bo3:4:20840": 1487.819824, "bo3:4:20842": 1631.05837},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"2026-09-27T10:31:30.918990+00:00", "team_ids": ["bo3:4:20842", "bo3:4:20840"]}, "market_type": "moneyline", "model_version": "dota2-tiered-elo-v6", "observed_at_utc": "2026-09-27T10:31:30.918990+00:00", "probabilities": {"away": 0.421786, "home": 0.578214}, "replay_scope": "Exact serving book state, calibration, temperature, inactivity reference and thin-history adjustments; training provenance not certified.", "schema": "esports-elo-replay-v1", "snapshot_hash": "a20c1f8715c9730f825bd1211797a22c919c1ea476dd9b92d834d07e99891dad", "sport": "DOTA2"}</t>
        </is>
      </c>
    </row>
    <row r="104" ht="36" customHeight="1">
      <c r="A104" s="24" t="inlineStr">
        <is>
          <t>3c08204975014fdf</t>
        </is>
      </c>
      <c r="B104" s="24" t="inlineStr">
        <is>
          <t>2026-09-28T04:42:38.292579Z</t>
        </is>
      </c>
      <c r="C104" s="24" t="inlineStr">
        <is>
          <t>2026-09-28T09:00:00Z</t>
        </is>
      </c>
      <c r="D104" s="24" t="inlineStr">
        <is>
          <t>126495</t>
        </is>
      </c>
      <c r="E104" s="24" t="inlineStr">
        <is>
          <t>DOTA2</t>
        </is>
      </c>
      <c r="F104" s="24" t="inlineStr">
        <is>
          <t>InterActive Philippines</t>
        </is>
      </c>
      <c r="G104" s="24" t="inlineStr">
        <is>
          <t>ЯЧЁ123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-170</v>
      </c>
      <c r="M104" s="27" t="n">
        <v>1.588235</v>
      </c>
      <c r="N104" s="28" t="n">
        <v>0.62963</v>
      </c>
      <c r="O104" s="28" t="n">
        <v>0.533924</v>
      </c>
      <c r="P104" s="28" t="n"/>
      <c r="Q104" s="28" t="n">
        <v>-0.095706</v>
      </c>
      <c r="R104" s="26" t="n">
        <v>0</v>
      </c>
      <c r="S104" s="29" t="n">
        <v>1</v>
      </c>
      <c r="T104" s="24" t="inlineStr">
        <is>
          <t>dota2-tiered-elo-v6</t>
        </is>
      </c>
      <c r="U104" s="24" t="inlineStr">
        <is>
          <t>settled</t>
        </is>
      </c>
      <c r="V104" s="24" t="inlineStr">
        <is>
          <t>loss</t>
        </is>
      </c>
      <c r="W104" s="26" t="n">
        <v>1</v>
      </c>
      <c r="X104" s="26" t="n">
        <v>0</v>
      </c>
      <c r="Y104" s="25" t="n"/>
      <c r="Z104" s="26" t="n"/>
      <c r="AA104" s="28" t="n"/>
      <c r="AB104" s="28" t="n"/>
      <c r="AC104" s="30" t="n">
        <v>-1</v>
      </c>
      <c r="AD104" s="24" t="inlineStr">
        <is>
          <t>2026-09-28T22:02:35.284568Z</t>
        </is>
      </c>
      <c r="AE104" s="31" t="inlineStr">
        <is>
          <t>Neutral Elo baseline; executable ask 0.6300 (market_slug=aec-dota2-y123-iac-2026-09-28).</t>
        </is>
      </c>
      <c r="AF104" s="31" t="inlineStr">
        <is>
          <t>Config-promoted esports baseline; gates enforced at log time.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PAPER_CALL_MODEL_UNVALIDATED</t>
        </is>
      </c>
      <c r="AP104" s="24" t="inlineStr">
        <is>
          <t>InterActive Philippines</t>
        </is>
      </c>
      <c r="AQ104" s="24" t="inlineStr">
        <is>
          <t>InterActive Philippines</t>
        </is>
      </c>
      <c r="AR104" s="24" t="inlineStr">
        <is>
          <t>InterActive Philippines</t>
        </is>
      </c>
      <c r="AS104" s="24" t="inlineStr">
        <is>
          <t>ЯЧЁ123</t>
        </is>
      </c>
      <c r="AT104" s="24" t="inlineStr">
        <is>
          <t>ЯЧЁ123</t>
        </is>
      </c>
      <c r="AU104" s="24" t="inlineStr">
        <is>
          <t>ЯЧЁ123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4d2937503b19921375d4411f4872e6719b11a976dc8cdf19e6cd8273e81ef9bb</t>
        </is>
      </c>
      <c r="BB104" s="24" t="inlineStr">
        <is>
          <t>neutral_elo</t>
        </is>
      </c>
      <c r="BC104" s="24" t="inlineStr">
        <is>
          <t>dota2-tiered-elo-v6</t>
        </is>
      </c>
      <c r="BD104" s="24" t="inlineStr">
        <is>
          <t>4d2937503b19921375d4411f4872e6719b11a976dc8cdf19e6cd8273e81ef9bb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dota2-tiered-elo-v6</t>
        </is>
      </c>
      <c r="BH104" s="24" t="inlineStr">
        <is>
          <t>2026-09-28T04:42:10.361444Z</t>
        </is>
      </c>
      <c r="BI104" s="24" t="inlineStr">
        <is>
          <t>["same_event","same_team_same_day","same_league_same_day"]</t>
        </is>
      </c>
      <c r="BJ104" s="25" t="n"/>
      <c r="BK104" s="26" t="n">
        <v>-170</v>
      </c>
      <c r="BL104" s="27" t="n">
        <v>1.588235</v>
      </c>
      <c r="BM104" s="28" t="n">
        <v>0.62963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0.62963</t>
        </is>
      </c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"4d2937503b19921375d4411f4872e6719b11a976dc8cdf19e6cd8273e81ef9bb", "away_team": "InterActive Philippines", "event_id": "126495", "event_start_utc": "2026-09-28T09:00:00Z", "features": {"away_elo": 1446.468772, "away_history_count": 187, "home_elo": 1500.0, "home_history_count": 0}, "historical_source_observation_times_verified": false, "home_team": "\u042f\u0427\u0401123", "inference_inputs": {"book_state": {"games_played": {"bo3:4:15612": 187}, "inactivity_half_life_days": null, "inactivity_max_pull": null, "k": 48.0, "last_match_utc": {"bo3:4:15612": "2026-09-14T09:00:00Z"}, "minimum_reliable_games": null, "platt_intercept": 0.09633838853798223, "platt_slope": 0.8283651520997185, "ratings": {"bo3:4:15612": 1446.468772},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"2026-09-28T04:42:10.256594+00:00", "team_ids": ["unknown:\u044f\u0447\u0435123", "bo3:4:15612"]}, "market_type": "moneyline", "model_version": "dota2-tiered-elo-v6", "observed_at_utc": "2026-09-28T04:42:10.256594+00:00", "probabilities": {"away": 0.466076, "home": 0.533924}, "replay_scope": "Exact serving book state, calibration, temperature, inactivity reference and thin-history adjustments; training provenance not certified.", "schema": "esports-elo-replay-v1", "snapshot_hash": "aacee033bbc439ae746d66e53fb9cc45aaa9a37b02a1ffa00e81d3e90e6144f1", "sport": "DOTA2"}</t>
        </is>
      </c>
    </row>
    <row r="105" ht="36" customHeight="1">
      <c r="A105" s="24" t="inlineStr">
        <is>
          <t>ae5d3a2452c84123</t>
        </is>
      </c>
      <c r="B105" s="24" t="inlineStr">
        <is>
          <t>2026-09-29T04:40:57.839344Z</t>
        </is>
      </c>
      <c r="C105" s="24" t="inlineStr">
        <is>
          <t>2026-09-29T06:00:00Z</t>
        </is>
      </c>
      <c r="D105" s="24" t="inlineStr">
        <is>
          <t>127872</t>
        </is>
      </c>
      <c r="E105" s="24" t="inlineStr">
        <is>
          <t>DOTA2</t>
        </is>
      </c>
      <c r="F105" s="24" t="inlineStr">
        <is>
          <t>InterActive Philippines</t>
        </is>
      </c>
      <c r="G105" s="24" t="inlineStr">
        <is>
          <t>Yangon Galacticos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-178</v>
      </c>
      <c r="M105" s="27" t="n">
        <v>1.561798</v>
      </c>
      <c r="N105" s="28" t="n">
        <v>0.640288</v>
      </c>
      <c r="O105" s="28" t="n">
        <v>0.551577</v>
      </c>
      <c r="P105" s="28" t="n"/>
      <c r="Q105" s="28" t="n">
        <v>-0.088711</v>
      </c>
      <c r="R105" s="26" t="n">
        <v>0</v>
      </c>
      <c r="S105" s="29" t="n">
        <v>1</v>
      </c>
      <c r="T105" s="24" t="inlineStr">
        <is>
          <t>dota2-tiered-elo-v6</t>
        </is>
      </c>
      <c r="U105" s="24" t="inlineStr">
        <is>
          <t>settled</t>
        </is>
      </c>
      <c r="V105" s="24" t="inlineStr">
        <is>
          <t>loss</t>
        </is>
      </c>
      <c r="W105" s="26" t="n">
        <v>1</v>
      </c>
      <c r="X105" s="26" t="n">
        <v>0</v>
      </c>
      <c r="Y105" s="25" t="n"/>
      <c r="Z105" s="26" t="n"/>
      <c r="AA105" s="28" t="n"/>
      <c r="AB105" s="28" t="n"/>
      <c r="AC105" s="30" t="n">
        <v>-1</v>
      </c>
      <c r="AD105" s="24" t="inlineStr">
        <is>
          <t>2026-09-29T10:01:52.613078Z</t>
        </is>
      </c>
      <c r="AE105" s="31" t="inlineStr">
        <is>
          <t>Neutral Elo baseline; executable ask 0.6400 (market_slug=aec-dota2-yg-iac-2026-09-29).</t>
        </is>
      </c>
      <c r="AF105" s="31" t="inlineStr">
        <is>
          <t>Config-promoted esports baseline; gates enforced at log time.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InterActive Philippines</t>
        </is>
      </c>
      <c r="AQ105" s="24" t="inlineStr">
        <is>
          <t>InterActive Philippines</t>
        </is>
      </c>
      <c r="AR105" s="24" t="inlineStr">
        <is>
          <t>InterActive Philippines</t>
        </is>
      </c>
      <c r="AS105" s="24" t="inlineStr">
        <is>
          <t>Yangon Galacticos</t>
        </is>
      </c>
      <c r="AT105" s="24" t="inlineStr">
        <is>
          <t>Yangon Galacticos</t>
        </is>
      </c>
      <c r="AU105" s="24" t="inlineStr">
        <is>
          <t>Yangon Galacticos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7ee1ccafa8ea770b25b5ee7d196addf2422f6f87bd71431d014cea252e68788f</t>
        </is>
      </c>
      <c r="BB105" s="24" t="inlineStr">
        <is>
          <t>neutral_elo</t>
        </is>
      </c>
      <c r="BC105" s="24" t="inlineStr">
        <is>
          <t>dota2-tiered-elo-v6</t>
        </is>
      </c>
      <c r="BD105" s="24" t="inlineStr">
        <is>
          <t>7ee1ccafa8ea770b25b5ee7d196addf2422f6f87bd71431d014cea252e68788f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dota2-tiered-elo-v6</t>
        </is>
      </c>
      <c r="BH105" s="24" t="inlineStr">
        <is>
          <t>2026-09-29T04:40:09.183200Z</t>
        </is>
      </c>
      <c r="BI105" s="24" t="inlineStr">
        <is>
          <t>["same_event","same_team_same_day","same_league_same_day"]</t>
        </is>
      </c>
      <c r="BJ105" s="25" t="n"/>
      <c r="BK105" s="26" t="n">
        <v>-178</v>
      </c>
      <c r="BL105" s="27" t="n">
        <v>1.561798</v>
      </c>
      <c r="BM105" s="28" t="n">
        <v>0.640288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0.640288</t>
        </is>
      </c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"7ee1ccafa8ea770b25b5ee7d196addf2422f6f87bd71431d014cea252e68788f", "away_team": "InterActive Philippines", "event_id": "127872", "event_start_utc": "2026-09-29T06:00:00Z", "features": {"away_elo": 1485.950454, "away_history_count": 188, "home_elo": 1517.080113, "home_history_count": 244}, "historical_source_observation_times_verified": false, "home_team": "Yangon Galacticos", "inference_inputs": {"book_state": {"games_played": {"bo3:4:15612": 188, "bo3:4:15805": 244}, "inactivity_half_life_days": null, "inactivity_max_pull": null, "k": 48.0, "last_match_utc": {"bo3:4:15612": "2026-09-28T10:50:00Z", "bo3:4:15805": "2026-09-28T06:35:00Z"}, "minimum_reliable_games": null, "platt_intercept": 0.09667974043404251, "platt_slope": 0.830269983399214, "ratings": {"bo3:4:15612": 1485.950454, "bo3:4:15805": 1517.080113},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"2026-09-29T04:40:09.090216+00:00", "team_ids": ["bo3:4:15805", "bo3:4:15612"]}, "market_type": "moneyline", "model_version": "dota2-tiered-elo-v6", "observed_at_utc": "2026-09-29T04:40:09.090216+00:00", "probabilities": {"away": 0.448423, "home": 0.551577}, "replay_scope": "Exact serving book state, calibration, temperature, inactivity reference and thin-history adjustments; training provenance not certified.", "schema": "esports-elo-replay-v1", "snapshot_hash": "623945fe3633a9b7cfad8b8f8e7bb5fc0df1a5270d4c9b17ec0bca7fab69adac", "sport": "DOTA2"}</t>
        </is>
      </c>
    </row>
    <row r="106" ht="36" customHeight="1">
      <c r="A106" s="24" t="inlineStr">
        <is>
          <t>2261c01ec7bf46bc</t>
        </is>
      </c>
      <c r="B106" s="24" t="inlineStr">
        <is>
          <t>2026-09-29T10:09:55.475254Z</t>
        </is>
      </c>
      <c r="C106" s="24" t="inlineStr">
        <is>
          <t>2026-09-29T13:00:00Z</t>
        </is>
      </c>
      <c r="D106" s="24" t="inlineStr">
        <is>
          <t>128113</t>
        </is>
      </c>
      <c r="E106" s="24" t="inlineStr">
        <is>
          <t>DOTA2</t>
        </is>
      </c>
      <c r="F106" s="24" t="inlineStr">
        <is>
          <t>Natus Vincere</t>
        </is>
      </c>
      <c r="G106" s="24" t="inlineStr">
        <is>
          <t>1win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-108</v>
      </c>
      <c r="M106" s="27" t="n">
        <v>1.925926</v>
      </c>
      <c r="N106" s="28" t="n">
        <v>0.519231</v>
      </c>
      <c r="O106" s="28" t="n">
        <v>0.6667149999999999</v>
      </c>
      <c r="P106" s="28" t="n"/>
      <c r="Q106" s="28" t="n">
        <v>0.147484</v>
      </c>
      <c r="R106" s="26" t="n">
        <v>94</v>
      </c>
      <c r="S106" s="29" t="n">
        <v>1.75</v>
      </c>
      <c r="T106" s="24" t="inlineStr">
        <is>
          <t>dota2-tiered-elo-v6</t>
        </is>
      </c>
      <c r="U106" s="24" t="inlineStr">
        <is>
          <t>settled</t>
        </is>
      </c>
      <c r="V106" s="24" t="inlineStr">
        <is>
          <t>loss</t>
        </is>
      </c>
      <c r="W106" s="26" t="n">
        <v>0</v>
      </c>
      <c r="X106" s="26" t="n">
        <v>1</v>
      </c>
      <c r="Y106" s="25" t="n"/>
      <c r="Z106" s="26" t="n">
        <v>-133</v>
      </c>
      <c r="AA106" s="28" t="n">
        <v>0.57</v>
      </c>
      <c r="AB106" s="28" t="n">
        <v>0.050769</v>
      </c>
      <c r="AC106" s="30" t="n">
        <v>-1.75</v>
      </c>
      <c r="AD106" s="24" t="inlineStr">
        <is>
          <t>2026-09-29T22:03:21.656445Z</t>
        </is>
      </c>
      <c r="AE106" s="31" t="inlineStr">
        <is>
          <t>Neutral Elo baseline; executable ask 0.5200 (market_slug=aec-dota2-1win-navi-2026-09-29).</t>
        </is>
      </c>
      <c r="AF106" s="31" t="inlineStr">
        <is>
          <t>Config-promoted esports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4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Natus Vincere</t>
        </is>
      </c>
      <c r="AQ106" s="24" t="inlineStr">
        <is>
          <t>Natus Vincere</t>
        </is>
      </c>
      <c r="AR106" s="24" t="inlineStr">
        <is>
          <t>Natus Vincere</t>
        </is>
      </c>
      <c r="AS106" s="24" t="inlineStr">
        <is>
          <t>1win</t>
        </is>
      </c>
      <c r="AT106" s="24" t="inlineStr">
        <is>
          <t>1win</t>
        </is>
      </c>
      <c r="AU106" s="24" t="inlineStr">
        <is>
          <t>1win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b1a26dea478b6d88f3db41c7d9495ed066d1f6305853462a749bb76e646a6a70</t>
        </is>
      </c>
      <c r="BB106" s="24" t="inlineStr">
        <is>
          <t>neutral_elo</t>
        </is>
      </c>
      <c r="BC106" s="24" t="inlineStr">
        <is>
          <t>dota2-tiered-elo-v6</t>
        </is>
      </c>
      <c r="BD106" s="24" t="inlineStr">
        <is>
          <t>b1a26dea478b6d88f3db41c7d9495ed066d1f6305853462a749bb76e646a6a70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dota2-tiered-elo-v6</t>
        </is>
      </c>
      <c r="BH106" s="24" t="inlineStr">
        <is>
          <t>2026-09-29T10:09:22.884006Z</t>
        </is>
      </c>
      <c r="BI106" s="24" t="inlineStr">
        <is>
          <t>["same_event","same_team_same_day","same_league_same_day"]</t>
        </is>
      </c>
      <c r="BJ106" s="25" t="n"/>
      <c r="BK106" s="26" t="n">
        <v>-108</v>
      </c>
      <c r="BL106" s="27" t="n">
        <v>1.925926</v>
      </c>
      <c r="BM106" s="28" t="n">
        <v>0.519231</v>
      </c>
      <c r="BN106" s="28" t="n"/>
      <c r="BO106" s="28" t="n"/>
      <c r="BP106" s="25" t="n"/>
      <c r="BQ106" s="27" t="n">
        <v>1.75188</v>
      </c>
      <c r="BR106" s="28" t="n">
        <v>0.57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0.519231</t>
        </is>
      </c>
      <c r="DK106" s="24" t="n"/>
      <c r="DL106" s="24" t="n"/>
      <c r="DM106" s="24" t="n"/>
      <c r="DN106" s="24" t="n"/>
      <c r="DO106" s="24" t="n"/>
      <c r="DP106" s="24" t="n"/>
      <c r="DQ106" s="24" t="inlineStr">
        <is>
          <t>{"artifact_hash": "b1a26dea478b6d88f3db41c7d9495ed066d1f6305853462a749bb76e646a6a70", "away_team": "Natus Vincere", "event_id": "128113", "event_start_utc": "2026-09-29T13:00:00Z", "features": {"away_elo": 2078.067203, "away_history_count": 248, "home_elo": 1891.516748, "home_history_count": 313}, "historical_source_observation_times_verified": false, "home_team": "1win", "inference_inputs": {"book_state": {"games_played": {"bo3:4:15038": 313, "bo3:4:16676": 248}, "inactivity_half_life_days": null, "inactivity_max_pull": null, "k": 48.0, "last_match_utc": {"bo3:4:15038": "2026-09-25T10:40:00Z", "bo3:4:16676": "2026-09-27T12:55:00Z"}, "minimum_reliable_games": null, "platt_intercept": 0.09713158419530922, "platt_slope": 0.8342788609126892, "ratings": {"bo3:4:15038": 1891.516748, "bo3:4:16676": 2078.067203},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"2026-09-29T10:09:22.817922+00:00", "team_ids": ["bo3:4:15038", "bo3:4:16676"]}, "market_type": "moneyline", "model_version": "dota2-tiered-elo-v6", "observed_at_utc": "2026-09-29T10:09:22.817922+00:00", "probabilities": {"away": 0.666715, "home": 0.333285}, "replay_scope": "Exact serving book state, calibration, temperature, inactivity reference and thin-history adjustments; training provenance not certified.", "schema": "esports-elo-replay-v1", "snapshot_hash": "7aea391311a5d450dfc769e79439c0c5508c6c0cc3a4598fb6bb7c5db33c93df", "sport": "DOTA2"}</t>
        </is>
      </c>
    </row>
    <row r="107" ht="36" customHeight="1">
      <c r="A107" s="24" t="inlineStr">
        <is>
          <t>1482cbef6d1a45a3</t>
        </is>
      </c>
      <c r="B107" s="24" t="inlineStr">
        <is>
          <t>2026-09-29T10:09:55.475254Z</t>
        </is>
      </c>
      <c r="C107" s="24" t="inlineStr">
        <is>
          <t>2026-09-29T13:00:00Z</t>
        </is>
      </c>
      <c r="D107" s="24" t="inlineStr">
        <is>
          <t>128114</t>
        </is>
      </c>
      <c r="E107" s="24" t="inlineStr">
        <is>
          <t>DOTA2</t>
        </is>
      </c>
      <c r="F107" s="24" t="inlineStr">
        <is>
          <t>Xtreme Gaming</t>
        </is>
      </c>
      <c r="G107" s="24" t="inlineStr">
        <is>
          <t>LGD Gaming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-203</v>
      </c>
      <c r="M107" s="27" t="n">
        <v>1.492611</v>
      </c>
      <c r="N107" s="28" t="n">
        <v>0.669967</v>
      </c>
      <c r="O107" s="28" t="n">
        <v>0.621147</v>
      </c>
      <c r="P107" s="28" t="n"/>
      <c r="Q107" s="28" t="n">
        <v>-0.04882</v>
      </c>
      <c r="R107" s="26" t="n">
        <v>0</v>
      </c>
      <c r="S107" s="29" t="n">
        <v>1</v>
      </c>
      <c r="T107" s="24" t="inlineStr">
        <is>
          <t>dota2-tiered-elo-v6</t>
        </is>
      </c>
      <c r="U107" s="24" t="inlineStr">
        <is>
          <t>settled</t>
        </is>
      </c>
      <c r="V107" s="24" t="inlineStr">
        <is>
          <t>win</t>
        </is>
      </c>
      <c r="W107" s="26" t="n">
        <v>0</v>
      </c>
      <c r="X107" s="26" t="n">
        <v>1</v>
      </c>
      <c r="Y107" s="25" t="n"/>
      <c r="Z107" s="26" t="n">
        <v>-203</v>
      </c>
      <c r="AA107" s="28" t="n">
        <v>0.67</v>
      </c>
      <c r="AB107" s="28" t="n">
        <v>3.3e-05</v>
      </c>
      <c r="AC107" s="30" t="n">
        <v>0.4926</v>
      </c>
      <c r="AD107" s="24" t="inlineStr">
        <is>
          <t>2026-09-29T22:03:21.876949Z</t>
        </is>
      </c>
      <c r="AE107" s="31" t="inlineStr">
        <is>
          <t>Neutral Elo baseline; executable ask 0.6700 (market_slug=aec-dota2-lgd-xtreme-2026-09-29).</t>
        </is>
      </c>
      <c r="AF107" s="31" t="inlineStr">
        <is>
          <t>Config-promoted esports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Xtreme Gaming</t>
        </is>
      </c>
      <c r="AQ107" s="24" t="inlineStr">
        <is>
          <t>Xtreme Gaming</t>
        </is>
      </c>
      <c r="AR107" s="24" t="inlineStr">
        <is>
          <t>Xtreme Gaming</t>
        </is>
      </c>
      <c r="AS107" s="24" t="inlineStr">
        <is>
          <t>LGD Gaming</t>
        </is>
      </c>
      <c r="AT107" s="24" t="inlineStr">
        <is>
          <t>LGD Gaming</t>
        </is>
      </c>
      <c r="AU107" s="24" t="inlineStr">
        <is>
          <t>LGD Gaming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b1a26dea478b6d88f3db41c7d9495ed066d1f6305853462a749bb76e646a6a70</t>
        </is>
      </c>
      <c r="BB107" s="24" t="inlineStr">
        <is>
          <t>neutral_elo</t>
        </is>
      </c>
      <c r="BC107" s="24" t="inlineStr">
        <is>
          <t>dota2-tiered-elo-v6</t>
        </is>
      </c>
      <c r="BD107" s="24" t="inlineStr">
        <is>
          <t>b1a26dea478b6d88f3db41c7d9495ed066d1f6305853462a749bb76e646a6a70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dota2-tiered-elo-v6</t>
        </is>
      </c>
      <c r="BH107" s="24" t="inlineStr">
        <is>
          <t>2026-09-29T10:09:22.949421Z</t>
        </is>
      </c>
      <c r="BI107" s="24" t="inlineStr">
        <is>
          <t>["same_event","same_team_same_day","same_league_same_day"]</t>
        </is>
      </c>
      <c r="BJ107" s="25" t="n"/>
      <c r="BK107" s="26" t="n">
        <v>-203</v>
      </c>
      <c r="BL107" s="27" t="n">
        <v>1.492611</v>
      </c>
      <c r="BM107" s="28" t="n">
        <v>0.669967</v>
      </c>
      <c r="BN107" s="28" t="n"/>
      <c r="BO107" s="28" t="n"/>
      <c r="BP107" s="25" t="n"/>
      <c r="BQ107" s="27" t="n">
        <v>1.492611</v>
      </c>
      <c r="BR107" s="28" t="n">
        <v>0.67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0.669967</t>
        </is>
      </c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"b1a26dea478b6d88f3db41c7d9495ed066d1f6305853462a749bb76e646a6a70", "away_team": "Xtreme Gaming", "event_id": "128114", "event_start_utc": "2026-09-29T13:00:00Z", "features": {"away_elo": 1841.873081, "away_history_count": 302, "home_elo": 1942.873195, "home_history_count": 98}, "historical_source_observation_times_verified": false, "home_team": "LGD Gaming", "inference_inputs": {"book_state": {"games_played": {"bo3:4:15776": 302, "bo3:4:16711": 98}, "inactivity_half_life_days": null, "inactivity_max_pull": null, "k": 48.0, "last_match_utc": {"bo3:4:15776": "2026-09-26T14:50:00Z", "bo3:4:16711": "2026-09-27T08:00:00Z"}, "minimum_reliable_games": null, "platt_intercept": 0.09713158419530922, "platt_slope": 0.8342788609126892, "ratings": {"bo3:4:15776": 1841.873081, "bo3:4:16711": 1942.873195},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"2026-09-29T10:09:22.817922+00:00", "team_ids": ["bo3:4:16711", "bo3:4:15776"]}, "market_type": "moneyline", "model_version": "dota2-tiered-elo-v6", "observed_at_utc": "2026-09-29T10:09:22.817922+00:00", "probabilities": {"away": 0.378853, "home": 0.621147}, "replay_scope": "Exact serving book state, calibration, temperature, inactivity reference and thin-history adjustments; training provenance not certified.", "schema": "esports-elo-replay-v1", "snapshot_hash": "49fa699a1373430aa0ad7a94f278001df79467c20e34deb5a641ea94a2ff7ce1", "sport": "DOTA2"}</t>
        </is>
      </c>
    </row>
    <row r="108" ht="36" customHeight="1">
      <c r="A108" s="24" t="inlineStr">
        <is>
          <t>ade648eedffe4eb8</t>
        </is>
      </c>
      <c r="B108" s="24" t="inlineStr">
        <is>
          <t>2026-09-30T04:40:37.904872Z</t>
        </is>
      </c>
      <c r="C108" s="24" t="inlineStr">
        <is>
          <t>2026-09-30T06:00:00Z</t>
        </is>
      </c>
      <c r="D108" s="24" t="inlineStr">
        <is>
          <t>129645</t>
        </is>
      </c>
      <c r="E108" s="24" t="inlineStr">
        <is>
          <t>DOTA2</t>
        </is>
      </c>
      <c r="F108" s="24" t="inlineStr">
        <is>
          <t>InterActive Philippines</t>
        </is>
      </c>
      <c r="G108" s="24" t="inlineStr">
        <is>
          <t>Direborn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-186</v>
      </c>
      <c r="M108" s="27" t="n">
        <v>1.537634</v>
      </c>
      <c r="N108" s="28" t="n">
        <v>0.65035</v>
      </c>
      <c r="O108" s="28" t="n">
        <v>0.661806</v>
      </c>
      <c r="P108" s="28" t="n"/>
      <c r="Q108" s="28" t="n">
        <v>0.011456</v>
      </c>
      <c r="R108" s="26" t="n">
        <v>26</v>
      </c>
      <c r="S108" s="29" t="n">
        <v>1</v>
      </c>
      <c r="T108" s="24" t="inlineStr">
        <is>
          <t>dota2-tiered-elo-v6</t>
        </is>
      </c>
      <c r="U108" s="24" t="inlineStr">
        <is>
          <t>settled</t>
        </is>
      </c>
      <c r="V108" s="24" t="inlineStr">
        <is>
          <t>loss</t>
        </is>
      </c>
      <c r="W108" s="26" t="n">
        <v>1</v>
      </c>
      <c r="X108" s="26" t="n">
        <v>0</v>
      </c>
      <c r="Y108" s="25" t="n"/>
      <c r="Z108" s="26" t="n"/>
      <c r="AA108" s="28" t="n"/>
      <c r="AB108" s="28" t="n"/>
      <c r="AC108" s="30" t="n">
        <v>-1</v>
      </c>
      <c r="AD108" s="24" t="inlineStr">
        <is>
          <t>2026-09-30T10:02:06.568863Z</t>
        </is>
      </c>
      <c r="AE108" s="31" t="inlineStr">
        <is>
          <t>Neutral Elo baseline; executable ask 0.6500 (market_slug=aec-dota2-db-iac-2026-09-30).</t>
        </is>
      </c>
      <c r="AF108" s="31" t="inlineStr">
        <is>
          <t>Config-promoted esports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InterActive Philippines</t>
        </is>
      </c>
      <c r="AQ108" s="24" t="inlineStr">
        <is>
          <t>InterActive Philippines</t>
        </is>
      </c>
      <c r="AR108" s="24" t="inlineStr">
        <is>
          <t>InterActive Philippines</t>
        </is>
      </c>
      <c r="AS108" s="24" t="inlineStr">
        <is>
          <t>Direborn</t>
        </is>
      </c>
      <c r="AT108" s="24" t="inlineStr">
        <is>
          <t>Direborn</t>
        </is>
      </c>
      <c r="AU108" s="24" t="inlineStr">
        <is>
          <t>Direborn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f07e71c6956f7d8d90f8a785133d75fbb6d07f1ec0d43d6c3a662954c2fd2e89</t>
        </is>
      </c>
      <c r="BB108" s="24" t="inlineStr">
        <is>
          <t>neutral_elo</t>
        </is>
      </c>
      <c r="BC108" s="24" t="inlineStr">
        <is>
          <t>dota2-tiered-elo-v6</t>
        </is>
      </c>
      <c r="BD108" s="24" t="inlineStr">
        <is>
          <t>f07e71c6956f7d8d90f8a785133d75fbb6d07f1ec0d43d6c3a662954c2fd2e89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dota2-tiered-elo-v6</t>
        </is>
      </c>
      <c r="BH108" s="24" t="inlineStr">
        <is>
          <t>2026-09-30T04:39:54.573327Z</t>
        </is>
      </c>
      <c r="BI108" s="24" t="inlineStr">
        <is>
          <t>["same_event","same_team_same_day","same_league_same_day"]</t>
        </is>
      </c>
      <c r="BJ108" s="25" t="n"/>
      <c r="BK108" s="26" t="n">
        <v>-186</v>
      </c>
      <c r="BL108" s="27" t="n">
        <v>1.537634</v>
      </c>
      <c r="BM108" s="28" t="n">
        <v>0.65035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0.65035</t>
        </is>
      </c>
      <c r="DK108" s="24" t="n"/>
      <c r="DL108" s="24" t="n"/>
      <c r="DM108" s="24" t="n"/>
      <c r="DN108" s="24" t="n"/>
      <c r="DO108" s="24" t="n"/>
      <c r="DP108" s="24" t="n"/>
      <c r="DQ108" s="24" t="inlineStr">
        <is>
          <t>{"artifact_hash": "f07e71c6956f7d8d90f8a785133d75fbb6d07f1ec0d43d6c3a662954c2fd2e89", "away_team": "InterActive Philippines", "event_id": "129645", "event_start_utc": "2026-09-30T06:00:00Z", "features": {"away_elo": 1519.91215, "away_history_count": 189, "home_elo": 1664.15545, "home_history_count": 32}, "historical_source_observation_times_verified": false, "home_team": "Direborn", "inference_inputs": {"book_state": {"games_played": {"bo3:4:15612": 189, "bo3:4:24344": 32}, "inactivity_half_life_days": null, "inactivity_max_pull": null, "k": 48.0, "last_match_utc": {"bo3:4:15612": "2026-09-29T06:15:00Z", "bo3:4:24344": "2026-09-29T10:00:00Z"}, "minimum_reliable_games": null, "platt_intercept": 0.10018384309661339, "platt_slope": 0.8392502526543549, "ratings": {"bo3:4:15612": 1519.91215, "bo3:4:24344": 1664.15545},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"2026-09-30T04:39:54.506837+00:00", "team_ids": ["bo3:4:24344", "bo3:4:15612"]}, "market_type": "moneyline", "model_version": "dota2-tiered-elo-v6", "observed_at_utc": "2026-09-30T04:39:54.506837+00:00", "probabilities": {"away": 0.338194, "home": 0.661806}, "replay_scope": "Exact serving book state, calibration, temperature, inactivity reference and thin-history adjustments; training provenance not certified.", "schema": "esports-elo-replay-v1", "snapshot_hash": "bd5a7775b8a777dcad4c41b1d4b864c4c58507f00e89ae926838ba65efa37308", "sport": "DOTA2"}</t>
        </is>
      </c>
    </row>
    <row r="109" ht="36" customHeight="1">
      <c r="A109" s="24" t="inlineStr">
        <is>
          <t>16c787f455064dd5</t>
        </is>
      </c>
      <c r="B109" s="24" t="inlineStr">
        <is>
          <t>2026-09-30T22:05:53.131178Z</t>
        </is>
      </c>
      <c r="C109" s="24" t="inlineStr">
        <is>
          <t>2026-10-01T03:00:00Z</t>
        </is>
      </c>
      <c r="D109" s="24" t="inlineStr">
        <is>
          <t>131078</t>
        </is>
      </c>
      <c r="E109" s="24" t="inlineStr">
        <is>
          <t>DOTA2</t>
        </is>
      </c>
      <c r="F109" s="24" t="inlineStr">
        <is>
          <t>Yangon Galacticos</t>
        </is>
      </c>
      <c r="G109" s="24" t="inlineStr">
        <is>
          <t>Ivory</t>
        </is>
      </c>
      <c r="H109" s="24" t="inlineStr">
        <is>
          <t>moneyline</t>
        </is>
      </c>
      <c r="I109" s="24" t="inlineStr">
        <is>
          <t>away</t>
        </is>
      </c>
      <c r="J109" s="25" t="n"/>
      <c r="K109" s="24" t="inlineStr">
        <is>
          <t>polymarket_us</t>
        </is>
      </c>
      <c r="L109" s="26" t="n">
        <v>-233</v>
      </c>
      <c r="M109" s="27" t="n">
        <v>1.429185</v>
      </c>
      <c r="N109" s="28" t="n">
        <v>0.6997</v>
      </c>
      <c r="O109" s="28" t="n">
        <v>0.617195</v>
      </c>
      <c r="P109" s="28" t="n"/>
      <c r="Q109" s="28" t="n">
        <v>-0.082505</v>
      </c>
      <c r="R109" s="26" t="n">
        <v>0</v>
      </c>
      <c r="S109" s="29" t="n">
        <v>1</v>
      </c>
      <c r="T109" s="24" t="inlineStr">
        <is>
          <t>dota2-tiered-elo-v6</t>
        </is>
      </c>
      <c r="U109" s="24" t="inlineStr">
        <is>
          <t>settled</t>
        </is>
      </c>
      <c r="V109" s="24" t="inlineStr">
        <is>
          <t>win</t>
        </is>
      </c>
      <c r="W109" s="26" t="n">
        <v>1</v>
      </c>
      <c r="X109" s="26" t="n">
        <v>0</v>
      </c>
      <c r="Y109" s="25" t="n"/>
      <c r="Z109" s="26" t="n"/>
      <c r="AA109" s="28" t="n"/>
      <c r="AB109" s="28" t="n"/>
      <c r="AC109" s="30" t="n">
        <v>0.4292</v>
      </c>
      <c r="AD109" s="24" t="inlineStr">
        <is>
          <t>2026-10-01T10:02:08.865957Z</t>
        </is>
      </c>
      <c r="AE109" s="31" t="inlineStr">
        <is>
          <t>Neutral Elo baseline; executable ask 0.7000 (market_slug=aec-dota2-ivo-yg-2026-10-01).</t>
        </is>
      </c>
      <c r="AF109" s="31" t="inlineStr">
        <is>
          <t>Config-promoted esports baseline; gates enforced at log time.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Yangon Galacticos</t>
        </is>
      </c>
      <c r="AQ109" s="24" t="inlineStr">
        <is>
          <t>Yangon Galacticos</t>
        </is>
      </c>
      <c r="AR109" s="24" t="inlineStr">
        <is>
          <t>Yangon Galacticos</t>
        </is>
      </c>
      <c r="AS109" s="24" t="inlineStr">
        <is>
          <t>Ivory</t>
        </is>
      </c>
      <c r="AT109" s="24" t="inlineStr">
        <is>
          <t>Ivory</t>
        </is>
      </c>
      <c r="AU109" s="24" t="inlineStr">
        <is>
          <t>Ivory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b88b8be66f0f7db2bb467515781c986e426e60992a882fa29c727502ef349f63</t>
        </is>
      </c>
      <c r="BB109" s="24" t="inlineStr">
        <is>
          <t>neutral_elo</t>
        </is>
      </c>
      <c r="BC109" s="24" t="inlineStr">
        <is>
          <t>dota2-tiered-elo-v6</t>
        </is>
      </c>
      <c r="BD109" s="24" t="inlineStr">
        <is>
          <t>b88b8be66f0f7db2bb467515781c986e426e60992a882fa29c727502ef349f63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dota2-tiered-elo-v6</t>
        </is>
      </c>
      <c r="BH109" s="24" t="inlineStr">
        <is>
          <t>2026-09-30T22:05:28.331679Z</t>
        </is>
      </c>
      <c r="BI109" s="24" t="inlineStr">
        <is>
          <t>["same_event","same_team_same_day","same_league_same_day"]</t>
        </is>
      </c>
      <c r="BJ109" s="25" t="n"/>
      <c r="BK109" s="26" t="n">
        <v>-233</v>
      </c>
      <c r="BL109" s="27" t="n">
        <v>1.429185</v>
      </c>
      <c r="BM109" s="28" t="n">
        <v>0.6997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False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0.6997</t>
        </is>
      </c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"b88b8be66f0f7db2bb467515781c986e426e60992a882fa29c727502ef349f63", "away_team": "Yangon Galacticos", "event_id": "131078", "event_start_utc": "2026-10-01T03:00:00Z", "features": {"away_elo": 1547.596175, "away_history_count": 247, "home_elo": 1410.398116, "home_history_count": 231}, "historical_source_observation_times_verified": false, "home_team": "Ivory", "inference_inputs": {"book_state": {"games_played": {"bo3:4:15805": 247, "bo3:4:18393": 231}, "inactivity_half_life_days": null, "inactivity_max_pull": null, "k": 48.0, "last_match_utc": {"bo3:4:15805": "2026-09-30T03:00:00Z", "bo3:4:18393": "2026-09-30T10:10:00Z"}, "minimum_reliable_games": null, "platt_intercept": 0.09331094880844892, "platt_slope": 0.8364342780228805, "ratings": {"bo3:4:15805": 1547.596175, "bo3:4:18393": 1410.398116},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"2026-09-30T22:05:28.229542+00:00", "team_ids": ["bo3:4:18393", "bo3:4:15805"]}, "market_type": "moneyline", "model_version": "dota2-tiered-elo-v6", "observed_at_utc": "2026-09-30T22:05:28.229542+00:00", "probabilities": {"away": 0.617195, "home": 0.382805}, "replay_scope": "Exact serving book state, calibration, temperature, inactivity reference and thin-history adjustments; training provenance not certified.", "schema": "esports-elo-replay-v1", "snapshot_hash": "41dd59ab8aa383c6694eee946fe4bce6ff1196a80d2078ee31f7f4b23d9920a5", "sport": "DOTA2"}</t>
        </is>
      </c>
    </row>
    <row r="110" ht="36" customHeight="1">
      <c r="A110" s="24" t="inlineStr">
        <is>
          <t>908bbc662ef6460e</t>
        </is>
      </c>
      <c r="B110" s="24" t="inlineStr">
        <is>
          <t>2026-10-02T04:41:05.197642Z</t>
        </is>
      </c>
      <c r="C110" s="24" t="inlineStr">
        <is>
          <t>2026-10-02T06:00:00Z</t>
        </is>
      </c>
      <c r="D110" s="24" t="inlineStr">
        <is>
          <t>132825</t>
        </is>
      </c>
      <c r="E110" s="24" t="inlineStr">
        <is>
          <t>DOTA2</t>
        </is>
      </c>
      <c r="F110" s="24" t="inlineStr">
        <is>
          <t>Team Kinetix</t>
        </is>
      </c>
      <c r="G110" s="24" t="inlineStr">
        <is>
          <t>InterActive Philippines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-133</v>
      </c>
      <c r="M110" s="27" t="n">
        <v>1.75188</v>
      </c>
      <c r="N110" s="28" t="n">
        <v>0.570815</v>
      </c>
      <c r="O110" s="28" t="n">
        <v>0.607835</v>
      </c>
      <c r="P110" s="28" t="n"/>
      <c r="Q110" s="28" t="n">
        <v>0.03702</v>
      </c>
      <c r="R110" s="26" t="n">
        <v>39</v>
      </c>
      <c r="S110" s="29" t="n">
        <v>1</v>
      </c>
      <c r="T110" s="24" t="inlineStr">
        <is>
          <t>dota2-tiered-elo-v6</t>
        </is>
      </c>
      <c r="U110" s="24" t="inlineStr">
        <is>
          <t>settled</t>
        </is>
      </c>
      <c r="V110" s="24" t="inlineStr">
        <is>
          <t>win</t>
        </is>
      </c>
      <c r="W110" s="26" t="n">
        <v>0</v>
      </c>
      <c r="X110" s="26" t="n">
        <v>1</v>
      </c>
      <c r="Y110" s="25" t="n"/>
      <c r="Z110" s="26" t="n"/>
      <c r="AA110" s="28" t="n"/>
      <c r="AB110" s="28" t="n"/>
      <c r="AC110" s="30" t="n">
        <v>0.7519</v>
      </c>
      <c r="AD110" s="24" t="inlineStr">
        <is>
          <t>2026-10-02T10:01:41.393106Z</t>
        </is>
      </c>
      <c r="AE110" s="31" t="inlineStr">
        <is>
          <t>Neutral Elo baseline; executable ask 0.5700 (market_slug=aec-dota2-iac-tke-2026-10-02).</t>
        </is>
      </c>
      <c r="AF110" s="31" t="inlineStr">
        <is>
          <t>Config-promoted esports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4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Team Kinetix</t>
        </is>
      </c>
      <c r="AQ110" s="24" t="inlineStr">
        <is>
          <t>Team Kinetix</t>
        </is>
      </c>
      <c r="AR110" s="24" t="inlineStr">
        <is>
          <t>Team Kinetix</t>
        </is>
      </c>
      <c r="AS110" s="24" t="inlineStr">
        <is>
          <t>InterActive Philippines</t>
        </is>
      </c>
      <c r="AT110" s="24" t="inlineStr">
        <is>
          <t>InterActive Philippines</t>
        </is>
      </c>
      <c r="AU110" s="24" t="inlineStr">
        <is>
          <t>InterActive Philippines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c356324d3d49d10e91212b5de455409b0e84f46b1109ea2afbdc501186aaeb11</t>
        </is>
      </c>
      <c r="BB110" s="24" t="inlineStr">
        <is>
          <t>neutral_elo</t>
        </is>
      </c>
      <c r="BC110" s="24" t="inlineStr">
        <is>
          <t>dota2-tiered-elo-v6</t>
        </is>
      </c>
      <c r="BD110" s="24" t="inlineStr">
        <is>
          <t>c356324d3d49d10e91212b5de455409b0e84f46b1109ea2afbdc501186aaeb11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dota2-tiered-elo-v6</t>
        </is>
      </c>
      <c r="BH110" s="24" t="inlineStr">
        <is>
          <t>2026-10-02T04:40:29.177908Z</t>
        </is>
      </c>
      <c r="BI110" s="24" t="inlineStr">
        <is>
          <t>["same_event","same_team_same_day","same_league_same_day"]</t>
        </is>
      </c>
      <c r="BJ110" s="25" t="n"/>
      <c r="BK110" s="26" t="n">
        <v>-133</v>
      </c>
      <c r="BL110" s="27" t="n">
        <v>1.75188</v>
      </c>
      <c r="BM110" s="28" t="n">
        <v>0.570815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0.570815</t>
        </is>
      </c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"c356324d3d49d10e91212b5de455409b0e84f46b1109ea2afbdc501186aaeb11", "away_team": "Team Kinetix", "event_id": "132825", "event_start_utc": "2026-10-02T06:00:00Z", "features": {"away_elo": 1473.189104, "away_history_count": 14, "home_elo": 1563.11174, "home_history_count": 190}, "historical_source_observation_times_verified": false, "home_team": "InterActive Philippines", "inference_inputs": {"book_state": {"games_played": {"bo3:4:15612": 190, "bo3:4:25225": 14}, "inactivity_half_life_days": null, "inactivity_max_pull": null, "k": 48.0, "last_match_utc": {"bo3:4:15612": "2026-09-30T06:15:00Z", "bo3:4:25225": "2026-10-01T06:10:00Z"}, "minimum_reliable_games": null, "platt_intercept": 0.08701373953913812, "platt_slope": 0.8434576923320389, "ratings": {"bo3:4:15612": 1563.11174, "bo3:4:25225": 1473.189104},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"2026-10-02T04:40:29.112644+00:00", "team_ids": ["bo3:4:15612", "bo3:4:25225"]}, "market_type": "moneyline", "model_version": "dota2-tiered-elo-v6", "observed_at_utc": "2026-10-02T04:40:29.112644+00:00", "probabilities": {"away": 0.392165, "home": 0.607835}, "replay_scope": "Exact serving book state, calibration, temperature, inactivity reference and thin-history adjustments; training provenance not certified.", "schema": "esports-elo-replay-v1", "snapshot_hash": "78bc7bb9b53df6015b8a72091f56da179a03572cfcce75d29be3397e5138d8e1", "sport": "DOTA2"}</t>
        </is>
      </c>
    </row>
    <row r="111" ht="36" customHeight="1">
      <c r="A111" s="24" t="inlineStr">
        <is>
          <t>a55821ce1b7f4e06</t>
        </is>
      </c>
      <c r="B111" s="24" t="inlineStr">
        <is>
          <t>2026-10-02T10:10:08.916186Z</t>
        </is>
      </c>
      <c r="C111" s="24" t="inlineStr">
        <is>
          <t>2026-10-02T16:00:00Z</t>
        </is>
      </c>
      <c r="D111" s="24" t="inlineStr">
        <is>
          <t>136781</t>
        </is>
      </c>
      <c r="E111" s="24" t="inlineStr">
        <is>
          <t>DOTA2</t>
        </is>
      </c>
      <c r="F111" s="24" t="inlineStr">
        <is>
          <t>OG</t>
        </is>
      </c>
      <c r="G111" s="24" t="inlineStr">
        <is>
          <t>BetBoom Team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-194</v>
      </c>
      <c r="M111" s="27" t="n">
        <v>1.515464</v>
      </c>
      <c r="N111" s="28" t="n">
        <v>0.659864</v>
      </c>
      <c r="O111" s="28" t="n">
        <v>0.779894</v>
      </c>
      <c r="P111" s="28" t="n"/>
      <c r="Q111" s="28" t="n">
        <v>0.12003</v>
      </c>
      <c r="R111" s="26" t="n">
        <v>80</v>
      </c>
      <c r="S111" s="29" t="n">
        <v>1.5</v>
      </c>
      <c r="T111" s="24" t="inlineStr">
        <is>
          <t>dota2-tiered-elo-v6</t>
        </is>
      </c>
      <c r="U111" s="24" t="inlineStr">
        <is>
          <t>settled</t>
        </is>
      </c>
      <c r="V111" s="24" t="inlineStr">
        <is>
          <t>loss</t>
        </is>
      </c>
      <c r="W111" s="26" t="n">
        <v>1</v>
      </c>
      <c r="X111" s="26" t="n">
        <v>0</v>
      </c>
      <c r="Y111" s="25" t="n"/>
      <c r="Z111" s="26" t="n"/>
      <c r="AA111" s="28" t="n"/>
      <c r="AB111" s="28" t="n"/>
      <c r="AC111" s="30" t="n">
        <v>-1.5</v>
      </c>
      <c r="AD111" s="24" t="inlineStr">
        <is>
          <t>2026-10-02T22:02:14.343858Z</t>
        </is>
      </c>
      <c r="AE111" s="31" t="inlineStr">
        <is>
          <t>Neutral Elo baseline; executable ask 0.6600 (market_slug=aec-dota2-bb-og-2026-10-02).</t>
        </is>
      </c>
      <c r="AF111" s="31" t="inlineStr">
        <is>
          <t>Config-promoted esports baseline; gates enforced at log time.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4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OG</t>
        </is>
      </c>
      <c r="AQ111" s="24" t="inlineStr">
        <is>
          <t>OG</t>
        </is>
      </c>
      <c r="AR111" s="24" t="inlineStr">
        <is>
          <t>OG</t>
        </is>
      </c>
      <c r="AS111" s="24" t="inlineStr">
        <is>
          <t>BetBoom Team</t>
        </is>
      </c>
      <c r="AT111" s="24" t="inlineStr">
        <is>
          <t>BetBoom Team</t>
        </is>
      </c>
      <c r="AU111" s="24" t="inlineStr">
        <is>
          <t>BetBoom Team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b77cdd3d085142de948716f738dbce0e5b803bc667106b347d235c1818d4fa5d</t>
        </is>
      </c>
      <c r="BB111" s="24" t="inlineStr">
        <is>
          <t>neutral_elo</t>
        </is>
      </c>
      <c r="BC111" s="24" t="inlineStr">
        <is>
          <t>dota2-tiered-elo-v6</t>
        </is>
      </c>
      <c r="BD111" s="24" t="inlineStr">
        <is>
          <t>b77cdd3d085142de948716f738dbce0e5b803bc667106b347d235c1818d4fa5d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dota2-tiered-elo-v6</t>
        </is>
      </c>
      <c r="BH111" s="24" t="inlineStr">
        <is>
          <t>2026-10-02T10:09:56.822137Z</t>
        </is>
      </c>
      <c r="BI111" s="24" t="inlineStr">
        <is>
          <t>["same_event","same_team_same_day","same_league_same_day"]</t>
        </is>
      </c>
      <c r="BJ111" s="25" t="n"/>
      <c r="BK111" s="26" t="n">
        <v>-194</v>
      </c>
      <c r="BL111" s="27" t="n">
        <v>1.515464</v>
      </c>
      <c r="BM111" s="28" t="n">
        <v>0.659864</v>
      </c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0.659864</t>
        </is>
      </c>
      <c r="DK111" s="24" t="n"/>
      <c r="DL111" s="24" t="n"/>
      <c r="DM111" s="24" t="n"/>
      <c r="DN111" s="24" t="n"/>
      <c r="DO111" s="24" t="n"/>
      <c r="DP111" s="24" t="n"/>
      <c r="DQ111" s="24" t="inlineStr">
        <is>
          <t>{"artifact_hash": "b77cdd3d085142de948716f738dbce0e5b803bc667106b347d235c1818d4fa5d", "away_team": "OG", "event_id": "136781", "event_start_utc": "2026-10-02T16:00:00Z", "features": {"away_elo": 1774.264283, "away_history_count": 285, "home_elo": 2066.322693, "home_history_count": 357}, "historical_source_observation_times_verified": false, "home_team": "BetBoom Team", "inference_inputs": {"book_state": {"games_played": {"bo3:4:15526": 357, "bo3:4:16714": 285}, "inactivity_half_life_days": null, "inactivity_max_pull": null, "k": 48.0, "last_match_utc": {"bo3:4:15526": "2026-10-01T13:00:00Z", "bo3:4:16714": "2026-10-01T13:00:00Z"}, "minimum_reliable_games": null, "platt_intercept": 0.088276715548926, "platt_slope": 0.8422091626583235, "ratings": {"bo3:4:15526": 2066.322693, "bo3:4:16714": 1774.264283},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"2026-10-02T10:09:44.934276+00:00", "team_ids": ["bo3:4:15526", "bo3:4:16714"]}, "market_type": "moneyline", "model_version": "dota2-tiered-elo-v6", "observed_at_utc": "2026-10-02T10:09:44.934276+00:00", "probabilities": {"away": 0.220106, "home": 0.779894}, "replay_scope": "Exact serving book state, calibration, temperature, inactivity reference and thin-history adjustments; training provenance not certified.", "schema": "esports-elo-replay-v1", "snapshot_hash": "bd309a7704b5d8aabc82dae45cdf6907de89e39b44d993d0fece2cd69063ecdc", "sport": "DOTA2"}</t>
        </is>
      </c>
    </row>
    <row r="112" ht="36" customHeight="1">
      <c r="A112" s="24" t="inlineStr">
        <is>
          <t>fdcfd4b2a87f4dc1</t>
        </is>
      </c>
      <c r="B112" s="24" t="inlineStr">
        <is>
          <t>2026-10-03T16:52:58.525044Z</t>
        </is>
      </c>
      <c r="C112" s="24" t="inlineStr">
        <is>
          <t>2026-10-03T17:30:00Z</t>
        </is>
      </c>
      <c r="D112" s="24" t="inlineStr">
        <is>
          <t>136824</t>
        </is>
      </c>
      <c r="E112" s="24" t="inlineStr">
        <is>
          <t>DOTA2</t>
        </is>
      </c>
      <c r="F112" s="24" t="inlineStr">
        <is>
          <t>Team Yandex</t>
        </is>
      </c>
      <c r="G112" s="24" t="inlineStr">
        <is>
          <t>Team Spirit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212</v>
      </c>
      <c r="M112" s="27" t="n">
        <v>3.12</v>
      </c>
      <c r="N112" s="28" t="n">
        <v>0.320513</v>
      </c>
      <c r="O112" s="28" t="n">
        <v>0.516653</v>
      </c>
      <c r="P112" s="28" t="n"/>
      <c r="Q112" s="28" t="n">
        <v>0.19614</v>
      </c>
      <c r="R112" s="26" t="n">
        <v>100</v>
      </c>
      <c r="S112" s="29" t="n">
        <v>2</v>
      </c>
      <c r="T112" s="24" t="inlineStr">
        <is>
          <t>dota2-tiered-elo-v6</t>
        </is>
      </c>
      <c r="U112" s="24" t="inlineStr">
        <is>
          <t>settled</t>
        </is>
      </c>
      <c r="V112" s="24" t="inlineStr">
        <is>
          <t>win</t>
        </is>
      </c>
      <c r="W112" s="26" t="n">
        <v>0</v>
      </c>
      <c r="X112" s="26" t="n">
        <v>1</v>
      </c>
      <c r="Y112" s="25" t="n"/>
      <c r="Z112" s="26" t="n"/>
      <c r="AA112" s="28" t="n"/>
      <c r="AB112" s="28" t="n"/>
      <c r="AC112" s="30" t="n">
        <v>4.24</v>
      </c>
      <c r="AD112" s="24" t="inlineStr">
        <is>
          <t>2026-10-03T22:03:07.397926Z</t>
        </is>
      </c>
      <c r="AE112" s="31" t="inlineStr">
        <is>
          <t>Neutral Elo baseline; executable ask 0.3200 (market_slug=aec-dota2-ts-ty-2026-10-03).</t>
        </is>
      </c>
      <c r="AF112" s="31" t="inlineStr">
        <is>
          <t>Config-promoted esports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4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Team Yandex</t>
        </is>
      </c>
      <c r="AQ112" s="24" t="inlineStr">
        <is>
          <t>Team Yandex</t>
        </is>
      </c>
      <c r="AR112" s="24" t="inlineStr">
        <is>
          <t>Team Yandex</t>
        </is>
      </c>
      <c r="AS112" s="24" t="inlineStr">
        <is>
          <t>Team Spirit</t>
        </is>
      </c>
      <c r="AT112" s="24" t="inlineStr">
        <is>
          <t>Team Spirit</t>
        </is>
      </c>
      <c r="AU112" s="24" t="inlineStr">
        <is>
          <t>Team Spirit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d6d5693de809ab897100211dfdbcdb859d6cfcd715f34e18c15a22869e71fecc</t>
        </is>
      </c>
      <c r="BB112" s="24" t="inlineStr">
        <is>
          <t>neutral_elo</t>
        </is>
      </c>
      <c r="BC112" s="24" t="inlineStr">
        <is>
          <t>dota2-tiered-elo-v6</t>
        </is>
      </c>
      <c r="BD112" s="24" t="inlineStr">
        <is>
          <t>d6d5693de809ab897100211dfdbcdb859d6cfcd715f34e18c15a22869e71fecc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dota2-tiered-elo-v6</t>
        </is>
      </c>
      <c r="BH112" s="24" t="inlineStr">
        <is>
          <t>2026-10-03T16:52:49.746040Z</t>
        </is>
      </c>
      <c r="BI112" s="24" t="inlineStr">
        <is>
          <t>["same_event","same_team_same_day","same_league_same_day"]</t>
        </is>
      </c>
      <c r="BJ112" s="25" t="n"/>
      <c r="BK112" s="26" t="n">
        <v>212</v>
      </c>
      <c r="BL112" s="27" t="n">
        <v>3.12</v>
      </c>
      <c r="BM112" s="28" t="n">
        <v>0.320513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0.320513</t>
        </is>
      </c>
      <c r="DK112" s="24" t="n"/>
      <c r="DL112" s="24" t="n"/>
      <c r="DM112" s="24" t="n"/>
      <c r="DN112" s="24" t="n"/>
      <c r="DO112" s="24" t="n"/>
      <c r="DP112" s="24" t="n"/>
      <c r="DQ112" s="24" t="inlineStr">
        <is>
          <t>{"artifact_hash": "d6d5693de809ab897100211dfdbcdb859d6cfcd715f34e18c15a22869e71fecc", "away_team": "Team Yandex", "event_id": "136824", "event_start_utc": "2026-10-03T17:30:00Z", "features": {"away_elo": 2256.098028, "away_history_count": 154, "home_elo": 2261.066851, "home_history_count": 341}, "historical_source_observation_times_verified": false, "home_team": "Team Spirit", "inference_inputs": {"book_state": {"games_played": {"bo3:4:16704": 341, "bo3:4:20951": 154}, "inactivity_half_life_days": null, "inactivity_max_pull": null, "k": 48.0, "last_match_utc": {"bo3:4:16704": "2026-09-30T12:20:00Z", "bo3:4:20951": "2026-10-01T13:00:00Z"}, "minimum_reliable_games": null, "platt_intercept": 0.08863373221037604, "platt_slope": 0.8410053464923916, "ratings": {"bo3:4:16704": 2261.066851, "bo3:4:20951": 2256.098028},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"2026-10-03T16:52:49.510872+00:00", "team_ids": ["bo3:4:16704", "bo3:4:20951"]}, "market_type": "moneyline", "model_version": "dota2-tiered-elo-v6", "observed_at_utc": "2026-10-03T16:52:49.510872+00:00", "probabilities": {"away": 0.483347, "home": 0.516653}, "replay_scope": "Exact serving book state, calibration, temperature, inactivity reference and thin-history adjustments; training provenance not certified.", "schema": "esports-elo-replay-v1", "snapshot_hash": "bd6d7925341730bf894f35aa7625467bff027203ccb846b36608e3c86a400596", "sport": "DOTA2"}</t>
        </is>
      </c>
    </row>
    <row r="113" ht="36" customHeight="1">
      <c r="A113" s="24" t="inlineStr">
        <is>
          <t>17f5d6e312404369</t>
        </is>
      </c>
      <c r="B113" s="24" t="inlineStr">
        <is>
          <t>2026-10-05T10:49:55.663984Z</t>
        </is>
      </c>
      <c r="C113" s="24" t="inlineStr">
        <is>
          <t>2026-10-05T14:00:00Z</t>
        </is>
      </c>
      <c r="D113" s="24" t="inlineStr">
        <is>
          <t>141593</t>
        </is>
      </c>
      <c r="E113" s="24" t="inlineStr">
        <is>
          <t>DOTA2</t>
        </is>
      </c>
      <c r="F113" s="24" t="inlineStr">
        <is>
          <t>Blasterbl</t>
        </is>
      </c>
      <c r="G113" s="24" t="inlineStr">
        <is>
          <t>LEGION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-104</v>
      </c>
      <c r="M113" s="27" t="n">
        <v>1.961538</v>
      </c>
      <c r="N113" s="28" t="n">
        <v>0.509804</v>
      </c>
      <c r="O113" s="28" t="n">
        <v>0.508722</v>
      </c>
      <c r="P113" s="28" t="n"/>
      <c r="Q113" s="28" t="n">
        <v>-0.001082</v>
      </c>
      <c r="R113" s="26" t="n">
        <v>19</v>
      </c>
      <c r="S113" s="29" t="n">
        <v>1</v>
      </c>
      <c r="T113" s="24" t="inlineStr">
        <is>
          <t>dota2-tiered-elo-v6</t>
        </is>
      </c>
      <c r="U113" s="24" t="inlineStr">
        <is>
          <t>settled</t>
        </is>
      </c>
      <c r="V113" s="24" t="inlineStr">
        <is>
          <t>win</t>
        </is>
      </c>
      <c r="W113" s="26" t="n">
        <v>0</v>
      </c>
      <c r="X113" s="26" t="n">
        <v>1</v>
      </c>
      <c r="Y113" s="25" t="n"/>
      <c r="Z113" s="26" t="n"/>
      <c r="AA113" s="28" t="n"/>
      <c r="AB113" s="28" t="n"/>
      <c r="AC113" s="30" t="n">
        <v>0.9615</v>
      </c>
      <c r="AD113" s="24" t="inlineStr">
        <is>
          <t>2026-10-05T22:05:08.000064Z</t>
        </is>
      </c>
      <c r="AE113" s="31" t="inlineStr">
        <is>
          <t>Neutral Elo baseline; executable ask 0.5100 (market_slug=aec-dota2-leg-bbl-2026-10-05).</t>
        </is>
      </c>
      <c r="AF113" s="31" t="inlineStr">
        <is>
          <t>Config-promoted esports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PAPER_CALL_MODEL_UNVALIDATED</t>
        </is>
      </c>
      <c r="AP113" s="24" t="inlineStr">
        <is>
          <t>Blasterbl</t>
        </is>
      </c>
      <c r="AQ113" s="24" t="inlineStr">
        <is>
          <t>Blasterbl</t>
        </is>
      </c>
      <c r="AR113" s="24" t="inlineStr">
        <is>
          <t>Blasterbl</t>
        </is>
      </c>
      <c r="AS113" s="24" t="inlineStr">
        <is>
          <t>LEGION</t>
        </is>
      </c>
      <c r="AT113" s="24" t="inlineStr">
        <is>
          <t>LEGION</t>
        </is>
      </c>
      <c r="AU113" s="24" t="inlineStr">
        <is>
          <t>LEGION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428426ebc9eeb4105cb3b79f9872095d184939901c73d71c96a615834769b513</t>
        </is>
      </c>
      <c r="BB113" s="24" t="inlineStr">
        <is>
          <t>neutral_elo</t>
        </is>
      </c>
      <c r="BC113" s="24" t="inlineStr">
        <is>
          <t>dota2-tiered-elo-v6</t>
        </is>
      </c>
      <c r="BD113" s="24" t="inlineStr">
        <is>
          <t>428426ebc9eeb4105cb3b79f9872095d184939901c73d71c96a615834769b513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dota2-tiered-elo-v6</t>
        </is>
      </c>
      <c r="BH113" s="24" t="inlineStr">
        <is>
          <t>2026-10-05T10:49:45.500379Z</t>
        </is>
      </c>
      <c r="BI113" s="24" t="inlineStr">
        <is>
          <t>["same_event","same_team_same_day","same_league_same_day"]</t>
        </is>
      </c>
      <c r="BJ113" s="25" t="n"/>
      <c r="BK113" s="26" t="n">
        <v>-104</v>
      </c>
      <c r="BL113" s="27" t="n">
        <v>1.961538</v>
      </c>
      <c r="BM113" s="28" t="n">
        <v>0.509804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inlineStr">
        <is>
          <t>{"artifact_hash": "428426ebc9eeb4105cb3b79f9872095d184939901c73d71c96a615834769b513", "away_team": "Blasterbl", "event_id": "141593", "event_start_utc": "2026-10-05T14:00:00Z", "features": {"away_elo": 1500.0, "away_history_count": 0, "home_elo": 1500.0, "home_history_count": 0}, "historical_source_observation_times_verified": false, "home_team": "LEGION", "inference_inputs": {"book_state": {"games_played": {}, "inactivity_half_life_days": null, "inactivity_max_pull": null, "k": 48.0, "last_match_utc": {}, "minimum_reliable_games": null, "platt_intercept": 0.08237337059525511, "platt_slope": 0.8453566708226753,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"2026-10-05T10:49:35.308280+00:00", "team_ids": ["unknown:legion", "unknown:blasterbl"]}, "market_type": "moneyline", "model_version": "dota2-tiered-elo-v6", "observed_at_utc": "2026-10-05T10:49:35.308280+00:00", "probabilities": {"away": 0.491278, "home": 0.508722}, "replay_scope": "Exact serving book state, calibration, temperature, inactivity reference and thin-history adjustments; training provenance not certified.", "schema": "esports-elo-replay-v1", "snapshot_hash": "ddc448ef43e25a9df9eef845cc87d1cfd62c7f335ce13265bff202f4bb3ce858", "sport": "DOTA2"}</t>
        </is>
      </c>
    </row>
    <row r="114" ht="36" customHeight="1">
      <c r="A114" s="24" t="inlineStr">
        <is>
          <t>c4558ceb3d574f63</t>
        </is>
      </c>
      <c r="B114" s="24" t="inlineStr">
        <is>
          <t>2026-10-05T22:25:55.486296Z</t>
        </is>
      </c>
      <c r="C114" s="24" t="inlineStr">
        <is>
          <t>2026-10-06T03:00:00Z</t>
        </is>
      </c>
      <c r="D114" s="24" t="inlineStr">
        <is>
          <t>143516</t>
        </is>
      </c>
      <c r="E114" s="24" t="inlineStr">
        <is>
          <t>DOTA2</t>
        </is>
      </c>
      <c r="F114" s="24" t="inlineStr">
        <is>
          <t>InterActive Philippines</t>
        </is>
      </c>
      <c r="G114" s="24" t="inlineStr">
        <is>
          <t>Yangon Galacticos</t>
        </is>
      </c>
      <c r="H114" s="24" t="inlineStr">
        <is>
          <t>moneyline</t>
        </is>
      </c>
      <c r="I114" s="24" t="inlineStr">
        <is>
          <t>away</t>
        </is>
      </c>
      <c r="J114" s="25" t="n"/>
      <c r="K114" s="24" t="inlineStr">
        <is>
          <t>polymarket_us</t>
        </is>
      </c>
      <c r="L114" s="26" t="n">
        <v>-133</v>
      </c>
      <c r="M114" s="27" t="n">
        <v>1.75188</v>
      </c>
      <c r="N114" s="28" t="n">
        <v>0.570815</v>
      </c>
      <c r="O114" s="28" t="n">
        <v>0.506171</v>
      </c>
      <c r="P114" s="28" t="n"/>
      <c r="Q114" s="28" t="n">
        <v>-0.06464399999999999</v>
      </c>
      <c r="R114" s="26" t="n">
        <v>0</v>
      </c>
      <c r="S114" s="29" t="n">
        <v>1</v>
      </c>
      <c r="T114" s="24" t="inlineStr">
        <is>
          <t>dota2-tiered-elo-v6</t>
        </is>
      </c>
      <c r="U114" s="24" t="inlineStr">
        <is>
          <t>settled</t>
        </is>
      </c>
      <c r="V114" s="24" t="inlineStr">
        <is>
          <t>win</t>
        </is>
      </c>
      <c r="W114" s="26" t="n">
        <v>1</v>
      </c>
      <c r="X114" s="26" t="n">
        <v>0</v>
      </c>
      <c r="Y114" s="25" t="n"/>
      <c r="Z114" s="26" t="n">
        <v>-133</v>
      </c>
      <c r="AA114" s="28" t="n">
        <v>0.57</v>
      </c>
      <c r="AB114" s="28" t="n">
        <v>-0.000815</v>
      </c>
      <c r="AC114" s="30" t="n">
        <v>0.7519</v>
      </c>
      <c r="AD114" s="24" t="inlineStr">
        <is>
          <t>2026-10-06T10:03:05.704498Z</t>
        </is>
      </c>
      <c r="AE114" s="31" t="inlineStr">
        <is>
          <t>Neutral Elo baseline; executable ask 0.5700 (market_slug=aec-dota2-yg-iac-2026-10-06).</t>
        </is>
      </c>
      <c r="AF114" s="31" t="inlineStr">
        <is>
          <t>Config-promoted esports baseline; gates enforced at log time.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InterActive Philippines</t>
        </is>
      </c>
      <c r="AQ114" s="24" t="inlineStr">
        <is>
          <t>InterActive Philippines</t>
        </is>
      </c>
      <c r="AR114" s="24" t="inlineStr">
        <is>
          <t>InterActive Philippines</t>
        </is>
      </c>
      <c r="AS114" s="24" t="inlineStr">
        <is>
          <t>Yangon Galacticos</t>
        </is>
      </c>
      <c r="AT114" s="24" t="inlineStr">
        <is>
          <t>Yangon Galacticos</t>
        </is>
      </c>
      <c r="AU114" s="24" t="inlineStr">
        <is>
          <t>Yangon Galacticos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8fd316347e24d5faa7a92e7ef89a639c490973a25d2b8dbb2af706a2af5abf92</t>
        </is>
      </c>
      <c r="BB114" s="24" t="inlineStr">
        <is>
          <t>neutral_elo</t>
        </is>
      </c>
      <c r="BC114" s="24" t="inlineStr">
        <is>
          <t>dota2-tiered-elo-v6</t>
        </is>
      </c>
      <c r="BD114" s="24" t="inlineStr">
        <is>
          <t>8fd316347e24d5faa7a92e7ef89a639c490973a25d2b8dbb2af706a2af5abf92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dota2-tiered-elo-v6</t>
        </is>
      </c>
      <c r="BH114" s="24" t="inlineStr">
        <is>
          <t>2026-10-05T22:25:23.814001Z</t>
        </is>
      </c>
      <c r="BI114" s="24" t="inlineStr">
        <is>
          <t>["same_event","same_team_same_day","same_league_same_day"]</t>
        </is>
      </c>
      <c r="BJ114" s="25" t="n"/>
      <c r="BK114" s="26" t="n">
        <v>-133</v>
      </c>
      <c r="BL114" s="27" t="n">
        <v>1.75188</v>
      </c>
      <c r="BM114" s="28" t="n">
        <v>0.570815</v>
      </c>
      <c r="BN114" s="28" t="n"/>
      <c r="BO114" s="28" t="n"/>
      <c r="BP114" s="25" t="n"/>
      <c r="BQ114" s="27" t="n">
        <v>1.75188</v>
      </c>
      <c r="BR114" s="28" t="n">
        <v>0.57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inlineStr">
        <is>
          <t>{"artifact_hash": "8fd316347e24d5faa7a92e7ef89a639c490973a25d2b8dbb2af706a2af5abf92", "away_team": "InterActive Philippines", "event_id": "143516", "event_start_utc": "2026-10-06T03:00:00Z", "features": {"away_elo": 1587.691293, "away_history_count": 194, "home_elo": 1566.553099, "home_history_count": 248}, "historical_source_observation_times_verified": false, "home_team": "Yangon Galacticos", "inference_inputs": {"book_state": {"games_played": {"bo3:4:15612": 194, "bo3:4:15805": 248}, "inactivity_half_life_days": null, "inactivity_max_pull": null, "k": 48.0, "last_match_utc": {"bo3:4:15612": "2026-10-04T06:20:00Z", "bo3:4:15805": "2026-10-01T03:10:00Z"}, "minimum_reliable_games": null, "platt_intercept": 0.08103315066152637, "platt_slope": 0.8449481325411426, "ratings": {"bo3:4:15612": 1587.691293, "bo3:4:15805": 1566.553099},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"2026-10-05T22:25:23.694580+00:00", "team_ids": ["bo3:4:15805", "bo3:4:15612"]}, "market_type": "moneyline", "model_version": "dota2-tiered-elo-v6", "observed_at_utc": "2026-10-05T22:25:23.694580+00:00", "probabilities": {"away": 0.506171, "home": 0.493829}, "replay_scope": "Exact serving book state, calibration, temperature, inactivity reference and thin-history adjustments; training provenance not certified.", "schema": "esports-elo-replay-v1", "snapshot_hash": "2172ba463ba0686ecf088107e2b9e2f84c07dd92910d87a7583d9f5082a7d563", "sport": "DOTA2"}</t>
        </is>
      </c>
    </row>
    <row r="115" ht="36" customHeight="1">
      <c r="A115" s="24" t="inlineStr">
        <is>
          <t>599c10c33356479d</t>
        </is>
      </c>
      <c r="B115" s="24" t="inlineStr">
        <is>
          <t>2026-10-05T22:25:55.486296Z</t>
        </is>
      </c>
      <c r="C115" s="24" t="inlineStr">
        <is>
          <t>2026-10-06T08:00:00Z</t>
        </is>
      </c>
      <c r="D115" s="24" t="inlineStr">
        <is>
          <t>143561</t>
        </is>
      </c>
      <c r="E115" s="24" t="inlineStr">
        <is>
          <t>DOTA2</t>
        </is>
      </c>
      <c r="F115" s="24" t="inlineStr">
        <is>
          <t>CyberHero</t>
        </is>
      </c>
      <c r="G115" s="24" t="inlineStr">
        <is>
          <t>HULIGANI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-144</v>
      </c>
      <c r="M115" s="27" t="n">
        <v>1.694444</v>
      </c>
      <c r="N115" s="28" t="n">
        <v>0.590164</v>
      </c>
      <c r="O115" s="28" t="n">
        <v>0.562428</v>
      </c>
      <c r="P115" s="28" t="n"/>
      <c r="Q115" s="28" t="n">
        <v>-0.027736</v>
      </c>
      <c r="R115" s="26" t="n">
        <v>6</v>
      </c>
      <c r="S115" s="29" t="n">
        <v>1</v>
      </c>
      <c r="T115" s="24" t="inlineStr">
        <is>
          <t>dota2-tiered-elo-v6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0</v>
      </c>
      <c r="Y115" s="25" t="n"/>
      <c r="Z115" s="26" t="n">
        <v>-900</v>
      </c>
      <c r="AA115" s="28" t="n">
        <v>0.9</v>
      </c>
      <c r="AB115" s="28" t="n">
        <v>0.309836</v>
      </c>
      <c r="AC115" s="30" t="n">
        <v>-1</v>
      </c>
      <c r="AD115" s="24" t="inlineStr">
        <is>
          <t>2026-10-06T16:05:14.355704Z</t>
        </is>
      </c>
      <c r="AE115" s="31" t="inlineStr">
        <is>
          <t>Neutral Elo baseline; executable ask 0.5900 (market_slug=aec-dota2-hul-ch-2026-10-06).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CyberHero</t>
        </is>
      </c>
      <c r="AQ115" s="24" t="inlineStr">
        <is>
          <t>CyberHero</t>
        </is>
      </c>
      <c r="AR115" s="24" t="inlineStr">
        <is>
          <t>CyberHero</t>
        </is>
      </c>
      <c r="AS115" s="24" t="inlineStr">
        <is>
          <t>HULIGANI</t>
        </is>
      </c>
      <c r="AT115" s="24" t="inlineStr">
        <is>
          <t>HULIGANI</t>
        </is>
      </c>
      <c r="AU115" s="24" t="inlineStr">
        <is>
          <t>HULIGANI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8fd316347e24d5faa7a92e7ef89a639c490973a25d2b8dbb2af706a2af5abf92</t>
        </is>
      </c>
      <c r="BB115" s="24" t="inlineStr">
        <is>
          <t>neutral_elo</t>
        </is>
      </c>
      <c r="BC115" s="24" t="inlineStr">
        <is>
          <t>dota2-tiered-elo-v6</t>
        </is>
      </c>
      <c r="BD115" s="24" t="inlineStr">
        <is>
          <t>8fd316347e24d5faa7a92e7ef89a639c490973a25d2b8dbb2af706a2af5abf92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dota2-tiered-elo-v6</t>
        </is>
      </c>
      <c r="BH115" s="24" t="inlineStr">
        <is>
          <t>2026-10-05T22:25:34.131544Z</t>
        </is>
      </c>
      <c r="BI115" s="24" t="inlineStr">
        <is>
          <t>["same_event","same_team_same_day","same_league_same_day"]</t>
        </is>
      </c>
      <c r="BJ115" s="25" t="n"/>
      <c r="BK115" s="26" t="n">
        <v>-144</v>
      </c>
      <c r="BL115" s="27" t="n">
        <v>1.694444</v>
      </c>
      <c r="BM115" s="28" t="n">
        <v>0.590164</v>
      </c>
      <c r="BN115" s="28" t="n"/>
      <c r="BO115" s="28" t="n"/>
      <c r="BP115" s="25" t="n"/>
      <c r="BQ115" s="27" t="n">
        <v>1.111111</v>
      </c>
      <c r="BR115" s="28" t="n">
        <v>0.9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inlineStr">
        <is>
          <t>{"artifact_hash": "8fd316347e24d5faa7a92e7ef89a639c490973a25d2b8dbb2af706a2af5abf92", "away_team": "CyberHero", "event_id": "143561", "event_start_utc": "2026-10-06T08:00:00Z", "features": {"away_elo": 1488.83224, "away_history_count": 1, "home_elo": 1584.789817, "home_history_count": 336}, "historical_source_observation_times_verified": false, "home_team": "HULIGANI", "inference_inputs": {"book_state": {"games_played": {"bo3:4:15098": 336, "bo3:4:25398": 1}, "inactivity_half_life_days": null, "inactivity_max_pull": null, "k": 48.0, "last_match_utc": {"bo3:4:15098": "2026-10-05T08:00:00Z", "bo3:4:25398": "2026-10-05T11:10:00Z"}, "minimum_reliable_games": null, "platt_intercept": 0.08103315066152637, "platt_slope": 0.8449481325411426, "ratings": {"bo3:4:15098": 1584.789817, "bo3:4:25398": 1488.83224},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"2026-10-05T22:25:23.694580+00:00", "team_ids": ["bo3:4:15098", "bo3:4:25398"]}, "market_type": "moneyline", "model_version": "dota2-tiered-elo-v6", "observed_at_utc": "2026-10-05T22:25:23.694580+00:00", "probabilities": {"away": 0.437572, "home": 0.562428}, "replay_scope": "Exact serving book state, calibration, temperature, inactivity reference and thin-history adjustments; training provenance not certified.", "schema": "esports-elo-replay-v1", "snapshot_hash": "c44a835116c1677c2c2a584e22677bccdb7b9a22eb4bf8f09044d36880847ee7", "sport": "DOTA2"}</t>
        </is>
      </c>
    </row>
    <row r="116" ht="36" customHeight="1">
      <c r="A116" s="24" t="inlineStr">
        <is>
          <t>fd1c05e7e1ce4b8f</t>
        </is>
      </c>
      <c r="B116" s="24" t="inlineStr">
        <is>
          <t>2026-10-06T10:51:23.725681Z</t>
        </is>
      </c>
      <c r="C116" s="24" t="inlineStr">
        <is>
          <t>2026-10-06T14:00:00Z</t>
        </is>
      </c>
      <c r="D116" s="24" t="inlineStr">
        <is>
          <t>143565</t>
        </is>
      </c>
      <c r="E116" s="24" t="inlineStr">
        <is>
          <t>DOTA2</t>
        </is>
      </c>
      <c r="F116" s="24" t="inlineStr">
        <is>
          <t>Yellow Submarine</t>
        </is>
      </c>
      <c r="G116" s="24" t="inlineStr">
        <is>
          <t>Team Synapse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122</v>
      </c>
      <c r="M116" s="27" t="n">
        <v>2.22</v>
      </c>
      <c r="N116" s="28" t="n">
        <v>0.45045</v>
      </c>
      <c r="O116" s="28" t="n">
        <v>0.586581</v>
      </c>
      <c r="P116" s="28" t="n"/>
      <c r="Q116" s="28" t="n">
        <v>0.136131</v>
      </c>
      <c r="R116" s="26" t="n">
        <v>88</v>
      </c>
      <c r="S116" s="29" t="n">
        <v>1.5</v>
      </c>
      <c r="T116" s="24" t="inlineStr">
        <is>
          <t>dota2-tiered-elo-v6</t>
        </is>
      </c>
      <c r="U116" s="24" t="inlineStr">
        <is>
          <t>settled</t>
        </is>
      </c>
      <c r="V116" s="24" t="inlineStr">
        <is>
          <t>win</t>
        </is>
      </c>
      <c r="W116" s="26" t="n">
        <v>0</v>
      </c>
      <c r="X116" s="26" t="n">
        <v>1</v>
      </c>
      <c r="Y116" s="25" t="n"/>
      <c r="Z116" s="26" t="n">
        <v>122</v>
      </c>
      <c r="AA116" s="28" t="n">
        <v>0.45</v>
      </c>
      <c r="AB116" s="28" t="n">
        <v>-0.00045</v>
      </c>
      <c r="AC116" s="30" t="n">
        <v>1.83</v>
      </c>
      <c r="AD116" s="24" t="inlineStr">
        <is>
          <t>2026-10-06T22:05:25.356164Z</t>
        </is>
      </c>
      <c r="AE116" s="31" t="inlineStr">
        <is>
          <t>Neutral Elo baseline; executable ask 0.4500 (market_slug=aec-dota2-tsea-yes-2026-10-06).</t>
        </is>
      </c>
      <c r="AF116" s="31" t="inlineStr">
        <is>
          <t>Config-promoted esports baseline; gates enforced at log time.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model_qualified</t>
        </is>
      </c>
      <c r="AL116" s="26" t="n">
        <v>4</v>
      </c>
      <c r="AM116" s="24" t="inlineStr">
        <is>
          <t>QUALIFIED_SHADOW_CALL</t>
        </is>
      </c>
      <c r="AN116" s="24" t="inlineStr">
        <is>
          <t>CALL</t>
        </is>
      </c>
      <c r="AO116" s="24" t="inlineStr">
        <is>
          <t>QUALIFIED</t>
        </is>
      </c>
      <c r="AP116" s="24" t="inlineStr">
        <is>
          <t>Yellow Submarine</t>
        </is>
      </c>
      <c r="AQ116" s="24" t="inlineStr">
        <is>
          <t>Yellow Submarine</t>
        </is>
      </c>
      <c r="AR116" s="24" t="inlineStr">
        <is>
          <t>Yellow Submarine</t>
        </is>
      </c>
      <c r="AS116" s="24" t="inlineStr">
        <is>
          <t>Team Synapse</t>
        </is>
      </c>
      <c r="AT116" s="24" t="inlineStr">
        <is>
          <t>Team Synapse</t>
        </is>
      </c>
      <c r="AU116" s="24" t="inlineStr">
        <is>
          <t>Team Synapse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6759e71c6db4f5d9b0ec78bb2474758963eb5552e8a6657a0edf8ae49f26fe3d</t>
        </is>
      </c>
      <c r="BB116" s="24" t="inlineStr">
        <is>
          <t>neutral_elo</t>
        </is>
      </c>
      <c r="BC116" s="24" t="inlineStr">
        <is>
          <t>dota2-tiered-elo-v6</t>
        </is>
      </c>
      <c r="BD116" s="24" t="inlineStr">
        <is>
          <t>6759e71c6db4f5d9b0ec78bb2474758963eb5552e8a6657a0edf8ae49f26fe3d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dota2-tiered-elo-v6</t>
        </is>
      </c>
      <c r="BH116" s="24" t="inlineStr">
        <is>
          <t>2026-10-06T10:51:03.361802Z</t>
        </is>
      </c>
      <c r="BI116" s="24" t="inlineStr">
        <is>
          <t>["same_event","same_team_same_day","same_league_same_day"]</t>
        </is>
      </c>
      <c r="BJ116" s="25" t="n"/>
      <c r="BK116" s="26" t="n">
        <v>122</v>
      </c>
      <c r="BL116" s="27" t="n">
        <v>2.22</v>
      </c>
      <c r="BM116" s="28" t="n">
        <v>0.45045</v>
      </c>
      <c r="BN116" s="28" t="n"/>
      <c r="BO116" s="28" t="n"/>
      <c r="BP116" s="25" t="n"/>
      <c r="BQ116" s="27" t="n">
        <v>2.22</v>
      </c>
      <c r="BR116" s="28" t="n">
        <v>0.45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inlineStr">
        <is>
          <t>{"artifact_hash": "6759e71c6db4f5d9b0ec78bb2474758963eb5552e8a6657a0edf8ae49f26fe3d", "away_team": "Yellow Submarine", "event_id": "143565", "event_start_utc": "2026-10-06T14:00:00Z", "features": {"away_elo": 1786.028424, "away_history_count": 285, "home_elo": 1855.458017, "home_history_count": 23}, "historical_source_observation_times_verified": false, "home_team": "Team Synapse", "inference_inputs": {"book_state": {"games_played": {"bo3:4:16486": 285, "bo3:4:25201": 23}, "inactivity_half_life_days": null, "inactivity_max_pull": null, "k": 48.0, "last_match_utc": {"bo3:4:16486": "2026-10-05T11:10:00Z", "bo3:4:25201": "2026-10-05T08:00:00Z"}, "minimum_reliable_games": null, "platt_intercept": 0.0806649303548175, "platt_slope": 0.8439015098774778, "ratings": {"bo3:4:16486": 1786.028424, "bo3:4:25201": 1855.458017},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"2026-10-06T10:50:53.111088+00:00", "team_ids": ["bo3:4:25201", "bo3:4:16486"]}, "market_type": "moneyline", "model_version": "dota2-tiered-elo-v6", "observed_at_utc": "2026-10-06T10:50:53.111088+00:00", "probabilities": {"away": 0.413419, "home": 0.586581}, "replay_scope": "Exact serving book state, calibration, temperature, inactivity reference and thin-history adjustments; training provenance not certified.", "schema": "esports-elo-replay-v1", "snapshot_hash": "2d95927cb9101c0d665d6d64969b5ac62cd066f6a48af941c35e0f56d54aa876", "sport": "DOTA2"}</t>
        </is>
      </c>
    </row>
    <row r="117" ht="36" customHeight="1">
      <c r="A117" s="24" t="inlineStr">
        <is>
          <t>120dd1ec1cd24c81</t>
        </is>
      </c>
      <c r="B117" s="24" t="inlineStr">
        <is>
          <t>2026-10-06T16:34:32.687894Z</t>
        </is>
      </c>
      <c r="C117" s="24" t="inlineStr">
        <is>
          <t>2026-10-06T17:00:00Z</t>
        </is>
      </c>
      <c r="D117" s="24" t="inlineStr">
        <is>
          <t>144500</t>
        </is>
      </c>
      <c r="E117" s="24" t="inlineStr">
        <is>
          <t>DOTA2</t>
        </is>
      </c>
      <c r="F117" s="24" t="inlineStr">
        <is>
          <t>MOUZ</t>
        </is>
      </c>
      <c r="G117" s="24" t="inlineStr">
        <is>
          <t>LEGION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-117</v>
      </c>
      <c r="M117" s="27" t="n">
        <v>1.854701</v>
      </c>
      <c r="N117" s="28" t="n">
        <v>0.539171</v>
      </c>
      <c r="O117" s="28" t="n">
        <v>0.552316</v>
      </c>
      <c r="P117" s="28" t="n"/>
      <c r="Q117" s="28" t="n">
        <v>0.013145</v>
      </c>
      <c r="R117" s="26" t="n">
        <v>27</v>
      </c>
      <c r="S117" s="29" t="n">
        <v>1</v>
      </c>
      <c r="T117" s="24" t="inlineStr">
        <is>
          <t>dota2-tiered-elo-v6</t>
        </is>
      </c>
      <c r="U117" s="24" t="inlineStr">
        <is>
          <t>settled</t>
        </is>
      </c>
      <c r="V117" s="24" t="inlineStr">
        <is>
          <t>loss</t>
        </is>
      </c>
      <c r="W117" s="26" t="n">
        <v>0</v>
      </c>
      <c r="X117" s="26" t="n">
        <v>1</v>
      </c>
      <c r="Y117" s="25" t="n"/>
      <c r="Z117" s="26" t="n">
        <v>-117</v>
      </c>
      <c r="AA117" s="28" t="n">
        <v>0.54</v>
      </c>
      <c r="AB117" s="28" t="n">
        <v>0.000829</v>
      </c>
      <c r="AC117" s="30" t="n">
        <v>-1</v>
      </c>
      <c r="AD117" s="24" t="inlineStr">
        <is>
          <t>2026-10-06T22:05:27.593158Z</t>
        </is>
      </c>
      <c r="AE117" s="31" t="inlineStr">
        <is>
          <t>Neutral Elo baseline; executable ask 0.5400 (market_slug=aec-dota2-leg-mouz-2026-10-06).</t>
        </is>
      </c>
      <c r="AF117" s="31" t="inlineStr">
        <is>
          <t>Config-promoted esports baseline; gates enforced at log time.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MOUZ</t>
        </is>
      </c>
      <c r="AQ117" s="24" t="inlineStr">
        <is>
          <t>MOUZ</t>
        </is>
      </c>
      <c r="AR117" s="24" t="inlineStr">
        <is>
          <t>MOUZ</t>
        </is>
      </c>
      <c r="AS117" s="24" t="inlineStr">
        <is>
          <t>LEGION</t>
        </is>
      </c>
      <c r="AT117" s="24" t="inlineStr">
        <is>
          <t>LEGION</t>
        </is>
      </c>
      <c r="AU117" s="24" t="inlineStr">
        <is>
          <t>LEGION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4690b99c58f0ec38c0a7f8871260c2693630b47ca56007141cc547de632674ee</t>
        </is>
      </c>
      <c r="BB117" s="24" t="inlineStr">
        <is>
          <t>neutral_elo</t>
        </is>
      </c>
      <c r="BC117" s="24" t="inlineStr">
        <is>
          <t>dota2-tiered-elo-v6</t>
        </is>
      </c>
      <c r="BD117" s="24" t="inlineStr">
        <is>
          <t>4690b99c58f0ec38c0a7f8871260c2693630b47ca56007141cc547de632674ee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dota2-tiered-elo-v6</t>
        </is>
      </c>
      <c r="BH117" s="24" t="inlineStr">
        <is>
          <t>2026-10-06T16:34:12.398493Z</t>
        </is>
      </c>
      <c r="BI117" s="24" t="inlineStr">
        <is>
          <t>["same_event","same_team_same_day","same_league_same_day"]</t>
        </is>
      </c>
      <c r="BJ117" s="25" t="n"/>
      <c r="BK117" s="26" t="n">
        <v>-117</v>
      </c>
      <c r="BL117" s="27" t="n">
        <v>1.854701</v>
      </c>
      <c r="BM117" s="28" t="n">
        <v>0.539171</v>
      </c>
      <c r="BN117" s="28" t="n"/>
      <c r="BO117" s="28" t="n"/>
      <c r="BP117" s="25" t="n"/>
      <c r="BQ117" s="27" t="n">
        <v>1.854701</v>
      </c>
      <c r="BR117" s="28" t="n">
        <v>0.54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inlineStr">
        <is>
          <t>{"artifact_hash": "4690b99c58f0ec38c0a7f8871260c2693630b47ca56007141cc547de632674ee", "away_team": "MOUZ", "event_id": "144500", "event_start_utc": "2026-10-06T17:00:00Z", "features": {"away_elo": 1644.197963, "away_history_count": 363, "home_elo": 1532.76, "home_history_count": 1}, "historical_source_observation_times_verified": false, "home_team": "LEGION", "inference_inputs": {"book_state": {"games_played": {"bo3:4:15032": 363, "bo3:4:25401": 1}, "inactivity_half_life_days": null, "inactivity_max_pull": null, "k": 48.0, "last_match_utc": {"bo3:4:15032": "2026-10-05T18:00:00Z", "bo3:4:25401": "2026-10-05T14:00:00Z"}, "minimum_reliable_games": null, "platt_intercept": 0.08111949537955908, "platt_slope": 0.8418535477548365, "ratings": {"bo3:4:15032": 1644.197963, "bo3:4:25401": 1532.76},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"2026-10-06T16:34:12.325280+00:00", "team_ids": ["bo3:4:25401", "bo3:4:15032"]}, "market_type": "moneyline", "model_version": "dota2-tiered-elo-v6", "observed_at_utc": "2026-10-06T16:34:12.325280+00:00", "probabilities": {"away": 0.552316, "home": 0.447684}, "replay_scope": "Exact serving book state, calibration, temperature, inactivity reference and thin-history adjustments; training provenance not certified.", "schema": "esports-elo-replay-v1", "snapshot_hash": "d7ab51a4f880e3c1e54ff9e61bc180831b900208cf5f6dcb73682f2580b1dd3d", "sport": "DOTA2"}</t>
        </is>
      </c>
    </row>
    <row r="118" ht="36" customHeight="1">
      <c r="A118" s="24" t="inlineStr">
        <is>
          <t>e78ebb127f8b4a80</t>
        </is>
      </c>
      <c r="B118" s="24" t="inlineStr">
        <is>
          <t>2026-10-06T22:25:56.390271Z</t>
        </is>
      </c>
      <c r="C118" s="24" t="inlineStr">
        <is>
          <t>2026-10-07T03:00:00Z</t>
        </is>
      </c>
      <c r="D118" s="24" t="inlineStr">
        <is>
          <t>145226</t>
        </is>
      </c>
      <c r="E118" s="24" t="inlineStr">
        <is>
          <t>DOTA2</t>
        </is>
      </c>
      <c r="F118" s="24" t="inlineStr">
        <is>
          <t>ЯЧЁ123</t>
        </is>
      </c>
      <c r="G118" s="24" t="inlineStr">
        <is>
          <t>Direborn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-233</v>
      </c>
      <c r="M118" s="27" t="n">
        <v>1.429185</v>
      </c>
      <c r="N118" s="28" t="n">
        <v>0.6997</v>
      </c>
      <c r="O118" s="28" t="n">
        <v>0.550796</v>
      </c>
      <c r="P118" s="28" t="n"/>
      <c r="Q118" s="28" t="n">
        <v>-0.148904</v>
      </c>
      <c r="R118" s="26" t="n">
        <v>0</v>
      </c>
      <c r="S118" s="29" t="n">
        <v>1</v>
      </c>
      <c r="T118" s="24" t="inlineStr">
        <is>
          <t>dota2-tiered-elo-v6</t>
        </is>
      </c>
      <c r="U118" s="24" t="inlineStr">
        <is>
          <t>settled</t>
        </is>
      </c>
      <c r="V118" s="24" t="inlineStr">
        <is>
          <t>win</t>
        </is>
      </c>
      <c r="W118" s="26" t="n">
        <v>0</v>
      </c>
      <c r="X118" s="26" t="n">
        <v>1</v>
      </c>
      <c r="Y118" s="25" t="n"/>
      <c r="Z118" s="26" t="n">
        <v>-233</v>
      </c>
      <c r="AA118" s="28" t="n">
        <v>0.7</v>
      </c>
      <c r="AB118" s="28" t="n">
        <v>0.0003</v>
      </c>
      <c r="AC118" s="30" t="n">
        <v>0.4292</v>
      </c>
      <c r="AD118" s="24" t="inlineStr">
        <is>
          <t>2026-10-07T10:05:40.667231Z</t>
        </is>
      </c>
      <c r="AE118" s="31" t="inlineStr">
        <is>
          <t>Neutral Elo baseline; executable ask 0.7000 (market_slug=aec-dota2-db-y123-2026-10-07).</t>
        </is>
      </c>
      <c r="AF118" s="31" t="inlineStr">
        <is>
          <t>Config-promoted esports baseline; gates enforced at log time.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PAPER_CALL_MODEL_UNVALIDATED</t>
        </is>
      </c>
      <c r="AP118" s="24" t="inlineStr">
        <is>
          <t>ЯЧЁ123</t>
        </is>
      </c>
      <c r="AQ118" s="24" t="inlineStr">
        <is>
          <t>ЯЧЁ123</t>
        </is>
      </c>
      <c r="AR118" s="24" t="inlineStr">
        <is>
          <t>ЯЧЁ123</t>
        </is>
      </c>
      <c r="AS118" s="24" t="inlineStr">
        <is>
          <t>Direborn</t>
        </is>
      </c>
      <c r="AT118" s="24" t="inlineStr">
        <is>
          <t>Direborn</t>
        </is>
      </c>
      <c r="AU118" s="24" t="inlineStr">
        <is>
          <t>Direborn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c6996bf486b3088429204679c4a6b5d24c63cbcf4cadb3e51613f46a7fcb8642</t>
        </is>
      </c>
      <c r="BB118" s="24" t="inlineStr">
        <is>
          <t>neutral_elo</t>
        </is>
      </c>
      <c r="BC118" s="24" t="inlineStr">
        <is>
          <t>dota2-tiered-elo-v6</t>
        </is>
      </c>
      <c r="BD118" s="24" t="inlineStr">
        <is>
          <t>c6996bf486b3088429204679c4a6b5d24c63cbcf4cadb3e51613f46a7fcb8642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dota2-tiered-elo-v6</t>
        </is>
      </c>
      <c r="BH118" s="24" t="inlineStr">
        <is>
          <t>2026-10-06T22:25:25.556351Z</t>
        </is>
      </c>
      <c r="BI118" s="24" t="inlineStr">
        <is>
          <t>["same_event","same_team_same_day","same_league_same_day"]</t>
        </is>
      </c>
      <c r="BJ118" s="25" t="n"/>
      <c r="BK118" s="26" t="n">
        <v>-233</v>
      </c>
      <c r="BL118" s="27" t="n">
        <v>1.429185</v>
      </c>
      <c r="BM118" s="28" t="n">
        <v>0.6997</v>
      </c>
      <c r="BN118" s="28" t="n"/>
      <c r="BO118" s="28" t="n"/>
      <c r="BP118" s="25" t="n"/>
      <c r="BQ118" s="27" t="n">
        <v>1.429185</v>
      </c>
      <c r="BR118" s="28" t="n">
        <v>0.7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n"/>
      <c r="DK118" s="24" t="n"/>
      <c r="DL118" s="24" t="n"/>
      <c r="DM118" s="24" t="n"/>
      <c r="DN118" s="24" t="n"/>
      <c r="DO118" s="24" t="n"/>
      <c r="DP118" s="24" t="n"/>
      <c r="DQ118" s="24" t="inlineStr">
        <is>
          <t>{"artifact_hash": "c6996bf486b3088429204679c4a6b5d24c63cbcf4cadb3e51613f46a7fcb8642", "away_team": "\u042f\u0427\u0401123", "event_id": "145226", "event_start_utc": "2026-10-07T03:00:00Z", "features": {"away_elo": 1500.0, "away_history_count": 0, "home_elo": 1584.551416, "home_history_count": 37}, "historical_source_observation_times_verified": false, "home_team": "Direborn", "inference_inputs": {"book_state": {"games_played": {"bo3:4:24344": 37}, "inactivity_half_life_days": null, "inactivity_max_pull": null, "k": 48.0, "last_match_utc": {"bo3:4:24344": "2026-10-06T06:30:00Z"}, "minimum_reliable_games": null, "platt_intercept": 0.07646024717646603, "platt_slope": 0.8471774676108041, "ratings": {"bo3:4:24344": 1584.551416},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"2026-10-06T22:25:25.483347+00:00", "team_ids": ["bo3:4:24344", "unknown:\u044f\u0447\u0435123"]}, "market_type": "moneyline", "model_version": "dota2-tiered-elo-v6", "observed_at_utc": "2026-10-06T22:25:25.483347+00:00", "probabilities": {"away": 0.449204, "home": 0.550796}, "replay_scope": "Exact serving book state, calibration, temperature, inactivity reference and thin-history adjustments; training provenance not certified.", "schema": "esports-elo-replay-v1", "snapshot_hash": "dc330291efd584143729f621ac5b58f7d873a090a9b0f169c927e0ebb9493b25", "sport": "DOTA2"}</t>
        </is>
      </c>
    </row>
    <row r="119" ht="36" customHeight="1">
      <c r="A119" s="24" t="inlineStr">
        <is>
          <t>b45edc68511c4231</t>
        </is>
      </c>
      <c r="B119" s="24" t="inlineStr">
        <is>
          <t>2026-10-07T05:29:10.726256Z</t>
        </is>
      </c>
      <c r="C119" s="24" t="inlineStr">
        <is>
          <t>2026-10-07T09:00:00Z</t>
        </is>
      </c>
      <c r="D119" s="24" t="inlineStr">
        <is>
          <t>145796</t>
        </is>
      </c>
      <c r="E119" s="24" t="inlineStr">
        <is>
          <t>DOTA2</t>
        </is>
      </c>
      <c r="F119" s="24" t="inlineStr">
        <is>
          <t>Yellow Submarine</t>
        </is>
      </c>
      <c r="G119" s="24" t="inlineStr">
        <is>
          <t>Blasterbl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-144</v>
      </c>
      <c r="M119" s="27" t="n">
        <v>1.694444</v>
      </c>
      <c r="N119" s="28" t="n">
        <v>0.590164</v>
      </c>
      <c r="O119" s="28" t="n">
        <v>0.639911</v>
      </c>
      <c r="P119" s="28" t="n"/>
      <c r="Q119" s="28" t="n">
        <v>0.049747</v>
      </c>
      <c r="R119" s="26" t="n">
        <v>45</v>
      </c>
      <c r="S119" s="29" t="n">
        <v>1</v>
      </c>
      <c r="T119" s="24" t="inlineStr">
        <is>
          <t>dota2-tiered-elo-v6</t>
        </is>
      </c>
      <c r="U119" s="24" t="inlineStr">
        <is>
          <t>settled</t>
        </is>
      </c>
      <c r="V119" s="24" t="inlineStr">
        <is>
          <t>loss</t>
        </is>
      </c>
      <c r="W119" s="26" t="n">
        <v>0</v>
      </c>
      <c r="X119" s="26" t="n">
        <v>1</v>
      </c>
      <c r="Y119" s="25" t="n"/>
      <c r="Z119" s="26" t="n">
        <v>-144</v>
      </c>
      <c r="AA119" s="28" t="n">
        <v>0.59</v>
      </c>
      <c r="AB119" s="28" t="n">
        <v>-0.000164</v>
      </c>
      <c r="AC119" s="30" t="n">
        <v>-1</v>
      </c>
      <c r="AD119" s="24" t="inlineStr">
        <is>
          <t>2026-10-07T16:06:25.394851Z</t>
        </is>
      </c>
      <c r="AE119" s="31" t="inlineStr">
        <is>
          <t>Neutral Elo baseline; executable ask 0.5900 (market_slug=aec-dota2-bbl-yes-2026-10-07).</t>
        </is>
      </c>
      <c r="AF119" s="31" t="inlineStr">
        <is>
          <t>Config-promoted esports baseline; gates enforced at log time.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4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Yellow Submarine</t>
        </is>
      </c>
      <c r="AQ119" s="24" t="inlineStr">
        <is>
          <t>Yellow Submarine</t>
        </is>
      </c>
      <c r="AR119" s="24" t="inlineStr">
        <is>
          <t>Yellow Submarine</t>
        </is>
      </c>
      <c r="AS119" s="24" t="inlineStr">
        <is>
          <t>Blasterbl</t>
        </is>
      </c>
      <c r="AT119" s="24" t="inlineStr">
        <is>
          <t>Blasterbl</t>
        </is>
      </c>
      <c r="AU119" s="24" t="inlineStr">
        <is>
          <t>Blasterbl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00ed5147d0e0a43bf2db627ef55a5a1201c6979969e61e75b6a4a259a94f99a0</t>
        </is>
      </c>
      <c r="BB119" s="24" t="inlineStr">
        <is>
          <t>neutral_elo</t>
        </is>
      </c>
      <c r="BC119" s="24" t="inlineStr">
        <is>
          <t>dota2-tiered-elo-v6</t>
        </is>
      </c>
      <c r="BD119" s="24" t="inlineStr">
        <is>
          <t>00ed5147d0e0a43bf2db627ef55a5a1201c6979969e61e75b6a4a259a94f99a0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dota2-tiered-elo-v6</t>
        </is>
      </c>
      <c r="BH119" s="24" t="inlineStr">
        <is>
          <t>2026-10-07T05:28:49.757708Z</t>
        </is>
      </c>
      <c r="BI119" s="24" t="inlineStr">
        <is>
          <t>["same_event","same_team_same_day","same_league_same_day"]</t>
        </is>
      </c>
      <c r="BJ119" s="25" t="n"/>
      <c r="BK119" s="26" t="n">
        <v>-144</v>
      </c>
      <c r="BL119" s="27" t="n">
        <v>1.694444</v>
      </c>
      <c r="BM119" s="28" t="n">
        <v>0.590164</v>
      </c>
      <c r="BN119" s="28" t="n"/>
      <c r="BO119" s="28" t="n"/>
      <c r="BP119" s="25" t="n"/>
      <c r="BQ119" s="27" t="n">
        <v>1.694444</v>
      </c>
      <c r="BR119" s="28" t="n">
        <v>0.59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n"/>
      <c r="DK119" s="24" t="n"/>
      <c r="DL119" s="24" t="n"/>
      <c r="DM119" s="24" t="n"/>
      <c r="DN119" s="24" t="n"/>
      <c r="DO119" s="24" t="n"/>
      <c r="DP119" s="24" t="n"/>
      <c r="DQ119" s="24" t="inlineStr">
        <is>
          <t>{"artifact_hash": "00ed5147d0e0a43bf2db627ef55a5a1201c6979969e61e75b6a4a259a94f99a0", "away_team": "Yellow Submarine", "event_id": "145796", "event_start_utc": "2026-10-07T09:00:00Z", "features": {"away_elo": 1759.660919, "away_history_count": 286, "home_elo": 1497.898695, "home_history_count": 2}, "historical_source_observation_times_verified": false, "home_team": "Blasterbl", "inference_inputs": {"book_state": {"games_played": {"bo3:4:16486": 286, "bo3:4:23832": 2}, "inactivity_half_life_days": null, "inactivity_max_pull": null, "k": 48.0, "last_match_utc": {"bo3:4:16486": "2026-10-06T14:35:00Z", "bo3:4:23832": "2026-10-06T12:20:00Z"}, "minimum_reliable_games": null, "platt_intercept": 0.07646024717646603, "platt_slope": 0.8471774676108041, "ratings": {"bo3:4:16486": 1759.660919, "bo3:4:23832": 1497.898695},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"2026-10-07T05:28:49.648258+00:00", "team_ids": ["bo3:4:23832", "bo3:4:16486"]}, "market_type": "moneyline", "model_version": "dota2-tiered-elo-v6", "observed_at_utc": "2026-10-07T05:28:49.648258+00:00", "probabilities": {"away": 0.639911, "home": 0.360089}, "replay_scope": "Exact serving book state, calibration, temperature, inactivity reference and thin-history adjustments; training provenance not certified.", "schema": "esports-elo-replay-v1", "snapshot_hash": "8a7fc04bcf06afcbba6bf364eb12482398a8f0fcc2bcc06755a2c1074e81fe44", "sport": "DOTA2"}</t>
        </is>
      </c>
    </row>
    <row r="120" ht="36" customHeight="1">
      <c r="A120" s="24" t="inlineStr">
        <is>
          <t>5d975ad0beb743a5</t>
        </is>
      </c>
      <c r="B120" s="24" t="inlineStr">
        <is>
          <t>2026-10-07T10:23:30.086549Z</t>
        </is>
      </c>
      <c r="C120" s="24" t="inlineStr">
        <is>
          <t>2026-10-07T12:00:00Z</t>
        </is>
      </c>
      <c r="D120" s="24" t="inlineStr">
        <is>
          <t>146207</t>
        </is>
      </c>
      <c r="E120" s="24" t="inlineStr">
        <is>
          <t>DOTA2</t>
        </is>
      </c>
      <c r="F120" s="24" t="inlineStr">
        <is>
          <t>MOUZ</t>
        </is>
      </c>
      <c r="G120" s="24" t="inlineStr">
        <is>
          <t>CyberHero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-117</v>
      </c>
      <c r="M120" s="27" t="n">
        <v>1.854701</v>
      </c>
      <c r="N120" s="28" t="n">
        <v>0.539171</v>
      </c>
      <c r="O120" s="28" t="n">
        <v>0.533946</v>
      </c>
      <c r="P120" s="28" t="n"/>
      <c r="Q120" s="28" t="n">
        <v>-0.005225</v>
      </c>
      <c r="R120" s="26" t="n">
        <v>17</v>
      </c>
      <c r="S120" s="29" t="n">
        <v>1</v>
      </c>
      <c r="T120" s="24" t="inlineStr">
        <is>
          <t>dota2-tiered-elo-v6</t>
        </is>
      </c>
      <c r="U120" s="24" t="inlineStr">
        <is>
          <t>settled</t>
        </is>
      </c>
      <c r="V120" s="24" t="inlineStr">
        <is>
          <t>loss</t>
        </is>
      </c>
      <c r="W120" s="26" t="n">
        <v>0</v>
      </c>
      <c r="X120" s="26" t="n">
        <v>1</v>
      </c>
      <c r="Y120" s="25" t="n"/>
      <c r="Z120" s="26" t="n">
        <v>-122</v>
      </c>
      <c r="AA120" s="28" t="n">
        <v>0.55</v>
      </c>
      <c r="AB120" s="28" t="n">
        <v>0.010829</v>
      </c>
      <c r="AC120" s="30" t="n">
        <v>-1</v>
      </c>
      <c r="AD120" s="24" t="inlineStr">
        <is>
          <t>2026-10-07T16:06:26.565290Z</t>
        </is>
      </c>
      <c r="AE120" s="31" t="inlineStr">
        <is>
          <t>Neutral Elo baseline; executable ask 0.5400 (market_slug=aec-dota2-ch-mouz-2026-10-07).</t>
        </is>
      </c>
      <c r="AF120" s="31" t="inlineStr">
        <is>
          <t>Config-promoted esports baseline; gates enforced at log time.</t>
        </is>
      </c>
      <c r="AG120" s="24" t="inlineStr">
        <is>
          <t>review_required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PAPER_CALL_LOW_EDGE</t>
        </is>
      </c>
      <c r="AP120" s="24" t="inlineStr">
        <is>
          <t>MOUZ</t>
        </is>
      </c>
      <c r="AQ120" s="24" t="inlineStr">
        <is>
          <t>MOUZ</t>
        </is>
      </c>
      <c r="AR120" s="24" t="inlineStr">
        <is>
          <t>MOUZ</t>
        </is>
      </c>
      <c r="AS120" s="24" t="inlineStr">
        <is>
          <t>CyberHero</t>
        </is>
      </c>
      <c r="AT120" s="24" t="inlineStr">
        <is>
          <t>CyberHero</t>
        </is>
      </c>
      <c r="AU120" s="24" t="inlineStr">
        <is>
          <t>CyberHero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8f4a6f5ae78633bea4c7b21d6e2903f4d5a628c17b4db8222ef6d4549d50f177</t>
        </is>
      </c>
      <c r="BB120" s="24" t="inlineStr">
        <is>
          <t>neutral_elo</t>
        </is>
      </c>
      <c r="BC120" s="24" t="inlineStr">
        <is>
          <t>dota2-tiered-elo-v6</t>
        </is>
      </c>
      <c r="BD120" s="24" t="inlineStr">
        <is>
          <t>8f4a6f5ae78633bea4c7b21d6e2903f4d5a628c17b4db8222ef6d4549d50f177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dota2-tiered-elo-v6</t>
        </is>
      </c>
      <c r="BH120" s="24" t="inlineStr">
        <is>
          <t>2026-10-07T10:23:09.270676Z</t>
        </is>
      </c>
      <c r="BI120" s="24" t="inlineStr">
        <is>
          <t>["same_event","same_team_same_day","same_league_same_day"]</t>
        </is>
      </c>
      <c r="BJ120" s="25" t="n"/>
      <c r="BK120" s="26" t="n">
        <v>-117</v>
      </c>
      <c r="BL120" s="27" t="n">
        <v>1.854701</v>
      </c>
      <c r="BM120" s="28" t="n">
        <v>0.539171</v>
      </c>
      <c r="BN120" s="28" t="n"/>
      <c r="BO120" s="28" t="n"/>
      <c r="BP120" s="25" t="n"/>
      <c r="BQ120" s="27" t="n">
        <v>1.819672</v>
      </c>
      <c r="BR120" s="28" t="n">
        <v>0.55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n"/>
      <c r="DK120" s="24" t="n"/>
      <c r="DL120" s="24" t="n"/>
      <c r="DM120" s="24" t="n"/>
      <c r="DN120" s="24" t="n"/>
      <c r="DO120" s="24" t="n"/>
      <c r="DP120" s="24" t="n"/>
      <c r="DQ120" s="24" t="inlineStr">
        <is>
          <t>{"artifact_hash": "8f4a6f5ae78633bea4c7b21d6e2903f4d5a628c17b4db8222ef6d4549d50f177", "away_team": "MOUZ", "event_id": "146207", "event_start_utc": "2026-10-07T12:00:00Z", "features": {"away_elo": 1601.278288, "away_history_count": 364, "home_elo": 1530.437849, "home_history_count": 2}, "historical_source_observation_times_verified": false, "home_team": "CyberHero", "inference_inputs": {"book_state": {"games_played": {"bo3:4:15032": 364, "bo3:4:25398": 2}, "inactivity_half_life_days": null, "inactivity_max_pull": null, "k": 48.0, "last_match_utc": {"bo3:4:15032": "2026-10-06T17:20:00Z", "bo3:4:25398": "2026-10-06T08:10:00Z"}, "minimum_reliable_games": null, "platt_intercept": 0.07656940144871896, "platt_slope": 0.849720404615883, "ratings": {"bo3:4:15032": 1601.278288, "bo3:4:25398": 1530.437849},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"2026-10-07T10:23:09.218675+00:00", "team_ids": ["bo3:4:25398", "bo3:4:15032"]}, "market_type": "moneyline", "model_version": "dota2-tiered-elo-v6", "observed_at_utc": "2026-10-07T10:23:09.218675+00:00", "probabilities": {"away": 0.533946, "home": 0.466054}, "replay_scope": "Exact serving book state, calibration, temperature, inactivity reference and thin-history adjustments; training provenance not certified.", "schema": "esports-elo-replay-v1", "snapshot_hash": "4646121ff359ae6c5ec0687780aa2d1878fdb09c65bd920cb1d15daf0b498a38", "sport": "DOTA2"}</t>
        </is>
      </c>
    </row>
    <row r="121" ht="36" customHeight="1">
      <c r="A121" s="24" t="inlineStr">
        <is>
          <t>788b9c35de5b4367</t>
        </is>
      </c>
      <c r="B121" s="24" t="inlineStr">
        <is>
          <t>2026-10-07T10:23:30.086549Z</t>
        </is>
      </c>
      <c r="C121" s="24" t="inlineStr">
        <is>
          <t>2026-10-07T15:00:00Z</t>
        </is>
      </c>
      <c r="D121" s="24" t="inlineStr">
        <is>
          <t>146208</t>
        </is>
      </c>
      <c r="E121" s="24" t="inlineStr">
        <is>
          <t>DOTA2</t>
        </is>
      </c>
      <c r="F121" s="24" t="inlineStr">
        <is>
          <t>LEGION</t>
        </is>
      </c>
      <c r="G121" s="24" t="inlineStr">
        <is>
          <t>Team Synapse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-144</v>
      </c>
      <c r="M121" s="27" t="n">
        <v>1.694444</v>
      </c>
      <c r="N121" s="28" t="n">
        <v>0.590164</v>
      </c>
      <c r="O121" s="28" t="n">
        <v>0.673769</v>
      </c>
      <c r="P121" s="28" t="n"/>
      <c r="Q121" s="28" t="n">
        <v>0.083605</v>
      </c>
      <c r="R121" s="26" t="n">
        <v>62</v>
      </c>
      <c r="S121" s="29" t="n">
        <v>1.25</v>
      </c>
      <c r="T121" s="24" t="inlineStr">
        <is>
          <t>dota2-tiered-elo-v6</t>
        </is>
      </c>
      <c r="U121" s="24" t="inlineStr">
        <is>
          <t>settled</t>
        </is>
      </c>
      <c r="V121" s="24" t="inlineStr">
        <is>
          <t>loss</t>
        </is>
      </c>
      <c r="W121" s="26" t="n">
        <v>1</v>
      </c>
      <c r="X121" s="26" t="n">
        <v>0</v>
      </c>
      <c r="Y121" s="25" t="n"/>
      <c r="Z121" s="26" t="n">
        <v>-122</v>
      </c>
      <c r="AA121" s="28" t="n">
        <v>0.55</v>
      </c>
      <c r="AB121" s="28" t="n">
        <v>-0.040164</v>
      </c>
      <c r="AC121" s="30" t="n">
        <v>-1.25</v>
      </c>
      <c r="AD121" s="24" t="inlineStr">
        <is>
          <t>2026-10-07T22:04:54.335391Z</t>
        </is>
      </c>
      <c r="AE121" s="31" t="inlineStr">
        <is>
          <t>Neutral Elo baseline; executable ask 0.5900 (market_slug=aec-dota2-tsea-leg-2026-10-07).</t>
        </is>
      </c>
      <c r="AF121" s="31" t="inlineStr">
        <is>
          <t>Config-promoted esports baseline; gates enforced at log time.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4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LEGION</t>
        </is>
      </c>
      <c r="AQ121" s="24" t="inlineStr">
        <is>
          <t>LEGION</t>
        </is>
      </c>
      <c r="AR121" s="24" t="inlineStr">
        <is>
          <t>LEGION</t>
        </is>
      </c>
      <c r="AS121" s="24" t="inlineStr">
        <is>
          <t>Team Synapse</t>
        </is>
      </c>
      <c r="AT121" s="24" t="inlineStr">
        <is>
          <t>Team Synapse</t>
        </is>
      </c>
      <c r="AU121" s="24" t="inlineStr">
        <is>
          <t>Team Synapse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8f4a6f5ae78633bea4c7b21d6e2903f4d5a628c17b4db8222ef6d4549d50f177</t>
        </is>
      </c>
      <c r="BB121" s="24" t="inlineStr">
        <is>
          <t>neutral_elo</t>
        </is>
      </c>
      <c r="BC121" s="24" t="inlineStr">
        <is>
          <t>dota2-tiered-elo-v6</t>
        </is>
      </c>
      <c r="BD121" s="24" t="inlineStr">
        <is>
          <t>8f4a6f5ae78633bea4c7b21d6e2903f4d5a628c17b4db8222ef6d4549d50f177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dota2-tiered-elo-v6</t>
        </is>
      </c>
      <c r="BH121" s="24" t="inlineStr">
        <is>
          <t>2026-10-07T10:23:09.332235Z</t>
        </is>
      </c>
      <c r="BI121" s="24" t="inlineStr">
        <is>
          <t>["same_event","same_team_same_day","same_league_same_day"]</t>
        </is>
      </c>
      <c r="BJ121" s="25" t="n"/>
      <c r="BK121" s="26" t="n">
        <v>-144</v>
      </c>
      <c r="BL121" s="27" t="n">
        <v>1.694444</v>
      </c>
      <c r="BM121" s="28" t="n">
        <v>0.590164</v>
      </c>
      <c r="BN121" s="28" t="n"/>
      <c r="BO121" s="28" t="n"/>
      <c r="BP121" s="25" t="n"/>
      <c r="BQ121" s="27" t="n">
        <v>1.819672</v>
      </c>
      <c r="BR121" s="28" t="n">
        <v>0.55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n"/>
      <c r="DK121" s="24" t="n"/>
      <c r="DL121" s="24" t="n"/>
      <c r="DM121" s="24" t="n"/>
      <c r="DN121" s="24" t="n"/>
      <c r="DO121" s="24" t="n"/>
      <c r="DP121" s="24" t="n"/>
      <c r="DQ121" s="24" t="inlineStr">
        <is>
          <t>{"artifact_hash": "8f4a6f5ae78633bea4c7b21d6e2903f4d5a628c17b4db8222ef6d4549d50f177", "away_team": "LEGION", "event_id": "146208", "event_start_utc": "2026-10-07T15:00:00Z", "features": {"away_elo": 1575.629058, "away_history_count": 2, "home_elo": 1881.437986, "home_history_count": 24}, "historical_source_observation_times_verified": false, "home_team": "Team Synapse", "inference_inputs": {"book_state": {"games_played": {"bo3:4:25201": 24, "bo3:4:25401": 2}, "inactivity_half_life_days": null, "inactivity_max_pull": null, "k": 48.0, "last_match_utc": {"bo3:4:25201": "2026-10-06T14:35:00Z", "bo3:4:25401": "2026-10-06T17:20:00Z"}, "minimum_reliable_games": null, "platt_intercept": 0.07656940144871896, "platt_slope": 0.849720404615883, "ratings": {"bo3:4:25201": 1881.437986, "bo3:4:25401": 1575.629058},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"2026-10-07T10:23:09.218675+00:00", "team_ids": ["bo3:4:25201", "bo3:4:25401"]}, "market_type": "moneyline", "model_version": "dota2-tiered-elo-v6", "observed_at_utc": "2026-10-07T10:23:09.218675+00:00", "probabilities": {"away": 0.326231, "home": 0.673769}, "replay_scope": "Exact serving book state, calibration, temperature, inactivity reference and thin-history adjustments; training provenance not certified.", "schema": "esports-elo-replay-v1", "snapshot_hash": "c988e0bfb2734b187c99c9c45d600ba856d037d2016dfe738b6843af5d964537", "sport": "DOTA2"}</t>
        </is>
      </c>
    </row>
    <row r="122" ht="36" customHeight="1">
      <c r="A122" s="24" t="inlineStr">
        <is>
          <t>8409de11415246a2</t>
        </is>
      </c>
      <c r="B122" s="24" t="inlineStr">
        <is>
          <t>2026-10-07T16:32:44.972195Z</t>
        </is>
      </c>
      <c r="C122" s="24" t="inlineStr">
        <is>
          <t>2026-10-07T18:00:00Z</t>
        </is>
      </c>
      <c r="D122" s="24" t="inlineStr">
        <is>
          <t>147363</t>
        </is>
      </c>
      <c r="E122" s="24" t="inlineStr">
        <is>
          <t>DOTA2</t>
        </is>
      </c>
      <c r="F122" s="24" t="inlineStr">
        <is>
          <t>CyberHero</t>
        </is>
      </c>
      <c r="G122" s="24" t="inlineStr">
        <is>
          <t>Blasterbl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163</v>
      </c>
      <c r="M122" s="27" t="n">
        <v>2.63</v>
      </c>
      <c r="N122" s="28" t="n">
        <v>0.380228</v>
      </c>
      <c r="O122" s="28" t="n">
        <v>0.502246</v>
      </c>
      <c r="P122" s="28" t="n"/>
      <c r="Q122" s="28" t="n">
        <v>0.122018</v>
      </c>
      <c r="R122" s="26" t="n">
        <v>81</v>
      </c>
      <c r="S122" s="29" t="n">
        <v>1.5</v>
      </c>
      <c r="T122" s="24" t="inlineStr">
        <is>
          <t>dota2-tiered-elo-v6</t>
        </is>
      </c>
      <c r="U122" s="24" t="inlineStr">
        <is>
          <t>settled</t>
        </is>
      </c>
      <c r="V122" s="24" t="inlineStr">
        <is>
          <t>loss</t>
        </is>
      </c>
      <c r="W122" s="26" t="n">
        <v>0</v>
      </c>
      <c r="X122" s="26" t="n">
        <v>1</v>
      </c>
      <c r="Y122" s="25" t="n"/>
      <c r="Z122" s="26" t="n">
        <v>144</v>
      </c>
      <c r="AA122" s="28" t="n">
        <v>0.41</v>
      </c>
      <c r="AB122" s="28" t="n">
        <v>0.029772</v>
      </c>
      <c r="AC122" s="30" t="n">
        <v>-1.5</v>
      </c>
      <c r="AD122" s="24" t="inlineStr">
        <is>
          <t>2026-10-07T22:04:55.499144Z</t>
        </is>
      </c>
      <c r="AE122" s="31" t="inlineStr">
        <is>
          <t>Neutral Elo baseline; executable ask 0.3800 (market_slug=aec-dota2-bbl-ch-2026-10-07).</t>
        </is>
      </c>
      <c r="AF122" s="31" t="inlineStr">
        <is>
          <t>Config-promoted esports baseline; gates enforced at log time.</t>
        </is>
      </c>
      <c r="AG122" s="24" t="inlineStr">
        <is>
          <t>review_required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4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CyberHero</t>
        </is>
      </c>
      <c r="AQ122" s="24" t="inlineStr">
        <is>
          <t>CyberHero</t>
        </is>
      </c>
      <c r="AR122" s="24" t="inlineStr">
        <is>
          <t>CyberHero</t>
        </is>
      </c>
      <c r="AS122" s="24" t="inlineStr">
        <is>
          <t>Blasterbl</t>
        </is>
      </c>
      <c r="AT122" s="24" t="inlineStr">
        <is>
          <t>Blasterbl</t>
        </is>
      </c>
      <c r="AU122" s="24" t="inlineStr">
        <is>
          <t>Blasterbl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77804c68a4a17976e73de5a127cd27afaab30de3f32a7869f2309315b9e3f416</t>
        </is>
      </c>
      <c r="BB122" s="24" t="inlineStr">
        <is>
          <t>neutral_elo</t>
        </is>
      </c>
      <c r="BC122" s="24" t="inlineStr">
        <is>
          <t>dota2-tiered-elo-v6</t>
        </is>
      </c>
      <c r="BD122" s="24" t="inlineStr">
        <is>
          <t>77804c68a4a17976e73de5a127cd27afaab30de3f32a7869f2309315b9e3f416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dota2-tiered-elo-v6</t>
        </is>
      </c>
      <c r="BH122" s="24" t="inlineStr">
        <is>
          <t>2026-10-07T16:32:25.394431Z</t>
        </is>
      </c>
      <c r="BI122" s="24" t="inlineStr">
        <is>
          <t>["same_event","same_team_same_day","same_league_same_day"]</t>
        </is>
      </c>
      <c r="BJ122" s="25" t="n"/>
      <c r="BK122" s="26" t="n">
        <v>163</v>
      </c>
      <c r="BL122" s="27" t="n">
        <v>2.63</v>
      </c>
      <c r="BM122" s="28" t="n">
        <v>0.380228</v>
      </c>
      <c r="BN122" s="28" t="n"/>
      <c r="BO122" s="28" t="n"/>
      <c r="BP122" s="25" t="n"/>
      <c r="BQ122" s="27" t="n">
        <v>2.44</v>
      </c>
      <c r="BR122" s="28" t="n">
        <v>0.41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n"/>
      <c r="DK122" s="24" t="n"/>
      <c r="DL122" s="24" t="n"/>
      <c r="DM122" s="24" t="n"/>
      <c r="DN122" s="24" t="n"/>
      <c r="DO122" s="24" t="n"/>
      <c r="DP122" s="24" t="n"/>
      <c r="DQ122" s="24" t="inlineStr">
        <is>
          <t>{"artifact_hash": "77804c68a4a17976e73de5a127cd27afaab30de3f32a7869f2309315b9e3f416", "away_team": "CyberHero", "event_id": "147363", "event_start_utc": "2026-10-07T18:00:00Z", "features": {"away_elo": 1569.735616, "away_history_count": 3, "home_elo": 1551.480983, "home_history_count": 3}, "historical_source_observation_times_verified": false, "home_team": "Blasterbl", "inference_inputs": {"book_state": {"games_played": {"bo3:4:23832": 3, "bo3:4:25398": 3}, "inactivity_half_life_days": null, "inactivity_max_pull": null, "k": 48.0, "last_match_utc": {"bo3:4:23832": "2026-10-07T09:00:00Z", "bo3:4:25398": "2026-10-07T12:50:00Z"}, "minimum_reliable_games": null, "platt_intercept": 0.07340728322508241, "platt_slope": 0.8514773257097051, "ratings": {"bo3:4:23832": 1551.480983, "bo3:4:25398": 1569.735616},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"2026-10-07T16:32:25.298285+00:00", "team_ids": ["bo3:4:23832", "bo3:4:25398"]}, "market_type": "moneyline", "model_version": "dota2-tiered-elo-v6", "observed_at_utc": "2026-10-07T16:32:25.298285+00:00", "probabilities": {"away": 0.502246, "home": 0.497754}, "replay_scope": "Exact serving book state, calibration, temperature, inactivity reference and thin-history adjustments; training provenance not certified.", "schema": "esports-elo-replay-v1", "snapshot_hash": "8154548b6b33dee97f9700772469ce7ac6a57a577ee13aca6c4fed8410f500ec", "sport": "DOTA2"}</t>
        </is>
      </c>
    </row>
    <row r="123" ht="36" customHeight="1">
      <c r="A123" s="24" t="inlineStr">
        <is>
          <t>f855d5cf44034bdc</t>
        </is>
      </c>
      <c r="B123" s="24" t="inlineStr">
        <is>
          <t>2026-10-07T22:27:42.225451Z</t>
        </is>
      </c>
      <c r="C123" s="24" t="inlineStr">
        <is>
          <t>2026-10-08T03:00:00Z</t>
        </is>
      </c>
      <c r="D123" s="24" t="inlineStr">
        <is>
          <t>147220</t>
        </is>
      </c>
      <c r="E123" s="24" t="inlineStr">
        <is>
          <t>DOTA2</t>
        </is>
      </c>
      <c r="F123" s="24" t="inlineStr">
        <is>
          <t>Direborn</t>
        </is>
      </c>
      <c r="G123" s="24" t="inlineStr">
        <is>
          <t>InterActive Philippines</t>
        </is>
      </c>
      <c r="H123" s="24" t="inlineStr">
        <is>
          <t>moneyline</t>
        </is>
      </c>
      <c r="I123" s="24" t="inlineStr">
        <is>
          <t>away</t>
        </is>
      </c>
      <c r="J123" s="25" t="n"/>
      <c r="K123" s="24" t="inlineStr">
        <is>
          <t>polymarket_us</t>
        </is>
      </c>
      <c r="L123" s="26" t="n">
        <v>-117</v>
      </c>
      <c r="M123" s="27" t="n">
        <v>1.854701</v>
      </c>
      <c r="N123" s="28" t="n">
        <v>0.539171</v>
      </c>
      <c r="O123" s="28" t="n">
        <v>0.526899</v>
      </c>
      <c r="P123" s="28" t="n"/>
      <c r="Q123" s="28" t="n">
        <v>-0.012272</v>
      </c>
      <c r="R123" s="26" t="n">
        <v>14</v>
      </c>
      <c r="S123" s="29" t="n">
        <v>1</v>
      </c>
      <c r="T123" s="24" t="inlineStr">
        <is>
          <t>dota2-tiered-elo-v6</t>
        </is>
      </c>
      <c r="U123" s="24" t="inlineStr">
        <is>
          <t>settled</t>
        </is>
      </c>
      <c r="V123" s="24" t="inlineStr">
        <is>
          <t>loss</t>
        </is>
      </c>
      <c r="W123" s="26" t="n">
        <v>0</v>
      </c>
      <c r="X123" s="26" t="n">
        <v>1</v>
      </c>
      <c r="Y123" s="25" t="n"/>
      <c r="Z123" s="26" t="n">
        <v>-117</v>
      </c>
      <c r="AA123" s="28" t="n">
        <v>0.54</v>
      </c>
      <c r="AB123" s="28" t="n">
        <v>0.000829</v>
      </c>
      <c r="AC123" s="30" t="n">
        <v>-1</v>
      </c>
      <c r="AD123" s="24" t="inlineStr">
        <is>
          <t>2026-10-11T04:38:11.722429Z</t>
        </is>
      </c>
      <c r="AE123" s="31" t="inlineStr">
        <is>
          <t>Neutral Elo baseline; executable ask 0.5400 (market_slug=aec-dota2-iac-db-2026-10-08).</t>
        </is>
      </c>
      <c r="AF123" s="31" t="inlineStr">
        <is>
          <t>Config-promoted esports baseline; gates enforced at log time.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Direborn</t>
        </is>
      </c>
      <c r="AQ123" s="24" t="inlineStr">
        <is>
          <t>Direborn</t>
        </is>
      </c>
      <c r="AR123" s="24" t="inlineStr">
        <is>
          <t>Direborn</t>
        </is>
      </c>
      <c r="AS123" s="24" t="inlineStr">
        <is>
          <t>InterActive Philippines</t>
        </is>
      </c>
      <c r="AT123" s="24" t="inlineStr">
        <is>
          <t>InterActive Philippines</t>
        </is>
      </c>
      <c r="AU123" s="24" t="inlineStr">
        <is>
          <t>InterActive Philippines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baf9ccaa8f54c8de00adf9d2925d470d4e11611a62506fe2d568ed997460bb51</t>
        </is>
      </c>
      <c r="BB123" s="24" t="inlineStr">
        <is>
          <t>neutral_elo</t>
        </is>
      </c>
      <c r="BC123" s="24" t="inlineStr">
        <is>
          <t>dota2-tiered-elo-v6</t>
        </is>
      </c>
      <c r="BD123" s="24" t="inlineStr">
        <is>
          <t>baf9ccaa8f54c8de00adf9d2925d470d4e11611a62506fe2d568ed997460bb51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dota2-tiered-elo-v6</t>
        </is>
      </c>
      <c r="BH123" s="24" t="inlineStr">
        <is>
          <t>2026-10-07T22:27:21.735215Z</t>
        </is>
      </c>
      <c r="BI123" s="24" t="inlineStr">
        <is>
          <t>["same_event","same_team_same_day","same_league_same_day"]</t>
        </is>
      </c>
      <c r="BJ123" s="25" t="n"/>
      <c r="BK123" s="26" t="n">
        <v>-117</v>
      </c>
      <c r="BL123" s="27" t="n">
        <v>1.854701</v>
      </c>
      <c r="BM123" s="28" t="n">
        <v>0.539171</v>
      </c>
      <c r="BN123" s="28" t="n"/>
      <c r="BO123" s="28" t="n"/>
      <c r="BP123" s="25" t="n"/>
      <c r="BQ123" s="27" t="n">
        <v>1.854701</v>
      </c>
      <c r="BR123" s="28" t="n">
        <v>0.54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n"/>
      <c r="DK123" s="24" t="n"/>
      <c r="DL123" s="24" t="n"/>
      <c r="DM123" s="24" t="n"/>
      <c r="DN123" s="24" t="n"/>
      <c r="DO123" s="24" t="n"/>
      <c r="DP123" s="24" t="n"/>
      <c r="DQ123" s="24" t="inlineStr">
        <is>
          <t>{"artifact_hash": "baf9ccaa8f54c8de00adf9d2925d470d4e11611a62506fe2d568ed997460bb51", "away_team": "Direborn", "event_id": "147220", "event_start_utc": "2026-10-08T03:00:00Z", "features": {"away_elo": 1632.37521, "away_history_count": 39, "home_elo": 1591.369706, "home_history_count": 196}, "historical_source_observation_times_verified": false, "home_team": "InterActive Philippines", "inference_inputs": {"book_state": {"games_played": {"bo3:4:15612": 196, "bo3:4:24344": 39}, "inactivity_half_life_days": null, "inactivity_max_pull": null, "k": 48.0, "last_match_utc": {"bo3:4:15612": "2026-10-07T06:00:00Z", "bo3:4:24344": "2026-10-07T09:30:00Z"}, "minimum_reliable_games": null, "platt_intercept": 0.07332109494800931, "platt_slope": 0.8507054355364946, "ratings": {"bo3:4:15612": 1591.369706, "bo3:4:24344": 1632.37521},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"2026-10-07T22:27:21.585394+00:00", "team_ids": ["bo3:4:15612", "bo3:4:24344"]}, "market_type": "moneyline", "model_version": "dota2-tiered-elo-v6", "observed_at_utc": "2026-10-07T22:27:21.585394+00:00", "probabilities": {"away": 0.526899, "home": 0.473101}, "replay_scope": "Exact serving book state, calibration, temperature, inactivity reference and thin-history adjustments; training provenance not certified.", "schema": "esports-elo-replay-v1", "snapshot_hash": "4c1cfbb6ee62a8dc4553a30cd7340239d2f33b5b1a6c3cde191076da88ad8a8c", "sport": "DOTA2"}</t>
        </is>
      </c>
    </row>
    <row r="124" ht="36" customHeight="1">
      <c r="A124" s="24" t="inlineStr">
        <is>
          <t>8a86e1e889754786</t>
        </is>
      </c>
      <c r="B124" s="24" t="inlineStr">
        <is>
          <t>2026-10-07T22:27:42.225451Z</t>
        </is>
      </c>
      <c r="C124" s="24" t="inlineStr">
        <is>
          <t>2026-10-08T12:30:00Z</t>
        </is>
      </c>
      <c r="D124" s="24" t="inlineStr">
        <is>
          <t>143501</t>
        </is>
      </c>
      <c r="E124" s="24" t="inlineStr">
        <is>
          <t>DOTA2</t>
        </is>
      </c>
      <c r="F124" s="24" t="inlineStr">
        <is>
          <t>1win</t>
        </is>
      </c>
      <c r="G124" s="24" t="inlineStr">
        <is>
          <t>Aurora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-117</v>
      </c>
      <c r="M124" s="27" t="n">
        <v>1.854701</v>
      </c>
      <c r="N124" s="28" t="n">
        <v>0.539171</v>
      </c>
      <c r="O124" s="28" t="n">
        <v>0.580766</v>
      </c>
      <c r="P124" s="28" t="n"/>
      <c r="Q124" s="28" t="n">
        <v>0.041595</v>
      </c>
      <c r="R124" s="26" t="n">
        <v>41</v>
      </c>
      <c r="S124" s="29" t="n">
        <v>1</v>
      </c>
      <c r="T124" s="24" t="inlineStr">
        <is>
          <t>dota2-tiered-elo-v6</t>
        </is>
      </c>
      <c r="U124" s="24" t="inlineStr">
        <is>
          <t>settled</t>
        </is>
      </c>
      <c r="V124" s="24" t="inlineStr">
        <is>
          <t>win</t>
        </is>
      </c>
      <c r="W124" s="26" t="n">
        <v>0</v>
      </c>
      <c r="X124" s="26" t="n">
        <v>1</v>
      </c>
      <c r="Y124" s="25" t="n"/>
      <c r="Z124" s="26" t="n">
        <v>-117</v>
      </c>
      <c r="AA124" s="28" t="n">
        <v>0.54</v>
      </c>
      <c r="AB124" s="28" t="n">
        <v>0.000829</v>
      </c>
      <c r="AC124" s="30" t="n">
        <v>0.8547</v>
      </c>
      <c r="AD124" s="24" t="inlineStr">
        <is>
          <t>2026-10-11T04:38:13.160120Z</t>
        </is>
      </c>
      <c r="AE124" s="31" t="inlineStr">
        <is>
          <t>Neutral Elo baseline; executable ask 0.5400 (market_slug=aec-dota2-aur-1win-2026-10-08).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4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1win</t>
        </is>
      </c>
      <c r="AQ124" s="24" t="inlineStr">
        <is>
          <t>1win</t>
        </is>
      </c>
      <c r="AR124" s="24" t="inlineStr">
        <is>
          <t>1win</t>
        </is>
      </c>
      <c r="AS124" s="24" t="inlineStr">
        <is>
          <t>Aurora</t>
        </is>
      </c>
      <c r="AT124" s="24" t="inlineStr">
        <is>
          <t>Aurora</t>
        </is>
      </c>
      <c r="AU124" s="24" t="inlineStr">
        <is>
          <t>Aurora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baf9ccaa8f54c8de00adf9d2925d470d4e11611a62506fe2d568ed997460bb51</t>
        </is>
      </c>
      <c r="BB124" s="24" t="inlineStr">
        <is>
          <t>neutral_elo</t>
        </is>
      </c>
      <c r="BC124" s="24" t="inlineStr">
        <is>
          <t>dota2-tiered-elo-v6</t>
        </is>
      </c>
      <c r="BD124" s="24" t="inlineStr">
        <is>
          <t>baf9ccaa8f54c8de00adf9d2925d470d4e11611a62506fe2d568ed997460bb51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dota2-tiered-elo-v6</t>
        </is>
      </c>
      <c r="BH124" s="24" t="inlineStr">
        <is>
          <t>2026-10-07T22:27:42.208675Z</t>
        </is>
      </c>
      <c r="BI124" s="24" t="inlineStr">
        <is>
          <t>["same_event","same_team_same_day","same_league_same_day"]</t>
        </is>
      </c>
      <c r="BJ124" s="25" t="n"/>
      <c r="BK124" s="26" t="n">
        <v>-117</v>
      </c>
      <c r="BL124" s="27" t="n">
        <v>1.854701</v>
      </c>
      <c r="BM124" s="28" t="n">
        <v>0.539171</v>
      </c>
      <c r="BN124" s="28" t="n"/>
      <c r="BO124" s="28" t="n"/>
      <c r="BP124" s="25" t="n"/>
      <c r="BQ124" s="27" t="n">
        <v>1.854701</v>
      </c>
      <c r="BR124" s="28" t="n">
        <v>0.54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True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n"/>
      <c r="DK124" s="24" t="n"/>
      <c r="DL124" s="24" t="n"/>
      <c r="DM124" s="24" t="n"/>
      <c r="DN124" s="24" t="n"/>
      <c r="DO124" s="24" t="n"/>
      <c r="DP124" s="24" t="n"/>
      <c r="DQ124" s="24" t="inlineStr">
        <is>
          <t>{"artifact_hash": "baf9ccaa8f54c8de00adf9d2925d470d4e11611a62506fe2d568ed997460bb51", "away_team": "1win", "event_id": "143501", "event_start_utc": "2026-10-08T12:30:00Z", "features": {"away_elo": 1984.178977, "away_history_count": 317, "home_elo": 2050.731038, "home_history_count": 317}, "historical_source_observation_times_verified": false, "home_team": "Aurora", "inference_inputs": {"book_state": {"games_played": {"bo3:4:15038": 317, "bo3:4:15143": 317}, "inactivity_half_life_days": null, "inactivity_max_pull": null, "k": 48.0, "last_match_utc": {"bo3:4:15038": "2026-10-03T15:10:00Z", "bo3:4:15143": "2026-10-03T13:00:00Z"}, "minimum_reliable_games": null, "platt_intercept": 0.07332109494800931, "platt_slope": 0.8507054355364946, "ratings": {"bo3:4:15038": 1984.178977, "bo3:4:15143": 2050.731038},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"2026-10-07T22:27:21.585394+00:00", "team_ids": ["bo3:4:15143", "bo3:4:15038"]}, "market_type": "moneyline", "model_version": "dota2-tiered-elo-v6", "observed_at_utc": "2026-10-07T22:27:21.585394+00:00", "probabilities": {"away": 0.419234, "home": 0.580766}, "replay_scope": "Exact serving book state, calibration, temperature, inactivity reference and thin-history adjustments; training provenance not certified.", "schema": "esports-elo-replay-v1", "snapshot_hash": "0f8b095d31179e3a3017b2e93e816387139bd015f2830d12b6c2902f254875b1", "sport": "DOTA2"}</t>
        </is>
      </c>
    </row>
    <row r="125" ht="36" customHeight="1">
      <c r="A125" s="24" t="inlineStr">
        <is>
          <t>7fe2e467c0c34f5a</t>
        </is>
      </c>
      <c r="B125" s="24" t="inlineStr">
        <is>
          <t>2026-10-11T07:26:10.574372Z</t>
        </is>
      </c>
      <c r="C125" s="24" t="inlineStr">
        <is>
          <t>2026-10-11T09:00:00Z</t>
        </is>
      </c>
      <c r="D125" s="24" t="inlineStr">
        <is>
          <t>153110</t>
        </is>
      </c>
      <c r="E125" s="24" t="inlineStr">
        <is>
          <t>DOTA2</t>
        </is>
      </c>
      <c r="F125" s="24" t="inlineStr">
        <is>
          <t>PARIVISION</t>
        </is>
      </c>
      <c r="G125" s="24" t="inlineStr">
        <is>
          <t>Team Spirit</t>
        </is>
      </c>
      <c r="H125" s="24" t="inlineStr">
        <is>
          <t>total</t>
        </is>
      </c>
      <c r="I125" s="24" t="inlineStr">
        <is>
          <t>under</t>
        </is>
      </c>
      <c r="J125" s="25" t="n">
        <v>2.5</v>
      </c>
      <c r="K125" s="24" t="inlineStr">
        <is>
          <t>polymarket_us</t>
        </is>
      </c>
      <c r="L125" s="26" t="n">
        <v>-127</v>
      </c>
      <c r="M125" s="27" t="n">
        <v>1.787402</v>
      </c>
      <c r="N125" s="28" t="n">
        <v>0.5594710000000001</v>
      </c>
      <c r="O125" s="28" t="n">
        <v>0.501559</v>
      </c>
      <c r="P125" s="28" t="n"/>
      <c r="Q125" s="28" t="n">
        <v>-0.057912</v>
      </c>
      <c r="R125" s="26" t="n">
        <v>0</v>
      </c>
      <c r="S125" s="29" t="n">
        <v>1</v>
      </c>
      <c r="T125" s="24" t="inlineStr">
        <is>
          <t>dota2-total-tiered-elo-v6</t>
        </is>
      </c>
      <c r="U125" s="24" t="inlineStr">
        <is>
          <t>settled</t>
        </is>
      </c>
      <c r="V125" s="24" t="inlineStr">
        <is>
          <t>loss</t>
        </is>
      </c>
      <c r="W125" s="26" t="n">
        <v>1</v>
      </c>
      <c r="X125" s="26" t="n">
        <v>2</v>
      </c>
      <c r="Y125" s="25" t="n"/>
      <c r="Z125" s="26" t="n"/>
      <c r="AA125" s="28" t="n"/>
      <c r="AB125" s="28" t="n"/>
      <c r="AC125" s="30" t="n">
        <v>-1</v>
      </c>
      <c r="AD125" s="24" t="inlineStr">
        <is>
          <t>2026-10-11T16:04:53.300343Z</t>
        </is>
      </c>
      <c r="AE125" s="31" t="inlineStr">
        <is>
          <t>Neutral Elo baseline; executable ask 0.5600 (market_slug=tsc-dota2-ts-pari-2026-10-11-tot-2pt5).</t>
        </is>
      </c>
      <c r="AF125" s="31" t="inlineStr">
        <is>
          <t>Config-promoted esports baseline; gates enforced at log time.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PARIVISION</t>
        </is>
      </c>
      <c r="AQ125" s="24" t="inlineStr">
        <is>
          <t>PARIVISION</t>
        </is>
      </c>
      <c r="AR125" s="24" t="inlineStr">
        <is>
          <t>PARIVISION</t>
        </is>
      </c>
      <c r="AS125" s="24" t="inlineStr">
        <is>
          <t>Team Spirit</t>
        </is>
      </c>
      <c r="AT125" s="24" t="inlineStr">
        <is>
          <t>Team Spirit</t>
        </is>
      </c>
      <c r="AU125" s="24" t="inlineStr">
        <is>
          <t>Team Spirit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e6ad89a5d5cd9c957bca5c6f529924ed1cad0a73c03e4b728aadeb70a4c6c573</t>
        </is>
      </c>
      <c r="BB125" s="24" t="inlineStr">
        <is>
          <t>neutral_elo</t>
        </is>
      </c>
      <c r="BC125" s="24" t="inlineStr">
        <is>
          <t>dota2-total-tiered-elo-v6</t>
        </is>
      </c>
      <c r="BD125" s="24" t="inlineStr">
        <is>
          <t>e6ad89a5d5cd9c957bca5c6f529924ed1cad0a73c03e4b728aadeb70a4c6c573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dota2-total-tiered-elo-v6</t>
        </is>
      </c>
      <c r="BH125" s="24" t="inlineStr">
        <is>
          <t>2026-10-11T07:25:29.357917Z</t>
        </is>
      </c>
      <c r="BI125" s="24" t="inlineStr">
        <is>
          <t>["same_event","same_team_same_day","same_league_same_day"]</t>
        </is>
      </c>
      <c r="BJ125" s="25" t="n">
        <v>2.5</v>
      </c>
      <c r="BK125" s="26" t="n">
        <v>-127</v>
      </c>
      <c r="BL125" s="27" t="n">
        <v>1.787402</v>
      </c>
      <c r="BM125" s="28" t="n">
        <v>0.5594710000000001</v>
      </c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False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n"/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40042593c5ec4508</t>
        </is>
      </c>
      <c r="B126" s="24" t="inlineStr">
        <is>
          <t>2026-10-11T07:26:10.574372Z</t>
        </is>
      </c>
      <c r="C126" s="24" t="inlineStr">
        <is>
          <t>2026-10-11T09:00:00Z</t>
        </is>
      </c>
      <c r="D126" s="24" t="inlineStr">
        <is>
          <t>153110</t>
        </is>
      </c>
      <c r="E126" s="24" t="inlineStr">
        <is>
          <t>DOTA2</t>
        </is>
      </c>
      <c r="F126" s="24" t="inlineStr">
        <is>
          <t>PARIVISION</t>
        </is>
      </c>
      <c r="G126" s="24" t="inlineStr">
        <is>
          <t>Team Spirit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-233</v>
      </c>
      <c r="M126" s="27" t="n">
        <v>1.429185</v>
      </c>
      <c r="N126" s="28" t="n">
        <v>0.6997</v>
      </c>
      <c r="O126" s="28" t="n">
        <v>0.54183</v>
      </c>
      <c r="P126" s="28" t="n"/>
      <c r="Q126" s="28" t="n">
        <v>-0.15787</v>
      </c>
      <c r="R126" s="26" t="n">
        <v>0</v>
      </c>
      <c r="S126" s="29" t="n">
        <v>1</v>
      </c>
      <c r="T126" s="24" t="inlineStr">
        <is>
          <t>dota2-tiered-elo-v6</t>
        </is>
      </c>
      <c r="U126" s="24" t="inlineStr">
        <is>
          <t>settled</t>
        </is>
      </c>
      <c r="V126" s="24" t="inlineStr">
        <is>
          <t>loss</t>
        </is>
      </c>
      <c r="W126" s="26" t="n">
        <v>0</v>
      </c>
      <c r="X126" s="26" t="n">
        <v>1</v>
      </c>
      <c r="Y126" s="25" t="n"/>
      <c r="Z126" s="26" t="n">
        <v>-233</v>
      </c>
      <c r="AA126" s="28" t="n">
        <v>0.7</v>
      </c>
      <c r="AB126" s="28" t="n">
        <v>0.0003</v>
      </c>
      <c r="AC126" s="30" t="n">
        <v>-1</v>
      </c>
      <c r="AD126" s="24" t="inlineStr">
        <is>
          <t>2026-10-11T16:04:54.481278Z</t>
        </is>
      </c>
      <c r="AE126" s="31" t="inlineStr">
        <is>
          <t>Neutral Elo baseline; executable ask 0.7000 (market_slug=aec-dota2-ts-pari-2026-10-11).</t>
        </is>
      </c>
      <c r="AF126" s="31" t="inlineStr">
        <is>
          <t>Config-promoted esports baseline; gates enforced at log time.</t>
        </is>
      </c>
      <c r="AG126" s="24" t="inlineStr">
        <is>
          <t>review_required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PARIVISION</t>
        </is>
      </c>
      <c r="AQ126" s="24" t="inlineStr">
        <is>
          <t>PARIVISION</t>
        </is>
      </c>
      <c r="AR126" s="24" t="inlineStr">
        <is>
          <t>PARIVISION</t>
        </is>
      </c>
      <c r="AS126" s="24" t="inlineStr">
        <is>
          <t>Team Spirit</t>
        </is>
      </c>
      <c r="AT126" s="24" t="inlineStr">
        <is>
          <t>Team Spirit</t>
        </is>
      </c>
      <c r="AU126" s="24" t="inlineStr">
        <is>
          <t>Team Spirit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e6ad89a5d5cd9c957bca5c6f529924ed1cad0a73c03e4b728aadeb70a4c6c573</t>
        </is>
      </c>
      <c r="BB126" s="24" t="inlineStr">
        <is>
          <t>neutral_elo</t>
        </is>
      </c>
      <c r="BC126" s="24" t="inlineStr">
        <is>
          <t>dota2-tiered-elo-v6</t>
        </is>
      </c>
      <c r="BD126" s="24" t="inlineStr">
        <is>
          <t>e6ad89a5d5cd9c957bca5c6f529924ed1cad0a73c03e4b728aadeb70a4c6c573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dota2-tiered-elo-v6</t>
        </is>
      </c>
      <c r="BH126" s="24" t="inlineStr">
        <is>
          <t>2026-10-11T07:25:39.511900Z</t>
        </is>
      </c>
      <c r="BI126" s="24" t="inlineStr">
        <is>
          <t>["same_event","same_team_same_day","same_league_same_day"]</t>
        </is>
      </c>
      <c r="BJ126" s="25" t="n"/>
      <c r="BK126" s="26" t="n">
        <v>-233</v>
      </c>
      <c r="BL126" s="27" t="n">
        <v>1.429185</v>
      </c>
      <c r="BM126" s="28" t="n">
        <v>0.6997</v>
      </c>
      <c r="BN126" s="28" t="n"/>
      <c r="BO126" s="28" t="n"/>
      <c r="BP126" s="25" t="n"/>
      <c r="BQ126" s="27" t="n">
        <v>1.429185</v>
      </c>
      <c r="BR126" s="28" t="n">
        <v>0.7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n"/>
      <c r="DK126" s="24" t="n"/>
      <c r="DL126" s="24" t="n"/>
      <c r="DM126" s="24" t="n"/>
      <c r="DN126" s="24" t="n"/>
      <c r="DO126" s="24" t="n"/>
      <c r="DP126" s="24" t="n"/>
      <c r="DQ126" s="24" t="inlineStr">
        <is>
          <t>{"artifact_hash": "e6ad89a5d5cd9c957bca5c6f529924ed1cad0a73c03e4b728aadeb70a4c6c573", "away_team": "PARIVISION", "event_id": "153110", "event_start_utc": "2026-10-11T09:00:00Z", "features": {"away_elo": 2325.396544, "away_history_count": 251, "home_elo": 2270.921466, "home_history_count": 344}, "historical_source_observation_times_verified": false, "home_team": "Team Spirit", "inference_inputs": {"book_state": {"games_played": {"bo3:4:16704": 344, "bo3:4:18604": 251}, "inactivity_half_life_days": null, "inactivity_max_pull": null, "k": 48.0, "last_match_utc": {"bo3:4:16704": "2026-10-10T10:30:00Z", "bo3:4:18604": "2026-10-10T13:20:00Z"}, "minimum_reliable_games": null, "platt_intercept": 0.06964891143172529, "platt_slope": 0.8461580414660153, "ratings": {"bo3:4:16704": 2270.921466, "bo3:4:18604": 2325.396544},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"2026-10-11T07:25:19.138673+00:00", "team_ids": ["bo3:4:16704", "bo3:4:18604"]}, "market_type": "moneyline", "model_version": "dota2-tiered-elo-v6", "observed_at_utc": "2026-10-11T07:25:19.138673+00:00", "probabilities": {"away": 0.54183, "home": 0.45817}, "replay_scope": "Exact serving book state, calibration, temperature, inactivity reference and thin-history adjustments; training provenance not certified.", "schema": "esports-elo-replay-v1", "snapshot_hash": "7ef12b2318ffb4a13595ab212d3c9d59bb0fcf17abd3a4bcbdeff288b0edcf16", "sport": "DOTA2"}</t>
        </is>
      </c>
    </row>
    <row r="127" ht="36" customHeight="1">
      <c r="A127" s="24" t="inlineStr">
        <is>
          <t>bf9f8308f6b74fe6</t>
        </is>
      </c>
      <c r="B127" s="24" t="inlineStr">
        <is>
          <t>2026-10-13T05:56:44.892731Z</t>
        </is>
      </c>
      <c r="C127" s="24" t="inlineStr">
        <is>
          <t>2026-10-13T07:00:00Z</t>
        </is>
      </c>
      <c r="D127" s="24" t="inlineStr">
        <is>
          <t>156703</t>
        </is>
      </c>
      <c r="E127" s="24" t="inlineStr">
        <is>
          <t>DOTA2</t>
        </is>
      </c>
      <c r="F127" s="24" t="inlineStr">
        <is>
          <t>Zero Tenacity</t>
        </is>
      </c>
      <c r="G127" s="24" t="inlineStr">
        <is>
          <t>Team Lynx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-150</v>
      </c>
      <c r="M127" s="27" t="n">
        <v>1.666667</v>
      </c>
      <c r="N127" s="28" t="n">
        <v>0.6</v>
      </c>
      <c r="O127" s="28" t="n">
        <v>0.652763</v>
      </c>
      <c r="P127" s="28" t="n"/>
      <c r="Q127" s="28" t="n">
        <v>0.052763</v>
      </c>
      <c r="R127" s="26" t="n">
        <v>46</v>
      </c>
      <c r="S127" s="29" t="n">
        <v>1</v>
      </c>
      <c r="T127" s="24" t="inlineStr">
        <is>
          <t>dota2-tiered-elo-v6</t>
        </is>
      </c>
      <c r="U127" s="24" t="inlineStr">
        <is>
          <t>settled</t>
        </is>
      </c>
      <c r="V127" s="24" t="inlineStr">
        <is>
          <t>win</t>
        </is>
      </c>
      <c r="W127" s="26" t="n">
        <v>0</v>
      </c>
      <c r="X127" s="26" t="n">
        <v>1</v>
      </c>
      <c r="Y127" s="25" t="n"/>
      <c r="Z127" s="26" t="n"/>
      <c r="AA127" s="28" t="n"/>
      <c r="AB127" s="28" t="n"/>
      <c r="AC127" s="30" t="n">
        <v>0.6667</v>
      </c>
      <c r="AD127" s="24" t="inlineStr">
        <is>
          <t>2026-10-13T16:17:26.524901Z</t>
        </is>
      </c>
      <c r="AE127" s="31" t="inlineStr">
        <is>
          <t>Neutral Elo baseline; executable ask 0.6000 (market_slug=aec-dota2-lynx-z10-2026-10-13).</t>
        </is>
      </c>
      <c r="AF127" s="31" t="inlineStr">
        <is>
          <t>Config-promoted esports baseline; gates enforced at log time.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4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Zero Tenacity</t>
        </is>
      </c>
      <c r="AQ127" s="24" t="inlineStr">
        <is>
          <t>Zero Tenacity</t>
        </is>
      </c>
      <c r="AR127" s="24" t="inlineStr">
        <is>
          <t>Zero Tenacity</t>
        </is>
      </c>
      <c r="AS127" s="24" t="inlineStr">
        <is>
          <t>Team Lynx</t>
        </is>
      </c>
      <c r="AT127" s="24" t="inlineStr">
        <is>
          <t>Team Lynx</t>
        </is>
      </c>
      <c r="AU127" s="24" t="inlineStr">
        <is>
          <t>Team Lynx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498068cbee0b727d651d5d989f095e8a43ce7662aad212f07b645d438261f98f</t>
        </is>
      </c>
      <c r="BB127" s="24" t="inlineStr">
        <is>
          <t>neutral_elo</t>
        </is>
      </c>
      <c r="BC127" s="24" t="inlineStr">
        <is>
          <t>dota2-tiered-elo-v6</t>
        </is>
      </c>
      <c r="BD127" s="24" t="inlineStr">
        <is>
          <t>498068cbee0b727d651d5d989f095e8a43ce7662aad212f07b645d438261f98f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dota2-tiered-elo-v6</t>
        </is>
      </c>
      <c r="BH127" s="24" t="inlineStr">
        <is>
          <t>2026-10-13T05:50:34.514198Z</t>
        </is>
      </c>
      <c r="BI127" s="24" t="inlineStr">
        <is>
          <t>["same_event","same_team_same_day","same_league_same_day"]</t>
        </is>
      </c>
      <c r="BJ127" s="25" t="n"/>
      <c r="BK127" s="26" t="n">
        <v>-150</v>
      </c>
      <c r="BL127" s="27" t="n">
        <v>1.666667</v>
      </c>
      <c r="BM127" s="28" t="n">
        <v>0.6</v>
      </c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n"/>
      <c r="DK127" s="24" t="n"/>
      <c r="DL127" s="24" t="n"/>
      <c r="DM127" s="24" t="n"/>
      <c r="DN127" s="24" t="n"/>
      <c r="DO127" s="24" t="n"/>
      <c r="DP127" s="24" t="n"/>
      <c r="DQ127" s="24" t="inlineStr">
        <is>
          <t>{"artifact_hash": "498068cbee0b727d651d5d989f095e8a43ce7662aad212f07b645d438261f98f", "away_team": "Zero Tenacity", "event_id": "156703", "event_start_utc": "2026-10-13T07:00:00Z", "features": {"away_elo": 1583.870909, "away_history_count": 349, "home_elo": 1720.880148, "home_history_count": 185}, "historical_source_observation_times_verified": false, "home_team": "Team Lynx", "inference_inputs": {"book_state": {"games_played": {"bo3:4:18713": 349, "bo3:4:19913": 185}, "inactivity_half_life_days": null, "inactivity_max_pull": null, "k": 48.0, "last_match_utc": {"bo3:4:18713": "2026-10-09T16:25:00Z", "bo3:4:19913": "2026-10-12T16:40:00Z"}, "minimum_reliable_games": null, "platt_intercept": 0.06660293057110224, "platt_slope": 0.8502014663873206, "ratings": {"bo3:4:18713": 1583.870909, "bo3:4:19913": 1720.880148},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"2026-10-13T05:50:34.431410+00:00", "team_ids": ["bo3:4:19913", "bo3:4:18713"]}, "market_type": "moneyline", "model_version": "dota2-tiered-elo-v6", "observed_at_utc": "2026-10-13T05:50:34.431410+00:00", "probabilities": {"away": 0.347237, "home": 0.652763}, "replay_scope": "Exact serving book state, calibration, temperature, inactivity reference and thin-history adjustments; training provenance not certified.", "schema": "esports-elo-replay-v1", "snapshot_hash": "a76a3bddcb7e8437baf8b35cd3af51cda6bb163aaaf843d281e21e8ee20c5ba1", "sport": "DOTA2"}</t>
        </is>
      </c>
    </row>
    <row r="128" ht="36" customHeight="1">
      <c r="A128" s="24" t="inlineStr">
        <is>
          <t>14c624b263394f44</t>
        </is>
      </c>
      <c r="B128" s="24" t="inlineStr">
        <is>
          <t>2026-10-13T05:56:44.892731Z</t>
        </is>
      </c>
      <c r="C128" s="24" t="inlineStr">
        <is>
          <t>2026-10-13T07:00:00Z</t>
        </is>
      </c>
      <c r="D128" s="24" t="inlineStr">
        <is>
          <t>156703</t>
        </is>
      </c>
      <c r="E128" s="24" t="inlineStr">
        <is>
          <t>DOTA2</t>
        </is>
      </c>
      <c r="F128" s="24" t="inlineStr">
        <is>
          <t>Zero Tenacity</t>
        </is>
      </c>
      <c r="G128" s="24" t="inlineStr">
        <is>
          <t>Team Lynx</t>
        </is>
      </c>
      <c r="H128" s="24" t="inlineStr">
        <is>
          <t>total</t>
        </is>
      </c>
      <c r="I128" s="24" t="inlineStr">
        <is>
          <t>under</t>
        </is>
      </c>
      <c r="J128" s="25" t="n">
        <v>2.5</v>
      </c>
      <c r="K128" s="24" t="inlineStr">
        <is>
          <t>polymarket_us</t>
        </is>
      </c>
      <c r="L128" s="26" t="n">
        <v>-122</v>
      </c>
      <c r="M128" s="27" t="n">
        <v>1.819672</v>
      </c>
      <c r="N128" s="28" t="n">
        <v>0.54955</v>
      </c>
      <c r="O128" s="28" t="n">
        <v>0.521347</v>
      </c>
      <c r="P128" s="28" t="n"/>
      <c r="Q128" s="28" t="n">
        <v>-0.028203</v>
      </c>
      <c r="R128" s="26" t="n">
        <v>6</v>
      </c>
      <c r="S128" s="29" t="n">
        <v>1</v>
      </c>
      <c r="T128" s="24" t="inlineStr">
        <is>
          <t>dota2-total-tiered-elo-v6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2</v>
      </c>
      <c r="Y128" s="25" t="n"/>
      <c r="Z128" s="26" t="n"/>
      <c r="AA128" s="28" t="n"/>
      <c r="AB128" s="28" t="n"/>
      <c r="AC128" s="30" t="n">
        <v>-1</v>
      </c>
      <c r="AD128" s="24" t="inlineStr">
        <is>
          <t>2026-10-13T10:09:01.017706Z</t>
        </is>
      </c>
      <c r="AE128" s="31" t="inlineStr">
        <is>
          <t>Neutral Elo baseline; executable ask 0.5500 (market_slug=tsc-dota2-lynx-z10-2026-10-13-tot-2pt5).</t>
        </is>
      </c>
      <c r="AF128" s="31" t="inlineStr">
        <is>
          <t>Config-promoted esports baseline; gates enforced at log time.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Zero Tenacity</t>
        </is>
      </c>
      <c r="AQ128" s="24" t="inlineStr">
        <is>
          <t>Zero Tenacity</t>
        </is>
      </c>
      <c r="AR128" s="24" t="inlineStr">
        <is>
          <t>Zero Tenacity</t>
        </is>
      </c>
      <c r="AS128" s="24" t="inlineStr">
        <is>
          <t>Team Lynx</t>
        </is>
      </c>
      <c r="AT128" s="24" t="inlineStr">
        <is>
          <t>Team Lynx</t>
        </is>
      </c>
      <c r="AU128" s="24" t="inlineStr">
        <is>
          <t>Team Lynx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498068cbee0b727d651d5d989f095e8a43ce7662aad212f07b645d438261f98f</t>
        </is>
      </c>
      <c r="BB128" s="24" t="inlineStr">
        <is>
          <t>neutral_elo</t>
        </is>
      </c>
      <c r="BC128" s="24" t="inlineStr">
        <is>
          <t>dota2-total-tiered-elo-v6</t>
        </is>
      </c>
      <c r="BD128" s="24" t="inlineStr">
        <is>
          <t>498068cbee0b727d651d5d989f095e8a43ce7662aad212f07b645d438261f98f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dota2-total-tiered-elo-v6</t>
        </is>
      </c>
      <c r="BH128" s="24" t="inlineStr">
        <is>
          <t>2026-10-13T05:51:15.148583Z</t>
        </is>
      </c>
      <c r="BI128" s="24" t="inlineStr">
        <is>
          <t>["same_event","same_team_same_day","same_league_same_day"]</t>
        </is>
      </c>
      <c r="BJ128" s="25" t="n">
        <v>2.5</v>
      </c>
      <c r="BK128" s="26" t="n">
        <v>-122</v>
      </c>
      <c r="BL128" s="27" t="n">
        <v>1.819672</v>
      </c>
      <c r="BM128" s="28" t="n">
        <v>0.54955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n"/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921d7a1a56e34fb3</t>
        </is>
      </c>
      <c r="B129" s="24" t="inlineStr">
        <is>
          <t>2026-10-13T05:56:44.892731Z</t>
        </is>
      </c>
      <c r="C129" s="24" t="inlineStr">
        <is>
          <t>2026-10-13T08:00:00Z</t>
        </is>
      </c>
      <c r="D129" s="24" t="inlineStr">
        <is>
          <t>156968</t>
        </is>
      </c>
      <c r="E129" s="24" t="inlineStr">
        <is>
          <t>DOTA2</t>
        </is>
      </c>
      <c r="F129" s="24" t="inlineStr">
        <is>
          <t>The goal of all life is death</t>
        </is>
      </c>
      <c r="G129" s="24" t="inlineStr">
        <is>
          <t>Resp Gaming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-113</v>
      </c>
      <c r="M129" s="27" t="n">
        <v>1.884956</v>
      </c>
      <c r="N129" s="28" t="n">
        <v>0.530516</v>
      </c>
      <c r="O129" s="28" t="n">
        <v>0.519271</v>
      </c>
      <c r="P129" s="28" t="n"/>
      <c r="Q129" s="28" t="n">
        <v>-0.011245</v>
      </c>
      <c r="R129" s="26" t="n">
        <v>14</v>
      </c>
      <c r="S129" s="29" t="n">
        <v>1</v>
      </c>
      <c r="T129" s="24" t="inlineStr">
        <is>
          <t>dota2-tiered-elo-v6</t>
        </is>
      </c>
      <c r="U129" s="24" t="inlineStr">
        <is>
          <t>settled</t>
        </is>
      </c>
      <c r="V129" s="24" t="inlineStr">
        <is>
          <t>win</t>
        </is>
      </c>
      <c r="W129" s="26" t="n">
        <v>0</v>
      </c>
      <c r="X129" s="26" t="n">
        <v>1</v>
      </c>
      <c r="Y129" s="25" t="n"/>
      <c r="Z129" s="26" t="n"/>
      <c r="AA129" s="28" t="n"/>
      <c r="AB129" s="28" t="n"/>
      <c r="AC129" s="30" t="n">
        <v>0.885</v>
      </c>
      <c r="AD129" s="24" t="inlineStr">
        <is>
          <t>2026-10-13T16:17:27.852835Z</t>
        </is>
      </c>
      <c r="AE129" s="31" t="inlineStr">
        <is>
          <t>Neutral Elo baseline; executable ask 0.5300 (market_slug=aec-dota2-rg-tgoalid-2026-10-13).</t>
        </is>
      </c>
      <c r="AF129" s="31" t="inlineStr">
        <is>
          <t>Config-promoted esports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PAPER_CALL_MODEL_UNVALIDATED</t>
        </is>
      </c>
      <c r="AP129" s="24" t="inlineStr">
        <is>
          <t>The goal of all life is death</t>
        </is>
      </c>
      <c r="AQ129" s="24" t="inlineStr">
        <is>
          <t>The goal of all life is death</t>
        </is>
      </c>
      <c r="AR129" s="24" t="inlineStr">
        <is>
          <t>The goal of all life is death</t>
        </is>
      </c>
      <c r="AS129" s="24" t="inlineStr">
        <is>
          <t>Resp Gaming</t>
        </is>
      </c>
      <c r="AT129" s="24" t="inlineStr">
        <is>
          <t>Resp Gaming</t>
        </is>
      </c>
      <c r="AU129" s="24" t="inlineStr">
        <is>
          <t>Resp Gaming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498068cbee0b727d651d5d989f095e8a43ce7662aad212f07b645d438261f98f</t>
        </is>
      </c>
      <c r="BB129" s="24" t="inlineStr">
        <is>
          <t>neutral_elo</t>
        </is>
      </c>
      <c r="BC129" s="24" t="inlineStr">
        <is>
          <t>dota2-tiered-elo-v6</t>
        </is>
      </c>
      <c r="BD129" s="24" t="inlineStr">
        <is>
          <t>498068cbee0b727d651d5d989f095e8a43ce7662aad212f07b645d438261f98f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dota2-tiered-elo-v6</t>
        </is>
      </c>
      <c r="BH129" s="24" t="inlineStr">
        <is>
          <t>2026-10-13T05:52:25.837911Z</t>
        </is>
      </c>
      <c r="BI129" s="24" t="inlineStr">
        <is>
          <t>["same_event","same_team_same_day","same_league_same_day"]</t>
        </is>
      </c>
      <c r="BJ129" s="25" t="n"/>
      <c r="BK129" s="26" t="n">
        <v>-113</v>
      </c>
      <c r="BL129" s="27" t="n">
        <v>1.884956</v>
      </c>
      <c r="BM129" s="28" t="n">
        <v>0.530516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n"/>
      <c r="DK129" s="24" t="n"/>
      <c r="DL129" s="24" t="n"/>
      <c r="DM129" s="24" t="n"/>
      <c r="DN129" s="24" t="n"/>
      <c r="DO129" s="24" t="n"/>
      <c r="DP129" s="24" t="n"/>
      <c r="DQ129" s="24" t="inlineStr">
        <is>
          <t>{"artifact_hash": "498068cbee0b727d651d5d989f095e8a43ce7662aad212f07b645d438261f98f", "away_team": "The goal of all life is death", "event_id": "156968", "event_start_utc": "2026-10-13T08:00:00Z", "features": {"away_elo": 1466.255216, "away_history_count": 23, "home_elo": 1500.0, "home_history_count": 0}, "historical_source_observation_times_verified": false, "home_team": "Resp Gaming", "inference_inputs": {"book_state": {"games_played": {"bo3:4:15069": 23}, "inactivity_half_life_days": null, "inactivity_max_pull": null, "k": 48.0, "last_match_utc": {"bo3:4:15069": "2026-08-29T08:00:00Z"}, "minimum_reliable_games": null, "platt_intercept": 0.06660293057110224, "platt_slope": 0.8502014663873206, "ratings": {"bo3:4:15069": 1466.255216},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"2026-10-13T05:50:34.431410+00:00", "team_ids": ["unknown:respgaming", "bo3:4:15069"]}, "market_type": "moneyline", "model_version": "dota2-tiered-elo-v6", "observed_at_utc": "2026-10-13T05:50:34.431410+00:00", "probabilities": {"away": 0.480729, "home": 0.519271}, "replay_scope": "Exact serving book state, calibration, temperature, inactivity reference and thin-history adjustments; training provenance not certified.", "schema": "esports-elo-replay-v1", "snapshot_hash": "3b65f483251e622ee149930e14ede499ee4b55a8bb1f06123a073c275e3e6562", "sport": "DOTA2"}</t>
        </is>
      </c>
    </row>
    <row r="130" ht="36" customHeight="1">
      <c r="A130" s="24" t="inlineStr">
        <is>
          <t>07b801af64c84863</t>
        </is>
      </c>
      <c r="B130" s="24" t="inlineStr">
        <is>
          <t>2026-10-13T05:56:44.892731Z</t>
        </is>
      </c>
      <c r="C130" s="24" t="inlineStr">
        <is>
          <t>2026-10-13T09:00:00Z</t>
        </is>
      </c>
      <c r="D130" s="24" t="inlineStr">
        <is>
          <t>156670</t>
        </is>
      </c>
      <c r="E130" s="24" t="inlineStr">
        <is>
          <t>DOTA2</t>
        </is>
      </c>
      <c r="F130" s="24" t="inlineStr">
        <is>
          <t>Nemiga Gaming</t>
        </is>
      </c>
      <c r="G130" s="24" t="inlineStr">
        <is>
          <t>HULIGANI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-127</v>
      </c>
      <c r="M130" s="27" t="n">
        <v>1.787402</v>
      </c>
      <c r="N130" s="28" t="n">
        <v>0.5594710000000001</v>
      </c>
      <c r="O130" s="28" t="n">
        <v>0.593184</v>
      </c>
      <c r="P130" s="28" t="n"/>
      <c r="Q130" s="28" t="n">
        <v>0.033713</v>
      </c>
      <c r="R130" s="26" t="n">
        <v>37</v>
      </c>
      <c r="S130" s="29" t="n">
        <v>1</v>
      </c>
      <c r="T130" s="24" t="inlineStr">
        <is>
          <t>dota2-tiered-elo-v6</t>
        </is>
      </c>
      <c r="U130" s="24" t="inlineStr">
        <is>
          <t>settled</t>
        </is>
      </c>
      <c r="V130" s="24" t="inlineStr">
        <is>
          <t>win</t>
        </is>
      </c>
      <c r="W130" s="26" t="n">
        <v>0</v>
      </c>
      <c r="X130" s="26" t="n">
        <v>1</v>
      </c>
      <c r="Y130" s="25" t="n"/>
      <c r="Z130" s="26" t="n">
        <v>-127</v>
      </c>
      <c r="AA130" s="28" t="n">
        <v>0.5600000000000001</v>
      </c>
      <c r="AB130" s="28" t="n">
        <v>0.000529</v>
      </c>
      <c r="AC130" s="30" t="n">
        <v>0.7874</v>
      </c>
      <c r="AD130" s="24" t="inlineStr">
        <is>
          <t>2026-10-13T16:17:29.277961Z</t>
        </is>
      </c>
      <c r="AE130" s="31" t="inlineStr">
        <is>
          <t>Neutral Elo baseline; executable ask 0.5600 (market_slug=aec-dota2-hul-nemiga-2026-10-13).</t>
        </is>
      </c>
      <c r="AF130" s="31" t="inlineStr">
        <is>
          <t>Config-promoted esports baseline; gates enforced at log time.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4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Nemiga Gaming</t>
        </is>
      </c>
      <c r="AQ130" s="24" t="inlineStr">
        <is>
          <t>Nemiga Gaming</t>
        </is>
      </c>
      <c r="AR130" s="24" t="inlineStr">
        <is>
          <t>Nemiga Gaming</t>
        </is>
      </c>
      <c r="AS130" s="24" t="inlineStr">
        <is>
          <t>HULIGANI</t>
        </is>
      </c>
      <c r="AT130" s="24" t="inlineStr">
        <is>
          <t>HULIGANI</t>
        </is>
      </c>
      <c r="AU130" s="24" t="inlineStr">
        <is>
          <t>HULIGANI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498068cbee0b727d651d5d989f095e8a43ce7662aad212f07b645d438261f98f</t>
        </is>
      </c>
      <c r="BB130" s="24" t="inlineStr">
        <is>
          <t>neutral_elo</t>
        </is>
      </c>
      <c r="BC130" s="24" t="inlineStr">
        <is>
          <t>dota2-tiered-elo-v6</t>
        </is>
      </c>
      <c r="BD130" s="24" t="inlineStr">
        <is>
          <t>498068cbee0b727d651d5d989f095e8a43ce7662aad212f07b645d438261f98f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dota2-tiered-elo-v6</t>
        </is>
      </c>
      <c r="BH130" s="24" t="inlineStr">
        <is>
          <t>2026-10-13T05:52:36.540751Z</t>
        </is>
      </c>
      <c r="BI130" s="24" t="inlineStr">
        <is>
          <t>["same_event","same_team_same_day","same_league_same_day"]</t>
        </is>
      </c>
      <c r="BJ130" s="25" t="n"/>
      <c r="BK130" s="26" t="n">
        <v>-127</v>
      </c>
      <c r="BL130" s="27" t="n">
        <v>1.787402</v>
      </c>
      <c r="BM130" s="28" t="n">
        <v>0.5594710000000001</v>
      </c>
      <c r="BN130" s="28" t="n"/>
      <c r="BO130" s="28" t="n"/>
      <c r="BP130" s="25" t="n"/>
      <c r="BQ130" s="27" t="n">
        <v>1.787402</v>
      </c>
      <c r="BR130" s="28" t="n">
        <v>0.5600000000000001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n"/>
      <c r="DK130" s="24" t="n"/>
      <c r="DL130" s="24" t="n"/>
      <c r="DM130" s="24" t="n"/>
      <c r="DN130" s="24" t="n"/>
      <c r="DO130" s="24" t="n"/>
      <c r="DP130" s="24" t="n"/>
      <c r="DQ130" s="24" t="inlineStr">
        <is>
          <t>{"artifact_hash": "498068cbee0b727d651d5d989f095e8a43ce7662aad212f07b645d438261f98f", "away_team": "Nemiga Gaming", "event_id": "156670", "event_start_utc": "2026-10-13T09:00:00Z", "features": {"away_elo": 1464.093003, "away_history_count": 295, "home_elo": 1544.327209, "home_history_count": 337}, "historical_source_observation_times_verified": false, "home_team": "HULIGANI", "inference_inputs": {"book_state": {"games_played": {"bo3:4:15098": 337, "bo3:4:16398": 295}, "inactivity_half_life_days": null, "inactivity_max_pull": null, "k": 48.0, "last_match_utc": {"bo3:4:15098": "2026-10-06T08:10:00Z", "bo3:4:16398": "2026-10-12T13:10:00Z"}, "minimum_reliable_games": null, "platt_intercept": 0.06660293057110224, "platt_slope": 0.8502014663873206, "ratings": {"bo3:4:15098": 1544.327209, "bo3:4:16398": 1464.093003},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"2026-10-13T05:50:34.431410+00:00", "team_ids": ["bo3:4:15098", "bo3:4:16398"]}, "market_type": "moneyline", "model_version": "dota2-tiered-elo-v6", "observed_at_utc": "2026-10-13T05:50:34.431410+00:00", "probabilities": {"away": 0.406816, "home": 0.593184}, "replay_scope": "Exact serving book state, calibration, temperature, inactivity reference and thin-history adjustments; training provenance not certified.", "schema": "esports-elo-replay-v1", "snapshot_hash": "1c8708fb5bbab32b607675cd051cb93a5e3de4c59fc3ccadd6eb3977bd7ceba2", "sport": "DOTA2"}</t>
        </is>
      </c>
    </row>
    <row r="131" ht="36" customHeight="1">
      <c r="A131" s="24" t="inlineStr">
        <is>
          <t>fcd44b58014e4e0a</t>
        </is>
      </c>
      <c r="B131" s="24" t="inlineStr">
        <is>
          <t>2026-10-13T11:23:20.635144Z</t>
        </is>
      </c>
      <c r="C131" s="24" t="inlineStr">
        <is>
          <t>2026-10-13T12:00:00Z</t>
        </is>
      </c>
      <c r="D131" s="24" t="inlineStr">
        <is>
          <t>158060</t>
        </is>
      </c>
      <c r="E131" s="24" t="inlineStr">
        <is>
          <t>DOTA2</t>
        </is>
      </c>
      <c r="F131" s="24" t="inlineStr">
        <is>
          <t>Yakult Brothers</t>
        </is>
      </c>
      <c r="G131" s="24" t="inlineStr">
        <is>
          <t>Team Resilience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-233</v>
      </c>
      <c r="M131" s="27" t="n">
        <v>1.429185</v>
      </c>
      <c r="N131" s="28" t="n">
        <v>0.6997</v>
      </c>
      <c r="O131" s="28" t="n">
        <v>0.585585</v>
      </c>
      <c r="P131" s="28" t="n"/>
      <c r="Q131" s="28" t="n">
        <v>-0.114115</v>
      </c>
      <c r="R131" s="26" t="n">
        <v>0</v>
      </c>
      <c r="S131" s="29" t="n">
        <v>1</v>
      </c>
      <c r="T131" s="24" t="inlineStr">
        <is>
          <t>dota2-tiered-elo-v6</t>
        </is>
      </c>
      <c r="U131" s="24" t="inlineStr">
        <is>
          <t>settled</t>
        </is>
      </c>
      <c r="V131" s="24" t="inlineStr">
        <is>
          <t>push</t>
        </is>
      </c>
      <c r="W131" s="26" t="n"/>
      <c r="X131" s="26" t="n"/>
      <c r="Y131" s="25" t="n"/>
      <c r="Z131" s="26" t="n"/>
      <c r="AA131" s="28" t="n"/>
      <c r="AB131" s="28" t="n"/>
      <c r="AC131" s="30" t="n">
        <v>0</v>
      </c>
      <c r="AD131" s="24" t="inlineStr">
        <is>
          <t>2026-10-13T16:17:40.843367Z</t>
        </is>
      </c>
      <c r="AE131" s="31" t="inlineStr">
        <is>
          <t>Neutral Elo baseline; executable ask 0.7000 (market_slug=aec-dota2-tr-yb-2026-10-13).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Yakult Brothers</t>
        </is>
      </c>
      <c r="AQ131" s="24" t="inlineStr">
        <is>
          <t>Yakult Brothers</t>
        </is>
      </c>
      <c r="AR131" s="24" t="inlineStr">
        <is>
          <t>Yakult Brothers</t>
        </is>
      </c>
      <c r="AS131" s="24" t="inlineStr">
        <is>
          <t>Team Resilience</t>
        </is>
      </c>
      <c r="AT131" s="24" t="inlineStr">
        <is>
          <t>Team Resilience</t>
        </is>
      </c>
      <c r="AU131" s="24" t="inlineStr">
        <is>
          <t>Team Resilience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82eaf6866c5f8a33c82bd6297df9b8c17cc34456cc7a74fdcb602fb4705d7601</t>
        </is>
      </c>
      <c r="BB131" s="24" t="inlineStr">
        <is>
          <t>neutral_elo</t>
        </is>
      </c>
      <c r="BC131" s="24" t="inlineStr">
        <is>
          <t>dota2-tiered-elo-v6</t>
        </is>
      </c>
      <c r="BD131" s="24" t="inlineStr">
        <is>
          <t>82eaf6866c5f8a33c82bd6297df9b8c17cc34456cc7a74fdcb602fb4705d7601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dota2-tiered-elo-v6</t>
        </is>
      </c>
      <c r="BH131" s="24" t="inlineStr">
        <is>
          <t>2026-10-13T11:18:19.188548Z</t>
        </is>
      </c>
      <c r="BI131" s="24" t="inlineStr">
        <is>
          <t>["same_event","same_team_same_day","same_league_same_day"]</t>
        </is>
      </c>
      <c r="BJ131" s="25" t="n"/>
      <c r="BK131" s="26" t="n">
        <v>-233</v>
      </c>
      <c r="BL131" s="27" t="n">
        <v>1.429185</v>
      </c>
      <c r="BM131" s="28" t="n">
        <v>0.6997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inlineStr">
        <is>
          <t>esports market terminal (MARKET_STATE_EXPIRED) with prices {'Team Resilience': 0.66, 'Yakult Brothers': 0.34}; BO3 has no confirming finished-match result either</t>
        </is>
      </c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False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n"/>
      <c r="DK131" s="24" t="n"/>
      <c r="DL131" s="24" t="n"/>
      <c r="DM131" s="24" t="n"/>
      <c r="DN131" s="24" t="n"/>
      <c r="DO131" s="24" t="n"/>
      <c r="DP131" s="24" t="n"/>
      <c r="DQ131" s="24" t="inlineStr">
        <is>
          <t>{"artifact_hash": "82eaf6866c5f8a33c82bd6297df9b8c17cc34456cc7a74fdcb602fb4705d7601", "away_team": "Yakult Brothers", "event_id": "158060", "event_start_utc": "2026-10-13T12:00:00Z", "features": {"away_elo": 1669.762098, "away_history_count": 187, "home_elo": 1740.091782, "home_history_count": 22}, "historical_source_observation_times_verified": false, "home_team": "Team Resilience", "inference_inputs": {"book_state": {"games_played": {"bo3:4:18586": 187, "bo3:4:23196": 22}, "inactivity_half_life_days": null, "inactivity_max_pull": null, "k": 48.0, "last_match_utc": {"bo3:4:18586": "2026-10-13T04:00:00Z", "bo3:4:23196": "2026-10-13T04:00:00Z"}, "minimum_reliable_games": null, "platt_intercept": 0.06516991331836251, "platt_slope": 0.8491312027850109, "ratings": {"bo3:4:18586": 1669.762098, "bo3:4:23196": 1740.091782},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"2026-10-13T11:18:19.094097+00:00", "team_ids": ["bo3:4:23196", "bo3:4:18586"]}, "market_type": "moneyline", "model_version": "dota2-tiered-elo-v6", "observed_at_utc": "2026-10-13T11:18:19.094097+00:00", "probabilities": {"away": 0.414415, "home": 0.585585}, "replay_scope": "Exact serving book state, calibration, temperature, inactivity reference and thin-history adjustments; training provenance not certified.", "schema": "esports-elo-replay-v1", "snapshot_hash": "30fb7e04208f443731ef0e51cde435c290820fa84f88e1026fadf40a9b4bf015", "sport": "DOTA2"}</t>
        </is>
      </c>
    </row>
    <row r="132" ht="36" customHeight="1">
      <c r="A132" s="24" t="inlineStr">
        <is>
          <t>44985e069e194be8</t>
        </is>
      </c>
      <c r="B132" s="24" t="inlineStr">
        <is>
          <t>2026-10-13T11:23:20.635144Z</t>
        </is>
      </c>
      <c r="C132" s="24" t="inlineStr">
        <is>
          <t>2026-10-13T13:00:00Z</t>
        </is>
      </c>
      <c r="D132" s="24" t="inlineStr">
        <is>
          <t>155060</t>
        </is>
      </c>
      <c r="E132" s="24" t="inlineStr">
        <is>
          <t>DOTA2</t>
        </is>
      </c>
      <c r="F132" s="24" t="inlineStr">
        <is>
          <t>The Warriors</t>
        </is>
      </c>
      <c r="G132" s="24" t="inlineStr">
        <is>
          <t>Power Rangers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-213</v>
      </c>
      <c r="M132" s="27" t="n">
        <v>1.469484</v>
      </c>
      <c r="N132" s="28" t="n">
        <v>0.680511</v>
      </c>
      <c r="O132" s="28" t="n">
        <v>0.531826</v>
      </c>
      <c r="P132" s="28" t="n"/>
      <c r="Q132" s="28" t="n">
        <v>-0.148685</v>
      </c>
      <c r="R132" s="26" t="n">
        <v>0</v>
      </c>
      <c r="S132" s="29" t="n">
        <v>1</v>
      </c>
      <c r="T132" s="24" t="inlineStr">
        <is>
          <t>dota2-tiered-elo-v6</t>
        </is>
      </c>
      <c r="U132" s="24" t="inlineStr">
        <is>
          <t>settled</t>
        </is>
      </c>
      <c r="V132" s="24" t="inlineStr">
        <is>
          <t>win</t>
        </is>
      </c>
      <c r="W132" s="26" t="n">
        <v>0</v>
      </c>
      <c r="X132" s="26" t="n">
        <v>1</v>
      </c>
      <c r="Y132" s="25" t="n"/>
      <c r="Z132" s="26" t="n">
        <v>-213</v>
      </c>
      <c r="AA132" s="28" t="n">
        <v>0.68</v>
      </c>
      <c r="AB132" s="28" t="n">
        <v>-0.000511</v>
      </c>
      <c r="AC132" s="30" t="n">
        <v>0.4695</v>
      </c>
      <c r="AD132" s="24" t="inlineStr">
        <is>
          <t>2026-10-13T22:07:05.045625Z</t>
        </is>
      </c>
      <c r="AE132" s="31" t="inlineStr">
        <is>
          <t>Neutral Elo baseline; executable ask 0.6800 (market_slug=aec-dota2-pr-twh-2026-10-13).</t>
        </is>
      </c>
      <c r="AF132" s="31" t="inlineStr">
        <is>
          <t>Config-promoted esports baseline; gates enforced at log time.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The Warriors</t>
        </is>
      </c>
      <c r="AQ132" s="24" t="inlineStr">
        <is>
          <t>The Warriors</t>
        </is>
      </c>
      <c r="AR132" s="24" t="inlineStr">
        <is>
          <t>The Warriors</t>
        </is>
      </c>
      <c r="AS132" s="24" t="inlineStr">
        <is>
          <t>Power Rangers</t>
        </is>
      </c>
      <c r="AT132" s="24" t="inlineStr">
        <is>
          <t>Power Rangers</t>
        </is>
      </c>
      <c r="AU132" s="24" t="inlineStr">
        <is>
          <t>Power Rangers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82eaf6866c5f8a33c82bd6297df9b8c17cc34456cc7a74fdcb602fb4705d7601</t>
        </is>
      </c>
      <c r="BB132" s="24" t="inlineStr">
        <is>
          <t>neutral_elo</t>
        </is>
      </c>
      <c r="BC132" s="24" t="inlineStr">
        <is>
          <t>dota2-tiered-elo-v6</t>
        </is>
      </c>
      <c r="BD132" s="24" t="inlineStr">
        <is>
          <t>82eaf6866c5f8a33c82bd6297df9b8c17cc34456cc7a74fdcb602fb4705d7601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dota2-tiered-elo-v6</t>
        </is>
      </c>
      <c r="BH132" s="24" t="inlineStr">
        <is>
          <t>2026-10-13T11:20:23.851640Z</t>
        </is>
      </c>
      <c r="BI132" s="24" t="inlineStr">
        <is>
          <t>["same_event","same_team_same_day","same_league_same_day"]</t>
        </is>
      </c>
      <c r="BJ132" s="25" t="n"/>
      <c r="BK132" s="26" t="n">
        <v>-213</v>
      </c>
      <c r="BL132" s="27" t="n">
        <v>1.469484</v>
      </c>
      <c r="BM132" s="28" t="n">
        <v>0.680511</v>
      </c>
      <c r="BN132" s="28" t="n"/>
      <c r="BO132" s="28" t="n"/>
      <c r="BP132" s="25" t="n"/>
      <c r="BQ132" s="27" t="n">
        <v>1.469484</v>
      </c>
      <c r="BR132" s="28" t="n">
        <v>0.68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n"/>
      <c r="DK132" s="24" t="n"/>
      <c r="DL132" s="24" t="n"/>
      <c r="DM132" s="24" t="n"/>
      <c r="DN132" s="24" t="n"/>
      <c r="DO132" s="24" t="n"/>
      <c r="DP132" s="24" t="n"/>
      <c r="DQ132" s="24" t="inlineStr">
        <is>
          <t>{"artifact_hash": "82eaf6866c5f8a33c82bd6297df9b8c17cc34456cc7a74fdcb602fb4705d7601", "away_team": "The Warriors", "event_id": "155060", "event_start_utc": "2026-10-13T13:00:00Z", "features": {"away_elo": 1573.452002, "away_history_count": 4, "home_elo": 1638.365225, "home_history_count": 93}, "historical_source_observation_times_verified": false, "home_team": "Power Rangers", "inference_inputs": {"book_state": {"games_played": {"bo3:4:16653": 93, "bo3:4:25465": 4}, "inactivity_half_life_days": null, "inactivity_max_pull": null, "k": 48.0, "last_match_utc": {"bo3:4:16653": "2026-09-08T09:00:00Z", "bo3:4:25465": "2026-10-12T19:25:00Z"}, "minimum_reliable_games": null, "platt_intercept": 0.06516991331836251, "platt_slope": 0.8491312027850109, "ratings": {"bo3:4:16653": 1638.365225, "bo3:4:25465": 1573.452002},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"2026-10-13T11:18:19.094097+00:00", "team_ids": ["bo3:4:16653", "bo3:4:25465"]}, "market_type": "moneyline", "model_version": "dota2-tiered-elo-v6", "observed_at_utc": "2026-10-13T11:18:19.094097+00:00", "probabilities": {"away": 0.468174, "home": 0.531826}, "replay_scope": "Exact serving book state, calibration, temperature, inactivity reference and thin-history adjustments; training provenance not certified.", "schema": "esports-elo-replay-v1", "snapshot_hash": "750d1ac2c44427d0341e3eb3cc2b85cb66e4553a14c56abf9b250e3ae4683337", "sport": "DOTA2"}</t>
        </is>
      </c>
    </row>
    <row r="133" ht="36" customHeight="1">
      <c r="A133" s="24" t="inlineStr">
        <is>
          <t>bf6127e16a554ba4</t>
        </is>
      </c>
      <c r="B133" s="24" t="inlineStr">
        <is>
          <t>2026-10-13T11:23:20.635144Z</t>
        </is>
      </c>
      <c r="C133" s="24" t="inlineStr">
        <is>
          <t>2026-10-13T13:00:00Z</t>
        </is>
      </c>
      <c r="D133" s="24" t="inlineStr">
        <is>
          <t>155060</t>
        </is>
      </c>
      <c r="E133" s="24" t="inlineStr">
        <is>
          <t>DOTA2</t>
        </is>
      </c>
      <c r="F133" s="24" t="inlineStr">
        <is>
          <t>The Warriors</t>
        </is>
      </c>
      <c r="G133" s="24" t="inlineStr">
        <is>
          <t>Power Rangers</t>
        </is>
      </c>
      <c r="H133" s="24" t="inlineStr">
        <is>
          <t>total</t>
        </is>
      </c>
      <c r="I133" s="24" t="inlineStr">
        <is>
          <t>under</t>
        </is>
      </c>
      <c r="J133" s="25" t="n">
        <v>2.5</v>
      </c>
      <c r="K133" s="24" t="inlineStr">
        <is>
          <t>polymarket_us</t>
        </is>
      </c>
      <c r="L133" s="26" t="n">
        <v>-138</v>
      </c>
      <c r="M133" s="27" t="n">
        <v>1.724638</v>
      </c>
      <c r="N133" s="28" t="n">
        <v>0.579832</v>
      </c>
      <c r="O133" s="28" t="n">
        <v>0.500901</v>
      </c>
      <c r="P133" s="28" t="n"/>
      <c r="Q133" s="28" t="n">
        <v>-0.078931</v>
      </c>
      <c r="R133" s="26" t="n">
        <v>0</v>
      </c>
      <c r="S133" s="29" t="n">
        <v>1</v>
      </c>
      <c r="T133" s="24" t="inlineStr">
        <is>
          <t>dota2-total-tiered-elo-v6</t>
        </is>
      </c>
      <c r="U133" s="24" t="inlineStr">
        <is>
          <t>settled</t>
        </is>
      </c>
      <c r="V133" s="24" t="inlineStr">
        <is>
          <t>loss</t>
        </is>
      </c>
      <c r="W133" s="26" t="n">
        <v>1</v>
      </c>
      <c r="X133" s="26" t="n">
        <v>2</v>
      </c>
      <c r="Y133" s="25" t="n"/>
      <c r="Z133" s="26" t="n"/>
      <c r="AA133" s="28" t="n"/>
      <c r="AB133" s="28" t="n"/>
      <c r="AC133" s="30" t="n">
        <v>-1</v>
      </c>
      <c r="AD133" s="24" t="inlineStr">
        <is>
          <t>2026-10-13T16:17:42.247257Z</t>
        </is>
      </c>
      <c r="AE133" s="31" t="inlineStr">
        <is>
          <t>Neutral Elo baseline; executable ask 0.5800 (market_slug=tsc-dota2-pr-twh-2026-10-13-tot-2pt5).</t>
        </is>
      </c>
      <c r="AF133" s="31" t="inlineStr">
        <is>
          <t>Config-promoted esports baseline; gates enforced at log time.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The Warriors</t>
        </is>
      </c>
      <c r="AQ133" s="24" t="inlineStr">
        <is>
          <t>The Warriors</t>
        </is>
      </c>
      <c r="AR133" s="24" t="inlineStr">
        <is>
          <t>The Warriors</t>
        </is>
      </c>
      <c r="AS133" s="24" t="inlineStr">
        <is>
          <t>Power Rangers</t>
        </is>
      </c>
      <c r="AT133" s="24" t="inlineStr">
        <is>
          <t>Power Rangers</t>
        </is>
      </c>
      <c r="AU133" s="24" t="inlineStr">
        <is>
          <t>Power Rangers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82eaf6866c5f8a33c82bd6297df9b8c17cc34456cc7a74fdcb602fb4705d7601</t>
        </is>
      </c>
      <c r="BB133" s="24" t="inlineStr">
        <is>
          <t>neutral_elo</t>
        </is>
      </c>
      <c r="BC133" s="24" t="inlineStr">
        <is>
          <t>dota2-total-tiered-elo-v6</t>
        </is>
      </c>
      <c r="BD133" s="24" t="inlineStr">
        <is>
          <t>82eaf6866c5f8a33c82bd6297df9b8c17cc34456cc7a74fdcb602fb4705d7601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dota2-total-tiered-elo-v6</t>
        </is>
      </c>
      <c r="BH133" s="24" t="inlineStr">
        <is>
          <t>2026-10-13T11:20:23.925214Z</t>
        </is>
      </c>
      <c r="BI133" s="24" t="inlineStr">
        <is>
          <t>["same_event","same_team_same_day","same_league_same_day"]</t>
        </is>
      </c>
      <c r="BJ133" s="25" t="n">
        <v>2.5</v>
      </c>
      <c r="BK133" s="26" t="n">
        <v>-138</v>
      </c>
      <c r="BL133" s="27" t="n">
        <v>1.724638</v>
      </c>
      <c r="BM133" s="28" t="n">
        <v>0.579832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n"/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7112eb1a247f4f86</t>
        </is>
      </c>
      <c r="B134" s="24" t="inlineStr">
        <is>
          <t>2026-10-13T17:03:07.936006Z</t>
        </is>
      </c>
      <c r="C134" s="24" t="inlineStr">
        <is>
          <t>2026-10-13T19:00:00Z</t>
        </is>
      </c>
      <c r="D134" s="24" t="inlineStr">
        <is>
          <t>156711</t>
        </is>
      </c>
      <c r="E134" s="24" t="inlineStr">
        <is>
          <t>DOTA2</t>
        </is>
      </c>
      <c r="F134" s="24" t="inlineStr">
        <is>
          <t>salamit</t>
        </is>
      </c>
      <c r="G134" s="24" t="inlineStr">
        <is>
          <t>The Warriors</t>
        </is>
      </c>
      <c r="H134" s="24" t="inlineStr">
        <is>
          <t>total</t>
        </is>
      </c>
      <c r="I134" s="24" t="inlineStr">
        <is>
          <t>under</t>
        </is>
      </c>
      <c r="J134" s="25" t="n">
        <v>2.5</v>
      </c>
      <c r="K134" s="24" t="inlineStr">
        <is>
          <t>polymarket_us</t>
        </is>
      </c>
      <c r="L134" s="26" t="n">
        <v>-133</v>
      </c>
      <c r="M134" s="27" t="n">
        <v>1.75188</v>
      </c>
      <c r="N134" s="28" t="n">
        <v>0.570815</v>
      </c>
      <c r="O134" s="28" t="n">
        <v>0.50279</v>
      </c>
      <c r="P134" s="28" t="n"/>
      <c r="Q134" s="28" t="n">
        <v>-0.068025</v>
      </c>
      <c r="R134" s="26" t="n">
        <v>0</v>
      </c>
      <c r="S134" s="29" t="n">
        <v>1</v>
      </c>
      <c r="T134" s="24" t="inlineStr">
        <is>
          <t>dota2-total-tiered-elo-v6</t>
        </is>
      </c>
      <c r="U134" s="24" t="inlineStr">
        <is>
          <t>settled</t>
        </is>
      </c>
      <c r="V134" s="24" t="inlineStr">
        <is>
          <t>push</t>
        </is>
      </c>
      <c r="W134" s="26" t="n"/>
      <c r="X134" s="26" t="n"/>
      <c r="Y134" s="25" t="n"/>
      <c r="Z134" s="26" t="n"/>
      <c r="AA134" s="28" t="n"/>
      <c r="AB134" s="28" t="n"/>
      <c r="AC134" s="30" t="n">
        <v>0</v>
      </c>
      <c r="AD134" s="24" t="inlineStr">
        <is>
          <t>2026-10-13T22:07:11.470467Z</t>
        </is>
      </c>
      <c r="AE134" s="31" t="inlineStr">
        <is>
          <t>Neutral Elo baseline; executable ask 0.5700 (market_slug=tsc-dota2-twh-sala-2026-10-13-tot-2pt5).</t>
        </is>
      </c>
      <c r="AF134" s="31" t="inlineStr">
        <is>
          <t>Config-promoted esports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4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PAPER_CALL_LOW_EDGE</t>
        </is>
      </c>
      <c r="AP134" s="24" t="inlineStr">
        <is>
          <t>salamit</t>
        </is>
      </c>
      <c r="AQ134" s="24" t="inlineStr">
        <is>
          <t>salamit</t>
        </is>
      </c>
      <c r="AR134" s="24" t="inlineStr">
        <is>
          <t>salamit</t>
        </is>
      </c>
      <c r="AS134" s="24" t="inlineStr">
        <is>
          <t>The Warriors</t>
        </is>
      </c>
      <c r="AT134" s="24" t="inlineStr">
        <is>
          <t>The Warriors</t>
        </is>
      </c>
      <c r="AU134" s="24" t="inlineStr">
        <is>
          <t>The Warriors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dbdf8c3e3bd3daca22666c2f38605f226d67625f4460aace1c5df263d8fc71b3</t>
        </is>
      </c>
      <c r="BB134" s="24" t="inlineStr">
        <is>
          <t>neutral_elo</t>
        </is>
      </c>
      <c r="BC134" s="24" t="inlineStr">
        <is>
          <t>dota2-total-tiered-elo-v6</t>
        </is>
      </c>
      <c r="BD134" s="24" t="inlineStr">
        <is>
          <t>dbdf8c3e3bd3daca22666c2f38605f226d67625f4460aace1c5df263d8fc71b3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dota2-total-tiered-elo-v6</t>
        </is>
      </c>
      <c r="BH134" s="24" t="inlineStr">
        <is>
          <t>2026-10-13T17:00:10.303927Z</t>
        </is>
      </c>
      <c r="BI134" s="24" t="inlineStr">
        <is>
          <t>["same_event","same_team_same_day","same_league_same_day"]</t>
        </is>
      </c>
      <c r="BJ134" s="25" t="n">
        <v>2.5</v>
      </c>
      <c r="BK134" s="26" t="n">
        <v>-133</v>
      </c>
      <c r="BL134" s="27" t="n">
        <v>1.75188</v>
      </c>
      <c r="BM134" s="28" t="n">
        <v>0.570815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inlineStr">
        <is>
          <t>esports market terminal (MARKET_STATE_EXPIRED) with prices {}; BO3 has no confirming finished-match result either</t>
        </is>
      </c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n"/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3c634e378d3c4ef4</t>
        </is>
      </c>
      <c r="B135" s="24" t="inlineStr">
        <is>
          <t>2026-10-13T17:03:07.936006Z</t>
        </is>
      </c>
      <c r="C135" s="24" t="inlineStr">
        <is>
          <t>2026-10-13T19:00:00Z</t>
        </is>
      </c>
      <c r="D135" s="24" t="inlineStr">
        <is>
          <t>156711</t>
        </is>
      </c>
      <c r="E135" s="24" t="inlineStr">
        <is>
          <t>DOTA2</t>
        </is>
      </c>
      <c r="F135" s="24" t="inlineStr">
        <is>
          <t>salamit</t>
        </is>
      </c>
      <c r="G135" s="24" t="inlineStr">
        <is>
          <t>The Warriors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194</v>
      </c>
      <c r="M135" s="27" t="n">
        <v>2.94</v>
      </c>
      <c r="N135" s="28" t="n">
        <v>0.340136</v>
      </c>
      <c r="O135" s="28" t="n">
        <v>0.555922</v>
      </c>
      <c r="P135" s="28" t="n"/>
      <c r="Q135" s="28" t="n">
        <v>0.215786</v>
      </c>
      <c r="R135" s="26" t="n">
        <v>100</v>
      </c>
      <c r="S135" s="29" t="n">
        <v>2</v>
      </c>
      <c r="T135" s="24" t="inlineStr">
        <is>
          <t>dota2-tiered-elo-v6</t>
        </is>
      </c>
      <c r="U135" s="24" t="inlineStr">
        <is>
          <t>settled</t>
        </is>
      </c>
      <c r="V135" s="24" t="inlineStr">
        <is>
          <t>push</t>
        </is>
      </c>
      <c r="W135" s="26" t="n"/>
      <c r="X135" s="26" t="n"/>
      <c r="Y135" s="25" t="n"/>
      <c r="Z135" s="26" t="n"/>
      <c r="AA135" s="28" t="n"/>
      <c r="AB135" s="28" t="n"/>
      <c r="AC135" s="30" t="n">
        <v>0</v>
      </c>
      <c r="AD135" s="24" t="inlineStr">
        <is>
          <t>2026-10-13T22:07:16.319688Z</t>
        </is>
      </c>
      <c r="AE135" s="31" t="inlineStr">
        <is>
          <t>Neutral Elo baseline; executable ask 0.3400 (market_slug=aec-dota2-twh-sala-2026-10-13).</t>
        </is>
      </c>
      <c r="AF135" s="31" t="inlineStr">
        <is>
          <t>Config-promoted esports baseline; gates enforced at log time.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4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salamit</t>
        </is>
      </c>
      <c r="AQ135" s="24" t="inlineStr">
        <is>
          <t>salamit</t>
        </is>
      </c>
      <c r="AR135" s="24" t="inlineStr">
        <is>
          <t>salamit</t>
        </is>
      </c>
      <c r="AS135" s="24" t="inlineStr">
        <is>
          <t>The Warriors</t>
        </is>
      </c>
      <c r="AT135" s="24" t="inlineStr">
        <is>
          <t>The Warriors</t>
        </is>
      </c>
      <c r="AU135" s="24" t="inlineStr">
        <is>
          <t>The Warriors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dbdf8c3e3bd3daca22666c2f38605f226d67625f4460aace1c5df263d8fc71b3</t>
        </is>
      </c>
      <c r="BB135" s="24" t="inlineStr">
        <is>
          <t>neutral_elo</t>
        </is>
      </c>
      <c r="BC135" s="24" t="inlineStr">
        <is>
          <t>dota2-tiered-elo-v6</t>
        </is>
      </c>
      <c r="BD135" s="24" t="inlineStr">
        <is>
          <t>dbdf8c3e3bd3daca22666c2f38605f226d67625f4460aace1c5df263d8fc71b3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dota2-tiered-elo-v6</t>
        </is>
      </c>
      <c r="BH135" s="24" t="inlineStr">
        <is>
          <t>2026-10-13T17:00:20.578625Z</t>
        </is>
      </c>
      <c r="BI135" s="24" t="inlineStr">
        <is>
          <t>["same_event","same_team_same_day","same_league_same_day"]</t>
        </is>
      </c>
      <c r="BJ135" s="25" t="n"/>
      <c r="BK135" s="26" t="n">
        <v>194</v>
      </c>
      <c r="BL135" s="27" t="n">
        <v>2.94</v>
      </c>
      <c r="BM135" s="28" t="n">
        <v>0.340136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inlineStr">
        <is>
          <t>esports market terminal (MARKET_STATE_EXPIRED) with prices {}; BO3 has no confirming finished-match result either</t>
        </is>
      </c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n"/>
      <c r="DK135" s="24" t="n"/>
      <c r="DL135" s="24" t="n"/>
      <c r="DM135" s="24" t="n"/>
      <c r="DN135" s="24" t="n"/>
      <c r="DO135" s="24" t="n"/>
      <c r="DP135" s="24" t="n"/>
      <c r="DQ135" s="24" t="inlineStr">
        <is>
          <t>{"artifact_hash": "dbdf8c3e3bd3daca22666c2f38605f226d67625f4460aace1c5df263d8fc71b3", "away_team": "salamit", "event_id": "156711", "event_start_utc": "2026-10-13T19:00:00Z", "features": {"away_elo": 1460.291035, "away_history_count": 1, "home_elo": 1546.705133, "home_history_count": 5}, "historical_source_observation_times_verified": false, "home_team": "The Warriors", "inference_inputs": {"book_state": {"games_played": {"bo3:4:25465": 5, "bo3:4:25478": 1}, "inactivity_half_life_days": null, "inactivity_max_pull": null, "k": 48.0, "last_match_utc": {"bo3:4:25465": "2026-10-13T13:15:00Z", "bo3:4:25478": "2026-10-12T13:10:00Z"}, "minimum_reliable_games": null, "platt_intercept": 0.0660951180882821, "platt_slope": 0.8503469876096356, "ratings": {"bo3:4:25465": 1546.705133, "bo3:4:25478": 1460.291035},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"2026-10-13T16:58:36.903465+00:00", "team_ids": ["bo3:4:25465", "bo3:4:25478"]}, "market_type": "moneyline", "model_version": "dota2-tiered-elo-v6", "observed_at_utc": "2026-10-13T16:58:36.903465+00:00", "probabilities": {"away": 0.444078, "home": 0.555922}, "replay_scope": "Exact serving book state, calibration, temperature, inactivity reference and thin-history adjustments; training provenance not certified.", "schema": "esports-elo-replay-v1", "snapshot_hash": "2f2a234e6a44119421ca10c14d5f4e4e09831bd4f160550721c7e4aaf1a169d4", "sport": "DOTA2"}</t>
        </is>
      </c>
    </row>
    <row r="136" ht="36" customHeight="1">
      <c r="A136" s="24" t="inlineStr">
        <is>
          <t>5b7d9204e4244e2f</t>
        </is>
      </c>
      <c r="B136" s="24" t="inlineStr">
        <is>
          <t>2026-10-13T17:03:07.936006Z</t>
        </is>
      </c>
      <c r="C136" s="24" t="inlineStr">
        <is>
          <t>2026-10-13T21:00:00Z</t>
        </is>
      </c>
      <c r="D136" s="24" t="inlineStr">
        <is>
          <t>156778</t>
        </is>
      </c>
      <c r="E136" s="24" t="inlineStr">
        <is>
          <t>DOTA2</t>
        </is>
      </c>
      <c r="F136" s="24" t="inlineStr">
        <is>
          <t>Rottweilas Latam</t>
        </is>
      </c>
      <c r="G136" s="24" t="inlineStr">
        <is>
          <t>Amaru Gaming</t>
        </is>
      </c>
      <c r="H136" s="24" t="inlineStr">
        <is>
          <t>moneyline</t>
        </is>
      </c>
      <c r="I136" s="24" t="inlineStr">
        <is>
          <t>away</t>
        </is>
      </c>
      <c r="J136" s="25" t="n"/>
      <c r="K136" s="24" t="inlineStr">
        <is>
          <t>polymarket_us</t>
        </is>
      </c>
      <c r="L136" s="26" t="n">
        <v>133</v>
      </c>
      <c r="M136" s="27" t="n">
        <v>2.33</v>
      </c>
      <c r="N136" s="28" t="n">
        <v>0.429185</v>
      </c>
      <c r="O136" s="28" t="n">
        <v>0.522778</v>
      </c>
      <c r="P136" s="28" t="n"/>
      <c r="Q136" s="28" t="n">
        <v>0.093593</v>
      </c>
      <c r="R136" s="26" t="n">
        <v>67</v>
      </c>
      <c r="S136" s="29" t="n">
        <v>1.25</v>
      </c>
      <c r="T136" s="24" t="inlineStr">
        <is>
          <t>dota2-tiered-elo-v6</t>
        </is>
      </c>
      <c r="U136" s="24" t="inlineStr">
        <is>
          <t>settled</t>
        </is>
      </c>
      <c r="V136" s="24" t="inlineStr">
        <is>
          <t>loss</t>
        </is>
      </c>
      <c r="W136" s="26" t="n">
        <v>0</v>
      </c>
      <c r="X136" s="26" t="n">
        <v>1</v>
      </c>
      <c r="Y136" s="25" t="n"/>
      <c r="Z136" s="26" t="n">
        <v>133</v>
      </c>
      <c r="AA136" s="28" t="n">
        <v>0.43</v>
      </c>
      <c r="AB136" s="28" t="n">
        <v>0.000815</v>
      </c>
      <c r="AC136" s="30" t="n">
        <v>-1.25</v>
      </c>
      <c r="AD136" s="24" t="inlineStr">
        <is>
          <t>2026-10-14T04:33:17.836664Z</t>
        </is>
      </c>
      <c r="AE136" s="31" t="inlineStr">
        <is>
          <t>Neutral Elo baseline; executable ask 0.4300 (market_slug=aec-dota2-agm-rl-2026-10-13).</t>
        </is>
      </c>
      <c r="AF136" s="31" t="inlineStr">
        <is>
          <t>Config-promoted esports baseline; gates enforced at log time.</t>
        </is>
      </c>
      <c r="AG136" s="24" t="inlineStr">
        <is>
          <t>review_required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4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Rottweilas Latam</t>
        </is>
      </c>
      <c r="AQ136" s="24" t="inlineStr">
        <is>
          <t>Rottweilas Latam</t>
        </is>
      </c>
      <c r="AR136" s="24" t="inlineStr">
        <is>
          <t>Rottweilas Latam</t>
        </is>
      </c>
      <c r="AS136" s="24" t="inlineStr">
        <is>
          <t>Amaru Gaming</t>
        </is>
      </c>
      <c r="AT136" s="24" t="inlineStr">
        <is>
          <t>Amaru Gaming</t>
        </is>
      </c>
      <c r="AU136" s="24" t="inlineStr">
        <is>
          <t>Amaru Gaming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dbdf8c3e3bd3daca22666c2f38605f226d67625f4460aace1c5df263d8fc71b3</t>
        </is>
      </c>
      <c r="BB136" s="24" t="inlineStr">
        <is>
          <t>neutral_elo</t>
        </is>
      </c>
      <c r="BC136" s="24" t="inlineStr">
        <is>
          <t>dota2-tiered-elo-v6</t>
        </is>
      </c>
      <c r="BD136" s="24" t="inlineStr">
        <is>
          <t>dbdf8c3e3bd3daca22666c2f38605f226d67625f4460aace1c5df263d8fc71b3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dota2-tiered-elo-v6</t>
        </is>
      </c>
      <c r="BH136" s="24" t="inlineStr">
        <is>
          <t>2026-10-13T17:00:20.655668Z</t>
        </is>
      </c>
      <c r="BI136" s="24" t="inlineStr">
        <is>
          <t>["same_event","same_team_same_day","same_league_same_day"]</t>
        </is>
      </c>
      <c r="BJ136" s="25" t="n"/>
      <c r="BK136" s="26" t="n">
        <v>133</v>
      </c>
      <c r="BL136" s="27" t="n">
        <v>2.33</v>
      </c>
      <c r="BM136" s="28" t="n">
        <v>0.429185</v>
      </c>
      <c r="BN136" s="28" t="n"/>
      <c r="BO136" s="28" t="n"/>
      <c r="BP136" s="25" t="n"/>
      <c r="BQ136" s="27" t="n">
        <v>2.33</v>
      </c>
      <c r="BR136" s="28" t="n">
        <v>0.43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True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n"/>
      <c r="DK136" s="24" t="n"/>
      <c r="DL136" s="24" t="n"/>
      <c r="DM136" s="24" t="n"/>
      <c r="DN136" s="24" t="n"/>
      <c r="DO136" s="24" t="n"/>
      <c r="DP136" s="24" t="n"/>
      <c r="DQ136" s="24" t="inlineStr">
        <is>
          <t>{"artifact_hash": "dbdf8c3e3bd3daca22666c2f38605f226d67625f4460aace1c5df263d8fc71b3", "away_team": "Rottweilas Latam", "event_id": "156778", "event_start_utc": "2026-10-13T21:00:00Z", "features": {"away_elo": 1589.161828, "away_history_count": 14, "home_elo": 1583.277818, "home_history_count": 40}, "historical_source_observation_times_verified": false, "home_team": "Amaru Gaming", "inference_inputs": {"book_state": {"games_played": {"bo3:4:22157": 40, "bo3:4:22288": 14}, "inactivity_half_life_days": null, "inactivity_max_pull": null, "k": 48.0, "last_match_utc": {"bo3:4:22157": "2026-08-08T18:00:00Z", "bo3:4:22288": "2026-10-10T21:10:00Z"}, "minimum_reliable_games": null, "platt_intercept": 0.0660951180882821, "platt_slope": 0.8503469876096356, "ratings": {"bo3:4:22157": 1583.277818, "bo3:4:22288": 1589.161828},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"2026-10-13T16:58:36.903465+00:00", "team_ids": ["bo3:4:22157", "bo3:4:22288"]}, "market_type": "moneyline", "model_version": "dota2-tiered-elo-v6", "observed_at_utc": "2026-10-13T16:58:36.903465+00:00", "probabilities": {"away": 0.522778, "home": 0.477222}, "replay_scope": "Exact serving book state, calibration, temperature, inactivity reference and thin-history adjustments; training provenance not certified.", "schema": "esports-elo-replay-v1", "snapshot_hash": "1a7c59420f60a97593d4329efa8097f5c696c3d97857d7a28977af1a5fb919e0", "sport": "DOTA2"}</t>
        </is>
      </c>
    </row>
    <row r="137" ht="36" customHeight="1">
      <c r="A137" s="24" t="inlineStr">
        <is>
          <t>613423ba47604143</t>
        </is>
      </c>
      <c r="B137" s="24" t="inlineStr">
        <is>
          <t>2026-10-13T22:33:54.449023Z</t>
        </is>
      </c>
      <c r="C137" s="24" t="inlineStr">
        <is>
          <t>2026-10-14T04:00:00Z</t>
        </is>
      </c>
      <c r="D137" s="24" t="inlineStr">
        <is>
          <t>158262</t>
        </is>
      </c>
      <c r="E137" s="24" t="inlineStr">
        <is>
          <t>DOTA2</t>
        </is>
      </c>
      <c r="F137" s="24" t="inlineStr">
        <is>
          <t>Cloud Dawning</t>
        </is>
      </c>
      <c r="G137" s="24" t="inlineStr">
        <is>
          <t>Imperial Power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156</v>
      </c>
      <c r="M137" s="27" t="n">
        <v>2.56</v>
      </c>
      <c r="N137" s="28" t="n">
        <v>0.390625</v>
      </c>
      <c r="O137" s="28" t="n">
        <v>0.574536</v>
      </c>
      <c r="P137" s="28" t="n"/>
      <c r="Q137" s="28" t="n">
        <v>0.183911</v>
      </c>
      <c r="R137" s="26" t="n">
        <v>100</v>
      </c>
      <c r="S137" s="29" t="n">
        <v>2</v>
      </c>
      <c r="T137" s="24" t="inlineStr">
        <is>
          <t>dota2-tiered-elo-v6</t>
        </is>
      </c>
      <c r="U137" s="24" t="inlineStr">
        <is>
          <t>settled</t>
        </is>
      </c>
      <c r="V137" s="24" t="inlineStr">
        <is>
          <t>push</t>
        </is>
      </c>
      <c r="W137" s="26" t="n"/>
      <c r="X137" s="26" t="n"/>
      <c r="Y137" s="25" t="n"/>
      <c r="Z137" s="26" t="n"/>
      <c r="AA137" s="28" t="n"/>
      <c r="AB137" s="28" t="n"/>
      <c r="AC137" s="30" t="n">
        <v>0</v>
      </c>
      <c r="AD137" s="24" t="inlineStr">
        <is>
          <t>2026-10-14T04:33:24.028204Z</t>
        </is>
      </c>
      <c r="AE137" s="31" t="inlineStr">
        <is>
          <t>Neutral Elo baseline; executable ask 0.3900 (market_slug=aec-dota2-ip-cd-2026-10-14).</t>
        </is>
      </c>
      <c r="AF137" s="31" t="inlineStr">
        <is>
          <t>Config-promoted esports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4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Cloud Dawning</t>
        </is>
      </c>
      <c r="AQ137" s="24" t="inlineStr">
        <is>
          <t>Cloud Dawning</t>
        </is>
      </c>
      <c r="AR137" s="24" t="inlineStr">
        <is>
          <t>Cloud Dawning</t>
        </is>
      </c>
      <c r="AS137" s="24" t="inlineStr">
        <is>
          <t>Imperial Power</t>
        </is>
      </c>
      <c r="AT137" s="24" t="inlineStr">
        <is>
          <t>Imperial Power</t>
        </is>
      </c>
      <c r="AU137" s="24" t="inlineStr">
        <is>
          <t>Imperial Power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dc027529e76ab16bef8ea31225ca11d3fdf6385e7d78b957d3e380f789668697</t>
        </is>
      </c>
      <c r="BB137" s="24" t="inlineStr">
        <is>
          <t>neutral_elo</t>
        </is>
      </c>
      <c r="BC137" s="24" t="inlineStr">
        <is>
          <t>dota2-tiered-elo-v6</t>
        </is>
      </c>
      <c r="BD137" s="24" t="inlineStr">
        <is>
          <t>dc027529e76ab16bef8ea31225ca11d3fdf6385e7d78b957d3e380f789668697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dota2-tiered-elo-v6</t>
        </is>
      </c>
      <c r="BH137" s="24" t="inlineStr">
        <is>
          <t>2026-10-13T22:29:18.434519Z</t>
        </is>
      </c>
      <c r="BI137" s="24" t="inlineStr">
        <is>
          <t>["same_event","same_team_same_day","same_league_same_day"]</t>
        </is>
      </c>
      <c r="BJ137" s="25" t="n"/>
      <c r="BK137" s="26" t="n">
        <v>156</v>
      </c>
      <c r="BL137" s="27" t="n">
        <v>2.56</v>
      </c>
      <c r="BM137" s="28" t="n">
        <v>0.390625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inlineStr">
        <is>
          <t>esports market terminal (MARKET_STATE_EXPIRED) with prices {}; BO3 has no confirming finished-match result either</t>
        </is>
      </c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n"/>
      <c r="DK137" s="24" t="n"/>
      <c r="DL137" s="24" t="n"/>
      <c r="DM137" s="24" t="n"/>
      <c r="DN137" s="24" t="n"/>
      <c r="DO137" s="24" t="n"/>
      <c r="DP137" s="24" t="n"/>
      <c r="DQ137" s="24" t="inlineStr">
        <is>
          <t>{"artifact_hash": "dc027529e76ab16bef8ea31225ca11d3fdf6385e7d78b957d3e380f789668697", "away_team": "Cloud Dawning", "event_id": "158262", "event_start_utc": "2026-10-14T04:00:00Z", "features": {"away_elo": 1365.355637, "away_history_count": 37, "home_elo": 1485.9812, "home_history_count": 1}, "historical_source_observation_times_verified": false, "home_team": "Imperial Power", "inference_inputs": {"book_state": {"games_played": {"bo3:4:21875": 37, "bo3:4:25484": 1}, "inactivity_half_life_days": null, "inactivity_max_pull": null, "k": 48.0, "last_match_utc": {"bo3:4:21875": "2026-10-13T08:10:00Z", "bo3:4:25484": "2026-10-13T04:00:00Z"}, "minimum_reliable_games": null, "platt_intercept": 0.07002877626643239, "platt_slope": 0.8484442429825593, "ratings": {"bo3:4:21875": 1365.355637, "bo3:4:25484": 1485.9812},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"2026-10-13T22:29:07.791212+00:00", "team_ids": ["bo3:4:25484", "bo3:4:21875"]}, "market_type": "moneyline", "model_version": "dota2-tiered-elo-v6", "observed_at_utc": "2026-10-13T22:29:07.791212+00:00", "probabilities": {"away": 0.425464, "home": 0.574536}, "replay_scope": "Exact serving book state, calibration, temperature, inactivity reference and thin-history adjustments; training provenance not certified.", "schema": "esports-elo-replay-v1", "snapshot_hash": "4ef0cf261aa1b84820c96fdd8c3f5ce33af807e3f098383a4fd68626aa144876", "sport": "DOTA2"}</t>
        </is>
      </c>
    </row>
    <row r="138" ht="36" customHeight="1">
      <c r="A138" s="24" t="inlineStr">
        <is>
          <t>b263e4239cba4257</t>
        </is>
      </c>
      <c r="B138" s="24" t="inlineStr">
        <is>
          <t>2026-10-13T22:33:54.449023Z</t>
        </is>
      </c>
      <c r="C138" s="24" t="inlineStr">
        <is>
          <t>2026-10-14T09:00:00Z</t>
        </is>
      </c>
      <c r="D138" s="24" t="inlineStr">
        <is>
          <t>158214</t>
        </is>
      </c>
      <c r="E138" s="24" t="inlineStr">
        <is>
          <t>DOTA2</t>
        </is>
      </c>
      <c r="F138" s="24" t="inlineStr">
        <is>
          <t>Kalmychata</t>
        </is>
      </c>
      <c r="G138" s="24" t="inlineStr">
        <is>
          <t>Nemiga Gaming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-170</v>
      </c>
      <c r="M138" s="27" t="n">
        <v>1.588235</v>
      </c>
      <c r="N138" s="28" t="n">
        <v>0.62963</v>
      </c>
      <c r="O138" s="28" t="n">
        <v>0.591647</v>
      </c>
      <c r="P138" s="28" t="n"/>
      <c r="Q138" s="28" t="n">
        <v>-0.037983</v>
      </c>
      <c r="R138" s="26" t="n">
        <v>1</v>
      </c>
      <c r="S138" s="29" t="n">
        <v>1</v>
      </c>
      <c r="T138" s="24" t="inlineStr">
        <is>
          <t>dota2-tiered-elo-v6</t>
        </is>
      </c>
      <c r="U138" s="24" t="inlineStr">
        <is>
          <t>open</t>
        </is>
      </c>
      <c r="V138" s="24" t="n"/>
      <c r="W138" s="26" t="n"/>
      <c r="X138" s="26" t="n"/>
      <c r="Y138" s="25" t="n"/>
      <c r="Z138" s="26" t="n"/>
      <c r="AA138" s="28" t="n"/>
      <c r="AB138" s="28" t="n"/>
      <c r="AC138" s="30" t="n"/>
      <c r="AD138" s="24" t="n"/>
      <c r="AE138" s="31" t="inlineStr">
        <is>
          <t>Neutral Elo baseline; executable ask 0.6300 (market_slug=aec-dota2-nemiga-kalmy-2026-10-14).</t>
        </is>
      </c>
      <c r="AF138" s="31" t="inlineStr">
        <is>
          <t>Config-promoted esports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Kalmychata</t>
        </is>
      </c>
      <c r="AQ138" s="24" t="inlineStr">
        <is>
          <t>Kalmychata</t>
        </is>
      </c>
      <c r="AR138" s="24" t="inlineStr">
        <is>
          <t>Kalmychata</t>
        </is>
      </c>
      <c r="AS138" s="24" t="inlineStr">
        <is>
          <t>Nemiga Gaming</t>
        </is>
      </c>
      <c r="AT138" s="24" t="inlineStr">
        <is>
          <t>Nemiga Gaming</t>
        </is>
      </c>
      <c r="AU138" s="24" t="inlineStr">
        <is>
          <t>Nemiga Gaming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dc027529e76ab16bef8ea31225ca11d3fdf6385e7d78b957d3e380f789668697</t>
        </is>
      </c>
      <c r="BB138" s="24" t="inlineStr">
        <is>
          <t>neutral_elo</t>
        </is>
      </c>
      <c r="BC138" s="24" t="inlineStr">
        <is>
          <t>dota2-tiered-elo-v6</t>
        </is>
      </c>
      <c r="BD138" s="24" t="inlineStr">
        <is>
          <t>dc027529e76ab16bef8ea31225ca11d3fdf6385e7d78b957d3e380f789668697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dota2-tiered-elo-v6</t>
        </is>
      </c>
      <c r="BH138" s="24" t="inlineStr">
        <is>
          <t>2026-10-13T22:29:58.800963Z</t>
        </is>
      </c>
      <c r="BI138" s="24" t="inlineStr">
        <is>
          <t>["same_event","same_team_same_day","same_league_same_day"]</t>
        </is>
      </c>
      <c r="BJ138" s="25" t="n"/>
      <c r="BK138" s="26" t="n">
        <v>-170</v>
      </c>
      <c r="BL138" s="27" t="n">
        <v>1.588235</v>
      </c>
      <c r="BM138" s="28" t="n">
        <v>0.62963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n"/>
      <c r="DK138" s="24" t="n"/>
      <c r="DL138" s="24" t="n"/>
      <c r="DM138" s="24" t="n"/>
      <c r="DN138" s="24" t="n"/>
      <c r="DO138" s="24" t="n"/>
      <c r="DP138" s="24" t="n"/>
      <c r="DQ138" s="24" t="inlineStr">
        <is>
          <t>{"artifact_hash": "dc027529e76ab16bef8ea31225ca11d3fdf6385e7d78b957d3e380f789668697", "away_team": "Kalmychata", "event_id": "158214", "event_start_utc": "2026-10-14T09:00:00Z", "features": {"away_elo": 1592.500579, "away_history_count": 168, "home_elo": 1488.072875, "home_history_count": 297}, "historical_source_observation_times_verified": false, "home_team": "Nemiga Gaming", "inference_inputs": {"book_state": {"games_played": {"bo3:4:15089": 168, "bo3:4:16398": 297}, "inactivity_half_life_days": null, "inactivity_max_pull": null, "k": 48.0, "last_match_utc": {"bo3:4:15089": "2026-10-13T09:00:00Z", "bo3:4:16398": "2026-10-13T16:00:00Z"}, "minimum_reliable_games": null, "platt_intercept": 0.07002877626643239, "platt_slope": 0.8484442429825593, "ratings": {"bo3:4:15089": 1592.500579, "bo3:4:16398": 1488.072875},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"2026-10-13T22:29:07.791212+00:00", "team_ids": ["bo3:4:16398", "bo3:4:15089"]}, "market_type": "moneyline", "model_version": "dota2-tiered-elo-v6", "observed_at_utc": "2026-10-13T22:29:07.791212+00:00", "probabilities": {"away": 0.591647, "home": 0.408353}, "replay_scope": "Exact serving book state, calibration, temperature, inactivity reference and thin-history adjustments; training provenance not certified.", "schema": "esports-elo-replay-v1", "snapshot_hash": "2685a146ca3f8bb6364c69a072fbde4add522d53bd902c0ee0b3c9209ae30f73", "sport": "DOTA2"}</t>
        </is>
      </c>
    </row>
    <row r="139" ht="36" customHeight="1">
      <c r="A139" s="24" t="inlineStr">
        <is>
          <t>16c63b253b964377</t>
        </is>
      </c>
      <c r="B139" s="24" t="inlineStr">
        <is>
          <t>2026-10-13T22:33:54.449023Z</t>
        </is>
      </c>
      <c r="C139" s="24" t="inlineStr">
        <is>
          <t>2026-10-14T16:00:00Z</t>
        </is>
      </c>
      <c r="D139" s="24" t="inlineStr">
        <is>
          <t>156718</t>
        </is>
      </c>
      <c r="E139" s="24" t="inlineStr">
        <is>
          <t>DOTA2</t>
        </is>
      </c>
      <c r="F139" s="24" t="inlineStr">
        <is>
          <t>salamit</t>
        </is>
      </c>
      <c r="G139" s="24" t="inlineStr">
        <is>
          <t>Nemiga Gaming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156</v>
      </c>
      <c r="M139" s="27" t="n">
        <v>2.56</v>
      </c>
      <c r="N139" s="28" t="n">
        <v>0.390625</v>
      </c>
      <c r="O139" s="28" t="n">
        <v>0.523645</v>
      </c>
      <c r="P139" s="28" t="n"/>
      <c r="Q139" s="28" t="n">
        <v>0.13302</v>
      </c>
      <c r="R139" s="26" t="n">
        <v>87</v>
      </c>
      <c r="S139" s="29" t="n">
        <v>1.5</v>
      </c>
      <c r="T139" s="24" t="inlineStr">
        <is>
          <t>dota2-tiered-elo-v6</t>
        </is>
      </c>
      <c r="U139" s="24" t="inlineStr">
        <is>
          <t>open</t>
        </is>
      </c>
      <c r="V139" s="24" t="n"/>
      <c r="W139" s="26" t="n"/>
      <c r="X139" s="26" t="n"/>
      <c r="Y139" s="25" t="n"/>
      <c r="Z139" s="26" t="n"/>
      <c r="AA139" s="28" t="n"/>
      <c r="AB139" s="28" t="n"/>
      <c r="AC139" s="30" t="n"/>
      <c r="AD139" s="24" t="n"/>
      <c r="AE139" s="31" t="inlineStr">
        <is>
          <t>Neutral Elo baseline; executable ask 0.3900 (market_slug=aec-dota2-nemiga-sala-2026-10-14).</t>
        </is>
      </c>
      <c r="AF139" s="31" t="inlineStr">
        <is>
          <t>Config-promoted esports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4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salamit</t>
        </is>
      </c>
      <c r="AQ139" s="24" t="inlineStr">
        <is>
          <t>salamit</t>
        </is>
      </c>
      <c r="AR139" s="24" t="inlineStr">
        <is>
          <t>salamit</t>
        </is>
      </c>
      <c r="AS139" s="24" t="inlineStr">
        <is>
          <t>Nemiga Gaming</t>
        </is>
      </c>
      <c r="AT139" s="24" t="inlineStr">
        <is>
          <t>Nemiga Gaming</t>
        </is>
      </c>
      <c r="AU139" s="24" t="inlineStr">
        <is>
          <t>Nemiga Gaming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dc027529e76ab16bef8ea31225ca11d3fdf6385e7d78b957d3e380f789668697</t>
        </is>
      </c>
      <c r="BB139" s="24" t="inlineStr">
        <is>
          <t>neutral_elo</t>
        </is>
      </c>
      <c r="BC139" s="24" t="inlineStr">
        <is>
          <t>dota2-tiered-elo-v6</t>
        </is>
      </c>
      <c r="BD139" s="24" t="inlineStr">
        <is>
          <t>dc027529e76ab16bef8ea31225ca11d3fdf6385e7d78b957d3e380f789668697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dota2-tiered-elo-v6</t>
        </is>
      </c>
      <c r="BH139" s="24" t="inlineStr">
        <is>
          <t>2026-10-13T22:32:02.017912Z</t>
        </is>
      </c>
      <c r="BI139" s="24" t="inlineStr">
        <is>
          <t>["same_event","same_team_same_day","same_league_same_day"]</t>
        </is>
      </c>
      <c r="BJ139" s="25" t="n"/>
      <c r="BK139" s="26" t="n">
        <v>156</v>
      </c>
      <c r="BL139" s="27" t="n">
        <v>2.56</v>
      </c>
      <c r="BM139" s="28" t="n">
        <v>0.390625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n"/>
      <c r="DK139" s="24" t="n"/>
      <c r="DL139" s="24" t="n"/>
      <c r="DM139" s="24" t="n"/>
      <c r="DN139" s="24" t="n"/>
      <c r="DO139" s="24" t="n"/>
      <c r="DP139" s="24" t="n"/>
      <c r="DQ139" s="24" t="inlineStr">
        <is>
          <t>{"artifact_hash": "dc027529e76ab16bef8ea31225ca11d3fdf6385e7d78b957d3e380f789668697", "away_team": "salamit", "event_id": "156718", "event_start_utc": "2026-10-14T16:00:00Z", "features": {"away_elo": 1460.287151, "away_history_count": 1, "home_elo": 1488.072875, "home_history_count": 297}, "historical_source_observation_times_verified": false, "home_team": "Nemiga Gaming", "inference_inputs": {"book_state": {"games_played": {"bo3:4:16398": 297, "bo3:4:25478": 1}, "inactivity_half_life_days": null, "inactivity_max_pull": null, "k": 48.0, "last_match_utc": {"bo3:4:16398": "2026-10-13T16:00:00Z", "bo3:4:25478": "2026-10-12T13:10:00Z"}, "minimum_reliable_games": null, "platt_intercept": 0.07002877626643239, "platt_slope": 0.8484442429825593, "ratings": {"bo3:4:16398": 1488.072875, "bo3:4:25478": 1460.287151},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"2026-10-13T22:29:07.791212+00:00", "team_ids": ["bo3:4:16398", "bo3:4:25478"]}, "market_type": "moneyline", "model_version": "dota2-tiered-elo-v6", "observed_at_utc": "2026-10-13T22:29:07.791212+00:00", "probabilities": {"away": 0.476355, "home": 0.523645}, "replay_scope": "Exact serving book state, calibration, temperature, inactivity reference and thin-history adjustments; training provenance not certified.", "schema": "esports-elo-replay-v1", "snapshot_hash": "fcd9e7bfaf0a7aef8cfe55b5174f307553eff49f6da840b15ce6cac7e8797e4a", "sport": "DOTA2"}</t>
        </is>
      </c>
    </row>
    <row r="140" ht="36" customHeight="1">
      <c r="A140" s="24" t="inlineStr">
        <is>
          <t>af3588d76fc24e2d</t>
        </is>
      </c>
      <c r="B140" s="24" t="inlineStr">
        <is>
          <t>2026-10-13T22:33:54.449023Z</t>
        </is>
      </c>
      <c r="C140" s="24" t="inlineStr">
        <is>
          <t>2026-10-14T19:00:00Z</t>
        </is>
      </c>
      <c r="D140" s="24" t="inlineStr">
        <is>
          <t>156716</t>
        </is>
      </c>
      <c r="E140" s="24" t="inlineStr">
        <is>
          <t>DOTA2</t>
        </is>
      </c>
      <c r="F140" s="24" t="inlineStr">
        <is>
          <t>salamit</t>
        </is>
      </c>
      <c r="G140" s="24" t="inlineStr">
        <is>
          <t>Dawn Bulls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-223</v>
      </c>
      <c r="M140" s="27" t="n">
        <v>1.44843</v>
      </c>
      <c r="N140" s="28" t="n">
        <v>0.690402</v>
      </c>
      <c r="O140" s="28" t="n">
        <v>0.5946399999999999</v>
      </c>
      <c r="P140" s="28" t="n"/>
      <c r="Q140" s="28" t="n">
        <v>-0.095762</v>
      </c>
      <c r="R140" s="26" t="n">
        <v>0</v>
      </c>
      <c r="S140" s="29" t="n">
        <v>1</v>
      </c>
      <c r="T140" s="24" t="inlineStr">
        <is>
          <t>dota2-tiered-elo-v6</t>
        </is>
      </c>
      <c r="U140" s="24" t="inlineStr">
        <is>
          <t>open</t>
        </is>
      </c>
      <c r="V140" s="24" t="n"/>
      <c r="W140" s="26" t="n"/>
      <c r="X140" s="26" t="n"/>
      <c r="Y140" s="25" t="n"/>
      <c r="Z140" s="26" t="n"/>
      <c r="AA140" s="28" t="n"/>
      <c r="AB140" s="28" t="n"/>
      <c r="AC140" s="30" t="n"/>
      <c r="AD140" s="24" t="n"/>
      <c r="AE140" s="31" t="inlineStr">
        <is>
          <t>Neutral Elo baseline; executable ask 0.6900 (market_slug=aec-dota2-dba-sala-2026-10-14).</t>
        </is>
      </c>
      <c r="AF140" s="31" t="inlineStr">
        <is>
          <t>Config-promoted esports baseline; gates enforced at log time.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salamit</t>
        </is>
      </c>
      <c r="AQ140" s="24" t="inlineStr">
        <is>
          <t>salamit</t>
        </is>
      </c>
      <c r="AR140" s="24" t="inlineStr">
        <is>
          <t>salamit</t>
        </is>
      </c>
      <c r="AS140" s="24" t="inlineStr">
        <is>
          <t>Dawn Bulls</t>
        </is>
      </c>
      <c r="AT140" s="24" t="inlineStr">
        <is>
          <t>Dawn Bulls</t>
        </is>
      </c>
      <c r="AU140" s="24" t="inlineStr">
        <is>
          <t>Dawn Bulls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dc027529e76ab16bef8ea31225ca11d3fdf6385e7d78b957d3e380f789668697</t>
        </is>
      </c>
      <c r="BB140" s="24" t="inlineStr">
        <is>
          <t>neutral_elo</t>
        </is>
      </c>
      <c r="BC140" s="24" t="inlineStr">
        <is>
          <t>dota2-tiered-elo-v6</t>
        </is>
      </c>
      <c r="BD140" s="24" t="inlineStr">
        <is>
          <t>dc027529e76ab16bef8ea31225ca11d3fdf6385e7d78b957d3e380f789668697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dota2-tiered-elo-v6</t>
        </is>
      </c>
      <c r="BH140" s="24" t="inlineStr">
        <is>
          <t>2026-10-13T22:33:23.747123Z</t>
        </is>
      </c>
      <c r="BI140" s="24" t="inlineStr">
        <is>
          <t>["same_event","same_team_same_day","same_league_same_day"]</t>
        </is>
      </c>
      <c r="BJ140" s="25" t="n"/>
      <c r="BK140" s="26" t="n">
        <v>-223</v>
      </c>
      <c r="BL140" s="27" t="n">
        <v>1.44843</v>
      </c>
      <c r="BM140" s="28" t="n">
        <v>0.690402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False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  <c r="DQ140" s="24" t="inlineStr">
        <is>
          <t>{"artifact_hash": "dc027529e76ab16bef8ea31225ca11d3fdf6385e7d78b957d3e380f789668697", "away_team": "salamit", "event_id": "156716", "event_start_utc": "2026-10-14T19:00:00Z", "features": {"away_elo": 1460.287151, "away_history_count": 1, "home_elo": 1620.120862, "home_history_count": 6}, "historical_source_observation_times_verified": false, "home_team": "Dawn Bulls", "inference_inputs": {"book_state": {"games_played": {"bo3:4:25301": 6, "bo3:4:25478": 1}, "inactivity_half_life_days": null, "inactivity_max_pull": null, "k": 48.0, "last_match_utc": {"bo3:4:25301": "2026-10-13T16:00:00Z", "bo3:4:25478": "2026-10-12T13:10:00Z"}, "minimum_reliable_games": null, "platt_intercept": 0.07002877626643239, "platt_slope": 0.8484442429825593, "ratings": {"bo3:4:25301": 1620.120862, "bo3:4:25478": 1460.287151},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"2026-10-13T22:29:07.791212+00:00", "team_ids": ["bo3:4:25301", "bo3:4:25478"]}, "market_type": "moneyline", "model_version": "dota2-tiered-elo-v6", "observed_at_utc": "2026-10-13T22:29:07.791212+00:00", "probabilities": {"away": 0.40536, "home": 0.59464}, "replay_scope": "Exact serving book state, calibration, temperature, inactivity reference and thin-history adjustments; training provenance not certified.", "schema": "esports-elo-replay-v1", "snapshot_hash": "2c88dd441710ecb8ad52dbe18df7d7bb9fa56f7788499bd04a0de2c69936ee26", "sport": "DOTA2"}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2026-10-14T04:33:24Z</dcterms:created>
  <dcterms:modified xmlns:dcterms="http://purl.org/dc/terms/" xmlns:xsi="http://www.w3.org/2001/XMLSchema-instance" xsi:type="dcterms:W3CDTF">2026-10-14T04:33:24Z</dcterms:modified>
</cp:coreProperties>
</file>