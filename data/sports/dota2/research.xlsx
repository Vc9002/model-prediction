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8" headerRowCount="1">
  <autoFilter ref="A1:DQ2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COUNTA('Picks'!$A$2:$A$28)</f>
        <v/>
      </c>
      <c r="C4" s="6">
        <f>COUNTIF('Picks'!$U$2:$U$28,"open")</f>
        <v/>
      </c>
      <c r="E4" s="6">
        <f>COUNTIF('Picks'!$U$2:$U$28,"settled")</f>
        <v/>
      </c>
      <c r="G4" s="6">
        <f>IF(COUNTIFS('Picks'!$U$2:$U$28,"settled",'Picks'!$V$2:$V$28,"win")+COUNTIFS('Picks'!$U$2:$U$28,"settled",'Picks'!$V$2:$V$28,"loss")&gt;=$L$2,"Ready","Insufficient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COUNTIF('Picks'!$BX$2:$BX$28,"&gt;0")</f>
        <v/>
      </c>
      <c r="C7" s="6">
        <f>COUNTIFS('Picks'!$BX$2:$BX$28,"&gt;0",'Picks'!$V$2:$V$28,"win")&amp;"-"&amp;COUNTIFS('Picks'!$BX$2:$BX$28,"&gt;0",'Picks'!$V$2:$V$28,"loss")</f>
        <v/>
      </c>
      <c r="E7" s="7">
        <f>IFERROR(COUNTIFS('Picks'!$BX$2:$BX$28,"&gt;0",'Picks'!$V$2:$V$28,"win")/(COUNTIFS('Picks'!$BX$2:$BX$28,"&gt;0",'Picks'!$V$2:$V$28,"win")+COUNTIFS('Picks'!$BX$2:$BX$28,"&gt;0",'Picks'!$V$2:$V$28,"loss")),0)</f>
        <v/>
      </c>
      <c r="G7" s="7">
        <f>IFERROR(SUM('Picks'!$BY$2:$BY$28)/SUM('Picks'!$BX$2:$BX$28),0)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SUM('Picks'!$BY$2:$BY$28)</f>
        <v/>
      </c>
      <c r="C10" s="9">
        <f>IFERROR(AVERAGEIF('Picks'!$AB$2:$AB$28,"&lt;&gt;",'Picks'!$AB$2:$AB$28),0)</f>
        <v/>
      </c>
      <c r="E10" s="6">
        <f>COUNTIFS('Picks'!$AM$2:$AM$28,"QUALIFIED_SHADOW_CALL",'Picks'!$U$2:$U$28,"settled")</f>
        <v/>
      </c>
      <c r="G10" s="8">
        <f>SUMIFS('Picks'!$AC$2:$AC$28,'Picks'!$AM$2:$AM$28,"QUALIFIED_SHADOW_CALL")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COUNTIFS('Picks'!$H$2:$H$28,$A14,'Picks'!$U$2:$U$28,"settled")</f>
        <v/>
      </c>
      <c r="C14" s="13">
        <f>COUNTIFS('Picks'!$H$2:$H$28,$A14,'Picks'!$U$2:$U$28,"settled",'Picks'!$V$2:$V$28,"win")</f>
        <v/>
      </c>
      <c r="D14" s="13">
        <f>COUNTIFS('Picks'!$H$2:$H$28,$A14,'Picks'!$U$2:$U$28,"settled",'Picks'!$V$2:$V$28,"loss")</f>
        <v/>
      </c>
      <c r="E14" s="14">
        <f>IFERROR(C14/(C14+D14),0)</f>
        <v/>
      </c>
      <c r="F14" s="15">
        <f>SUMIFS('Picks'!$BY$2:$BY$28,'Picks'!$H$2:$H$28,$A14)</f>
        <v/>
      </c>
      <c r="G14" s="16">
        <f>IFERROR(AVERAGEIFS('Picks'!$AB$2:$AB$28,'Picks'!$H$2:$H$28,$A14,'Picks'!$U$2:$U$28,"settled"),0)</f>
        <v/>
      </c>
    </row>
    <row r="15">
      <c r="A15" s="17" t="inlineStr">
        <is>
          <t>spread</t>
        </is>
      </c>
      <c r="B15" s="18">
        <f>COUNTIFS('Picks'!$H$2:$H$28,$A15,'Picks'!$U$2:$U$28,"settled")</f>
        <v/>
      </c>
      <c r="C15" s="18">
        <f>COUNTIFS('Picks'!$H$2:$H$28,$A15,'Picks'!$U$2:$U$28,"settled",'Picks'!$V$2:$V$28,"win")</f>
        <v/>
      </c>
      <c r="D15" s="18">
        <f>COUNTIFS('Picks'!$H$2:$H$28,$A15,'Picks'!$U$2:$U$28,"settled",'Picks'!$V$2:$V$28,"loss")</f>
        <v/>
      </c>
      <c r="E15" s="19">
        <f>IFERROR(C15/(C15+D15),0)</f>
        <v/>
      </c>
      <c r="F15" s="20">
        <f>SUMIFS('Picks'!$BY$2:$BY$28,'Picks'!$H$2:$H$28,$A15)</f>
        <v/>
      </c>
      <c r="G15" s="21">
        <f>IFERROR(AVERAGEIFS('Picks'!$AB$2:$AB$28,'Picks'!$H$2:$H$28,$A15,'Picks'!$U$2:$U$28,"settled"),0)</f>
        <v/>
      </c>
    </row>
    <row r="16">
      <c r="A16" s="12" t="inlineStr">
        <is>
          <t>total</t>
        </is>
      </c>
      <c r="B16" s="13">
        <f>COUNTIFS('Picks'!$H$2:$H$28,$A16,'Picks'!$U$2:$U$28,"settled")</f>
        <v/>
      </c>
      <c r="C16" s="13">
        <f>COUNTIFS('Picks'!$H$2:$H$28,$A16,'Picks'!$U$2:$U$28,"settled",'Picks'!$V$2:$V$28,"win")</f>
        <v/>
      </c>
      <c r="D16" s="13">
        <f>COUNTIFS('Picks'!$H$2:$H$28,$A16,'Picks'!$U$2:$U$28,"settled",'Picks'!$V$2:$V$28,"loss")</f>
        <v/>
      </c>
      <c r="E16" s="14">
        <f>IFERROR(C16/(C16+D16),0)</f>
        <v/>
      </c>
      <c r="F16" s="15">
        <f>SUMIFS('Picks'!$BY$2:$BY$28,'Picks'!$H$2:$H$28,$A16)</f>
        <v/>
      </c>
      <c r="G16" s="16">
        <f>IFERROR(AVERAGEIFS('Picks'!$AB$2:$AB$28,'Picks'!$H$2:$H$28,$A16,'Picks'!$U$2:$U$28,"settled"),0)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6754815580954e41</t>
        </is>
      </c>
      <c r="B2" s="24" t="inlineStr">
        <is>
          <t>2026-10-05T22:25:55.486296Z</t>
        </is>
      </c>
      <c r="C2" s="24" t="inlineStr">
        <is>
          <t>2026-10-06T03:00:00Z</t>
        </is>
      </c>
      <c r="D2" s="24" t="inlineStr">
        <is>
          <t>143516</t>
        </is>
      </c>
      <c r="E2" s="24" t="inlineStr">
        <is>
          <t>DOTA2</t>
        </is>
      </c>
      <c r="F2" s="24" t="inlineStr">
        <is>
          <t>InterActive Philippines</t>
        </is>
      </c>
      <c r="G2" s="24" t="inlineStr">
        <is>
          <t>Yangon Galacticos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0.506171</v>
      </c>
      <c r="P2" s="28" t="n"/>
      <c r="Q2" s="28" t="n">
        <v>-0.06464399999999999</v>
      </c>
      <c r="R2" s="26" t="n">
        <v>0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-133</v>
      </c>
      <c r="AA2" s="28" t="n">
        <v>0.57</v>
      </c>
      <c r="AB2" s="28" t="n">
        <v>-0.000815</v>
      </c>
      <c r="AC2" s="30" t="n">
        <v>0.7519</v>
      </c>
      <c r="AD2" s="24" t="inlineStr">
        <is>
          <t>2026-10-06T10:01:10.196234Z</t>
        </is>
      </c>
      <c r="AE2" s="31" t="inlineStr">
        <is>
          <t>Neutral Elo baseline; executable ask 0.5700 (market_slug=aec-dota2-yg-iac-2026-10-06).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InterActive Philippines</t>
        </is>
      </c>
      <c r="AQ2" s="24" t="inlineStr">
        <is>
          <t>InterActive Philippines</t>
        </is>
      </c>
      <c r="AR2" s="24" t="inlineStr">
        <is>
          <t>InterActive Philippines</t>
        </is>
      </c>
      <c r="AS2" s="24" t="inlineStr">
        <is>
          <t>Yangon Galacticos</t>
        </is>
      </c>
      <c r="AT2" s="24" t="inlineStr">
        <is>
          <t>Yangon Galacticos</t>
        </is>
      </c>
      <c r="AU2" s="24" t="inlineStr">
        <is>
          <t>Yangon Galacticos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8fd316347e24d5faa7a92e7ef89a639c490973a25d2b8dbb2af706a2af5abf92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8fd316347e24d5faa7a92e7ef89a639c490973a25d2b8dbb2af706a2af5abf92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2026-10-05T22:25:23.814001Z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/>
      <c r="BO2" s="28" t="n"/>
      <c r="BP2" s="25" t="n"/>
      <c r="BQ2" s="27" t="n">
        <v>1.75188</v>
      </c>
      <c r="BR2" s="28" t="n">
        <v>0.57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0.570815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3" ht="36" customHeight="1">
      <c r="A3" s="24" t="inlineStr">
        <is>
          <t>8d5b805d9c6949e6</t>
        </is>
      </c>
      <c r="B3" s="24" t="inlineStr">
        <is>
          <t>2026-10-05T22:25:55.486296Z</t>
        </is>
      </c>
      <c r="C3" s="24" t="inlineStr">
        <is>
          <t>2026-10-06T08:00:00Z</t>
        </is>
      </c>
      <c r="D3" s="24" t="inlineStr">
        <is>
          <t>143561</t>
        </is>
      </c>
      <c r="E3" s="24" t="inlineStr">
        <is>
          <t>DOTA2</t>
        </is>
      </c>
      <c r="F3" s="24" t="inlineStr">
        <is>
          <t>CyberHero</t>
        </is>
      </c>
      <c r="G3" s="24" t="inlineStr">
        <is>
          <t>HULIGANI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-144</v>
      </c>
      <c r="M3" s="27" t="n">
        <v>1.694444</v>
      </c>
      <c r="N3" s="28" t="n">
        <v>0.590164</v>
      </c>
      <c r="O3" s="28" t="n">
        <v>0.562428</v>
      </c>
      <c r="P3" s="28" t="n"/>
      <c r="Q3" s="28" t="n">
        <v>-0.027736</v>
      </c>
      <c r="R3" s="26" t="n">
        <v>6</v>
      </c>
      <c r="S3" s="29" t="n">
        <v>1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-900</v>
      </c>
      <c r="AA3" s="28" t="n">
        <v>0.9</v>
      </c>
      <c r="AB3" s="28" t="n">
        <v>0.309836</v>
      </c>
      <c r="AC3" s="30" t="n">
        <v>-1</v>
      </c>
      <c r="AD3" s="24" t="inlineStr">
        <is>
          <t>2026-10-06T16:02:46.753236Z</t>
        </is>
      </c>
      <c r="AE3" s="31" t="inlineStr">
        <is>
          <t>Neutral Elo baseline; executable ask 0.5900 (market_slug=aec-dota2-hul-ch-2026-10-06).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CyberHero</t>
        </is>
      </c>
      <c r="AQ3" s="24" t="inlineStr">
        <is>
          <t>CyberHero</t>
        </is>
      </c>
      <c r="AR3" s="24" t="inlineStr">
        <is>
          <t>CyberHero</t>
        </is>
      </c>
      <c r="AS3" s="24" t="inlineStr">
        <is>
          <t>HULIGANI</t>
        </is>
      </c>
      <c r="AT3" s="24" t="inlineStr">
        <is>
          <t>HULIGANI</t>
        </is>
      </c>
      <c r="AU3" s="24" t="inlineStr">
        <is>
          <t>HULIGANI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8fd316347e24d5faa7a92e7ef89a639c490973a25d2b8dbb2af706a2af5abf92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8fd316347e24d5faa7a92e7ef89a639c490973a25d2b8dbb2af706a2af5abf92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2026-10-05T22:25:34.131544Z</t>
        </is>
      </c>
      <c r="BI3" s="24" t="inlineStr">
        <is>
          <t>["same_event","same_team_same_day","same_league_same_day"]</t>
        </is>
      </c>
      <c r="BJ3" s="25" t="n"/>
      <c r="BK3" s="26" t="n">
        <v>-144</v>
      </c>
      <c r="BL3" s="27" t="n">
        <v>1.694444</v>
      </c>
      <c r="BM3" s="28" t="n">
        <v>0.590164</v>
      </c>
      <c r="BN3" s="28" t="n"/>
      <c r="BO3" s="28" t="n"/>
      <c r="BP3" s="25" t="n"/>
      <c r="BQ3" s="27" t="n">
        <v>1.111111</v>
      </c>
      <c r="BR3" s="28" t="n">
        <v>0.9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0.590164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4" ht="36" customHeight="1">
      <c r="A4" s="24" t="inlineStr">
        <is>
          <t>6084828cb57b4b7c</t>
        </is>
      </c>
      <c r="B4" s="24" t="inlineStr">
        <is>
          <t>2026-10-06T10:51:23.725681Z</t>
        </is>
      </c>
      <c r="C4" s="24" t="inlineStr">
        <is>
          <t>2026-10-06T14:00:00Z</t>
        </is>
      </c>
      <c r="D4" s="24" t="inlineStr">
        <is>
          <t>143565</t>
        </is>
      </c>
      <c r="E4" s="24" t="inlineStr">
        <is>
          <t>DOTA2</t>
        </is>
      </c>
      <c r="F4" s="24" t="inlineStr">
        <is>
          <t>Yellow Submarine</t>
        </is>
      </c>
      <c r="G4" s="24" t="inlineStr">
        <is>
          <t>Team Synapse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122</v>
      </c>
      <c r="M4" s="27" t="n">
        <v>2.22</v>
      </c>
      <c r="N4" s="28" t="n">
        <v>0.45045</v>
      </c>
      <c r="O4" s="28" t="n">
        <v>0.586581</v>
      </c>
      <c r="P4" s="28" t="n"/>
      <c r="Q4" s="28" t="n">
        <v>0.136131</v>
      </c>
      <c r="R4" s="26" t="n">
        <v>88</v>
      </c>
      <c r="S4" s="29" t="n">
        <v>1.5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122</v>
      </c>
      <c r="AA4" s="28" t="n">
        <v>0.45</v>
      </c>
      <c r="AB4" s="28" t="n">
        <v>-0.00045</v>
      </c>
      <c r="AC4" s="30" t="n">
        <v>1.83</v>
      </c>
      <c r="AD4" s="24" t="inlineStr">
        <is>
          <t>2026-10-06T22:02:46.998047Z</t>
        </is>
      </c>
      <c r="AE4" s="31" t="inlineStr">
        <is>
          <t>Neutral Elo baseline; executable ask 0.4500 (market_slug=aec-dota2-tsea-yes-2026-10-06).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Yellow Submarine</t>
        </is>
      </c>
      <c r="AQ4" s="24" t="inlineStr">
        <is>
          <t>Yellow Submarine</t>
        </is>
      </c>
      <c r="AR4" s="24" t="inlineStr">
        <is>
          <t>Yellow Submarine</t>
        </is>
      </c>
      <c r="AS4" s="24" t="inlineStr">
        <is>
          <t>Team Synapse</t>
        </is>
      </c>
      <c r="AT4" s="24" t="inlineStr">
        <is>
          <t>Team Synapse</t>
        </is>
      </c>
      <c r="AU4" s="24" t="inlineStr">
        <is>
          <t>Team Synapse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6759e71c6db4f5d9b0ec78bb2474758963eb5552e8a6657a0edf8ae49f26fe3d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6759e71c6db4f5d9b0ec78bb2474758963eb5552e8a6657a0edf8ae49f26fe3d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2026-10-06T10:51:03.361802Z</t>
        </is>
      </c>
      <c r="BI4" s="24" t="inlineStr">
        <is>
          <t>["same_event","same_team_same_day","same_league_same_day"]</t>
        </is>
      </c>
      <c r="BJ4" s="25" t="n"/>
      <c r="BK4" s="26" t="n">
        <v>122</v>
      </c>
      <c r="BL4" s="27" t="n">
        <v>2.22</v>
      </c>
      <c r="BM4" s="28" t="n">
        <v>0.45045</v>
      </c>
      <c r="BN4" s="28" t="n"/>
      <c r="BO4" s="28" t="n"/>
      <c r="BP4" s="25" t="n"/>
      <c r="BQ4" s="27" t="n">
        <v>2.22</v>
      </c>
      <c r="BR4" s="28" t="n">
        <v>0.45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0.45045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5" ht="36" customHeight="1">
      <c r="A5" s="24" t="inlineStr">
        <is>
          <t>dfcb0d3ca334487c</t>
        </is>
      </c>
      <c r="B5" s="24" t="inlineStr">
        <is>
          <t>2026-10-06T16:34:32.687894Z</t>
        </is>
      </c>
      <c r="C5" s="24" t="inlineStr">
        <is>
          <t>2026-10-06T17:00:00Z</t>
        </is>
      </c>
      <c r="D5" s="24" t="inlineStr">
        <is>
          <t>144500</t>
        </is>
      </c>
      <c r="E5" s="24" t="inlineStr">
        <is>
          <t>DOTA2</t>
        </is>
      </c>
      <c r="F5" s="24" t="inlineStr">
        <is>
          <t>MOUZ</t>
        </is>
      </c>
      <c r="G5" s="24" t="inlineStr">
        <is>
          <t>LEGION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0.552316</v>
      </c>
      <c r="P5" s="28" t="n"/>
      <c r="Q5" s="28" t="n">
        <v>0.013145</v>
      </c>
      <c r="R5" s="26" t="n">
        <v>27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-117</v>
      </c>
      <c r="AA5" s="28" t="n">
        <v>0.54</v>
      </c>
      <c r="AB5" s="28" t="n">
        <v>0.000829</v>
      </c>
      <c r="AC5" s="30" t="n">
        <v>-1</v>
      </c>
      <c r="AD5" s="24" t="inlineStr">
        <is>
          <t>2026-10-06T22:02:49.440470Z</t>
        </is>
      </c>
      <c r="AE5" s="31" t="inlineStr">
        <is>
          <t>Neutral Elo baseline; executable ask 0.5400 (market_slug=aec-dota2-leg-mouz-2026-10-06).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MOUZ</t>
        </is>
      </c>
      <c r="AQ5" s="24" t="inlineStr">
        <is>
          <t>MOUZ</t>
        </is>
      </c>
      <c r="AR5" s="24" t="inlineStr">
        <is>
          <t>MOUZ</t>
        </is>
      </c>
      <c r="AS5" s="24" t="inlineStr">
        <is>
          <t>LEGION</t>
        </is>
      </c>
      <c r="AT5" s="24" t="inlineStr">
        <is>
          <t>LEGION</t>
        </is>
      </c>
      <c r="AU5" s="24" t="inlineStr">
        <is>
          <t>LEGION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4690b99c58f0ec38c0a7f8871260c2693630b47ca56007141cc547de632674ee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4690b99c58f0ec38c0a7f8871260c2693630b47ca56007141cc547de632674ee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2026-10-06T16:34:12.398493Z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6" ht="36" customHeight="1">
      <c r="A6" s="24" t="inlineStr">
        <is>
          <t>dc9dc5e2c86f41bb</t>
        </is>
      </c>
      <c r="B6" s="24" t="inlineStr">
        <is>
          <t>2026-10-06T22:25:56.390271Z</t>
        </is>
      </c>
      <c r="C6" s="24" t="inlineStr">
        <is>
          <t>2026-10-07T03:00:00Z</t>
        </is>
      </c>
      <c r="D6" s="24" t="inlineStr">
        <is>
          <t>145226</t>
        </is>
      </c>
      <c r="E6" s="24" t="inlineStr">
        <is>
          <t>DOTA2</t>
        </is>
      </c>
      <c r="F6" s="24" t="inlineStr">
        <is>
          <t>ЯЧЁ123</t>
        </is>
      </c>
      <c r="G6" s="24" t="inlineStr">
        <is>
          <t>Direborn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-233</v>
      </c>
      <c r="M6" s="27" t="n">
        <v>1.429185</v>
      </c>
      <c r="N6" s="28" t="n">
        <v>0.6997</v>
      </c>
      <c r="O6" s="28" t="n">
        <v>0.550796</v>
      </c>
      <c r="P6" s="28" t="n"/>
      <c r="Q6" s="28" t="n">
        <v>-0.148904</v>
      </c>
      <c r="R6" s="26" t="n">
        <v>0</v>
      </c>
      <c r="S6" s="29" t="n">
        <v>1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-233</v>
      </c>
      <c r="AA6" s="28" t="n">
        <v>0.7</v>
      </c>
      <c r="AB6" s="28" t="n">
        <v>0.0003</v>
      </c>
      <c r="AC6" s="30" t="n">
        <v>0.4292</v>
      </c>
      <c r="AD6" s="24" t="inlineStr">
        <is>
          <t>2026-10-07T10:04:37.824505Z</t>
        </is>
      </c>
      <c r="AE6" s="31" t="inlineStr">
        <is>
          <t>Neutral Elo baseline; executable ask 0.7000 (market_slug=aec-dota2-db-y123-2026-10-07).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ЯЧЁ123</t>
        </is>
      </c>
      <c r="AQ6" s="24" t="inlineStr">
        <is>
          <t>ЯЧЁ123</t>
        </is>
      </c>
      <c r="AR6" s="24" t="inlineStr">
        <is>
          <t>ЯЧЁ123</t>
        </is>
      </c>
      <c r="AS6" s="24" t="inlineStr">
        <is>
          <t>Direborn</t>
        </is>
      </c>
      <c r="AT6" s="24" t="inlineStr">
        <is>
          <t>Direborn</t>
        </is>
      </c>
      <c r="AU6" s="24" t="inlineStr">
        <is>
          <t>Direborn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c6996bf486b3088429204679c4a6b5d24c63cbcf4cadb3e51613f46a7fcb8642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c6996bf486b3088429204679c4a6b5d24c63cbcf4cadb3e51613f46a7fcb8642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2026-10-06T22:25:25.556351Z</t>
        </is>
      </c>
      <c r="BI6" s="24" t="inlineStr">
        <is>
          <t>["same_event","same_team_same_day","same_league_same_day"]</t>
        </is>
      </c>
      <c r="BJ6" s="25" t="n"/>
      <c r="BK6" s="26" t="n">
        <v>-233</v>
      </c>
      <c r="BL6" s="27" t="n">
        <v>1.429185</v>
      </c>
      <c r="BM6" s="28" t="n">
        <v>0.6997</v>
      </c>
      <c r="BN6" s="28" t="n"/>
      <c r="BO6" s="28" t="n"/>
      <c r="BP6" s="25" t="n"/>
      <c r="BQ6" s="27" t="n">
        <v>1.429185</v>
      </c>
      <c r="BR6" s="28" t="n">
        <v>0.7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0.6997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7" ht="36" customHeight="1">
      <c r="A7" s="24" t="inlineStr">
        <is>
          <t>6bd11fd8697444fe</t>
        </is>
      </c>
      <c r="B7" s="24" t="inlineStr">
        <is>
          <t>2026-10-07T05:29:10.726256Z</t>
        </is>
      </c>
      <c r="C7" s="24" t="inlineStr">
        <is>
          <t>2026-10-07T09:00:00Z</t>
        </is>
      </c>
      <c r="D7" s="24" t="inlineStr">
        <is>
          <t>145796</t>
        </is>
      </c>
      <c r="E7" s="24" t="inlineStr">
        <is>
          <t>DOTA2</t>
        </is>
      </c>
      <c r="F7" s="24" t="inlineStr">
        <is>
          <t>Yellow Submarine</t>
        </is>
      </c>
      <c r="G7" s="24" t="inlineStr">
        <is>
          <t>Blasterbl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-144</v>
      </c>
      <c r="M7" s="27" t="n">
        <v>1.694444</v>
      </c>
      <c r="N7" s="28" t="n">
        <v>0.590164</v>
      </c>
      <c r="O7" s="28" t="n">
        <v>0.639911</v>
      </c>
      <c r="P7" s="28" t="n"/>
      <c r="Q7" s="28" t="n">
        <v>0.049747</v>
      </c>
      <c r="R7" s="26" t="n">
        <v>45</v>
      </c>
      <c r="S7" s="29" t="n">
        <v>1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-144</v>
      </c>
      <c r="AA7" s="28" t="n">
        <v>0.59</v>
      </c>
      <c r="AB7" s="28" t="n">
        <v>-0.000164</v>
      </c>
      <c r="AC7" s="30" t="n">
        <v>-1</v>
      </c>
      <c r="AD7" s="24" t="inlineStr">
        <is>
          <t>2026-10-07T16:04:42.463623Z</t>
        </is>
      </c>
      <c r="AE7" s="31" t="inlineStr">
        <is>
          <t>Neutral Elo baseline; executable ask 0.5900 (market_slug=aec-dota2-bbl-yes-2026-10-07).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Yellow Submarine</t>
        </is>
      </c>
      <c r="AQ7" s="24" t="inlineStr">
        <is>
          <t>Yellow Submarine</t>
        </is>
      </c>
      <c r="AR7" s="24" t="inlineStr">
        <is>
          <t>Yellow Submarine</t>
        </is>
      </c>
      <c r="AS7" s="24" t="inlineStr">
        <is>
          <t>Blasterbl</t>
        </is>
      </c>
      <c r="AT7" s="24" t="inlineStr">
        <is>
          <t>Blasterbl</t>
        </is>
      </c>
      <c r="AU7" s="24" t="inlineStr">
        <is>
          <t>Blasterbl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00ed5147d0e0a43bf2db627ef55a5a1201c6979969e61e75b6a4a259a94f99a0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00ed5147d0e0a43bf2db627ef55a5a1201c6979969e61e75b6a4a259a94f99a0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2026-10-07T05:28:49.757708Z</t>
        </is>
      </c>
      <c r="BI7" s="24" t="inlineStr">
        <is>
          <t>["same_event","same_team_same_day","same_league_same_day"]</t>
        </is>
      </c>
      <c r="BJ7" s="25" t="n"/>
      <c r="BK7" s="26" t="n">
        <v>-144</v>
      </c>
      <c r="BL7" s="27" t="n">
        <v>1.694444</v>
      </c>
      <c r="BM7" s="28" t="n">
        <v>0.590164</v>
      </c>
      <c r="BN7" s="28" t="n"/>
      <c r="BO7" s="28" t="n"/>
      <c r="BP7" s="25" t="n"/>
      <c r="BQ7" s="27" t="n">
        <v>1.694444</v>
      </c>
      <c r="BR7" s="28" t="n">
        <v>0.59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0.590164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"00ed5147d0e0a43bf2db627ef55a5a1201c6979969e61e75b6a4a259a94f99a0",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"2026-10-07T05:28:49.648258+00:00", "team_ids": ["bo3:4:23832", "bo3:4:16486"]}, "market_type": "moneyline", "model_version": "dota2-tiered-elo-v6", "observed_at_utc": "2026-10-07T05:28:49.648258+00:00", "probabilities": {"away": 0.639911, "home": 0.360089}, "replay_scope": "Exact serving book state, calibration, temperature, inactivity reference and thin-history adjustments; training provenance not certified.", "schema": "esports-elo-replay-v1", "snapshot_hash": "8a7fc04bcf06afcbba6bf364eb12482398a8f0fcc2bcc06755a2c1074e81fe44", "sport": "DOTA2"}</t>
        </is>
      </c>
    </row>
    <row r="8" ht="36" customHeight="1">
      <c r="A8" s="24" t="inlineStr">
        <is>
          <t>1c64d63ce6044147</t>
        </is>
      </c>
      <c r="B8" s="24" t="inlineStr">
        <is>
          <t>2026-10-07T10:23:30.086549Z</t>
        </is>
      </c>
      <c r="C8" s="24" t="inlineStr">
        <is>
          <t>2026-10-07T12:00:00Z</t>
        </is>
      </c>
      <c r="D8" s="24" t="inlineStr">
        <is>
          <t>146207</t>
        </is>
      </c>
      <c r="E8" s="24" t="inlineStr">
        <is>
          <t>DOTA2</t>
        </is>
      </c>
      <c r="F8" s="24" t="inlineStr">
        <is>
          <t>MOUZ</t>
        </is>
      </c>
      <c r="G8" s="24" t="inlineStr">
        <is>
          <t>CyberHero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-117</v>
      </c>
      <c r="M8" s="27" t="n">
        <v>1.854701</v>
      </c>
      <c r="N8" s="28" t="n">
        <v>0.539171</v>
      </c>
      <c r="O8" s="28" t="n">
        <v>0.533946</v>
      </c>
      <c r="P8" s="28" t="n"/>
      <c r="Q8" s="28" t="n">
        <v>-0.005225</v>
      </c>
      <c r="R8" s="26" t="n">
        <v>17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-122</v>
      </c>
      <c r="AA8" s="28" t="n">
        <v>0.55</v>
      </c>
      <c r="AB8" s="28" t="n">
        <v>0.010829</v>
      </c>
      <c r="AC8" s="30" t="n">
        <v>-1</v>
      </c>
      <c r="AD8" s="24" t="inlineStr">
        <is>
          <t>2026-10-07T16:04:45.150642Z</t>
        </is>
      </c>
      <c r="AE8" s="31" t="inlineStr">
        <is>
          <t>Neutral Elo baseline; executable ask 0.5400 (market_slug=aec-dota2-ch-mouz-2026-10-07).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MOUZ</t>
        </is>
      </c>
      <c r="AQ8" s="24" t="inlineStr">
        <is>
          <t>MOUZ</t>
        </is>
      </c>
      <c r="AR8" s="24" t="inlineStr">
        <is>
          <t>MOUZ</t>
        </is>
      </c>
      <c r="AS8" s="24" t="inlineStr">
        <is>
          <t>CyberHero</t>
        </is>
      </c>
      <c r="AT8" s="24" t="inlineStr">
        <is>
          <t>CyberHero</t>
        </is>
      </c>
      <c r="AU8" s="24" t="inlineStr">
        <is>
          <t>CyberHero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8f4a6f5ae78633bea4c7b21d6e2903f4d5a628c17b4db8222ef6d4549d50f177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8f4a6f5ae78633bea4c7b21d6e2903f4d5a628c17b4db8222ef6d4549d50f177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2026-10-07T10:23:09.270676Z</t>
        </is>
      </c>
      <c r="BI8" s="24" t="inlineStr">
        <is>
          <t>["same_event","same_team_same_day","same_league_same_day"]</t>
        </is>
      </c>
      <c r="BJ8" s="25" t="n"/>
      <c r="BK8" s="26" t="n">
        <v>-117</v>
      </c>
      <c r="BL8" s="27" t="n">
        <v>1.854701</v>
      </c>
      <c r="BM8" s="28" t="n">
        <v>0.539171</v>
      </c>
      <c r="BN8" s="28" t="n"/>
      <c r="BO8" s="28" t="n"/>
      <c r="BP8" s="25" t="n"/>
      <c r="BQ8" s="27" t="n">
        <v>1.819672</v>
      </c>
      <c r="BR8" s="28" t="n">
        <v>0.55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0.539171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"8f4a6f5ae78633bea4c7b21d6e2903f4d5a628c17b4db8222ef6d4549d50f177", "away_team": "MOUZ", "event_id": "146207", "event_start_utc": "2026-10-07T12:00:00Z", "features": {"away_elo": 1601.278288, "away_history_count": 364, "home_elo": 1530.437849, "home_history_count": 2}, "historical_source_observation_times_verified": false, "home_team": "CyberHero", "inference_inputs": {"book_state": {"games_played": {"bo3:4:15032": 364, "bo3:4:25398": 2}, "inactivity_half_life_days": null, "inactivity_max_pull": null, "k": 48.0, "last_match_utc": {"bo3:4:15032": "2026-10-06T17:20:00Z", "bo3:4:25398": "2026-10-06T08:10:00Z"}, "minimum_reliable_games": null, "platt_intercept": 0.07656940144871896, "platt_slope": 0.849720404615883, "ratings": {"bo3:4:15032": 1601.278288, "bo3:4:25398": 1530.437849},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["bo3:4:25398", "bo3:4:15032"]}, "market_type": "moneyline", "model_version": "dota2-tiered-elo-v6", "observed_at_utc": "2026-10-07T10:23:09.218675+00:00", "probabilities": {"away": 0.533946, "home": 0.466054}, "replay_scope": "Exact serving book state, calibration, temperature, inactivity reference and thin-history adjustments; training provenance not certified.", "schema": "esports-elo-replay-v1", "snapshot_hash": "4646121ff359ae6c5ec0687780aa2d1878fdb09c65bd920cb1d15daf0b498a38", "sport": "DOTA2"}</t>
        </is>
      </c>
    </row>
    <row r="9" ht="36" customHeight="1">
      <c r="A9" s="24" t="inlineStr">
        <is>
          <t>8cefd49654204cc8</t>
        </is>
      </c>
      <c r="B9" s="24" t="inlineStr">
        <is>
          <t>2026-10-07T10:23:30.086549Z</t>
        </is>
      </c>
      <c r="C9" s="24" t="inlineStr">
        <is>
          <t>2026-10-07T15:00:00Z</t>
        </is>
      </c>
      <c r="D9" s="24" t="inlineStr">
        <is>
          <t>146208</t>
        </is>
      </c>
      <c r="E9" s="24" t="inlineStr">
        <is>
          <t>DOTA2</t>
        </is>
      </c>
      <c r="F9" s="24" t="inlineStr">
        <is>
          <t>LEGION</t>
        </is>
      </c>
      <c r="G9" s="24" t="inlineStr">
        <is>
          <t>Team Synapse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0.673769</v>
      </c>
      <c r="P9" s="28" t="n"/>
      <c r="Q9" s="28" t="n">
        <v>0.083605</v>
      </c>
      <c r="R9" s="26" t="n">
        <v>62</v>
      </c>
      <c r="S9" s="29" t="n">
        <v>1.25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-122</v>
      </c>
      <c r="AA9" s="28" t="n">
        <v>0.55</v>
      </c>
      <c r="AB9" s="28" t="n">
        <v>-0.040164</v>
      </c>
      <c r="AC9" s="30" t="n">
        <v>-1.25</v>
      </c>
      <c r="AD9" s="24" t="inlineStr">
        <is>
          <t>2026-10-07T22:03:03.245445Z</t>
        </is>
      </c>
      <c r="AE9" s="31" t="inlineStr">
        <is>
          <t>Neutral Elo baseline; executable ask 0.5900 (market_slug=aec-dota2-tsea-leg-2026-10-07).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LEGION</t>
        </is>
      </c>
      <c r="AQ9" s="24" t="inlineStr">
        <is>
          <t>LEGION</t>
        </is>
      </c>
      <c r="AR9" s="24" t="inlineStr">
        <is>
          <t>LEGION</t>
        </is>
      </c>
      <c r="AS9" s="24" t="inlineStr">
        <is>
          <t>Team Synapse</t>
        </is>
      </c>
      <c r="AT9" s="24" t="inlineStr">
        <is>
          <t>Team Synapse</t>
        </is>
      </c>
      <c r="AU9" s="24" t="inlineStr">
        <is>
          <t>Team Synapse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8f4a6f5ae78633bea4c7b21d6e2903f4d5a628c17b4db8222ef6d4549d50f177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8f4a6f5ae78633bea4c7b21d6e2903f4d5a628c17b4db8222ef6d4549d50f177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2026-10-07T10:23:09.332235Z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>
        <v>1.819672</v>
      </c>
      <c r="BR9" s="28" t="n">
        <v>0.55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0.590164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"8f4a6f5ae78633bea4c7b21d6e2903f4d5a628c17b4db8222ef6d4549d50f177", "away_team": "LEGION", "event_id": "146208", "event_start_utc": "2026-10-07T15:00:00Z", "features": {"away_elo": 1575.629058, "away_history_count": 2, "home_elo": 1881.437986, "home_history_count": 24}, "historical_source_observation_times_verified": false, "home_team": "Team Synapse", "inference_inputs": {"book_state": {"games_played": {"bo3:4:25201": 24, "bo3:4:25401": 2}, "inactivity_half_life_days": null, "inactivity_max_pull": null, "k": 48.0, "last_match_utc": {"bo3:4:25201": "2026-10-06T14:35:00Z", "bo3:4:25401": "2026-10-06T17:20:00Z"}, "minimum_reliable_games": null, "platt_intercept": 0.07656940144871896, "platt_slope": 0.849720404615883, "ratings": {"bo3:4:25201": 1881.437986, "bo3:4:25401": 1575.629058},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["bo3:4:25201", "bo3:4:25401"]}, "market_type": "moneyline", "model_version": "dota2-tiered-elo-v6", "observed_at_utc": "2026-10-07T10:23:09.218675+00:00", "probabilities": {"away": 0.326231, "home": 0.673769}, "replay_scope": "Exact serving book state, calibration, temperature, inactivity reference and thin-history adjustments; training provenance not certified.", "schema": "esports-elo-replay-v1", "snapshot_hash": "c988e0bfb2734b187c99c9c45d600ba856d037d2016dfe738b6843af5d964537", "sport": "DOTA2"}</t>
        </is>
      </c>
    </row>
    <row r="10" ht="36" customHeight="1">
      <c r="A10" s="24" t="inlineStr">
        <is>
          <t>19b0f1115ea3453a</t>
        </is>
      </c>
      <c r="B10" s="24" t="inlineStr">
        <is>
          <t>2026-10-07T16:32:44.972195Z</t>
        </is>
      </c>
      <c r="C10" s="24" t="inlineStr">
        <is>
          <t>2026-10-07T18:00:00Z</t>
        </is>
      </c>
      <c r="D10" s="24" t="inlineStr">
        <is>
          <t>147363</t>
        </is>
      </c>
      <c r="E10" s="24" t="inlineStr">
        <is>
          <t>DOTA2</t>
        </is>
      </c>
      <c r="F10" s="24" t="inlineStr">
        <is>
          <t>CyberHero</t>
        </is>
      </c>
      <c r="G10" s="24" t="inlineStr">
        <is>
          <t>Blasterbl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163</v>
      </c>
      <c r="M10" s="27" t="n">
        <v>2.63</v>
      </c>
      <c r="N10" s="28" t="n">
        <v>0.380228</v>
      </c>
      <c r="O10" s="28" t="n">
        <v>0.502246</v>
      </c>
      <c r="P10" s="28" t="n"/>
      <c r="Q10" s="28" t="n">
        <v>0.122018</v>
      </c>
      <c r="R10" s="26" t="n">
        <v>81</v>
      </c>
      <c r="S10" s="29" t="n">
        <v>1.5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144</v>
      </c>
      <c r="AA10" s="28" t="n">
        <v>0.41</v>
      </c>
      <c r="AB10" s="28" t="n">
        <v>0.029772</v>
      </c>
      <c r="AC10" s="30" t="n">
        <v>-1.5</v>
      </c>
      <c r="AD10" s="24" t="inlineStr">
        <is>
          <t>2026-10-08T03:22:08.205365Z</t>
        </is>
      </c>
      <c r="AE10" s="31" t="inlineStr">
        <is>
          <t>Neutral Elo baseline; executable ask 0.3800 (market_slug=aec-dota2-bbl-ch-2026-10-07).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CyberHero</t>
        </is>
      </c>
      <c r="AQ10" s="24" t="inlineStr">
        <is>
          <t>CyberHero</t>
        </is>
      </c>
      <c r="AR10" s="24" t="inlineStr">
        <is>
          <t>CyberHero</t>
        </is>
      </c>
      <c r="AS10" s="24" t="inlineStr">
        <is>
          <t>Blasterbl</t>
        </is>
      </c>
      <c r="AT10" s="24" t="inlineStr">
        <is>
          <t>Blasterbl</t>
        </is>
      </c>
      <c r="AU10" s="24" t="inlineStr">
        <is>
          <t>Blasterbl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77804c68a4a17976e73de5a127cd27afaab30de3f32a7869f2309315b9e3f416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77804c68a4a17976e73de5a127cd27afaab30de3f32a7869f2309315b9e3f416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2026-10-07T16:32:25.394431Z</t>
        </is>
      </c>
      <c r="BI10" s="24" t="inlineStr">
        <is>
          <t>["same_event","same_team_same_day","same_league_same_day"]</t>
        </is>
      </c>
      <c r="BJ10" s="25" t="n"/>
      <c r="BK10" s="26" t="n">
        <v>163</v>
      </c>
      <c r="BL10" s="27" t="n">
        <v>2.63</v>
      </c>
      <c r="BM10" s="28" t="n">
        <v>0.380228</v>
      </c>
      <c r="BN10" s="28" t="n"/>
      <c r="BO10" s="28" t="n"/>
      <c r="BP10" s="25" t="n"/>
      <c r="BQ10" s="27" t="n">
        <v>2.44</v>
      </c>
      <c r="BR10" s="28" t="n">
        <v>0.41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0.380228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"77804c68a4a17976e73de5a127cd27afaab30de3f32a7869f2309315b9e3f416", "away_team": "CyberHero", "event_id": "147363", "event_start_utc": "2026-10-07T18:00:00Z", "features": {"away_elo": 1569.735616, "away_history_count": 3, "home_elo": 1551.480983, "home_history_count": 3}, "historical_source_observation_times_verified": false, "home_team": "Blasterbl", "inference_inputs": {"book_state": {"games_played": {"bo3:4:23832": 3, "bo3:4:25398": 3}, "inactivity_half_life_days": null, "inactivity_max_pull": null, "k": 48.0, "last_match_utc": {"bo3:4:23832": "2026-10-07T09:00:00Z", "bo3:4:25398": "2026-10-07T12:50:00Z"}, "minimum_reliable_games": null, "platt_intercept": 0.07340728322508241, "platt_slope": 0.8514773257097051, "ratings": {"bo3:4:23832": 1551.480983, "bo3:4:25398": 1569.735616},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"2026-10-07T16:32:25.298285+00:00", "team_ids": ["bo3:4:23832", "bo3:4:25398"]}, "market_type": "moneyline", "model_version": "dota2-tiered-elo-v6", "observed_at_utc": "2026-10-07T16:32:25.298285+00:00", "probabilities": {"away": 0.502246, "home": 0.497754}, "replay_scope": "Exact serving book state, calibration, temperature, inactivity reference and thin-history adjustments; training provenance not certified.", "schema": "esports-elo-replay-v1", "snapshot_hash": "8154548b6b33dee97f9700772469ce7ac6a57a577ee13aca6c4fed8410f500ec", "sport": "DOTA2"}</t>
        </is>
      </c>
    </row>
    <row r="11" ht="36" customHeight="1">
      <c r="A11" s="24" t="inlineStr">
        <is>
          <t>430679b60e374980</t>
        </is>
      </c>
      <c r="B11" s="24" t="inlineStr">
        <is>
          <t>2026-10-07T22:27:42.225451Z</t>
        </is>
      </c>
      <c r="C11" s="24" t="inlineStr">
        <is>
          <t>2026-10-08T03:00:00Z</t>
        </is>
      </c>
      <c r="D11" s="24" t="inlineStr">
        <is>
          <t>147220</t>
        </is>
      </c>
      <c r="E11" s="24" t="inlineStr">
        <is>
          <t>DOTA2</t>
        </is>
      </c>
      <c r="F11" s="24" t="inlineStr">
        <is>
          <t>Direborn</t>
        </is>
      </c>
      <c r="G11" s="24" t="inlineStr">
        <is>
          <t>InterActive Philippines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0.526899</v>
      </c>
      <c r="P11" s="28" t="n"/>
      <c r="Q11" s="28" t="n">
        <v>-0.012272</v>
      </c>
      <c r="R11" s="26" t="n">
        <v>14</v>
      </c>
      <c r="S11" s="29" t="n">
        <v>1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-1</v>
      </c>
      <c r="AD11" s="24" t="inlineStr">
        <is>
          <t>2026-10-11T04:37:06.110067Z</t>
        </is>
      </c>
      <c r="AE11" s="31" t="inlineStr">
        <is>
          <t>Neutral Elo baseline; executable ask 0.5400 (market_slug=aec-dota2-iac-db-2026-10-08).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Direborn</t>
        </is>
      </c>
      <c r="AQ11" s="24" t="inlineStr">
        <is>
          <t>Direborn</t>
        </is>
      </c>
      <c r="AR11" s="24" t="inlineStr">
        <is>
          <t>Direborn</t>
        </is>
      </c>
      <c r="AS11" s="24" t="inlineStr">
        <is>
          <t>InterActive Philippines</t>
        </is>
      </c>
      <c r="AT11" s="24" t="inlineStr">
        <is>
          <t>InterActive Philippines</t>
        </is>
      </c>
      <c r="AU11" s="24" t="inlineStr">
        <is>
          <t>InterActive Philippines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baf9ccaa8f54c8de00adf9d2925d470d4e11611a62506fe2d568ed997460bb51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baf9ccaa8f54c8de00adf9d2925d470d4e11611a62506fe2d568ed997460bb51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2026-10-07T22:27:21.735215Z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/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0.539171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"baf9ccaa8f54c8de00adf9d2925d470d4e11611a62506fe2d568ed997460bb51", "away_team": "Direborn", "event_id": "147220", "event_start_utc": "2026-10-08T03:00:00Z", "features": {"away_elo": 1632.37521, "away_history_count": 39, "home_elo": 1591.369706, "home_history_count": 196}, "historical_source_observation_times_verified": false, "home_team": "InterActive Philippines", "inference_inputs": {"book_state": {"games_played": {"bo3:4:15612": 196, "bo3:4:24344": 39}, "inactivity_half_life_days": null, "inactivity_max_pull": null, "k": 48.0, "last_match_utc": {"bo3:4:15612": "2026-10-07T06:00:00Z", "bo3:4:24344": "2026-10-07T09:30:00Z"}, "minimum_reliable_games": null, "platt_intercept": 0.07332109494800931, "platt_slope": 0.8507054355364946, "ratings": {"bo3:4:15612": 1591.369706, "bo3:4:24344": 1632.37521},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["bo3:4:15612", "bo3:4:24344"]}, "market_type": "moneyline", "model_version": "dota2-tiered-elo-v6", "observed_at_utc": "2026-10-07T22:27:21.585394+00:00", "probabilities": {"away": 0.526899, "home": 0.473101}, "replay_scope": "Exact serving book state, calibration, temperature, inactivity reference and thin-history adjustments; training provenance not certified.", "schema": "esports-elo-replay-v1", "snapshot_hash": "4c1cfbb6ee62a8dc4553a30cd7340239d2f33b5b1a6c3cde191076da88ad8a8c", "sport": "DOTA2"}</t>
        </is>
      </c>
    </row>
    <row r="12" ht="36" customHeight="1">
      <c r="A12" s="24" t="inlineStr">
        <is>
          <t>5a5e89a8ba9646b9</t>
        </is>
      </c>
      <c r="B12" s="24" t="inlineStr">
        <is>
          <t>2026-10-07T22:27:42.225451Z</t>
        </is>
      </c>
      <c r="C12" s="24" t="inlineStr">
        <is>
          <t>2026-10-08T12:30:00Z</t>
        </is>
      </c>
      <c r="D12" s="24" t="inlineStr">
        <is>
          <t>143501</t>
        </is>
      </c>
      <c r="E12" s="24" t="inlineStr">
        <is>
          <t>DOTA2</t>
        </is>
      </c>
      <c r="F12" s="24" t="inlineStr">
        <is>
          <t>1win</t>
        </is>
      </c>
      <c r="G12" s="24" t="inlineStr">
        <is>
          <t>Aurora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0.580766</v>
      </c>
      <c r="P12" s="28" t="n"/>
      <c r="Q12" s="28" t="n">
        <v>0.041595</v>
      </c>
      <c r="R12" s="26" t="n">
        <v>41</v>
      </c>
      <c r="S12" s="29" t="n">
        <v>1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-117</v>
      </c>
      <c r="AA12" s="28" t="n">
        <v>0.54</v>
      </c>
      <c r="AB12" s="28" t="n">
        <v>0.000829</v>
      </c>
      <c r="AC12" s="30" t="n">
        <v>0.8547</v>
      </c>
      <c r="AD12" s="24" t="inlineStr">
        <is>
          <t>2026-10-11T04:37:07.563968Z</t>
        </is>
      </c>
      <c r="AE12" s="31" t="inlineStr">
        <is>
          <t>Neutral Elo baseline; executable ask 0.5400 (market_slug=aec-dota2-aur-1win-2026-10-08).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1win</t>
        </is>
      </c>
      <c r="AQ12" s="24" t="inlineStr">
        <is>
          <t>1win</t>
        </is>
      </c>
      <c r="AR12" s="24" t="inlineStr">
        <is>
          <t>1win</t>
        </is>
      </c>
      <c r="AS12" s="24" t="inlineStr">
        <is>
          <t>Aurora</t>
        </is>
      </c>
      <c r="AT12" s="24" t="inlineStr">
        <is>
          <t>Aurora</t>
        </is>
      </c>
      <c r="AU12" s="24" t="inlineStr">
        <is>
          <t>Aurora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baf9ccaa8f54c8de00adf9d2925d470d4e11611a62506fe2d568ed997460bb51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baf9ccaa8f54c8de00adf9d2925d470d4e11611a62506fe2d568ed997460bb51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2026-10-07T22:27:42.208675Z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/>
      <c r="BO12" s="28" t="n"/>
      <c r="BP12" s="25" t="n"/>
      <c r="BQ12" s="27" t="n">
        <v>1.854701</v>
      </c>
      <c r="BR12" s="28" t="n">
        <v>0.54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0.539171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"baf9ccaa8f54c8de00adf9d2925d470d4e11611a62506fe2d568ed997460bb51", "away_team": "1win", "event_id": "143501", "event_start_utc": "2026-10-08T12:30:00Z", "features": {"away_elo": 1984.178977, "away_history_count": 317, "home_elo": 2050.731038, "home_history_count": 317}, "historical_source_observation_times_verified": false, "home_team": "Aurora", "inference_inputs": {"book_state": {"games_played": {"bo3:4:15038": 317, "bo3:4:15143": 317}, "inactivity_half_life_days": null, "inactivity_max_pull": null, "k": 48.0, "last_match_utc": {"bo3:4:15038": "2026-10-03T15:10:00Z", "bo3:4:15143": "2026-10-03T13:00:00Z"}, "minimum_reliable_games": null, "platt_intercept": 0.07332109494800931, "platt_slope": 0.8507054355364946, "ratings": {"bo3:4:15038": 1984.178977, "bo3:4:15143": 2050.731038},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["bo3:4:15143", "bo3:4:15038"]}, "market_type": "moneyline", "model_version": "dota2-tiered-elo-v6", "observed_at_utc": "2026-10-07T22:27:21.585394+00:00", "probabilities": {"away": 0.419234, "home": 0.580766}, "replay_scope": "Exact serving book state, calibration, temperature, inactivity reference and thin-history adjustments; training provenance not certified.", "schema": "esports-elo-replay-v1", "snapshot_hash": "0f8b095d31179e3a3017b2e93e816387139bd015f2830d12b6c2902f254875b1", "sport": "DOTA2"}</t>
        </is>
      </c>
    </row>
    <row r="13" ht="36" customHeight="1">
      <c r="A13" s="24" t="inlineStr">
        <is>
          <t>e65f6bb465c049bc</t>
        </is>
      </c>
      <c r="B13" s="24" t="inlineStr">
        <is>
          <t>2026-10-11T07:26:10.574372Z</t>
        </is>
      </c>
      <c r="C13" s="24" t="inlineStr">
        <is>
          <t>2026-10-11T09:00:00Z</t>
        </is>
      </c>
      <c r="D13" s="24" t="inlineStr">
        <is>
          <t>153110</t>
        </is>
      </c>
      <c r="E13" s="24" t="inlineStr">
        <is>
          <t>DOTA2</t>
        </is>
      </c>
      <c r="F13" s="24" t="inlineStr">
        <is>
          <t>PARIVISION</t>
        </is>
      </c>
      <c r="G13" s="24" t="inlineStr">
        <is>
          <t>Team Spirit</t>
        </is>
      </c>
      <c r="H13" s="24" t="inlineStr">
        <is>
          <t>total</t>
        </is>
      </c>
      <c r="I13" s="24" t="inlineStr">
        <is>
          <t>under</t>
        </is>
      </c>
      <c r="J13" s="25" t="n">
        <v>2.5</v>
      </c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0.501559</v>
      </c>
      <c r="P13" s="28" t="n"/>
      <c r="Q13" s="28" t="n">
        <v>-0.057912</v>
      </c>
      <c r="R13" s="26" t="n">
        <v>0</v>
      </c>
      <c r="S13" s="29" t="n">
        <v>1</v>
      </c>
      <c r="T13" s="24" t="inlineStr">
        <is>
          <t>dota2-total-tiered-elo-v6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2</v>
      </c>
      <c r="Y13" s="25" t="n"/>
      <c r="Z13" s="26" t="n"/>
      <c r="AA13" s="28" t="n"/>
      <c r="AB13" s="28" t="n"/>
      <c r="AC13" s="30" t="n">
        <v>-1</v>
      </c>
      <c r="AD13" s="24" t="inlineStr">
        <is>
          <t>2026-10-11T16:03:33.765763Z</t>
        </is>
      </c>
      <c r="AE13" s="31" t="inlineStr">
        <is>
          <t>Neutral Elo baseline; executable ask 0.5600 (market_slug=tsc-dota2-ts-pari-2026-10-11-tot-2pt5).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PARIVISION</t>
        </is>
      </c>
      <c r="AQ13" s="24" t="inlineStr">
        <is>
          <t>PARIVISION</t>
        </is>
      </c>
      <c r="AR13" s="24" t="inlineStr">
        <is>
          <t>PARIVISION</t>
        </is>
      </c>
      <c r="AS13" s="24" t="inlineStr">
        <is>
          <t>Team Spirit</t>
        </is>
      </c>
      <c r="AT13" s="24" t="inlineStr">
        <is>
          <t>Team Spirit</t>
        </is>
      </c>
      <c r="AU13" s="24" t="inlineStr">
        <is>
          <t>Team Spirit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e6ad89a5d5cd9c957bca5c6f529924ed1cad0a73c03e4b728aadeb70a4c6c573</t>
        </is>
      </c>
      <c r="BB13" s="24" t="inlineStr">
        <is>
          <t>neutral_elo</t>
        </is>
      </c>
      <c r="BC13" s="24" t="inlineStr">
        <is>
          <t>dota2-total-tiered-elo-v6</t>
        </is>
      </c>
      <c r="BD13" s="24" t="inlineStr">
        <is>
          <t>e6ad89a5d5cd9c957bca5c6f529924ed1cad0a73c03e4b728aadeb70a4c6c573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dota2-total-tiered-elo-v6</t>
        </is>
      </c>
      <c r="BH13" s="24" t="inlineStr">
        <is>
          <t>2026-10-11T07:25:29.357917Z</t>
        </is>
      </c>
      <c r="BI13" s="24" t="inlineStr">
        <is>
          <t>["same_event","same_team_same_day","same_league_same_day"]</t>
        </is>
      </c>
      <c r="BJ13" s="25" t="n">
        <v>2.5</v>
      </c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853dabd1bf3242d5</t>
        </is>
      </c>
      <c r="B14" s="24" t="inlineStr">
        <is>
          <t>2026-10-11T07:26:10.574372Z</t>
        </is>
      </c>
      <c r="C14" s="24" t="inlineStr">
        <is>
          <t>2026-10-11T09:00:00Z</t>
        </is>
      </c>
      <c r="D14" s="24" t="inlineStr">
        <is>
          <t>153110</t>
        </is>
      </c>
      <c r="E14" s="24" t="inlineStr">
        <is>
          <t>DOTA2</t>
        </is>
      </c>
      <c r="F14" s="24" t="inlineStr">
        <is>
          <t>PARIVISION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0.54183</v>
      </c>
      <c r="P14" s="28" t="n"/>
      <c r="Q14" s="28" t="n">
        <v>-0.15787</v>
      </c>
      <c r="R14" s="26" t="n">
        <v>0</v>
      </c>
      <c r="S14" s="29" t="n">
        <v>1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-233</v>
      </c>
      <c r="AA14" s="28" t="n">
        <v>0.7</v>
      </c>
      <c r="AB14" s="28" t="n">
        <v>0.0003</v>
      </c>
      <c r="AC14" s="30" t="n">
        <v>-1</v>
      </c>
      <c r="AD14" s="24" t="inlineStr">
        <is>
          <t>2026-10-11T16:03:34.542488Z</t>
        </is>
      </c>
      <c r="AE14" s="31" t="inlineStr">
        <is>
          <t>Neutral Elo baseline; executable ask 0.7000 (market_slug=aec-dota2-ts-pari-2026-10-11).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PARIVISION</t>
        </is>
      </c>
      <c r="AQ14" s="24" t="inlineStr">
        <is>
          <t>PARIVISION</t>
        </is>
      </c>
      <c r="AR14" s="24" t="inlineStr">
        <is>
          <t>PARIVISION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e6ad89a5d5cd9c957bca5c6f529924ed1cad0a73c03e4b728aadeb70a4c6c573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e6ad89a5d5cd9c957bca5c6f529924ed1cad0a73c03e4b728aadeb70a4c6c573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2026-10-11T07:25:39.511900Z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>
        <v>1.429185</v>
      </c>
      <c r="BR14" s="28" t="n">
        <v>0.7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"e6ad89a5d5cd9c957bca5c6f529924ed1cad0a73c03e4b728aadeb70a4c6c573", "away_team": "PARIVISION", "event_id": "153110", "event_start_utc": "2026-10-11T09:00:00Z", "features": {"away_elo": 2325.396544, "away_history_count": 251, "home_elo": 2270.921466, "home_history_count": 344}, "historical_source_observation_times_verified": false, "home_team": "Team Spirit", "inference_inputs": {"book_state": {"games_played": {"bo3:4:16704": 344, "bo3:4:18604": 251}, "inactivity_half_life_days": null, "inactivity_max_pull": null, "k": 48.0, "last_match_utc": {"bo3:4:16704": "2026-10-10T10:30:00Z", "bo3:4:18604": "2026-10-10T13:20:00Z"}, "minimum_reliable_games": null, "platt_intercept": 0.06964891143172529, "platt_slope": 0.8461580414660153, "ratings": {"bo3:4:16704": 2270.921466, "bo3:4:18604": 2325.396544},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"2026-10-11T07:25:19.138673+00:00", "team_ids": ["bo3:4:16704", "bo3:4:18604"]}, "market_type": "moneyline", "model_version": "dota2-tiered-elo-v6", "observed_at_utc": "2026-10-11T07:25:19.138673+00:00", "probabilities": {"away": 0.54183, "home": 0.45817}, "replay_scope": "Exact serving book state, calibration, temperature, inactivity reference and thin-history adjustments; training provenance not certified.", "schema": "esports-elo-replay-v1", "snapshot_hash": "7ef12b2318ffb4a13595ab212d3c9d59bb0fcf17abd3a4bcbdeff288b0edcf16", "sport": "DOTA2"}</t>
        </is>
      </c>
    </row>
    <row r="15" ht="36" customHeight="1">
      <c r="A15" s="24" t="inlineStr">
        <is>
          <t>1ab61cbd5b9e4962</t>
        </is>
      </c>
      <c r="B15" s="24" t="inlineStr">
        <is>
          <t>2026-10-13T05:56:44.892731Z</t>
        </is>
      </c>
      <c r="C15" s="24" t="inlineStr">
        <is>
          <t>2026-10-13T07:00:00Z</t>
        </is>
      </c>
      <c r="D15" s="24" t="inlineStr">
        <is>
          <t>156703</t>
        </is>
      </c>
      <c r="E15" s="24" t="inlineStr">
        <is>
          <t>DOTA2</t>
        </is>
      </c>
      <c r="F15" s="24" t="inlineStr">
        <is>
          <t>Zero Tenacity</t>
        </is>
      </c>
      <c r="G15" s="24" t="inlineStr">
        <is>
          <t>Team Lynx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-150</v>
      </c>
      <c r="M15" s="27" t="n">
        <v>1.666667</v>
      </c>
      <c r="N15" s="28" t="n">
        <v>0.6</v>
      </c>
      <c r="O15" s="28" t="n">
        <v>0.652763</v>
      </c>
      <c r="P15" s="28" t="n"/>
      <c r="Q15" s="28" t="n">
        <v>0.052763</v>
      </c>
      <c r="R15" s="26" t="n">
        <v>46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0.6667</v>
      </c>
      <c r="AD15" s="24" t="inlineStr">
        <is>
          <t>2026-10-13T16:16:25.193560Z</t>
        </is>
      </c>
      <c r="AE15" s="31" t="inlineStr">
        <is>
          <t>Neutral Elo baseline; executable ask 0.6000 (market_slug=aec-dota2-lynx-z10-2026-10-13).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Zero Tenacity</t>
        </is>
      </c>
      <c r="AQ15" s="24" t="inlineStr">
        <is>
          <t>Zero Tenacity</t>
        </is>
      </c>
      <c r="AR15" s="24" t="inlineStr">
        <is>
          <t>Zero Tenacity</t>
        </is>
      </c>
      <c r="AS15" s="24" t="inlineStr">
        <is>
          <t>Team Lynx</t>
        </is>
      </c>
      <c r="AT15" s="24" t="inlineStr">
        <is>
          <t>Team Lynx</t>
        </is>
      </c>
      <c r="AU15" s="24" t="inlineStr">
        <is>
          <t>Team Lynx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498068cbee0b727d651d5d989f095e8a43ce7662aad212f07b645d438261f98f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498068cbee0b727d651d5d989f095e8a43ce7662aad212f07b645d438261f98f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2026-10-13T05:50:34.514198Z</t>
        </is>
      </c>
      <c r="BI15" s="24" t="inlineStr">
        <is>
          <t>["same_event","same_team_same_day","same_league_same_day"]</t>
        </is>
      </c>
      <c r="BJ15" s="25" t="n"/>
      <c r="BK15" s="26" t="n">
        <v>-150</v>
      </c>
      <c r="BL15" s="27" t="n">
        <v>1.666667</v>
      </c>
      <c r="BM15" s="28" t="n">
        <v>0.6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"498068cbee0b727d651d5d989f095e8a43ce7662aad212f07b645d438261f98f", "away_team": "Zero Tenacity", "event_id": "156703", "event_start_utc": "2026-10-13T07:00:00Z", "features": {"away_elo": 1583.870909, "away_history_count": 349, "home_elo": 1720.880148, "home_history_count": 185}, "historical_source_observation_times_verified": false, "home_team": "Team Lynx", "inference_inputs": {"book_state": {"games_played": {"bo3:4:18713": 349, "bo3:4:19913": 185}, "inactivity_half_life_days": null, "inactivity_max_pull": null, "k": 48.0, "last_match_utc": {"bo3:4:18713": "2026-10-09T16:25:00Z", "bo3:4:19913": "2026-10-12T16:40:00Z"}, "minimum_reliable_games": null, "platt_intercept": 0.06660293057110224, "platt_slope": 0.8502014663873206, "ratings": {"bo3:4:18713": 1583.870909, "bo3:4:19913": 1720.880148},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["bo3:4:19913", "bo3:4:18713"]}, "market_type": "moneyline", "model_version": "dota2-tiered-elo-v6", "observed_at_utc": "2026-10-13T05:50:34.431410+00:00", "probabilities": {"away": 0.347237, "home": 0.652763}, "replay_scope": "Exact serving book state, calibration, temperature, inactivity reference and thin-history adjustments; training provenance not certified.", "schema": "esports-elo-replay-v1", "snapshot_hash": "a76a3bddcb7e8437baf8b35cd3af51cda6bb163aaaf843d281e21e8ee20c5ba1", "sport": "DOTA2"}</t>
        </is>
      </c>
    </row>
    <row r="16" ht="36" customHeight="1">
      <c r="A16" s="24" t="inlineStr">
        <is>
          <t>b3e3535eb22648f5</t>
        </is>
      </c>
      <c r="B16" s="24" t="inlineStr">
        <is>
          <t>2026-10-13T05:56:44.892731Z</t>
        </is>
      </c>
      <c r="C16" s="24" t="inlineStr">
        <is>
          <t>2026-10-13T07:00:00Z</t>
        </is>
      </c>
      <c r="D16" s="24" t="inlineStr">
        <is>
          <t>156703</t>
        </is>
      </c>
      <c r="E16" s="24" t="inlineStr">
        <is>
          <t>DOTA2</t>
        </is>
      </c>
      <c r="F16" s="24" t="inlineStr">
        <is>
          <t>Zero Tenacity</t>
        </is>
      </c>
      <c r="G16" s="24" t="inlineStr">
        <is>
          <t>Team Lynx</t>
        </is>
      </c>
      <c r="H16" s="24" t="inlineStr">
        <is>
          <t>total</t>
        </is>
      </c>
      <c r="I16" s="24" t="inlineStr">
        <is>
          <t>under</t>
        </is>
      </c>
      <c r="J16" s="25" t="n">
        <v>2.5</v>
      </c>
      <c r="K16" s="24" t="inlineStr">
        <is>
          <t>polymarket_us</t>
        </is>
      </c>
      <c r="L16" s="26" t="n">
        <v>-122</v>
      </c>
      <c r="M16" s="27" t="n">
        <v>1.819672</v>
      </c>
      <c r="N16" s="28" t="n">
        <v>0.54955</v>
      </c>
      <c r="O16" s="28" t="n">
        <v>0.521347</v>
      </c>
      <c r="P16" s="28" t="n"/>
      <c r="Q16" s="28" t="n">
        <v>-0.028203</v>
      </c>
      <c r="R16" s="26" t="n">
        <v>6</v>
      </c>
      <c r="S16" s="29" t="n">
        <v>1</v>
      </c>
      <c r="T16" s="24" t="inlineStr">
        <is>
          <t>dota2-total-tiered-elo-v6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/>
      <c r="Z16" s="26" t="n"/>
      <c r="AA16" s="28" t="n"/>
      <c r="AB16" s="28" t="n"/>
      <c r="AC16" s="30" t="n">
        <v>-1</v>
      </c>
      <c r="AD16" s="24" t="inlineStr">
        <is>
          <t>2026-10-13T10:08:19.007349Z</t>
        </is>
      </c>
      <c r="AE16" s="31" t="inlineStr">
        <is>
          <t>Neutral Elo baseline; executable ask 0.5500 (market_slug=tsc-dota2-lynx-z10-2026-10-13-tot-2pt5).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Zero Tenacity</t>
        </is>
      </c>
      <c r="AQ16" s="24" t="inlineStr">
        <is>
          <t>Zero Tenacity</t>
        </is>
      </c>
      <c r="AR16" s="24" t="inlineStr">
        <is>
          <t>Zero Tenacity</t>
        </is>
      </c>
      <c r="AS16" s="24" t="inlineStr">
        <is>
          <t>Team Lynx</t>
        </is>
      </c>
      <c r="AT16" s="24" t="inlineStr">
        <is>
          <t>Team Lynx</t>
        </is>
      </c>
      <c r="AU16" s="24" t="inlineStr">
        <is>
          <t>Team Lynx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498068cbee0b727d651d5d989f095e8a43ce7662aad212f07b645d438261f98f</t>
        </is>
      </c>
      <c r="BB16" s="24" t="inlineStr">
        <is>
          <t>neutral_elo</t>
        </is>
      </c>
      <c r="BC16" s="24" t="inlineStr">
        <is>
          <t>dota2-total-tiered-elo-v6</t>
        </is>
      </c>
      <c r="BD16" s="24" t="inlineStr">
        <is>
          <t>498068cbee0b727d651d5d989f095e8a43ce7662aad212f07b645d438261f98f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dota2-total-tiered-elo-v6</t>
        </is>
      </c>
      <c r="BH16" s="24" t="inlineStr">
        <is>
          <t>2026-10-13T05:51:15.148583Z</t>
        </is>
      </c>
      <c r="BI16" s="24" t="inlineStr">
        <is>
          <t>["same_event","same_team_same_day","same_league_same_day"]</t>
        </is>
      </c>
      <c r="BJ16" s="25" t="n">
        <v>2.5</v>
      </c>
      <c r="BK16" s="26" t="n">
        <v>-122</v>
      </c>
      <c r="BL16" s="27" t="n">
        <v>1.819672</v>
      </c>
      <c r="BM16" s="28" t="n">
        <v>0.54955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97e6148ef03847f8</t>
        </is>
      </c>
      <c r="B17" s="24" t="inlineStr">
        <is>
          <t>2026-10-13T05:56:44.892731Z</t>
        </is>
      </c>
      <c r="C17" s="24" t="inlineStr">
        <is>
          <t>2026-10-13T08:00:00Z</t>
        </is>
      </c>
      <c r="D17" s="24" t="inlineStr">
        <is>
          <t>156968</t>
        </is>
      </c>
      <c r="E17" s="24" t="inlineStr">
        <is>
          <t>DOTA2</t>
        </is>
      </c>
      <c r="F17" s="24" t="inlineStr">
        <is>
          <t>The goal of all life is death</t>
        </is>
      </c>
      <c r="G17" s="24" t="inlineStr">
        <is>
          <t>Resp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0.519271</v>
      </c>
      <c r="P17" s="28" t="n"/>
      <c r="Q17" s="28" t="n">
        <v>-0.011245</v>
      </c>
      <c r="R17" s="26" t="n">
        <v>14</v>
      </c>
      <c r="S17" s="29" t="n">
        <v>1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0.885</v>
      </c>
      <c r="AD17" s="24" t="inlineStr">
        <is>
          <t>2026-10-13T16:16:26.509439Z</t>
        </is>
      </c>
      <c r="AE17" s="31" t="inlineStr">
        <is>
          <t>Neutral Elo baseline; executable ask 0.5300 (market_slug=aec-dota2-rg-tgoalid-2026-10-13).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The goal of all life is death</t>
        </is>
      </c>
      <c r="AQ17" s="24" t="inlineStr">
        <is>
          <t>The goal of all life is death</t>
        </is>
      </c>
      <c r="AR17" s="24" t="inlineStr">
        <is>
          <t>The goal of all life is death</t>
        </is>
      </c>
      <c r="AS17" s="24" t="inlineStr">
        <is>
          <t>Resp Gaming</t>
        </is>
      </c>
      <c r="AT17" s="24" t="inlineStr">
        <is>
          <t>Resp Gaming</t>
        </is>
      </c>
      <c r="AU17" s="24" t="inlineStr">
        <is>
          <t>Resp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498068cbee0b727d651d5d989f095e8a43ce7662aad212f07b645d438261f98f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498068cbee0b727d651d5d989f095e8a43ce7662aad212f07b645d438261f98f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2026-10-13T05:52:25.837911Z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"498068cbee0b727d651d5d989f095e8a43ce7662aad212f07b645d438261f98f", "away_team": "The goal of all life is death", "event_id": "156968", "event_start_utc": "2026-10-13T08:00:00Z", "features": {"away_elo": 1466.255216, "away_history_count": 23, "home_elo": 1500.0, "home_history_count": 0}, "historical_source_observation_times_verified": false, "home_team": "Resp Gaming", "inference_inputs": {"book_state": {"games_played": {"bo3:4:15069": 23}, "inactivity_half_life_days": null, "inactivity_max_pull": null, "k": 48.0, "last_match_utc": {"bo3:4:15069": "2026-08-29T08:00:00Z"}, "minimum_reliable_games": null, "platt_intercept": 0.06660293057110224, "platt_slope": 0.8502014663873206, "ratings": {"bo3:4:15069": 1466.255216},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["unknown:respgaming", "bo3:4:15069"]}, "market_type": "moneyline", "model_version": "dota2-tiered-elo-v6", "observed_at_utc": "2026-10-13T05:50:34.431410+00:00", "probabilities": {"away": 0.480729, "home": 0.519271}, "replay_scope": "Exact serving book state, calibration, temperature, inactivity reference and thin-history adjustments; training provenance not certified.", "schema": "esports-elo-replay-v1", "snapshot_hash": "3b65f483251e622ee149930e14ede499ee4b55a8bb1f06123a073c275e3e6562", "sport": "DOTA2"}</t>
        </is>
      </c>
    </row>
    <row r="18" ht="36" customHeight="1">
      <c r="A18" s="24" t="inlineStr">
        <is>
          <t>5ecfdc6cc0134507</t>
        </is>
      </c>
      <c r="B18" s="24" t="inlineStr">
        <is>
          <t>2026-10-13T05:56:44.892731Z</t>
        </is>
      </c>
      <c r="C18" s="24" t="inlineStr">
        <is>
          <t>2026-10-13T09:00:00Z</t>
        </is>
      </c>
      <c r="D18" s="24" t="inlineStr">
        <is>
          <t>156670</t>
        </is>
      </c>
      <c r="E18" s="24" t="inlineStr">
        <is>
          <t>DOTA2</t>
        </is>
      </c>
      <c r="F18" s="24" t="inlineStr">
        <is>
          <t>Nemiga Gaming</t>
        </is>
      </c>
      <c r="G18" s="24" t="inlineStr">
        <is>
          <t>HULIGANI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0.593184</v>
      </c>
      <c r="P18" s="28" t="n"/>
      <c r="Q18" s="28" t="n">
        <v>0.033713</v>
      </c>
      <c r="R18" s="26" t="n">
        <v>37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-127</v>
      </c>
      <c r="AA18" s="28" t="n">
        <v>0.5600000000000001</v>
      </c>
      <c r="AB18" s="28" t="n">
        <v>0.000529</v>
      </c>
      <c r="AC18" s="30" t="n">
        <v>0.7874</v>
      </c>
      <c r="AD18" s="24" t="inlineStr">
        <is>
          <t>2026-10-13T16:16:27.687616Z</t>
        </is>
      </c>
      <c r="AE18" s="31" t="inlineStr">
        <is>
          <t>Neutral Elo baseline; executable ask 0.5600 (market_slug=aec-dota2-hul-nemiga-2026-10-13).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Nemiga Gaming</t>
        </is>
      </c>
      <c r="AQ18" s="24" t="inlineStr">
        <is>
          <t>Nemiga Gaming</t>
        </is>
      </c>
      <c r="AR18" s="24" t="inlineStr">
        <is>
          <t>Nemiga Gaming</t>
        </is>
      </c>
      <c r="AS18" s="24" t="inlineStr">
        <is>
          <t>HULIGANI</t>
        </is>
      </c>
      <c r="AT18" s="24" t="inlineStr">
        <is>
          <t>HULIGANI</t>
        </is>
      </c>
      <c r="AU18" s="24" t="inlineStr">
        <is>
          <t>HULIGANI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498068cbee0b727d651d5d989f095e8a43ce7662aad212f07b645d438261f98f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498068cbee0b727d651d5d989f095e8a43ce7662aad212f07b645d438261f98f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2026-10-13T05:52:36.540751Z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>
        <v>1.787402</v>
      </c>
      <c r="BR18" s="28" t="n">
        <v>0.5600000000000001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"498068cbee0b727d651d5d989f095e8a43ce7662aad212f07b645d438261f98f", "away_team": "Nemiga Gaming", "event_id": "156670", "event_start_utc": "2026-10-13T09:00:00Z", "features": {"away_elo": 1464.093003, "away_history_count": 295, "home_elo": 1544.327209, "home_history_count": 337}, "historical_source_observation_times_verified": false, "home_team": "HULIGANI", "inference_inputs": {"book_state": {"games_played": {"bo3:4:15098": 337, "bo3:4:16398": 295}, "inactivity_half_life_days": null, "inactivity_max_pull": null, "k": 48.0, "last_match_utc": {"bo3:4:15098": "2026-10-06T08:10:00Z", "bo3:4:16398": "2026-10-12T13:10:00Z"}, "minimum_reliable_games": null, "platt_intercept": 0.06660293057110224, "platt_slope": 0.8502014663873206, "ratings": {"bo3:4:15098": 1544.327209, "bo3:4:16398": 1464.093003},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["bo3:4:15098", "bo3:4:16398"]}, "market_type": "moneyline", "model_version": "dota2-tiered-elo-v6", "observed_at_utc": "2026-10-13T05:50:34.431410+00:00", "probabilities": {"away": 0.406816, "home": 0.593184}, "replay_scope": "Exact serving book state, calibration, temperature, inactivity reference and thin-history adjustments; training provenance not certified.", "schema": "esports-elo-replay-v1", "snapshot_hash": "1c8708fb5bbab32b607675cd051cb93a5e3de4c59fc3ccadd6eb3977bd7ceba2", "sport": "DOTA2"}</t>
        </is>
      </c>
    </row>
    <row r="19" ht="36" customHeight="1">
      <c r="A19" s="24" t="inlineStr">
        <is>
          <t>2d6fba2da9b94259</t>
        </is>
      </c>
      <c r="B19" s="24" t="inlineStr">
        <is>
          <t>2026-10-13T11:23:20.635144Z</t>
        </is>
      </c>
      <c r="C19" s="24" t="inlineStr">
        <is>
          <t>2026-10-13T12:00:00Z</t>
        </is>
      </c>
      <c r="D19" s="24" t="inlineStr">
        <is>
          <t>158060</t>
        </is>
      </c>
      <c r="E19" s="24" t="inlineStr">
        <is>
          <t>DOTA2</t>
        </is>
      </c>
      <c r="F19" s="24" t="inlineStr">
        <is>
          <t>Yakult Brothers</t>
        </is>
      </c>
      <c r="G19" s="24" t="inlineStr">
        <is>
          <t>Team Resilience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0.585585</v>
      </c>
      <c r="P19" s="28" t="n"/>
      <c r="Q19" s="28" t="n">
        <v>-0.114115</v>
      </c>
      <c r="R19" s="26" t="n">
        <v>0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2026-10-13T16:16:33.837041Z</t>
        </is>
      </c>
      <c r="AE19" s="31" t="inlineStr">
        <is>
          <t>Neutral Elo baseline; executable ask 0.7000 (market_slug=aec-dota2-tr-yb-2026-10-13).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Yakult Brothers</t>
        </is>
      </c>
      <c r="AQ19" s="24" t="inlineStr">
        <is>
          <t>Yakult Brothers</t>
        </is>
      </c>
      <c r="AR19" s="24" t="inlineStr">
        <is>
          <t>Yakult Brothers</t>
        </is>
      </c>
      <c r="AS19" s="24" t="inlineStr">
        <is>
          <t>Team Resilience</t>
        </is>
      </c>
      <c r="AT19" s="24" t="inlineStr">
        <is>
          <t>Team Resilience</t>
        </is>
      </c>
      <c r="AU19" s="24" t="inlineStr">
        <is>
          <t>Team Resilience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82eaf6866c5f8a33c82bd6297df9b8c17cc34456cc7a74fdcb602fb4705d7601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82eaf6866c5f8a33c82bd6297df9b8c17cc34456cc7a74fdcb602fb4705d7601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2026-10-13T11:18:19.188548Z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{'Team Resilience': 0.66, 'Yakult Brothers': 0.34};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"82eaf6866c5f8a33c82bd6297df9b8c17cc34456cc7a74fdcb602fb4705d7601", "away_team": "Yakult Brothers", "event_id": "158060", "event_start_utc": "2026-10-13T12:00:00Z", "features": {"away_elo": 1669.762098, "away_history_count": 187, "home_elo": 1740.091782, "home_history_count": 22}, "historical_source_observation_times_verified": false, "home_team": "Team Resilience", "inference_inputs": {"book_state": {"games_played": {"bo3:4:18586": 187, "bo3:4:23196": 22}, "inactivity_half_life_days": null, "inactivity_max_pull": null, "k": 48.0, "last_match_utc": {"bo3:4:18586": "2026-10-13T04:00:00Z", "bo3:4:23196": "2026-10-13T04:00:00Z"}, "minimum_reliable_games": null, "platt_intercept": 0.06516991331836251, "platt_slope": 0.8491312027850109, "ratings": {"bo3:4:18586": 1669.762098, "bo3:4:23196": 1740.091782},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["bo3:4:23196", "bo3:4:18586"]}, "market_type": "moneyline", "model_version": "dota2-tiered-elo-v6", "observed_at_utc": "2026-10-13T11:18:19.094097+00:00", "probabilities": {"away": 0.414415, "home": 0.585585}, "replay_scope": "Exact serving book state, calibration, temperature, inactivity reference and thin-history adjustments; training provenance not certified.", "schema": "esports-elo-replay-v1", "snapshot_hash": "30fb7e04208f443731ef0e51cde435c290820fa84f88e1026fadf40a9b4bf015", "sport": "DOTA2"}</t>
        </is>
      </c>
    </row>
    <row r="20" ht="36" customHeight="1">
      <c r="A20" s="24" t="inlineStr">
        <is>
          <t>78ebde929d414a89</t>
        </is>
      </c>
      <c r="B20" s="24" t="inlineStr">
        <is>
          <t>2026-10-13T11:23:20.635144Z</t>
        </is>
      </c>
      <c r="C20" s="24" t="inlineStr">
        <is>
          <t>2026-10-13T13:00:00Z</t>
        </is>
      </c>
      <c r="D20" s="24" t="inlineStr">
        <is>
          <t>155060</t>
        </is>
      </c>
      <c r="E20" s="24" t="inlineStr">
        <is>
          <t>DOTA2</t>
        </is>
      </c>
      <c r="F20" s="24" t="inlineStr">
        <is>
          <t>The Warriors</t>
        </is>
      </c>
      <c r="G20" s="24" t="inlineStr">
        <is>
          <t>Power Rangers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-213</v>
      </c>
      <c r="M20" s="27" t="n">
        <v>1.469484</v>
      </c>
      <c r="N20" s="28" t="n">
        <v>0.680511</v>
      </c>
      <c r="O20" s="28" t="n">
        <v>0.531826</v>
      </c>
      <c r="P20" s="28" t="n"/>
      <c r="Q20" s="28" t="n">
        <v>-0.148685</v>
      </c>
      <c r="R20" s="26" t="n">
        <v>0</v>
      </c>
      <c r="S20" s="29" t="n">
        <v>1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-213</v>
      </c>
      <c r="AA20" s="28" t="n">
        <v>0.68</v>
      </c>
      <c r="AB20" s="28" t="n">
        <v>-0.000511</v>
      </c>
      <c r="AC20" s="30" t="n">
        <v>0.4695</v>
      </c>
      <c r="AD20" s="24" t="inlineStr">
        <is>
          <t>2026-10-13T22:05:36.292881Z</t>
        </is>
      </c>
      <c r="AE20" s="31" t="inlineStr">
        <is>
          <t>Neutral Elo baseline; executable ask 0.6800 (market_slug=aec-dota2-pr-twh-2026-10-13).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The Warriors</t>
        </is>
      </c>
      <c r="AQ20" s="24" t="inlineStr">
        <is>
          <t>The Warriors</t>
        </is>
      </c>
      <c r="AR20" s="24" t="inlineStr">
        <is>
          <t>The Warriors</t>
        </is>
      </c>
      <c r="AS20" s="24" t="inlineStr">
        <is>
          <t>Power Rangers</t>
        </is>
      </c>
      <c r="AT20" s="24" t="inlineStr">
        <is>
          <t>Power Rangers</t>
        </is>
      </c>
      <c r="AU20" s="24" t="inlineStr">
        <is>
          <t>Power Rangers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82eaf6866c5f8a33c82bd6297df9b8c17cc34456cc7a74fdcb602fb4705d7601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82eaf6866c5f8a33c82bd6297df9b8c17cc34456cc7a74fdcb602fb4705d7601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2026-10-13T11:20:23.851640Z</t>
        </is>
      </c>
      <c r="BI20" s="24" t="inlineStr">
        <is>
          <t>["same_event","same_team_same_day","same_league_same_day"]</t>
        </is>
      </c>
      <c r="BJ20" s="25" t="n"/>
      <c r="BK20" s="26" t="n">
        <v>-213</v>
      </c>
      <c r="BL20" s="27" t="n">
        <v>1.469484</v>
      </c>
      <c r="BM20" s="28" t="n">
        <v>0.680511</v>
      </c>
      <c r="BN20" s="28" t="n"/>
      <c r="BO20" s="28" t="n"/>
      <c r="BP20" s="25" t="n"/>
      <c r="BQ20" s="27" t="n">
        <v>1.469484</v>
      </c>
      <c r="BR20" s="28" t="n">
        <v>0.68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"82eaf6866c5f8a33c82bd6297df9b8c17cc34456cc7a74fdcb602fb4705d7601", "away_team": "The Warriors", "event_id": "155060", "event_start_utc": "2026-10-13T13:00:00Z", "features": {"away_elo": 1573.452002, "away_history_count": 4, "home_elo": 1638.365225, "home_history_count": 93}, "historical_source_observation_times_verified": false, "home_team": "Power Rangers", "inference_inputs": {"book_state": {"games_played": {"bo3:4:16653": 93, "bo3:4:25465": 4}, "inactivity_half_life_days": null, "inactivity_max_pull": null, "k": 48.0, "last_match_utc": {"bo3:4:16653": "2026-09-08T09:00:00Z", "bo3:4:25465": "2026-10-12T19:25:00Z"}, "minimum_reliable_games": null, "platt_intercept": 0.06516991331836251, "platt_slope": 0.8491312027850109, "ratings": {"bo3:4:16653": 1638.365225, "bo3:4:25465": 1573.452002},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["bo3:4:16653", "bo3:4:25465"]}, "market_type": "moneyline", "model_version": "dota2-tiered-elo-v6", "observed_at_utc": "2026-10-13T11:18:19.094097+00:00", "probabilities": {"away": 0.468174, "home": 0.531826}, "replay_scope": "Exact serving book state, calibration, temperature, inactivity reference and thin-history adjustments; training provenance not certified.", "schema": "esports-elo-replay-v1", "snapshot_hash": "750d1ac2c44427d0341e3eb3cc2b85cb66e4553a14c56abf9b250e3ae4683337", "sport": "DOTA2"}</t>
        </is>
      </c>
    </row>
    <row r="21" ht="36" customHeight="1">
      <c r="A21" s="24" t="inlineStr">
        <is>
          <t>1f8d48b6d4734327</t>
        </is>
      </c>
      <c r="B21" s="24" t="inlineStr">
        <is>
          <t>2026-10-13T11:23:20.635144Z</t>
        </is>
      </c>
      <c r="C21" s="24" t="inlineStr">
        <is>
          <t>2026-10-13T13:00:00Z</t>
        </is>
      </c>
      <c r="D21" s="24" t="inlineStr">
        <is>
          <t>155060</t>
        </is>
      </c>
      <c r="E21" s="24" t="inlineStr">
        <is>
          <t>DOTA2</t>
        </is>
      </c>
      <c r="F21" s="24" t="inlineStr">
        <is>
          <t>The Warriors</t>
        </is>
      </c>
      <c r="G21" s="24" t="inlineStr">
        <is>
          <t>Power Rangers</t>
        </is>
      </c>
      <c r="H21" s="24" t="inlineStr">
        <is>
          <t>total</t>
        </is>
      </c>
      <c r="I21" s="24" t="inlineStr">
        <is>
          <t>under</t>
        </is>
      </c>
      <c r="J21" s="25" t="n">
        <v>2.5</v>
      </c>
      <c r="K21" s="24" t="inlineStr">
        <is>
          <t>polymarket_us</t>
        </is>
      </c>
      <c r="L21" s="26" t="n">
        <v>-138</v>
      </c>
      <c r="M21" s="27" t="n">
        <v>1.724638</v>
      </c>
      <c r="N21" s="28" t="n">
        <v>0.579832</v>
      </c>
      <c r="O21" s="28" t="n">
        <v>0.500901</v>
      </c>
      <c r="P21" s="28" t="n"/>
      <c r="Q21" s="28" t="n">
        <v>-0.078931</v>
      </c>
      <c r="R21" s="26" t="n">
        <v>0</v>
      </c>
      <c r="S21" s="29" t="n">
        <v>1</v>
      </c>
      <c r="T21" s="24" t="inlineStr">
        <is>
          <t>dota2-total-tiered-elo-v6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2</v>
      </c>
      <c r="Y21" s="25" t="n"/>
      <c r="Z21" s="26" t="n"/>
      <c r="AA21" s="28" t="n"/>
      <c r="AB21" s="28" t="n"/>
      <c r="AC21" s="30" t="n">
        <v>-1</v>
      </c>
      <c r="AD21" s="24" t="inlineStr">
        <is>
          <t>2026-10-13T16:16:35.052840Z</t>
        </is>
      </c>
      <c r="AE21" s="31" t="inlineStr">
        <is>
          <t>Neutral Elo baseline; executable ask 0.5800 (market_slug=tsc-dota2-pr-twh-2026-10-13-tot-2pt5).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The Warriors</t>
        </is>
      </c>
      <c r="AQ21" s="24" t="inlineStr">
        <is>
          <t>The Warriors</t>
        </is>
      </c>
      <c r="AR21" s="24" t="inlineStr">
        <is>
          <t>The Warriors</t>
        </is>
      </c>
      <c r="AS21" s="24" t="inlineStr">
        <is>
          <t>Power Rangers</t>
        </is>
      </c>
      <c r="AT21" s="24" t="inlineStr">
        <is>
          <t>Power Rangers</t>
        </is>
      </c>
      <c r="AU21" s="24" t="inlineStr">
        <is>
          <t>Power Rangers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82eaf6866c5f8a33c82bd6297df9b8c17cc34456cc7a74fdcb602fb4705d7601</t>
        </is>
      </c>
      <c r="BB21" s="24" t="inlineStr">
        <is>
          <t>neutral_elo</t>
        </is>
      </c>
      <c r="BC21" s="24" t="inlineStr">
        <is>
          <t>dota2-total-tiered-elo-v6</t>
        </is>
      </c>
      <c r="BD21" s="24" t="inlineStr">
        <is>
          <t>82eaf6866c5f8a33c82bd6297df9b8c17cc34456cc7a74fdcb602fb4705d7601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dota2-total-tiered-elo-v6</t>
        </is>
      </c>
      <c r="BH21" s="24" t="inlineStr">
        <is>
          <t>2026-10-13T11:20:23.925214Z</t>
        </is>
      </c>
      <c r="BI21" s="24" t="inlineStr">
        <is>
          <t>["same_event","same_team_same_day","same_league_same_day"]</t>
        </is>
      </c>
      <c r="BJ21" s="25" t="n">
        <v>2.5</v>
      </c>
      <c r="BK21" s="26" t="n">
        <v>-138</v>
      </c>
      <c r="BL21" s="27" t="n">
        <v>1.724638</v>
      </c>
      <c r="BM21" s="28" t="n">
        <v>0.579832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d1f35b4ff9b847dd</t>
        </is>
      </c>
      <c r="B22" s="24" t="inlineStr">
        <is>
          <t>2026-10-13T17:03:07.936006Z</t>
        </is>
      </c>
      <c r="C22" s="24" t="inlineStr">
        <is>
          <t>2026-10-13T19:00:00Z</t>
        </is>
      </c>
      <c r="D22" s="24" t="inlineStr">
        <is>
          <t>156711</t>
        </is>
      </c>
      <c r="E22" s="24" t="inlineStr">
        <is>
          <t>DOTA2</t>
        </is>
      </c>
      <c r="F22" s="24" t="inlineStr">
        <is>
          <t>salamit</t>
        </is>
      </c>
      <c r="G22" s="24" t="inlineStr">
        <is>
          <t>The Warriors</t>
        </is>
      </c>
      <c r="H22" s="24" t="inlineStr">
        <is>
          <t>total</t>
        </is>
      </c>
      <c r="I22" s="24" t="inlineStr">
        <is>
          <t>under</t>
        </is>
      </c>
      <c r="J22" s="25" t="n">
        <v>2.5</v>
      </c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0.50279</v>
      </c>
      <c r="P22" s="28" t="n"/>
      <c r="Q22" s="28" t="n">
        <v>-0.068025</v>
      </c>
      <c r="R22" s="26" t="n">
        <v>0</v>
      </c>
      <c r="S22" s="29" t="n">
        <v>1</v>
      </c>
      <c r="T22" s="24" t="inlineStr">
        <is>
          <t>dota2-total-tiered-elo-v6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2026-10-13T22:05:42.159954Z</t>
        </is>
      </c>
      <c r="AE22" s="31" t="inlineStr">
        <is>
          <t>Neutral Elo baseline; executable ask 0.5700 (market_slug=tsc-dota2-twh-sala-2026-10-13-tot-2pt5).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salamit</t>
        </is>
      </c>
      <c r="AQ22" s="24" t="inlineStr">
        <is>
          <t>salamit</t>
        </is>
      </c>
      <c r="AR22" s="24" t="inlineStr">
        <is>
          <t>salamit</t>
        </is>
      </c>
      <c r="AS22" s="24" t="inlineStr">
        <is>
          <t>The Warriors</t>
        </is>
      </c>
      <c r="AT22" s="24" t="inlineStr">
        <is>
          <t>The Warriors</t>
        </is>
      </c>
      <c r="AU22" s="24" t="inlineStr">
        <is>
          <t>The Warriors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dbdf8c3e3bd3daca22666c2f38605f226d67625f4460aace1c5df263d8fc71b3</t>
        </is>
      </c>
      <c r="BB22" s="24" t="inlineStr">
        <is>
          <t>neutral_elo</t>
        </is>
      </c>
      <c r="BC22" s="24" t="inlineStr">
        <is>
          <t>dota2-total-tiered-elo-v6</t>
        </is>
      </c>
      <c r="BD22" s="24" t="inlineStr">
        <is>
          <t>dbdf8c3e3bd3daca22666c2f38605f226d67625f4460aace1c5df263d8fc71b3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dota2-total-tiered-elo-v6</t>
        </is>
      </c>
      <c r="BH22" s="24" t="inlineStr">
        <is>
          <t>2026-10-13T17:00:10.303927Z</t>
        </is>
      </c>
      <c r="BI22" s="24" t="inlineStr">
        <is>
          <t>["same_event","same_team_same_day","same_league_same_day"]</t>
        </is>
      </c>
      <c r="BJ22" s="25" t="n">
        <v>2.5</v>
      </c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terminal (MARKET_STATE_EXPIRED) with prices {}; BO3 has no confirming finished-match result either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68cf9b6a21394e92</t>
        </is>
      </c>
      <c r="B23" s="24" t="inlineStr">
        <is>
          <t>2026-10-13T17:03:07.936006Z</t>
        </is>
      </c>
      <c r="C23" s="24" t="inlineStr">
        <is>
          <t>2026-10-13T19:00:00Z</t>
        </is>
      </c>
      <c r="D23" s="24" t="inlineStr">
        <is>
          <t>156711</t>
        </is>
      </c>
      <c r="E23" s="24" t="inlineStr">
        <is>
          <t>DOTA2</t>
        </is>
      </c>
      <c r="F23" s="24" t="inlineStr">
        <is>
          <t>salamit</t>
        </is>
      </c>
      <c r="G23" s="24" t="inlineStr">
        <is>
          <t>The Warriors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194</v>
      </c>
      <c r="M23" s="27" t="n">
        <v>2.94</v>
      </c>
      <c r="N23" s="28" t="n">
        <v>0.340136</v>
      </c>
      <c r="O23" s="28" t="n">
        <v>0.555922</v>
      </c>
      <c r="P23" s="28" t="n"/>
      <c r="Q23" s="28" t="n">
        <v>0.215786</v>
      </c>
      <c r="R23" s="26" t="n">
        <v>100</v>
      </c>
      <c r="S23" s="29" t="n">
        <v>2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2026-10-13T22:05:47.150088Z</t>
        </is>
      </c>
      <c r="AE23" s="31" t="inlineStr">
        <is>
          <t>Neutral Elo baseline; executable ask 0.3400 (market_slug=aec-dota2-twh-sala-2026-10-13).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salamit</t>
        </is>
      </c>
      <c r="AQ23" s="24" t="inlineStr">
        <is>
          <t>salamit</t>
        </is>
      </c>
      <c r="AR23" s="24" t="inlineStr">
        <is>
          <t>salamit</t>
        </is>
      </c>
      <c r="AS23" s="24" t="inlineStr">
        <is>
          <t>The Warriors</t>
        </is>
      </c>
      <c r="AT23" s="24" t="inlineStr">
        <is>
          <t>The Warriors</t>
        </is>
      </c>
      <c r="AU23" s="24" t="inlineStr">
        <is>
          <t>The Warriors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dbdf8c3e3bd3daca22666c2f38605f226d67625f4460aace1c5df263d8fc71b3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dbdf8c3e3bd3daca22666c2f38605f226d67625f4460aace1c5df263d8fc71b3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2026-10-13T17:00:20.578625Z</t>
        </is>
      </c>
      <c r="BI23" s="24" t="inlineStr">
        <is>
          <t>["same_event","same_team_same_day","same_league_same_day"]</t>
        </is>
      </c>
      <c r="BJ23" s="25" t="n"/>
      <c r="BK23" s="26" t="n">
        <v>194</v>
      </c>
      <c r="BL23" s="27" t="n">
        <v>2.94</v>
      </c>
      <c r="BM23" s="28" t="n">
        <v>0.340136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terminal (MARKET_STATE_EXPIRED) with prices {}; BO3 has no confirming finished-match result either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"dbdf8c3e3bd3daca22666c2f38605f226d67625f4460aace1c5df263d8fc71b3", "away_team": "salamit", "event_id": "156711", "event_start_utc": "2026-10-13T19:00:00Z", "features": {"away_elo": 1460.291035, "away_history_count": 1, "home_elo": 1546.705133, "home_history_count": 5}, "historical_source_observation_times_verified": false, "home_team": "The Warriors", "inference_inputs": {"book_state": {"games_played": {"bo3:4:25465": 5, "bo3:4:25478": 1}, "inactivity_half_life_days": null, "inactivity_max_pull": null, "k": 48.0, "last_match_utc": {"bo3:4:25465": "2026-10-13T13:15:00Z", "bo3:4:25478": "2026-10-12T13:10:00Z"}, "minimum_reliable_games": null, "platt_intercept": 0.0660951180882821, "platt_slope": 0.8503469876096356, "ratings": {"bo3:4:25465": 1546.705133, "bo3:4:25478": 1460.291035},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["bo3:4:25465", "bo3:4:25478"]}, "market_type": "moneyline", "model_version": "dota2-tiered-elo-v6", "observed_at_utc": "2026-10-13T16:58:36.903465+00:00", "probabilities": {"away": 0.444078, "home": 0.555922}, "replay_scope": "Exact serving book state, calibration, temperature, inactivity reference and thin-history adjustments; training provenance not certified.", "schema": "esports-elo-replay-v1", "snapshot_hash": "2f2a234e6a44119421ca10c14d5f4e4e09831bd4f160550721c7e4aaf1a169d4", "sport": "DOTA2"}</t>
        </is>
      </c>
    </row>
    <row r="24" ht="36" customHeight="1">
      <c r="A24" s="24" t="inlineStr">
        <is>
          <t>4e6adcfa016f48e5</t>
        </is>
      </c>
      <c r="B24" s="24" t="inlineStr">
        <is>
          <t>2026-10-13T17:03:07.936006Z</t>
        </is>
      </c>
      <c r="C24" s="24" t="inlineStr">
        <is>
          <t>2026-10-13T21:00:00Z</t>
        </is>
      </c>
      <c r="D24" s="24" t="inlineStr">
        <is>
          <t>156778</t>
        </is>
      </c>
      <c r="E24" s="24" t="inlineStr">
        <is>
          <t>DOTA2</t>
        </is>
      </c>
      <c r="F24" s="24" t="inlineStr">
        <is>
          <t>Rottweilas Latam</t>
        </is>
      </c>
      <c r="G24" s="24" t="inlineStr">
        <is>
          <t>Amaru Gaming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0.522778</v>
      </c>
      <c r="P24" s="28" t="n"/>
      <c r="Q24" s="28" t="n">
        <v>0.093593</v>
      </c>
      <c r="R24" s="26" t="n">
        <v>67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133</v>
      </c>
      <c r="AA24" s="28" t="n">
        <v>0.43</v>
      </c>
      <c r="AB24" s="28" t="n">
        <v>0.000815</v>
      </c>
      <c r="AC24" s="30" t="n">
        <v>-1.25</v>
      </c>
      <c r="AD24" s="24" t="inlineStr">
        <is>
          <t>2026-10-14T04:32:49.741971Z</t>
        </is>
      </c>
      <c r="AE24" s="31" t="inlineStr">
        <is>
          <t>Neutral Elo baseline; executable ask 0.4300 (market_slug=aec-dota2-agm-rl-2026-10-13).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Rottweilas Latam</t>
        </is>
      </c>
      <c r="AQ24" s="24" t="inlineStr">
        <is>
          <t>Rottweilas Latam</t>
        </is>
      </c>
      <c r="AR24" s="24" t="inlineStr">
        <is>
          <t>Rottweilas Latam</t>
        </is>
      </c>
      <c r="AS24" s="24" t="inlineStr">
        <is>
          <t>Amaru Gaming</t>
        </is>
      </c>
      <c r="AT24" s="24" t="inlineStr">
        <is>
          <t>Amaru Gaming</t>
        </is>
      </c>
      <c r="AU24" s="24" t="inlineStr">
        <is>
          <t>Amaru Gaming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dbdf8c3e3bd3daca22666c2f38605f226d67625f4460aace1c5df263d8fc71b3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dbdf8c3e3bd3daca22666c2f38605f226d67625f4460aace1c5df263d8fc71b3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2026-10-13T17:00:20.655668Z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>
        <v>2.33</v>
      </c>
      <c r="BR24" s="28" t="n">
        <v>0.43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"dbdf8c3e3bd3daca22666c2f38605f226d67625f4460aace1c5df263d8fc71b3", "away_team": "Rottweilas Latam", "event_id": "156778", "event_start_utc": "2026-10-13T21:00:00Z", "features": {"away_elo": 1589.161828, "away_history_count": 14, "home_elo": 1583.277818, "home_history_count": 40}, "historical_source_observation_times_verified": false, "home_team": "Amaru Gaming", "inference_inputs": {"book_state": {"games_played": {"bo3:4:22157": 40, "bo3:4:22288": 14}, "inactivity_half_life_days": null, "inactivity_max_pull": null, "k": 48.0, "last_match_utc": {"bo3:4:22157": "2026-08-08T18:00:00Z", "bo3:4:22288": "2026-10-10T21:10:00Z"}, "minimum_reliable_games": null, "platt_intercept": 0.0660951180882821, "platt_slope": 0.8503469876096356, "ratings": {"bo3:4:22157": 1583.277818, "bo3:4:22288": 1589.161828},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["bo3:4:22157", "bo3:4:22288"]}, "market_type": "moneyline", "model_version": "dota2-tiered-elo-v6", "observed_at_utc": "2026-10-13T16:58:36.903465+00:00", "probabilities": {"away": 0.522778, "home": 0.477222}, "replay_scope": "Exact serving book state, calibration, temperature, inactivity reference and thin-history adjustments; training provenance not certified.", "schema": "esports-elo-replay-v1", "snapshot_hash": "1a7c59420f60a97593d4329efa8097f5c696c3d97857d7a28977af1a5fb919e0", "sport": "DOTA2"}</t>
        </is>
      </c>
    </row>
    <row r="25" ht="36" customHeight="1">
      <c r="A25" s="24" t="inlineStr">
        <is>
          <t>e71ff76ddfc649ca</t>
        </is>
      </c>
      <c r="B25" s="24" t="inlineStr">
        <is>
          <t>2026-10-13T22:33:54.449023Z</t>
        </is>
      </c>
      <c r="C25" s="24" t="inlineStr">
        <is>
          <t>2026-10-14T04:00:00Z</t>
        </is>
      </c>
      <c r="D25" s="24" t="inlineStr">
        <is>
          <t>158262</t>
        </is>
      </c>
      <c r="E25" s="24" t="inlineStr">
        <is>
          <t>DOTA2</t>
        </is>
      </c>
      <c r="F25" s="24" t="inlineStr">
        <is>
          <t>Cloud Dawning</t>
        </is>
      </c>
      <c r="G25" s="24" t="inlineStr">
        <is>
          <t>Imperial Power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0.574536</v>
      </c>
      <c r="P25" s="28" t="n"/>
      <c r="Q25" s="28" t="n">
        <v>0.183911</v>
      </c>
      <c r="R25" s="26" t="n">
        <v>100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push</t>
        </is>
      </c>
      <c r="W25" s="26" t="n"/>
      <c r="X25" s="26" t="n"/>
      <c r="Y25" s="25" t="n"/>
      <c r="Z25" s="26" t="n"/>
      <c r="AA25" s="28" t="n"/>
      <c r="AB25" s="28" t="n"/>
      <c r="AC25" s="30" t="n">
        <v>0</v>
      </c>
      <c r="AD25" s="24" t="inlineStr">
        <is>
          <t>2026-10-14T04:32:55.433119Z</t>
        </is>
      </c>
      <c r="AE25" s="31" t="inlineStr">
        <is>
          <t>Neutral Elo baseline; executable ask 0.3900 (market_slug=aec-dota2-ip-cd-2026-10-14).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Cloud Dawning</t>
        </is>
      </c>
      <c r="AQ25" s="24" t="inlineStr">
        <is>
          <t>Cloud Dawning</t>
        </is>
      </c>
      <c r="AR25" s="24" t="inlineStr">
        <is>
          <t>Cloud Dawning</t>
        </is>
      </c>
      <c r="AS25" s="24" t="inlineStr">
        <is>
          <t>Imperial Power</t>
        </is>
      </c>
      <c r="AT25" s="24" t="inlineStr">
        <is>
          <t>Imperial Power</t>
        </is>
      </c>
      <c r="AU25" s="24" t="inlineStr">
        <is>
          <t>Imperial Power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dc027529e76ab16bef8ea31225ca11d3fdf6385e7d78b957d3e380f789668697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dc027529e76ab16bef8ea31225ca11d3fdf6385e7d78b957d3e380f789668697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2026-10-13T22:29:18.434519Z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inlineStr">
        <is>
          <t>esports market terminal (MARKET_STATE_EXPIRED) with prices {}; BO3 has no confirming finished-match result either</t>
        </is>
      </c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"dc027529e76ab16bef8ea31225ca11d3fdf6385e7d78b957d3e380f789668697", "away_team": "Cloud Dawning", "event_id": "158262", "event_start_utc": "2026-10-14T04:00:00Z", "features": {"away_elo": 1365.355637, "away_history_count": 37, "home_elo": 1485.9812, "home_history_count": 1}, "historical_source_observation_times_verified": false, "home_team": "Imperial Power", "inference_inputs": {"book_state": {"games_played": {"bo3:4:21875": 37, "bo3:4:25484": 1}, "inactivity_half_life_days": null, "inactivity_max_pull": null, "k": 48.0, "last_match_utc": {"bo3:4:21875": "2026-10-13T08:10:00Z", "bo3:4:25484": "2026-10-13T04:00:00Z"}, "minimum_reliable_games": null, "platt_intercept": 0.07002877626643239, "platt_slope": 0.8484442429825593, "ratings": {"bo3:4:21875": 1365.355637, "bo3:4:25484": 1485.9812},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["bo3:4:25484", "bo3:4:21875"]}, "market_type": "moneyline", "model_version": "dota2-tiered-elo-v6", "observed_at_utc": "2026-10-13T22:29:07.791212+00:00", "probabilities": {"away": 0.425464, "home": 0.574536}, "replay_scope": "Exact serving book state, calibration, temperature, inactivity reference and thin-history adjustments; training provenance not certified.", "schema": "esports-elo-replay-v1", "snapshot_hash": "4ef0cf261aa1b84820c96fdd8c3f5ce33af807e3f098383a4fd68626aa144876", "sport": "DOTA2"}</t>
        </is>
      </c>
    </row>
    <row r="26" ht="36" customHeight="1">
      <c r="A26" s="24" t="inlineStr">
        <is>
          <t>55c35ff24a874217</t>
        </is>
      </c>
      <c r="B26" s="24" t="inlineStr">
        <is>
          <t>2026-10-13T22:33:54.449023Z</t>
        </is>
      </c>
      <c r="C26" s="24" t="inlineStr">
        <is>
          <t>2026-10-14T09:00:00Z</t>
        </is>
      </c>
      <c r="D26" s="24" t="inlineStr">
        <is>
          <t>158214</t>
        </is>
      </c>
      <c r="E26" s="24" t="inlineStr">
        <is>
          <t>DOTA2</t>
        </is>
      </c>
      <c r="F26" s="24" t="inlineStr">
        <is>
          <t>Kalmychata</t>
        </is>
      </c>
      <c r="G26" s="24" t="inlineStr">
        <is>
          <t>Nemiga Gaming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0.591647</v>
      </c>
      <c r="P26" s="28" t="n"/>
      <c r="Q26" s="28" t="n">
        <v>-0.037983</v>
      </c>
      <c r="R26" s="26" t="n">
        <v>1</v>
      </c>
      <c r="S26" s="29" t="n">
        <v>1</v>
      </c>
      <c r="T26" s="24" t="inlineStr">
        <is>
          <t>dota2-tiered-elo-v6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0.6300 (market_slug=aec-dota2-nemiga-kalmy-2026-10-14).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Kalmychata</t>
        </is>
      </c>
      <c r="AQ26" s="24" t="inlineStr">
        <is>
          <t>Kalmychata</t>
        </is>
      </c>
      <c r="AR26" s="24" t="inlineStr">
        <is>
          <t>Kalmychata</t>
        </is>
      </c>
      <c r="AS26" s="24" t="inlineStr">
        <is>
          <t>Nemiga Gaming</t>
        </is>
      </c>
      <c r="AT26" s="24" t="inlineStr">
        <is>
          <t>Nemiga Gaming</t>
        </is>
      </c>
      <c r="AU26" s="24" t="inlineStr">
        <is>
          <t>Nemiga Gaming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dc027529e76ab16bef8ea31225ca11d3fdf6385e7d78b957d3e380f789668697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dc027529e76ab16bef8ea31225ca11d3fdf6385e7d78b957d3e380f789668697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2026-10-13T22:29:58.800963Z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"dc027529e76ab16bef8ea31225ca11d3fdf6385e7d78b957d3e380f789668697", "away_team": "Kalmychata", "event_id": "158214", "event_start_utc": "2026-10-14T09:00:00Z", "features": {"away_elo": 1592.500579, "away_history_count": 168, "home_elo": 1488.072875, "home_history_count": 297}, "historical_source_observation_times_verified": false, "home_team": "Nemiga Gaming", "inference_inputs": {"book_state": {"games_played": {"bo3:4:15089": 168, "bo3:4:16398": 297}, "inactivity_half_life_days": null, "inactivity_max_pull": null, "k": 48.0, "last_match_utc": {"bo3:4:15089": "2026-10-13T09:00:00Z", "bo3:4:16398": "2026-10-13T16:00:00Z"}, "minimum_reliable_games": null, "platt_intercept": 0.07002877626643239, "platt_slope": 0.8484442429825593, "ratings": {"bo3:4:15089": 1592.500579, "bo3:4:16398": 1488.072875},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["bo3:4:16398", "bo3:4:15089"]}, "market_type": "moneyline", "model_version": "dota2-tiered-elo-v6", "observed_at_utc": "2026-10-13T22:29:07.791212+00:00", "probabilities": {"away": 0.591647, "home": 0.408353}, "replay_scope": "Exact serving book state, calibration, temperature, inactivity reference and thin-history adjustments; training provenance not certified.", "schema": "esports-elo-replay-v1", "snapshot_hash": "2685a146ca3f8bb6364c69a072fbde4add522d53bd902c0ee0b3c9209ae30f73", "sport": "DOTA2"}</t>
        </is>
      </c>
    </row>
    <row r="27" ht="36" customHeight="1">
      <c r="A27" s="24" t="inlineStr">
        <is>
          <t>d792a57d1f404372</t>
        </is>
      </c>
      <c r="B27" s="24" t="inlineStr">
        <is>
          <t>2026-10-13T22:33:54.449023Z</t>
        </is>
      </c>
      <c r="C27" s="24" t="inlineStr">
        <is>
          <t>2026-10-14T16:00:00Z</t>
        </is>
      </c>
      <c r="D27" s="24" t="inlineStr">
        <is>
          <t>156718</t>
        </is>
      </c>
      <c r="E27" s="24" t="inlineStr">
        <is>
          <t>DOTA2</t>
        </is>
      </c>
      <c r="F27" s="24" t="inlineStr">
        <is>
          <t>salamit</t>
        </is>
      </c>
      <c r="G27" s="24" t="inlineStr">
        <is>
          <t>Nemiga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0.390625</v>
      </c>
      <c r="O27" s="28" t="n">
        <v>0.523645</v>
      </c>
      <c r="P27" s="28" t="n"/>
      <c r="Q27" s="28" t="n">
        <v>0.13302</v>
      </c>
      <c r="R27" s="26" t="n">
        <v>87</v>
      </c>
      <c r="S27" s="29" t="n">
        <v>1.5</v>
      </c>
      <c r="T27" s="24" t="inlineStr">
        <is>
          <t>dota2-tiered-elo-v6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0.3900 (market_slug=aec-dota2-nemiga-sala-2026-10-14).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salamit</t>
        </is>
      </c>
      <c r="AQ27" s="24" t="inlineStr">
        <is>
          <t>salamit</t>
        </is>
      </c>
      <c r="AR27" s="24" t="inlineStr">
        <is>
          <t>salamit</t>
        </is>
      </c>
      <c r="AS27" s="24" t="inlineStr">
        <is>
          <t>Nemiga Gaming</t>
        </is>
      </c>
      <c r="AT27" s="24" t="inlineStr">
        <is>
          <t>Nemiga Gaming</t>
        </is>
      </c>
      <c r="AU27" s="24" t="inlineStr">
        <is>
          <t>Nemiga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dc027529e76ab16bef8ea31225ca11d3fdf6385e7d78b957d3e380f789668697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dc027529e76ab16bef8ea31225ca11d3fdf6385e7d78b957d3e380f789668697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2026-10-13T22:32:02.017912Z</t>
        </is>
      </c>
      <c r="BI27" s="24" t="inlineStr">
        <is>
          <t>["same_event","same_team_same_day","same_league_same_day"]</t>
        </is>
      </c>
      <c r="BJ27" s="25" t="n"/>
      <c r="BK27" s="26" t="n">
        <v>156</v>
      </c>
      <c r="BL27" s="27" t="n">
        <v>2.56</v>
      </c>
      <c r="BM27" s="28" t="n">
        <v>0.390625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"dc027529e76ab16bef8ea31225ca11d3fdf6385e7d78b957d3e380f789668697", "away_team": "salamit", "event_id": "156718", "event_start_utc": "2026-10-14T16:00:00Z", "features": {"away_elo": 1460.287151, "away_history_count": 1, "home_elo": 1488.072875, "home_history_count": 297}, "historical_source_observation_times_verified": false, "home_team": "Nemiga Gaming", "inference_inputs": {"book_state": {"games_played": {"bo3:4:16398": 297, "bo3:4:25478": 1}, "inactivity_half_life_days": null, "inactivity_max_pull": null, "k": 48.0, "last_match_utc": {"bo3:4:16398": "2026-10-13T16:00:00Z", "bo3:4:25478": "2026-10-12T13:10:00Z"}, "minimum_reliable_games": null, "platt_intercept": 0.07002877626643239, "platt_slope": 0.8484442429825593, "ratings": {"bo3:4:16398": 1488.072875, "bo3:4:25478": 1460.287151},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["bo3:4:16398", "bo3:4:25478"]}, "market_type": "moneyline", "model_version": "dota2-tiered-elo-v6", "observed_at_utc": "2026-10-13T22:29:07.791212+00:00", "probabilities": {"away": 0.476355, "home": 0.523645}, "replay_scope": "Exact serving book state, calibration, temperature, inactivity reference and thin-history adjustments; training provenance not certified.", "schema": "esports-elo-replay-v1", "snapshot_hash": "fcd9e7bfaf0a7aef8cfe55b5174f307553eff49f6da840b15ce6cac7e8797e4a", "sport": "DOTA2"}</t>
        </is>
      </c>
    </row>
    <row r="28" ht="36" customHeight="1">
      <c r="A28" s="24" t="inlineStr">
        <is>
          <t>34fe36aea8d14219</t>
        </is>
      </c>
      <c r="B28" s="24" t="inlineStr">
        <is>
          <t>2026-10-13T22:33:54.449023Z</t>
        </is>
      </c>
      <c r="C28" s="24" t="inlineStr">
        <is>
          <t>2026-10-14T19:00:00Z</t>
        </is>
      </c>
      <c r="D28" s="24" t="inlineStr">
        <is>
          <t>156716</t>
        </is>
      </c>
      <c r="E28" s="24" t="inlineStr">
        <is>
          <t>DOTA2</t>
        </is>
      </c>
      <c r="F28" s="24" t="inlineStr">
        <is>
          <t>salamit</t>
        </is>
      </c>
      <c r="G28" s="24" t="inlineStr">
        <is>
          <t>Dawn Bulls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0.5946399999999999</v>
      </c>
      <c r="P28" s="28" t="n"/>
      <c r="Q28" s="28" t="n">
        <v>-0.095762</v>
      </c>
      <c r="R28" s="26" t="n">
        <v>0</v>
      </c>
      <c r="S28" s="29" t="n">
        <v>1</v>
      </c>
      <c r="T28" s="24" t="inlineStr">
        <is>
          <t>dota2-tiered-elo-v6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0.6900 (market_slug=aec-dota2-dba-sala-2026-10-14).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salamit</t>
        </is>
      </c>
      <c r="AQ28" s="24" t="inlineStr">
        <is>
          <t>salamit</t>
        </is>
      </c>
      <c r="AR28" s="24" t="inlineStr">
        <is>
          <t>salamit</t>
        </is>
      </c>
      <c r="AS28" s="24" t="inlineStr">
        <is>
          <t>Dawn Bulls</t>
        </is>
      </c>
      <c r="AT28" s="24" t="inlineStr">
        <is>
          <t>Dawn Bulls</t>
        </is>
      </c>
      <c r="AU28" s="24" t="inlineStr">
        <is>
          <t>Dawn Bulls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dc027529e76ab16bef8ea31225ca11d3fdf6385e7d78b957d3e380f789668697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dc027529e76ab16bef8ea31225ca11d3fdf6385e7d78b957d3e380f789668697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2026-10-13T22:33:23.747123Z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"dc027529e76ab16bef8ea31225ca11d3fdf6385e7d78b957d3e380f789668697", "away_team": "salamit", "event_id": "156716", "event_start_utc": "2026-10-14T19:00:00Z", "features": {"away_elo": 1460.287151, "away_history_count": 1, "home_elo": 1620.120862, "home_history_count": 6}, "historical_source_observation_times_verified": false, "home_team": "Dawn Bulls", "inference_inputs": {"book_state": {"games_played": {"bo3:4:25301": 6, "bo3:4:25478": 1}, "inactivity_half_life_days": null, "inactivity_max_pull": null, "k": 48.0, "last_match_utc": {"bo3:4:25301": "2026-10-13T16:00:00Z", "bo3:4:25478": "2026-10-12T13:10:00Z"}, "minimum_reliable_games": null, "platt_intercept": 0.07002877626643239, "platt_slope": 0.8484442429825593, "ratings": {"bo3:4:25301": 1620.120862, "bo3:4:25478": 1460.287151},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["bo3:4:25301", "bo3:4:25478"]}, "market_type": "moneyline", "model_version": "dota2-tiered-elo-v6", "observed_at_utc": "2026-10-13T22:29:07.791212+00:00", "probabilities": {"away": 0.40536, "home": 0.59464}, "replay_scope": "Exact serving book state, calibration, temperature, inactivity reference and thin-history adjustments; training provenance not certified.", "schema": "esports-elo-replay-v1", "snapshot_hash": "2c88dd441710ecb8ad52dbe18df7d7bb9fa56f7788499bd04a0de2c69936ee26",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2026-10-14T04:32:56Z</dcterms:created>
  <dcterms:modified xmlns:dcterms="http://purl.org/dc/terms/" xmlns:xsi="http://www.w3.org/2001/XMLSchema-instance" xsi:type="dcterms:W3CDTF">2026-10-14T04:32:56Z</dcterms:modified>
</cp:coreProperties>
</file>