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36" headerRowCount="1">
  <autoFilter ref="A1:DQ36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COUNTA('Picks'!$A$2:$A$36)</f>
        <v/>
      </c>
      <c r="C4" s="6">
        <f>COUNTIF('Picks'!$U$2:$U$36,"open")</f>
        <v/>
      </c>
      <c r="E4" s="6">
        <f>COUNTIF('Picks'!$U$2:$U$36,"settled")</f>
        <v/>
      </c>
      <c r="G4" s="6">
        <f>IF(COUNTIFS('Picks'!$U$2:$U$36,"settled",'Picks'!$V$2:$V$36,"win")+COUNTIFS('Picks'!$U$2:$U$36,"settled",'Picks'!$V$2:$V$36,"loss")&gt;=$L$2,"Ready","Insufficient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COUNTIF('Picks'!$BX$2:$BX$36,"&gt;0")</f>
        <v/>
      </c>
      <c r="C7" s="6">
        <f>COUNTIFS('Picks'!$BX$2:$BX$36,"&gt;0",'Picks'!$V$2:$V$36,"win")&amp;"-"&amp;COUNTIFS('Picks'!$BX$2:$BX$36,"&gt;0",'Picks'!$V$2:$V$36,"loss")</f>
        <v/>
      </c>
      <c r="E7" s="7">
        <f>IFERROR(COUNTIFS('Picks'!$BX$2:$BX$36,"&gt;0",'Picks'!$V$2:$V$36,"win")/(COUNTIFS('Picks'!$BX$2:$BX$36,"&gt;0",'Picks'!$V$2:$V$36,"win")+COUNTIFS('Picks'!$BX$2:$BX$36,"&gt;0",'Picks'!$V$2:$V$36,"loss")),0)</f>
        <v/>
      </c>
      <c r="G7" s="7">
        <f>IFERROR(SUM('Picks'!$BY$2:$BY$36)/SUM('Picks'!$BX$2:$BX$36),0)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SUM('Picks'!$BY$2:$BY$36)</f>
        <v/>
      </c>
      <c r="C10" s="9">
        <f>IFERROR(AVERAGEIF('Picks'!$AB$2:$AB$36,"&lt;&gt;",'Picks'!$AB$2:$AB$36),0)</f>
        <v/>
      </c>
      <c r="E10" s="6">
        <f>COUNTIFS('Picks'!$AM$2:$AM$36,"QUALIFIED_SHADOW_CALL",'Picks'!$U$2:$U$36,"settled")</f>
        <v/>
      </c>
      <c r="G10" s="8">
        <f>SUMIFS('Picks'!$AC$2:$AC$36,'Picks'!$AM$2:$AM$36,"QUALIFIED_SHADOW_CALL")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COUNTIFS('Picks'!$H$2:$H$36,$A14,'Picks'!$U$2:$U$36,"settled")</f>
        <v/>
      </c>
      <c r="C14" s="13">
        <f>COUNTIFS('Picks'!$H$2:$H$36,$A14,'Picks'!$U$2:$U$36,"settled",'Picks'!$V$2:$V$36,"win")</f>
        <v/>
      </c>
      <c r="D14" s="13">
        <f>COUNTIFS('Picks'!$H$2:$H$36,$A14,'Picks'!$U$2:$U$36,"settled",'Picks'!$V$2:$V$36,"loss")</f>
        <v/>
      </c>
      <c r="E14" s="14">
        <f>IFERROR(C14/(C14+D14),0)</f>
        <v/>
      </c>
      <c r="F14" s="15">
        <f>SUMIFS('Picks'!$BY$2:$BY$36,'Picks'!$H$2:$H$36,$A14)</f>
        <v/>
      </c>
      <c r="G14" s="16">
        <f>IFERROR(AVERAGEIFS('Picks'!$AB$2:$AB$36,'Picks'!$H$2:$H$36,$A14,'Picks'!$U$2:$U$36,"settled"),0)</f>
        <v/>
      </c>
    </row>
    <row r="15">
      <c r="A15" s="17" t="inlineStr">
        <is>
          <t>spread</t>
        </is>
      </c>
      <c r="B15" s="18">
        <f>COUNTIFS('Picks'!$H$2:$H$36,$A15,'Picks'!$U$2:$U$36,"settled")</f>
        <v/>
      </c>
      <c r="C15" s="18">
        <f>COUNTIFS('Picks'!$H$2:$H$36,$A15,'Picks'!$U$2:$U$36,"settled",'Picks'!$V$2:$V$36,"win")</f>
        <v/>
      </c>
      <c r="D15" s="18">
        <f>COUNTIFS('Picks'!$H$2:$H$36,$A15,'Picks'!$U$2:$U$36,"settled",'Picks'!$V$2:$V$36,"loss")</f>
        <v/>
      </c>
      <c r="E15" s="19">
        <f>IFERROR(C15/(C15+D15),0)</f>
        <v/>
      </c>
      <c r="F15" s="20">
        <f>SUMIFS('Picks'!$BY$2:$BY$36,'Picks'!$H$2:$H$36,$A15)</f>
        <v/>
      </c>
      <c r="G15" s="21">
        <f>IFERROR(AVERAGEIFS('Picks'!$AB$2:$AB$36,'Picks'!$H$2:$H$36,$A15,'Picks'!$U$2:$U$36,"settled"),0)</f>
        <v/>
      </c>
    </row>
    <row r="16">
      <c r="A16" s="12" t="inlineStr">
        <is>
          <t>total</t>
        </is>
      </c>
      <c r="B16" s="13">
        <f>COUNTIFS('Picks'!$H$2:$H$36,$A16,'Picks'!$U$2:$U$36,"settled")</f>
        <v/>
      </c>
      <c r="C16" s="13">
        <f>COUNTIFS('Picks'!$H$2:$H$36,$A16,'Picks'!$U$2:$U$36,"settled",'Picks'!$V$2:$V$36,"win")</f>
        <v/>
      </c>
      <c r="D16" s="13">
        <f>COUNTIFS('Picks'!$H$2:$H$36,$A16,'Picks'!$U$2:$U$36,"settled",'Picks'!$V$2:$V$36,"loss")</f>
        <v/>
      </c>
      <c r="E16" s="14">
        <f>IFERROR(C16/(C16+D16),0)</f>
        <v/>
      </c>
      <c r="F16" s="15">
        <f>SUMIFS('Picks'!$BY$2:$BY$36,'Picks'!$H$2:$H$36,$A16)</f>
        <v/>
      </c>
      <c r="G16" s="16">
        <f>IFERROR(AVERAGEIFS('Picks'!$AB$2:$AB$36,'Picks'!$H$2:$H$36,$A16,'Picks'!$U$2:$U$36,"settled"),0)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6754815580954e41</t>
        </is>
      </c>
      <c r="B2" s="24" t="inlineStr">
        <is>
          <t>2026-10-05T22:25:55.486296Z</t>
        </is>
      </c>
      <c r="C2" s="24" t="inlineStr">
        <is>
          <t>2026-10-06T03:00:00Z</t>
        </is>
      </c>
      <c r="D2" s="24" t="inlineStr">
        <is>
          <t>143516</t>
        </is>
      </c>
      <c r="E2" s="24" t="inlineStr">
        <is>
          <t>DOTA2</t>
        </is>
      </c>
      <c r="F2" s="24" t="inlineStr">
        <is>
          <t>InterActive Philippines</t>
        </is>
      </c>
      <c r="G2" s="24" t="inlineStr">
        <is>
          <t>Yangon Galacticos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-133</v>
      </c>
      <c r="M2" s="27" t="n">
        <v>1.75188</v>
      </c>
      <c r="N2" s="28" t="n">
        <v>0.570815</v>
      </c>
      <c r="O2" s="28" t="n">
        <v>0.506171</v>
      </c>
      <c r="P2" s="28" t="n"/>
      <c r="Q2" s="28" t="n">
        <v>-0.06464399999999999</v>
      </c>
      <c r="R2" s="26" t="n">
        <v>0</v>
      </c>
      <c r="S2" s="29" t="n">
        <v>1</v>
      </c>
      <c r="T2" s="24" t="inlineStr">
        <is>
          <t>dota2-tiered-elo-v6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-133</v>
      </c>
      <c r="AA2" s="28" t="n">
        <v>0.57</v>
      </c>
      <c r="AB2" s="28" t="n">
        <v>-0.000815</v>
      </c>
      <c r="AC2" s="30" t="n">
        <v>0.7519</v>
      </c>
      <c r="AD2" s="24" t="inlineStr">
        <is>
          <t>2026-10-06T10:01:10.196234Z</t>
        </is>
      </c>
      <c r="AE2" s="31" t="inlineStr">
        <is>
          <t>Neutral Elo baseline; executable ask 0.5700 (market_slug=aec-dota2-yg-iac-2026-10-06).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paper_call</t>
        </is>
      </c>
      <c r="AL2" s="26" t="n">
        <v>4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InterActive Philippines</t>
        </is>
      </c>
      <c r="AQ2" s="24" t="inlineStr">
        <is>
          <t>InterActive Philippines</t>
        </is>
      </c>
      <c r="AR2" s="24" t="inlineStr">
        <is>
          <t>InterActive Philippines</t>
        </is>
      </c>
      <c r="AS2" s="24" t="inlineStr">
        <is>
          <t>Yangon Galacticos</t>
        </is>
      </c>
      <c r="AT2" s="24" t="inlineStr">
        <is>
          <t>Yangon Galacticos</t>
        </is>
      </c>
      <c r="AU2" s="24" t="inlineStr">
        <is>
          <t>Yangon Galacticos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8fd316347e24d5faa7a92e7ef89a639c490973a25d2b8dbb2af706a2af5abf92</t>
        </is>
      </c>
      <c r="BB2" s="24" t="inlineStr">
        <is>
          <t>neutral_elo</t>
        </is>
      </c>
      <c r="BC2" s="24" t="inlineStr">
        <is>
          <t>dota2-tiered-elo-v6</t>
        </is>
      </c>
      <c r="BD2" s="24" t="inlineStr">
        <is>
          <t>8fd316347e24d5faa7a92e7ef89a639c490973a25d2b8dbb2af706a2af5abf92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dota2-tiered-elo-v6</t>
        </is>
      </c>
      <c r="BH2" s="24" t="inlineStr">
        <is>
          <t>2026-10-05T22:25:23.814001Z</t>
        </is>
      </c>
      <c r="BI2" s="24" t="inlineStr">
        <is>
          <t>["same_event","same_team_same_day","same_league_same_day"]</t>
        </is>
      </c>
      <c r="BJ2" s="25" t="n"/>
      <c r="BK2" s="26" t="n">
        <v>-133</v>
      </c>
      <c r="BL2" s="27" t="n">
        <v>1.75188</v>
      </c>
      <c r="BM2" s="28" t="n">
        <v>0.570815</v>
      </c>
      <c r="BN2" s="28" t="n"/>
      <c r="BO2" s="28" t="n"/>
      <c r="BP2" s="25" t="n"/>
      <c r="BQ2" s="27" t="n">
        <v>1.75188</v>
      </c>
      <c r="BR2" s="28" t="n">
        <v>0.57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False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0.570815</t>
        </is>
      </c>
      <c r="DK2" s="24" t="n"/>
      <c r="DL2" s="24" t="n"/>
      <c r="DM2" s="24" t="n"/>
      <c r="DN2" s="24" t="n"/>
      <c r="DO2" s="24" t="n"/>
      <c r="DP2" s="24" t="n"/>
      <c r="DQ2" s="24" t="inlineStr">
        <is>
          <t>{"artifact_hash": "8fd316347e24d5faa7a92e7ef89a639c490973a25d2b8dbb2af706a2af5abf92", "away_team": "InterActive Philippines", "event_id": "143516", "event_start_utc": "2026-10-06T03:00:00Z", "features": {"away_elo": 1587.691293, "away_history_count": 194, "home_elo": 1566.553099, "home_history_count": 248}, "historical_source_observation_times_verified": false, "home_team": "Yangon Galacticos", "inference_inputs": {"book_state": {"games_played": {"bo3:4:15612": 194, "bo3:4:15805": 248}, "inactivity_half_life_days": null, "inactivity_max_pull": null, "k": 48.0, "last_match_utc": {"bo3:4:15612": "2026-10-04T06:20:00Z", "bo3:4:15805": "2026-10-01T03:10:00Z"}, "minimum_reliable_games": null, "platt_intercept": 0.08103315066152637, "platt_slope": 0.8449481325411426, "ratings": {"bo3:4:15612": 1587.691293, "bo3:4:15805": 1566.553099},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["bo3:4:15805", "bo3:4:15612"]}, "market_type": "moneyline", "model_version": "dota2-tiered-elo-v6", "observed_at_utc": "2026-10-05T22:25:23.694580+00:00", "probabilities": {"away": 0.506171, "home": 0.493829}, "replay_scope": "Exact serving book state, calibration, temperature, inactivity reference and thin-history adjustments; training provenance not certified.", "schema": "esports-elo-replay-v1", "snapshot_hash": "2172ba463ba0686ecf088107e2b9e2f84c07dd92910d87a7583d9f5082a7d563", "sport": "DOTA2"}</t>
        </is>
      </c>
    </row>
    <row r="3" ht="36" customHeight="1">
      <c r="A3" s="24" t="inlineStr">
        <is>
          <t>8d5b805d9c6949e6</t>
        </is>
      </c>
      <c r="B3" s="24" t="inlineStr">
        <is>
          <t>2026-10-05T22:25:55.486296Z</t>
        </is>
      </c>
      <c r="C3" s="24" t="inlineStr">
        <is>
          <t>2026-10-06T08:00:00Z</t>
        </is>
      </c>
      <c r="D3" s="24" t="inlineStr">
        <is>
          <t>143561</t>
        </is>
      </c>
      <c r="E3" s="24" t="inlineStr">
        <is>
          <t>DOTA2</t>
        </is>
      </c>
      <c r="F3" s="24" t="inlineStr">
        <is>
          <t>CyberHero</t>
        </is>
      </c>
      <c r="G3" s="24" t="inlineStr">
        <is>
          <t>HULIGANI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-144</v>
      </c>
      <c r="M3" s="27" t="n">
        <v>1.694444</v>
      </c>
      <c r="N3" s="28" t="n">
        <v>0.590164</v>
      </c>
      <c r="O3" s="28" t="n">
        <v>0.562428</v>
      </c>
      <c r="P3" s="28" t="n"/>
      <c r="Q3" s="28" t="n">
        <v>-0.027736</v>
      </c>
      <c r="R3" s="26" t="n">
        <v>6</v>
      </c>
      <c r="S3" s="29" t="n">
        <v>1</v>
      </c>
      <c r="T3" s="24" t="inlineStr">
        <is>
          <t>dota2-tiered-elo-v6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-900</v>
      </c>
      <c r="AA3" s="28" t="n">
        <v>0.9</v>
      </c>
      <c r="AB3" s="28" t="n">
        <v>0.309836</v>
      </c>
      <c r="AC3" s="30" t="n">
        <v>-1</v>
      </c>
      <c r="AD3" s="24" t="inlineStr">
        <is>
          <t>2026-10-06T16:02:46.753236Z</t>
        </is>
      </c>
      <c r="AE3" s="31" t="inlineStr">
        <is>
          <t>Neutral Elo baseline; executable ask 0.5900 (market_slug=aec-dota2-hul-ch-2026-10-06).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4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CyberHero</t>
        </is>
      </c>
      <c r="AQ3" s="24" t="inlineStr">
        <is>
          <t>CyberHero</t>
        </is>
      </c>
      <c r="AR3" s="24" t="inlineStr">
        <is>
          <t>CyberHero</t>
        </is>
      </c>
      <c r="AS3" s="24" t="inlineStr">
        <is>
          <t>HULIGANI</t>
        </is>
      </c>
      <c r="AT3" s="24" t="inlineStr">
        <is>
          <t>HULIGANI</t>
        </is>
      </c>
      <c r="AU3" s="24" t="inlineStr">
        <is>
          <t>HULIGANI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8fd316347e24d5faa7a92e7ef89a639c490973a25d2b8dbb2af706a2af5abf92</t>
        </is>
      </c>
      <c r="BB3" s="24" t="inlineStr">
        <is>
          <t>neutral_elo</t>
        </is>
      </c>
      <c r="BC3" s="24" t="inlineStr">
        <is>
          <t>dota2-tiered-elo-v6</t>
        </is>
      </c>
      <c r="BD3" s="24" t="inlineStr">
        <is>
          <t>8fd316347e24d5faa7a92e7ef89a639c490973a25d2b8dbb2af706a2af5abf92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dota2-tiered-elo-v6</t>
        </is>
      </c>
      <c r="BH3" s="24" t="inlineStr">
        <is>
          <t>2026-10-05T22:25:34.131544Z</t>
        </is>
      </c>
      <c r="BI3" s="24" t="inlineStr">
        <is>
          <t>["same_event","same_team_same_day","same_league_same_day"]</t>
        </is>
      </c>
      <c r="BJ3" s="25" t="n"/>
      <c r="BK3" s="26" t="n">
        <v>-144</v>
      </c>
      <c r="BL3" s="27" t="n">
        <v>1.694444</v>
      </c>
      <c r="BM3" s="28" t="n">
        <v>0.590164</v>
      </c>
      <c r="BN3" s="28" t="n"/>
      <c r="BO3" s="28" t="n"/>
      <c r="BP3" s="25" t="n"/>
      <c r="BQ3" s="27" t="n">
        <v>1.111111</v>
      </c>
      <c r="BR3" s="28" t="n">
        <v>0.9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False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0.590164</t>
        </is>
      </c>
      <c r="DK3" s="24" t="n"/>
      <c r="DL3" s="24" t="n"/>
      <c r="DM3" s="24" t="n"/>
      <c r="DN3" s="24" t="n"/>
      <c r="DO3" s="24" t="n"/>
      <c r="DP3" s="24" t="n"/>
      <c r="DQ3" s="24" t="inlineStr">
        <is>
          <t>{"artifact_hash": "8fd316347e24d5faa7a92e7ef89a639c490973a25d2b8dbb2af706a2af5abf92", "away_team": "CyberHero", "event_id": "143561", "event_start_utc": "2026-10-06T08:00:00Z", "features": {"away_elo": 1488.83224, "away_history_count": 1, "home_elo": 1584.789817, "home_history_count": 336}, "historical_source_observation_times_verified": false, "home_team": "HULIGANI", "inference_inputs": {"book_state": {"games_played": {"bo3:4:15098": 336, "bo3:4:25398": 1}, "inactivity_half_life_days": null, "inactivity_max_pull": null, "k": 48.0, "last_match_utc": {"bo3:4:15098": "2026-10-05T08:00:00Z", "bo3:4:25398": "2026-10-05T11:10:00Z"}, "minimum_reliable_games": null, "platt_intercept": 0.08103315066152637, "platt_slope": 0.8449481325411426, "ratings": {"bo3:4:15098": 1584.789817, "bo3:4:25398": 1488.83224},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["bo3:4:15098", "bo3:4:25398"]}, "market_type": "moneyline", "model_version": "dota2-tiered-elo-v6", "observed_at_utc": "2026-10-05T22:25:23.694580+00:00", "probabilities": {"away": 0.437572, "home": 0.562428}, "replay_scope": "Exact serving book state, calibration, temperature, inactivity reference and thin-history adjustments; training provenance not certified.", "schema": "esports-elo-replay-v1", "snapshot_hash": "c44a835116c1677c2c2a584e22677bccdb7b9a22eb4bf8f09044d36880847ee7", "sport": "DOTA2"}</t>
        </is>
      </c>
    </row>
    <row r="4" ht="36" customHeight="1">
      <c r="A4" s="24" t="inlineStr">
        <is>
          <t>6084828cb57b4b7c</t>
        </is>
      </c>
      <c r="B4" s="24" t="inlineStr">
        <is>
          <t>2026-10-06T10:51:23.725681Z</t>
        </is>
      </c>
      <c r="C4" s="24" t="inlineStr">
        <is>
          <t>2026-10-06T14:00:00Z</t>
        </is>
      </c>
      <c r="D4" s="24" t="inlineStr">
        <is>
          <t>143565</t>
        </is>
      </c>
      <c r="E4" s="24" t="inlineStr">
        <is>
          <t>DOTA2</t>
        </is>
      </c>
      <c r="F4" s="24" t="inlineStr">
        <is>
          <t>Yellow Submarine</t>
        </is>
      </c>
      <c r="G4" s="24" t="inlineStr">
        <is>
          <t>Team Synapse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122</v>
      </c>
      <c r="M4" s="27" t="n">
        <v>2.22</v>
      </c>
      <c r="N4" s="28" t="n">
        <v>0.45045</v>
      </c>
      <c r="O4" s="28" t="n">
        <v>0.586581</v>
      </c>
      <c r="P4" s="28" t="n"/>
      <c r="Q4" s="28" t="n">
        <v>0.136131</v>
      </c>
      <c r="R4" s="26" t="n">
        <v>88</v>
      </c>
      <c r="S4" s="29" t="n">
        <v>1.5</v>
      </c>
      <c r="T4" s="24" t="inlineStr">
        <is>
          <t>dota2-tiered-elo-v6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122</v>
      </c>
      <c r="AA4" s="28" t="n">
        <v>0.45</v>
      </c>
      <c r="AB4" s="28" t="n">
        <v>-0.00045</v>
      </c>
      <c r="AC4" s="30" t="n">
        <v>1.83</v>
      </c>
      <c r="AD4" s="24" t="inlineStr">
        <is>
          <t>2026-10-06T22:02:46.998047Z</t>
        </is>
      </c>
      <c r="AE4" s="31" t="inlineStr">
        <is>
          <t>Neutral Elo baseline; executable ask 0.4500 (market_slug=aec-dota2-tsea-yes-2026-10-06).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4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Yellow Submarine</t>
        </is>
      </c>
      <c r="AQ4" s="24" t="inlineStr">
        <is>
          <t>Yellow Submarine</t>
        </is>
      </c>
      <c r="AR4" s="24" t="inlineStr">
        <is>
          <t>Yellow Submarine</t>
        </is>
      </c>
      <c r="AS4" s="24" t="inlineStr">
        <is>
          <t>Team Synapse</t>
        </is>
      </c>
      <c r="AT4" s="24" t="inlineStr">
        <is>
          <t>Team Synapse</t>
        </is>
      </c>
      <c r="AU4" s="24" t="inlineStr">
        <is>
          <t>Team Synapse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6759e71c6db4f5d9b0ec78bb2474758963eb5552e8a6657a0edf8ae49f26fe3d</t>
        </is>
      </c>
      <c r="BB4" s="24" t="inlineStr">
        <is>
          <t>neutral_elo</t>
        </is>
      </c>
      <c r="BC4" s="24" t="inlineStr">
        <is>
          <t>dota2-tiered-elo-v6</t>
        </is>
      </c>
      <c r="BD4" s="24" t="inlineStr">
        <is>
          <t>6759e71c6db4f5d9b0ec78bb2474758963eb5552e8a6657a0edf8ae49f26fe3d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dota2-tiered-elo-v6</t>
        </is>
      </c>
      <c r="BH4" s="24" t="inlineStr">
        <is>
          <t>2026-10-06T10:51:03.361802Z</t>
        </is>
      </c>
      <c r="BI4" s="24" t="inlineStr">
        <is>
          <t>["same_event","same_team_same_day","same_league_same_day"]</t>
        </is>
      </c>
      <c r="BJ4" s="25" t="n"/>
      <c r="BK4" s="26" t="n">
        <v>122</v>
      </c>
      <c r="BL4" s="27" t="n">
        <v>2.22</v>
      </c>
      <c r="BM4" s="28" t="n">
        <v>0.45045</v>
      </c>
      <c r="BN4" s="28" t="n"/>
      <c r="BO4" s="28" t="n"/>
      <c r="BP4" s="25" t="n"/>
      <c r="BQ4" s="27" t="n">
        <v>2.22</v>
      </c>
      <c r="BR4" s="28" t="n">
        <v>0.45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0.45045</t>
        </is>
      </c>
      <c r="DK4" s="24" t="n"/>
      <c r="DL4" s="24" t="n"/>
      <c r="DM4" s="24" t="n"/>
      <c r="DN4" s="24" t="n"/>
      <c r="DO4" s="24" t="n"/>
      <c r="DP4" s="24" t="n"/>
      <c r="DQ4" s="24" t="inlineStr">
        <is>
          <t>{"artifact_hash": "6759e71c6db4f5d9b0ec78bb2474758963eb5552e8a6657a0edf8ae49f26fe3d", "away_team": "Yellow Submarine", "event_id": "143565", "event_start_utc": "2026-10-06T14:00:00Z", "features": {"away_elo": 1786.028424, "away_history_count": 285, "home_elo": 1855.458017, "home_history_count": 23}, "historical_source_observation_times_verified": false, "home_team": "Team Synapse", "inference_inputs": {"book_state": {"games_played": {"bo3:4:16486": 285, "bo3:4:25201": 23}, "inactivity_half_life_days": null, "inactivity_max_pull": null, "k": 48.0, "last_match_utc": {"bo3:4:16486": "2026-10-05T11:10:00Z", "bo3:4:25201": "2026-10-05T08:00:00Z"}, "minimum_reliable_games": null, "platt_intercept": 0.0806649303548175, "platt_slope": 0.8439015098774778, "ratings": {"bo3:4:16486": 1786.028424, "bo3:4:25201": 1855.458017},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"2026-10-06T10:50:53.111088+00:00", "team_ids": ["bo3:4:25201", "bo3:4:16486"]}, "market_type": "moneyline", "model_version": "dota2-tiered-elo-v6", "observed_at_utc": "2026-10-06T10:50:53.111088+00:00", "probabilities": {"away": 0.413419, "home": 0.586581}, "replay_scope": "Exact serving book state, calibration, temperature, inactivity reference and thin-history adjustments; training provenance not certified.", "schema": "esports-elo-replay-v1", "snapshot_hash": "2d95927cb9101c0d665d6d64969b5ac62cd066f6a48af941c35e0f56d54aa876", "sport": "DOTA2"}</t>
        </is>
      </c>
    </row>
    <row r="5" ht="36" customHeight="1">
      <c r="A5" s="24" t="inlineStr">
        <is>
          <t>dfcb0d3ca334487c</t>
        </is>
      </c>
      <c r="B5" s="24" t="inlineStr">
        <is>
          <t>2026-10-06T16:34:32.687894Z</t>
        </is>
      </c>
      <c r="C5" s="24" t="inlineStr">
        <is>
          <t>2026-10-06T17:00:00Z</t>
        </is>
      </c>
      <c r="D5" s="24" t="inlineStr">
        <is>
          <t>144500</t>
        </is>
      </c>
      <c r="E5" s="24" t="inlineStr">
        <is>
          <t>DOTA2</t>
        </is>
      </c>
      <c r="F5" s="24" t="inlineStr">
        <is>
          <t>MOUZ</t>
        </is>
      </c>
      <c r="G5" s="24" t="inlineStr">
        <is>
          <t>LEGION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0.552316</v>
      </c>
      <c r="P5" s="28" t="n"/>
      <c r="Q5" s="28" t="n">
        <v>0.013145</v>
      </c>
      <c r="R5" s="26" t="n">
        <v>27</v>
      </c>
      <c r="S5" s="29" t="n">
        <v>1</v>
      </c>
      <c r="T5" s="24" t="inlineStr">
        <is>
          <t>dota2-tiered-elo-v6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-117</v>
      </c>
      <c r="AA5" s="28" t="n">
        <v>0.54</v>
      </c>
      <c r="AB5" s="28" t="n">
        <v>0.000829</v>
      </c>
      <c r="AC5" s="30" t="n">
        <v>-1</v>
      </c>
      <c r="AD5" s="24" t="inlineStr">
        <is>
          <t>2026-10-06T22:02:49.440470Z</t>
        </is>
      </c>
      <c r="AE5" s="31" t="inlineStr">
        <is>
          <t>Neutral Elo baseline; executable ask 0.5400 (market_slug=aec-dota2-leg-mouz-2026-10-06).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paper_call</t>
        </is>
      </c>
      <c r="AL5" s="26" t="n">
        <v>4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MOUZ</t>
        </is>
      </c>
      <c r="AQ5" s="24" t="inlineStr">
        <is>
          <t>MOUZ</t>
        </is>
      </c>
      <c r="AR5" s="24" t="inlineStr">
        <is>
          <t>MOUZ</t>
        </is>
      </c>
      <c r="AS5" s="24" t="inlineStr">
        <is>
          <t>LEGION</t>
        </is>
      </c>
      <c r="AT5" s="24" t="inlineStr">
        <is>
          <t>LEGION</t>
        </is>
      </c>
      <c r="AU5" s="24" t="inlineStr">
        <is>
          <t>LEGION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4690b99c58f0ec38c0a7f8871260c2693630b47ca56007141cc547de632674ee</t>
        </is>
      </c>
      <c r="BB5" s="24" t="inlineStr">
        <is>
          <t>neutral_elo</t>
        </is>
      </c>
      <c r="BC5" s="24" t="inlineStr">
        <is>
          <t>dota2-tiered-elo-v6</t>
        </is>
      </c>
      <c r="BD5" s="24" t="inlineStr">
        <is>
          <t>4690b99c58f0ec38c0a7f8871260c2693630b47ca56007141cc547de632674ee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dota2-tiered-elo-v6</t>
        </is>
      </c>
      <c r="BH5" s="24" t="inlineStr">
        <is>
          <t>2026-10-06T16:34:12.398493Z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>
        <v>1.854701</v>
      </c>
      <c r="BR5" s="28" t="n">
        <v>0.54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0.539171</t>
        </is>
      </c>
      <c r="DK5" s="24" t="n"/>
      <c r="DL5" s="24" t="n"/>
      <c r="DM5" s="24" t="n"/>
      <c r="DN5" s="24" t="n"/>
      <c r="DO5" s="24" t="n"/>
      <c r="DP5" s="24" t="n"/>
      <c r="DQ5" s="24" t="inlineStr">
        <is>
          <t>{"artifact_hash": "4690b99c58f0ec38c0a7f8871260c2693630b47ca56007141cc547de632674ee", "away_team": "MOUZ", "event_id": "144500", "event_start_utc": "2026-10-06T17:00:00Z", "features": {"away_elo": 1644.197963, "away_history_count": 363, "home_elo": 1532.76, "home_history_count": 1}, "historical_source_observation_times_verified": false, "home_team": "LEGION", "inference_inputs": {"book_state": {"games_played": {"bo3:4:15032": 363, "bo3:4:25401": 1}, "inactivity_half_life_days": null, "inactivity_max_pull": null, "k": 48.0, "last_match_utc": {"bo3:4:15032": "2026-10-05T18:00:00Z", "bo3:4:25401": "2026-10-05T14:00:00Z"}, "minimum_reliable_games": null, "platt_intercept": 0.08111949537955908, "platt_slope": 0.8418535477548365, "ratings": {"bo3:4:15032": 1644.197963, "bo3:4:25401": 1532.76},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"2026-10-06T16:34:12.325280+00:00", "team_ids": ["bo3:4:25401", "bo3:4:15032"]}, "market_type": "moneyline", "model_version": "dota2-tiered-elo-v6", "observed_at_utc": "2026-10-06T16:34:12.325280+00:00", "probabilities": {"away": 0.552316, "home": 0.447684}, "replay_scope": "Exact serving book state, calibration, temperature, inactivity reference and thin-history adjustments; training provenance not certified.", "schema": "esports-elo-replay-v1", "snapshot_hash": "d7ab51a4f880e3c1e54ff9e61bc180831b900208cf5f6dcb73682f2580b1dd3d", "sport": "DOTA2"}</t>
        </is>
      </c>
    </row>
    <row r="6" ht="36" customHeight="1">
      <c r="A6" s="24" t="inlineStr">
        <is>
          <t>dc9dc5e2c86f41bb</t>
        </is>
      </c>
      <c r="B6" s="24" t="inlineStr">
        <is>
          <t>2026-10-06T22:25:56.390271Z</t>
        </is>
      </c>
      <c r="C6" s="24" t="inlineStr">
        <is>
          <t>2026-10-07T03:00:00Z</t>
        </is>
      </c>
      <c r="D6" s="24" t="inlineStr">
        <is>
          <t>145226</t>
        </is>
      </c>
      <c r="E6" s="24" t="inlineStr">
        <is>
          <t>DOTA2</t>
        </is>
      </c>
      <c r="F6" s="24" t="inlineStr">
        <is>
          <t>ЯЧЁ123</t>
        </is>
      </c>
      <c r="G6" s="24" t="inlineStr">
        <is>
          <t>Direborn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-233</v>
      </c>
      <c r="M6" s="27" t="n">
        <v>1.429185</v>
      </c>
      <c r="N6" s="28" t="n">
        <v>0.6997</v>
      </c>
      <c r="O6" s="28" t="n">
        <v>0.550796</v>
      </c>
      <c r="P6" s="28" t="n"/>
      <c r="Q6" s="28" t="n">
        <v>-0.148904</v>
      </c>
      <c r="R6" s="26" t="n">
        <v>0</v>
      </c>
      <c r="S6" s="29" t="n">
        <v>1</v>
      </c>
      <c r="T6" s="24" t="inlineStr">
        <is>
          <t>dota2-tiered-elo-v6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-233</v>
      </c>
      <c r="AA6" s="28" t="n">
        <v>0.7</v>
      </c>
      <c r="AB6" s="28" t="n">
        <v>0.0003</v>
      </c>
      <c r="AC6" s="30" t="n">
        <v>0.4292</v>
      </c>
      <c r="AD6" s="24" t="inlineStr">
        <is>
          <t>2026-10-07T10:04:37.824505Z</t>
        </is>
      </c>
      <c r="AE6" s="31" t="inlineStr">
        <is>
          <t>Neutral Elo baseline; executable ask 0.7000 (market_slug=aec-dota2-db-y123-2026-10-07).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PAPER_CALL_MODEL_UNVALIDATED</t>
        </is>
      </c>
      <c r="AP6" s="24" t="inlineStr">
        <is>
          <t>ЯЧЁ123</t>
        </is>
      </c>
      <c r="AQ6" s="24" t="inlineStr">
        <is>
          <t>ЯЧЁ123</t>
        </is>
      </c>
      <c r="AR6" s="24" t="inlineStr">
        <is>
          <t>ЯЧЁ123</t>
        </is>
      </c>
      <c r="AS6" s="24" t="inlineStr">
        <is>
          <t>Direborn</t>
        </is>
      </c>
      <c r="AT6" s="24" t="inlineStr">
        <is>
          <t>Direborn</t>
        </is>
      </c>
      <c r="AU6" s="24" t="inlineStr">
        <is>
          <t>Direborn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c6996bf486b3088429204679c4a6b5d24c63cbcf4cadb3e51613f46a7fcb8642</t>
        </is>
      </c>
      <c r="BB6" s="24" t="inlineStr">
        <is>
          <t>neutral_elo</t>
        </is>
      </c>
      <c r="BC6" s="24" t="inlineStr">
        <is>
          <t>dota2-tiered-elo-v6</t>
        </is>
      </c>
      <c r="BD6" s="24" t="inlineStr">
        <is>
          <t>c6996bf486b3088429204679c4a6b5d24c63cbcf4cadb3e51613f46a7fcb8642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dota2-tiered-elo-v6</t>
        </is>
      </c>
      <c r="BH6" s="24" t="inlineStr">
        <is>
          <t>2026-10-06T22:25:25.556351Z</t>
        </is>
      </c>
      <c r="BI6" s="24" t="inlineStr">
        <is>
          <t>["same_event","same_team_same_day","same_league_same_day"]</t>
        </is>
      </c>
      <c r="BJ6" s="25" t="n"/>
      <c r="BK6" s="26" t="n">
        <v>-233</v>
      </c>
      <c r="BL6" s="27" t="n">
        <v>1.429185</v>
      </c>
      <c r="BM6" s="28" t="n">
        <v>0.6997</v>
      </c>
      <c r="BN6" s="28" t="n"/>
      <c r="BO6" s="28" t="n"/>
      <c r="BP6" s="25" t="n"/>
      <c r="BQ6" s="27" t="n">
        <v>1.429185</v>
      </c>
      <c r="BR6" s="28" t="n">
        <v>0.7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0.6997</t>
        </is>
      </c>
      <c r="DK6" s="24" t="n"/>
      <c r="DL6" s="24" t="n"/>
      <c r="DM6" s="24" t="n"/>
      <c r="DN6" s="24" t="n"/>
      <c r="DO6" s="24" t="n"/>
      <c r="DP6" s="24" t="n"/>
      <c r="DQ6" s="24" t="inlineStr">
        <is>
          <t>{"artifact_hash": "c6996bf486b3088429204679c4a6b5d24c63cbcf4cadb3e51613f46a7fcb8642", "away_team": "\u042f\u0427\u0401123", "event_id": "145226", "event_start_utc": "2026-10-07T03:00:00Z", "features": {"away_elo": 1500.0, "away_history_count": 0, "home_elo": 1584.551416, "home_history_count": 37}, "historical_source_observation_times_verified": false, "home_team": "Direborn", "inference_inputs": {"book_state": {"games_played": {"bo3:4:24344": 37}, "inactivity_half_life_days": null, "inactivity_max_pull": null, "k": 48.0, "last_match_utc": {"bo3:4:24344": "2026-10-06T06:30:00Z"}, "minimum_reliable_games": null, "platt_intercept": 0.07646024717646603, "platt_slope": 0.8471774676108041, "ratings": {"bo3:4:24344": 1584.551416},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"2026-10-06T22:25:25.483347+00:00", "team_ids": ["bo3:4:24344", "unknown:\u044f\u0447\u0435123"]}, "market_type": "moneyline", "model_version": "dota2-tiered-elo-v6", "observed_at_utc": "2026-10-06T22:25:25.483347+00:00", "probabilities": {"away": 0.449204, "home": 0.550796}, "replay_scope": "Exact serving book state, calibration, temperature, inactivity reference and thin-history adjustments; training provenance not certified.", "schema": "esports-elo-replay-v1", "snapshot_hash": "dc330291efd584143729f621ac5b58f7d873a090a9b0f169c927e0ebb9493b25", "sport": "DOTA2"}</t>
        </is>
      </c>
    </row>
    <row r="7" ht="36" customHeight="1">
      <c r="A7" s="24" t="inlineStr">
        <is>
          <t>6bd11fd8697444fe</t>
        </is>
      </c>
      <c r="B7" s="24" t="inlineStr">
        <is>
          <t>2026-10-07T05:29:10.726256Z</t>
        </is>
      </c>
      <c r="C7" s="24" t="inlineStr">
        <is>
          <t>2026-10-07T09:00:00Z</t>
        </is>
      </c>
      <c r="D7" s="24" t="inlineStr">
        <is>
          <t>145796</t>
        </is>
      </c>
      <c r="E7" s="24" t="inlineStr">
        <is>
          <t>DOTA2</t>
        </is>
      </c>
      <c r="F7" s="24" t="inlineStr">
        <is>
          <t>Yellow Submarine</t>
        </is>
      </c>
      <c r="G7" s="24" t="inlineStr">
        <is>
          <t>Blasterbl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-144</v>
      </c>
      <c r="M7" s="27" t="n">
        <v>1.694444</v>
      </c>
      <c r="N7" s="28" t="n">
        <v>0.590164</v>
      </c>
      <c r="O7" s="28" t="n">
        <v>0.639911</v>
      </c>
      <c r="P7" s="28" t="n"/>
      <c r="Q7" s="28" t="n">
        <v>0.049747</v>
      </c>
      <c r="R7" s="26" t="n">
        <v>45</v>
      </c>
      <c r="S7" s="29" t="n">
        <v>1</v>
      </c>
      <c r="T7" s="24" t="inlineStr">
        <is>
          <t>dota2-tiered-elo-v6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-144</v>
      </c>
      <c r="AA7" s="28" t="n">
        <v>0.59</v>
      </c>
      <c r="AB7" s="28" t="n">
        <v>-0.000164</v>
      </c>
      <c r="AC7" s="30" t="n">
        <v>-1</v>
      </c>
      <c r="AD7" s="24" t="inlineStr">
        <is>
          <t>2026-10-07T16:04:42.463623Z</t>
        </is>
      </c>
      <c r="AE7" s="31" t="inlineStr">
        <is>
          <t>Neutral Elo baseline; executable ask 0.5900 (market_slug=aec-dota2-bbl-yes-2026-10-07).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4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Yellow Submarine</t>
        </is>
      </c>
      <c r="AQ7" s="24" t="inlineStr">
        <is>
          <t>Yellow Submarine</t>
        </is>
      </c>
      <c r="AR7" s="24" t="inlineStr">
        <is>
          <t>Yellow Submarine</t>
        </is>
      </c>
      <c r="AS7" s="24" t="inlineStr">
        <is>
          <t>Blasterbl</t>
        </is>
      </c>
      <c r="AT7" s="24" t="inlineStr">
        <is>
          <t>Blasterbl</t>
        </is>
      </c>
      <c r="AU7" s="24" t="inlineStr">
        <is>
          <t>Blasterbl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00ed5147d0e0a43bf2db627ef55a5a1201c6979969e61e75b6a4a259a94f99a0</t>
        </is>
      </c>
      <c r="BB7" s="24" t="inlineStr">
        <is>
          <t>neutral_elo</t>
        </is>
      </c>
      <c r="BC7" s="24" t="inlineStr">
        <is>
          <t>dota2-tiered-elo-v6</t>
        </is>
      </c>
      <c r="BD7" s="24" t="inlineStr">
        <is>
          <t>00ed5147d0e0a43bf2db627ef55a5a1201c6979969e61e75b6a4a259a94f99a0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dota2-tiered-elo-v6</t>
        </is>
      </c>
      <c r="BH7" s="24" t="inlineStr">
        <is>
          <t>2026-10-07T05:28:49.757708Z</t>
        </is>
      </c>
      <c r="BI7" s="24" t="inlineStr">
        <is>
          <t>["same_event","same_team_same_day","same_league_same_day"]</t>
        </is>
      </c>
      <c r="BJ7" s="25" t="n"/>
      <c r="BK7" s="26" t="n">
        <v>-144</v>
      </c>
      <c r="BL7" s="27" t="n">
        <v>1.694444</v>
      </c>
      <c r="BM7" s="28" t="n">
        <v>0.590164</v>
      </c>
      <c r="BN7" s="28" t="n"/>
      <c r="BO7" s="28" t="n"/>
      <c r="BP7" s="25" t="n"/>
      <c r="BQ7" s="27" t="n">
        <v>1.694444</v>
      </c>
      <c r="BR7" s="28" t="n">
        <v>0.59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0.590164</t>
        </is>
      </c>
      <c r="DK7" s="24" t="n"/>
      <c r="DL7" s="24" t="n"/>
      <c r="DM7" s="24" t="n"/>
      <c r="DN7" s="24" t="n"/>
      <c r="DO7" s="24" t="n"/>
      <c r="DP7" s="24" t="n"/>
      <c r="DQ7" s="24" t="inlineStr">
        <is>
          <t>{"artifact_hash": "00ed5147d0e0a43bf2db627ef55a5a1201c6979969e61e75b6a4a259a94f99a0", "away_team": "Yellow Submarine", "event_id": "145796", "event_start_utc": "2026-10-07T09:00:00Z", "features": {"away_elo": 1759.660919, "away_history_count": 286, "home_elo": 1497.898695, "home_history_count": 2}, "historical_source_observation_times_verified": false, "home_team": "Blasterbl", "inference_inputs": {"book_state": {"games_played": {"bo3:4:16486": 286, "bo3:4:23832": 2}, "inactivity_half_life_days": null, "inactivity_max_pull": null, "k": 48.0, "last_match_utc": {"bo3:4:16486": "2026-10-06T14:35:00Z", "bo3:4:23832": "2026-10-06T12:20:00Z"}, "minimum_reliable_games": null, "platt_intercept": 0.07646024717646603, "platt_slope": 0.8471774676108041, "ratings": {"bo3:4:16486": 1759.660919, "bo3:4:23832": 1497.898695},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"2026-10-07T05:28:49.648258+00:00", "team_ids": ["bo3:4:23832", "bo3:4:16486"]}, "market_type": "moneyline", "model_version": "dota2-tiered-elo-v6", "observed_at_utc": "2026-10-07T05:28:49.648258+00:00", "probabilities": {"away": 0.639911, "home": 0.360089}, "replay_scope": "Exact serving book state, calibration, temperature, inactivity reference and thin-history adjustments; training provenance not certified.", "schema": "esports-elo-replay-v1", "snapshot_hash": "8a7fc04bcf06afcbba6bf364eb12482398a8f0fcc2bcc06755a2c1074e81fe44", "sport": "DOTA2"}</t>
        </is>
      </c>
    </row>
    <row r="8" ht="36" customHeight="1">
      <c r="A8" s="24" t="inlineStr">
        <is>
          <t>1c64d63ce6044147</t>
        </is>
      </c>
      <c r="B8" s="24" t="inlineStr">
        <is>
          <t>2026-10-07T10:23:30.086549Z</t>
        </is>
      </c>
      <c r="C8" s="24" t="inlineStr">
        <is>
          <t>2026-10-07T12:00:00Z</t>
        </is>
      </c>
      <c r="D8" s="24" t="inlineStr">
        <is>
          <t>146207</t>
        </is>
      </c>
      <c r="E8" s="24" t="inlineStr">
        <is>
          <t>DOTA2</t>
        </is>
      </c>
      <c r="F8" s="24" t="inlineStr">
        <is>
          <t>MOUZ</t>
        </is>
      </c>
      <c r="G8" s="24" t="inlineStr">
        <is>
          <t>CyberHero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-117</v>
      </c>
      <c r="M8" s="27" t="n">
        <v>1.854701</v>
      </c>
      <c r="N8" s="28" t="n">
        <v>0.539171</v>
      </c>
      <c r="O8" s="28" t="n">
        <v>0.533946</v>
      </c>
      <c r="P8" s="28" t="n"/>
      <c r="Q8" s="28" t="n">
        <v>-0.005225</v>
      </c>
      <c r="R8" s="26" t="n">
        <v>17</v>
      </c>
      <c r="S8" s="29" t="n">
        <v>1</v>
      </c>
      <c r="T8" s="24" t="inlineStr">
        <is>
          <t>dota2-tiered-elo-v6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-122</v>
      </c>
      <c r="AA8" s="28" t="n">
        <v>0.55</v>
      </c>
      <c r="AB8" s="28" t="n">
        <v>0.010829</v>
      </c>
      <c r="AC8" s="30" t="n">
        <v>-1</v>
      </c>
      <c r="AD8" s="24" t="inlineStr">
        <is>
          <t>2026-10-07T16:04:45.150642Z</t>
        </is>
      </c>
      <c r="AE8" s="31" t="inlineStr">
        <is>
          <t>Neutral Elo baseline; executable ask 0.5400 (market_slug=aec-dota2-ch-mouz-2026-10-07).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MOUZ</t>
        </is>
      </c>
      <c r="AQ8" s="24" t="inlineStr">
        <is>
          <t>MOUZ</t>
        </is>
      </c>
      <c r="AR8" s="24" t="inlineStr">
        <is>
          <t>MOUZ</t>
        </is>
      </c>
      <c r="AS8" s="24" t="inlineStr">
        <is>
          <t>CyberHero</t>
        </is>
      </c>
      <c r="AT8" s="24" t="inlineStr">
        <is>
          <t>CyberHero</t>
        </is>
      </c>
      <c r="AU8" s="24" t="inlineStr">
        <is>
          <t>CyberHero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8f4a6f5ae78633bea4c7b21d6e2903f4d5a628c17b4db8222ef6d4549d50f177</t>
        </is>
      </c>
      <c r="BB8" s="24" t="inlineStr">
        <is>
          <t>neutral_elo</t>
        </is>
      </c>
      <c r="BC8" s="24" t="inlineStr">
        <is>
          <t>dota2-tiered-elo-v6</t>
        </is>
      </c>
      <c r="BD8" s="24" t="inlineStr">
        <is>
          <t>8f4a6f5ae78633bea4c7b21d6e2903f4d5a628c17b4db8222ef6d4549d50f177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dota2-tiered-elo-v6</t>
        </is>
      </c>
      <c r="BH8" s="24" t="inlineStr">
        <is>
          <t>2026-10-07T10:23:09.270676Z</t>
        </is>
      </c>
      <c r="BI8" s="24" t="inlineStr">
        <is>
          <t>["same_event","same_team_same_day","same_league_same_day"]</t>
        </is>
      </c>
      <c r="BJ8" s="25" t="n"/>
      <c r="BK8" s="26" t="n">
        <v>-117</v>
      </c>
      <c r="BL8" s="27" t="n">
        <v>1.854701</v>
      </c>
      <c r="BM8" s="28" t="n">
        <v>0.539171</v>
      </c>
      <c r="BN8" s="28" t="n"/>
      <c r="BO8" s="28" t="n"/>
      <c r="BP8" s="25" t="n"/>
      <c r="BQ8" s="27" t="n">
        <v>1.819672</v>
      </c>
      <c r="BR8" s="28" t="n">
        <v>0.55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0.539171</t>
        </is>
      </c>
      <c r="DK8" s="24" t="n"/>
      <c r="DL8" s="24" t="n"/>
      <c r="DM8" s="24" t="n"/>
      <c r="DN8" s="24" t="n"/>
      <c r="DO8" s="24" t="n"/>
      <c r="DP8" s="24" t="n"/>
      <c r="DQ8" s="24" t="inlineStr">
        <is>
          <t>{"artifact_hash": "8f4a6f5ae78633bea4c7b21d6e2903f4d5a628c17b4db8222ef6d4549d50f177", "away_team": "MOUZ", "event_id": "146207", "event_start_utc": "2026-10-07T12:00:00Z", "features": {"away_elo": 1601.278288, "away_history_count": 364, "home_elo": 1530.437849, "home_history_count": 2}, "historical_source_observation_times_verified": false, "home_team": "CyberHero", "inference_inputs": {"book_state": {"games_played": {"bo3:4:15032": 364, "bo3:4:25398": 2}, "inactivity_half_life_days": null, "inactivity_max_pull": null, "k": 48.0, "last_match_utc": {"bo3:4:15032": "2026-10-06T17:20:00Z", "bo3:4:25398": "2026-10-06T08:10:00Z"}, "minimum_reliable_games": null, "platt_intercept": 0.07656940144871896, "platt_slope": 0.849720404615883, "ratings": {"bo3:4:15032": 1601.278288, "bo3:4:25398": 1530.437849},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"2026-10-07T10:23:09.218675+00:00", "team_ids": ["bo3:4:25398", "bo3:4:15032"]}, "market_type": "moneyline", "model_version": "dota2-tiered-elo-v6", "observed_at_utc": "2026-10-07T10:23:09.218675+00:00", "probabilities": {"away": 0.533946, "home": 0.466054}, "replay_scope": "Exact serving book state, calibration, temperature, inactivity reference and thin-history adjustments; training provenance not certified.", "schema": "esports-elo-replay-v1", "snapshot_hash": "4646121ff359ae6c5ec0687780aa2d1878fdb09c65bd920cb1d15daf0b498a38", "sport": "DOTA2"}</t>
        </is>
      </c>
    </row>
    <row r="9" ht="36" customHeight="1">
      <c r="A9" s="24" t="inlineStr">
        <is>
          <t>8cefd49654204cc8</t>
        </is>
      </c>
      <c r="B9" s="24" t="inlineStr">
        <is>
          <t>2026-10-07T10:23:30.086549Z</t>
        </is>
      </c>
      <c r="C9" s="24" t="inlineStr">
        <is>
          <t>2026-10-07T15:00:00Z</t>
        </is>
      </c>
      <c r="D9" s="24" t="inlineStr">
        <is>
          <t>146208</t>
        </is>
      </c>
      <c r="E9" s="24" t="inlineStr">
        <is>
          <t>DOTA2</t>
        </is>
      </c>
      <c r="F9" s="24" t="inlineStr">
        <is>
          <t>LEGION</t>
        </is>
      </c>
      <c r="G9" s="24" t="inlineStr">
        <is>
          <t>Team Synapse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-144</v>
      </c>
      <c r="M9" s="27" t="n">
        <v>1.694444</v>
      </c>
      <c r="N9" s="28" t="n">
        <v>0.590164</v>
      </c>
      <c r="O9" s="28" t="n">
        <v>0.673769</v>
      </c>
      <c r="P9" s="28" t="n"/>
      <c r="Q9" s="28" t="n">
        <v>0.083605</v>
      </c>
      <c r="R9" s="26" t="n">
        <v>62</v>
      </c>
      <c r="S9" s="29" t="n">
        <v>1.25</v>
      </c>
      <c r="T9" s="24" t="inlineStr">
        <is>
          <t>dota2-tiered-elo-v6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-122</v>
      </c>
      <c r="AA9" s="28" t="n">
        <v>0.55</v>
      </c>
      <c r="AB9" s="28" t="n">
        <v>-0.040164</v>
      </c>
      <c r="AC9" s="30" t="n">
        <v>-1.25</v>
      </c>
      <c r="AD9" s="24" t="inlineStr">
        <is>
          <t>2026-10-07T22:03:03.245445Z</t>
        </is>
      </c>
      <c r="AE9" s="31" t="inlineStr">
        <is>
          <t>Neutral Elo baseline; executable ask 0.5900 (market_slug=aec-dota2-tsea-leg-2026-10-07).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4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LEGION</t>
        </is>
      </c>
      <c r="AQ9" s="24" t="inlineStr">
        <is>
          <t>LEGION</t>
        </is>
      </c>
      <c r="AR9" s="24" t="inlineStr">
        <is>
          <t>LEGION</t>
        </is>
      </c>
      <c r="AS9" s="24" t="inlineStr">
        <is>
          <t>Team Synapse</t>
        </is>
      </c>
      <c r="AT9" s="24" t="inlineStr">
        <is>
          <t>Team Synapse</t>
        </is>
      </c>
      <c r="AU9" s="24" t="inlineStr">
        <is>
          <t>Team Synapse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8f4a6f5ae78633bea4c7b21d6e2903f4d5a628c17b4db8222ef6d4549d50f177</t>
        </is>
      </c>
      <c r="BB9" s="24" t="inlineStr">
        <is>
          <t>neutral_elo</t>
        </is>
      </c>
      <c r="BC9" s="24" t="inlineStr">
        <is>
          <t>dota2-tiered-elo-v6</t>
        </is>
      </c>
      <c r="BD9" s="24" t="inlineStr">
        <is>
          <t>8f4a6f5ae78633bea4c7b21d6e2903f4d5a628c17b4db8222ef6d4549d50f177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dota2-tiered-elo-v6</t>
        </is>
      </c>
      <c r="BH9" s="24" t="inlineStr">
        <is>
          <t>2026-10-07T10:23:09.332235Z</t>
        </is>
      </c>
      <c r="BI9" s="24" t="inlineStr">
        <is>
          <t>["same_event","same_team_same_day","same_league_same_day"]</t>
        </is>
      </c>
      <c r="BJ9" s="25" t="n"/>
      <c r="BK9" s="26" t="n">
        <v>-144</v>
      </c>
      <c r="BL9" s="27" t="n">
        <v>1.694444</v>
      </c>
      <c r="BM9" s="28" t="n">
        <v>0.590164</v>
      </c>
      <c r="BN9" s="28" t="n"/>
      <c r="BO9" s="28" t="n"/>
      <c r="BP9" s="25" t="n"/>
      <c r="BQ9" s="27" t="n">
        <v>1.819672</v>
      </c>
      <c r="BR9" s="28" t="n">
        <v>0.55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0.590164</t>
        </is>
      </c>
      <c r="DK9" s="24" t="n"/>
      <c r="DL9" s="24" t="n"/>
      <c r="DM9" s="24" t="n"/>
      <c r="DN9" s="24" t="n"/>
      <c r="DO9" s="24" t="n"/>
      <c r="DP9" s="24" t="n"/>
      <c r="DQ9" s="24" t="inlineStr">
        <is>
          <t>{"artifact_hash": "8f4a6f5ae78633bea4c7b21d6e2903f4d5a628c17b4db8222ef6d4549d50f177", "away_team": "LEGION", "event_id": "146208", "event_start_utc": "2026-10-07T15:00:00Z", "features": {"away_elo": 1575.629058, "away_history_count": 2, "home_elo": 1881.437986, "home_history_count": 24}, "historical_source_observation_times_verified": false, "home_team": "Team Synapse", "inference_inputs": {"book_state": {"games_played": {"bo3:4:25201": 24, "bo3:4:25401": 2}, "inactivity_half_life_days": null, "inactivity_max_pull": null, "k": 48.0, "last_match_utc": {"bo3:4:25201": "2026-10-06T14:35:00Z", "bo3:4:25401": "2026-10-06T17:20:00Z"}, "minimum_reliable_games": null, "platt_intercept": 0.07656940144871896, "platt_slope": 0.849720404615883, "ratings": {"bo3:4:25201": 1881.437986, "bo3:4:25401": 1575.629058},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"2026-10-07T10:23:09.218675+00:00", "team_ids": ["bo3:4:25201", "bo3:4:25401"]}, "market_type": "moneyline", "model_version": "dota2-tiered-elo-v6", "observed_at_utc": "2026-10-07T10:23:09.218675+00:00", "probabilities": {"away": 0.326231, "home": 0.673769}, "replay_scope": "Exact serving book state, calibration, temperature, inactivity reference and thin-history adjustments; training provenance not certified.", "schema": "esports-elo-replay-v1", "snapshot_hash": "c988e0bfb2734b187c99c9c45d600ba856d037d2016dfe738b6843af5d964537", "sport": "DOTA2"}</t>
        </is>
      </c>
    </row>
    <row r="10" ht="36" customHeight="1">
      <c r="A10" s="24" t="inlineStr">
        <is>
          <t>19b0f1115ea3453a</t>
        </is>
      </c>
      <c r="B10" s="24" t="inlineStr">
        <is>
          <t>2026-10-07T16:32:44.972195Z</t>
        </is>
      </c>
      <c r="C10" s="24" t="inlineStr">
        <is>
          <t>2026-10-07T18:00:00Z</t>
        </is>
      </c>
      <c r="D10" s="24" t="inlineStr">
        <is>
          <t>147363</t>
        </is>
      </c>
      <c r="E10" s="24" t="inlineStr">
        <is>
          <t>DOTA2</t>
        </is>
      </c>
      <c r="F10" s="24" t="inlineStr">
        <is>
          <t>CyberHero</t>
        </is>
      </c>
      <c r="G10" s="24" t="inlineStr">
        <is>
          <t>Blasterbl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163</v>
      </c>
      <c r="M10" s="27" t="n">
        <v>2.63</v>
      </c>
      <c r="N10" s="28" t="n">
        <v>0.380228</v>
      </c>
      <c r="O10" s="28" t="n">
        <v>0.502246</v>
      </c>
      <c r="P10" s="28" t="n"/>
      <c r="Q10" s="28" t="n">
        <v>0.122018</v>
      </c>
      <c r="R10" s="26" t="n">
        <v>81</v>
      </c>
      <c r="S10" s="29" t="n">
        <v>1.5</v>
      </c>
      <c r="T10" s="24" t="inlineStr">
        <is>
          <t>dota2-tiered-elo-v6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144</v>
      </c>
      <c r="AA10" s="28" t="n">
        <v>0.41</v>
      </c>
      <c r="AB10" s="28" t="n">
        <v>0.029772</v>
      </c>
      <c r="AC10" s="30" t="n">
        <v>-1.5</v>
      </c>
      <c r="AD10" s="24" t="inlineStr">
        <is>
          <t>2026-10-08T03:22:08.205365Z</t>
        </is>
      </c>
      <c r="AE10" s="31" t="inlineStr">
        <is>
          <t>Neutral Elo baseline; executable ask 0.3800 (market_slug=aec-dota2-bbl-ch-2026-10-07).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CyberHero</t>
        </is>
      </c>
      <c r="AQ10" s="24" t="inlineStr">
        <is>
          <t>CyberHero</t>
        </is>
      </c>
      <c r="AR10" s="24" t="inlineStr">
        <is>
          <t>CyberHero</t>
        </is>
      </c>
      <c r="AS10" s="24" t="inlineStr">
        <is>
          <t>Blasterbl</t>
        </is>
      </c>
      <c r="AT10" s="24" t="inlineStr">
        <is>
          <t>Blasterbl</t>
        </is>
      </c>
      <c r="AU10" s="24" t="inlineStr">
        <is>
          <t>Blasterbl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77804c68a4a17976e73de5a127cd27afaab30de3f32a7869f2309315b9e3f416</t>
        </is>
      </c>
      <c r="BB10" s="24" t="inlineStr">
        <is>
          <t>neutral_elo</t>
        </is>
      </c>
      <c r="BC10" s="24" t="inlineStr">
        <is>
          <t>dota2-tiered-elo-v6</t>
        </is>
      </c>
      <c r="BD10" s="24" t="inlineStr">
        <is>
          <t>77804c68a4a17976e73de5a127cd27afaab30de3f32a7869f2309315b9e3f416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dota2-tiered-elo-v6</t>
        </is>
      </c>
      <c r="BH10" s="24" t="inlineStr">
        <is>
          <t>2026-10-07T16:32:25.394431Z</t>
        </is>
      </c>
      <c r="BI10" s="24" t="inlineStr">
        <is>
          <t>["same_event","same_team_same_day","same_league_same_day"]</t>
        </is>
      </c>
      <c r="BJ10" s="25" t="n"/>
      <c r="BK10" s="26" t="n">
        <v>163</v>
      </c>
      <c r="BL10" s="27" t="n">
        <v>2.63</v>
      </c>
      <c r="BM10" s="28" t="n">
        <v>0.380228</v>
      </c>
      <c r="BN10" s="28" t="n"/>
      <c r="BO10" s="28" t="n"/>
      <c r="BP10" s="25" t="n"/>
      <c r="BQ10" s="27" t="n">
        <v>2.44</v>
      </c>
      <c r="BR10" s="28" t="n">
        <v>0.41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0.380228</t>
        </is>
      </c>
      <c r="DK10" s="24" t="n"/>
      <c r="DL10" s="24" t="n"/>
      <c r="DM10" s="24" t="n"/>
      <c r="DN10" s="24" t="n"/>
      <c r="DO10" s="24" t="n"/>
      <c r="DP10" s="24" t="n"/>
      <c r="DQ10" s="24" t="inlineStr">
        <is>
          <t>{"artifact_hash": "77804c68a4a17976e73de5a127cd27afaab30de3f32a7869f2309315b9e3f416", "away_team": "CyberHero", "event_id": "147363", "event_start_utc": "2026-10-07T18:00:00Z", "features": {"away_elo": 1569.735616, "away_history_count": 3, "home_elo": 1551.480983, "home_history_count": 3}, "historical_source_observation_times_verified": false, "home_team": "Blasterbl", "inference_inputs": {"book_state": {"games_played": {"bo3:4:23832": 3, "bo3:4:25398": 3}, "inactivity_half_life_days": null, "inactivity_max_pull": null, "k": 48.0, "last_match_utc": {"bo3:4:23832": "2026-10-07T09:00:00Z", "bo3:4:25398": "2026-10-07T12:50:00Z"}, "minimum_reliable_games": null, "platt_intercept": 0.07340728322508241, "platt_slope": 0.8514773257097051, "ratings": {"bo3:4:23832": 1551.480983, "bo3:4:25398": 1569.735616},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"2026-10-07T16:32:25.298285+00:00", "team_ids": ["bo3:4:23832", "bo3:4:25398"]}, "market_type": "moneyline", "model_version": "dota2-tiered-elo-v6", "observed_at_utc": "2026-10-07T16:32:25.298285+00:00", "probabilities": {"away": 0.502246, "home": 0.497754}, "replay_scope": "Exact serving book state, calibration, temperature, inactivity reference and thin-history adjustments; training provenance not certified.", "schema": "esports-elo-replay-v1", "snapshot_hash": "8154548b6b33dee97f9700772469ce7ac6a57a577ee13aca6c4fed8410f500ec", "sport": "DOTA2"}</t>
        </is>
      </c>
    </row>
    <row r="11" ht="36" customHeight="1">
      <c r="A11" s="24" t="inlineStr">
        <is>
          <t>430679b60e374980</t>
        </is>
      </c>
      <c r="B11" s="24" t="inlineStr">
        <is>
          <t>2026-10-07T22:27:42.225451Z</t>
        </is>
      </c>
      <c r="C11" s="24" t="inlineStr">
        <is>
          <t>2026-10-08T03:00:00Z</t>
        </is>
      </c>
      <c r="D11" s="24" t="inlineStr">
        <is>
          <t>147220</t>
        </is>
      </c>
      <c r="E11" s="24" t="inlineStr">
        <is>
          <t>DOTA2</t>
        </is>
      </c>
      <c r="F11" s="24" t="inlineStr">
        <is>
          <t>Direborn</t>
        </is>
      </c>
      <c r="G11" s="24" t="inlineStr">
        <is>
          <t>InterActive Philippines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0.526899</v>
      </c>
      <c r="P11" s="28" t="n"/>
      <c r="Q11" s="28" t="n">
        <v>-0.012272</v>
      </c>
      <c r="R11" s="26" t="n">
        <v>14</v>
      </c>
      <c r="S11" s="29" t="n">
        <v>1</v>
      </c>
      <c r="T11" s="24" t="inlineStr">
        <is>
          <t>dota2-tiered-elo-v6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-1</v>
      </c>
      <c r="AD11" s="24" t="inlineStr">
        <is>
          <t>2026-10-11T04:37:06.110067Z</t>
        </is>
      </c>
      <c r="AE11" s="31" t="inlineStr">
        <is>
          <t>Neutral Elo baseline; executable ask 0.5400 (market_slug=aec-dota2-iac-db-2026-10-08).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Direborn</t>
        </is>
      </c>
      <c r="AQ11" s="24" t="inlineStr">
        <is>
          <t>Direborn</t>
        </is>
      </c>
      <c r="AR11" s="24" t="inlineStr">
        <is>
          <t>Direborn</t>
        </is>
      </c>
      <c r="AS11" s="24" t="inlineStr">
        <is>
          <t>InterActive Philippines</t>
        </is>
      </c>
      <c r="AT11" s="24" t="inlineStr">
        <is>
          <t>InterActive Philippines</t>
        </is>
      </c>
      <c r="AU11" s="24" t="inlineStr">
        <is>
          <t>InterActive Philippines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baf9ccaa8f54c8de00adf9d2925d470d4e11611a62506fe2d568ed997460bb51</t>
        </is>
      </c>
      <c r="BB11" s="24" t="inlineStr">
        <is>
          <t>neutral_elo</t>
        </is>
      </c>
      <c r="BC11" s="24" t="inlineStr">
        <is>
          <t>dota2-tiered-elo-v6</t>
        </is>
      </c>
      <c r="BD11" s="24" t="inlineStr">
        <is>
          <t>baf9ccaa8f54c8de00adf9d2925d470d4e11611a62506fe2d568ed997460bb51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dota2-tiered-elo-v6</t>
        </is>
      </c>
      <c r="BH11" s="24" t="inlineStr">
        <is>
          <t>2026-10-07T22:27:21.735215Z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/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0.539171</t>
        </is>
      </c>
      <c r="DK11" s="24" t="n"/>
      <c r="DL11" s="24" t="n"/>
      <c r="DM11" s="24" t="n"/>
      <c r="DN11" s="24" t="n"/>
      <c r="DO11" s="24" t="n"/>
      <c r="DP11" s="24" t="n"/>
      <c r="DQ11" s="24" t="inlineStr">
        <is>
          <t>{"artifact_hash": "baf9ccaa8f54c8de00adf9d2925d470d4e11611a62506fe2d568ed997460bb51", "away_team": "Direborn", "event_id": "147220", "event_start_utc": "2026-10-08T03:00:00Z", "features": {"away_elo": 1632.37521, "away_history_count": 39, "home_elo": 1591.369706, "home_history_count": 196}, "historical_source_observation_times_verified": false, "home_team": "InterActive Philippines", "inference_inputs": {"book_state": {"games_played": {"bo3:4:15612": 196, "bo3:4:24344": 39}, "inactivity_half_life_days": null, "inactivity_max_pull": null, "k": 48.0, "last_match_utc": {"bo3:4:15612": "2026-10-07T06:00:00Z", "bo3:4:24344": "2026-10-07T09:30:00Z"}, "minimum_reliable_games": null, "platt_intercept": 0.07332109494800931, "platt_slope": 0.8507054355364946, "ratings": {"bo3:4:15612": 1591.369706, "bo3:4:24344": 1632.37521},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"2026-10-07T22:27:21.585394+00:00", "team_ids": ["bo3:4:15612", "bo3:4:24344"]}, "market_type": "moneyline", "model_version": "dota2-tiered-elo-v6", "observed_at_utc": "2026-10-07T22:27:21.585394+00:00", "probabilities": {"away": 0.526899, "home": 0.473101}, "replay_scope": "Exact serving book state, calibration, temperature, inactivity reference and thin-history adjustments; training provenance not certified.", "schema": "esports-elo-replay-v1", "snapshot_hash": "4c1cfbb6ee62a8dc4553a30cd7340239d2f33b5b1a6c3cde191076da88ad8a8c", "sport": "DOTA2"}</t>
        </is>
      </c>
    </row>
    <row r="12" ht="36" customHeight="1">
      <c r="A12" s="24" t="inlineStr">
        <is>
          <t>5a5e89a8ba9646b9</t>
        </is>
      </c>
      <c r="B12" s="24" t="inlineStr">
        <is>
          <t>2026-10-07T22:27:42.225451Z</t>
        </is>
      </c>
      <c r="C12" s="24" t="inlineStr">
        <is>
          <t>2026-10-08T12:30:00Z</t>
        </is>
      </c>
      <c r="D12" s="24" t="inlineStr">
        <is>
          <t>143501</t>
        </is>
      </c>
      <c r="E12" s="24" t="inlineStr">
        <is>
          <t>DOTA2</t>
        </is>
      </c>
      <c r="F12" s="24" t="inlineStr">
        <is>
          <t>1win</t>
        </is>
      </c>
      <c r="G12" s="24" t="inlineStr">
        <is>
          <t>Aurora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-117</v>
      </c>
      <c r="M12" s="27" t="n">
        <v>1.854701</v>
      </c>
      <c r="N12" s="28" t="n">
        <v>0.539171</v>
      </c>
      <c r="O12" s="28" t="n">
        <v>0.580766</v>
      </c>
      <c r="P12" s="28" t="n"/>
      <c r="Q12" s="28" t="n">
        <v>0.041595</v>
      </c>
      <c r="R12" s="26" t="n">
        <v>41</v>
      </c>
      <c r="S12" s="29" t="n">
        <v>1</v>
      </c>
      <c r="T12" s="24" t="inlineStr">
        <is>
          <t>dota2-tiered-elo-v6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-117</v>
      </c>
      <c r="AA12" s="28" t="n">
        <v>0.54</v>
      </c>
      <c r="AB12" s="28" t="n">
        <v>0.000829</v>
      </c>
      <c r="AC12" s="30" t="n">
        <v>0.8547</v>
      </c>
      <c r="AD12" s="24" t="inlineStr">
        <is>
          <t>2026-10-11T04:37:07.563968Z</t>
        </is>
      </c>
      <c r="AE12" s="31" t="inlineStr">
        <is>
          <t>Neutral Elo baseline; executable ask 0.5400 (market_slug=aec-dota2-aur-1win-2026-10-08).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1win</t>
        </is>
      </c>
      <c r="AQ12" s="24" t="inlineStr">
        <is>
          <t>1win</t>
        </is>
      </c>
      <c r="AR12" s="24" t="inlineStr">
        <is>
          <t>1win</t>
        </is>
      </c>
      <c r="AS12" s="24" t="inlineStr">
        <is>
          <t>Aurora</t>
        </is>
      </c>
      <c r="AT12" s="24" t="inlineStr">
        <is>
          <t>Aurora</t>
        </is>
      </c>
      <c r="AU12" s="24" t="inlineStr">
        <is>
          <t>Aurora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baf9ccaa8f54c8de00adf9d2925d470d4e11611a62506fe2d568ed997460bb51</t>
        </is>
      </c>
      <c r="BB12" s="24" t="inlineStr">
        <is>
          <t>neutral_elo</t>
        </is>
      </c>
      <c r="BC12" s="24" t="inlineStr">
        <is>
          <t>dota2-tiered-elo-v6</t>
        </is>
      </c>
      <c r="BD12" s="24" t="inlineStr">
        <is>
          <t>baf9ccaa8f54c8de00adf9d2925d470d4e11611a62506fe2d568ed997460bb51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dota2-tiered-elo-v6</t>
        </is>
      </c>
      <c r="BH12" s="24" t="inlineStr">
        <is>
          <t>2026-10-07T22:27:42.208675Z</t>
        </is>
      </c>
      <c r="BI12" s="24" t="inlineStr">
        <is>
          <t>["same_event","same_team_same_day","same_league_same_day"]</t>
        </is>
      </c>
      <c r="BJ12" s="25" t="n"/>
      <c r="BK12" s="26" t="n">
        <v>-117</v>
      </c>
      <c r="BL12" s="27" t="n">
        <v>1.854701</v>
      </c>
      <c r="BM12" s="28" t="n">
        <v>0.539171</v>
      </c>
      <c r="BN12" s="28" t="n"/>
      <c r="BO12" s="28" t="n"/>
      <c r="BP12" s="25" t="n"/>
      <c r="BQ12" s="27" t="n">
        <v>1.854701</v>
      </c>
      <c r="BR12" s="28" t="n">
        <v>0.54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0.539171</t>
        </is>
      </c>
      <c r="DK12" s="24" t="n"/>
      <c r="DL12" s="24" t="n"/>
      <c r="DM12" s="24" t="n"/>
      <c r="DN12" s="24" t="n"/>
      <c r="DO12" s="24" t="n"/>
      <c r="DP12" s="24" t="n"/>
      <c r="DQ12" s="24" t="inlineStr">
        <is>
          <t>{"artifact_hash": "baf9ccaa8f54c8de00adf9d2925d470d4e11611a62506fe2d568ed997460bb51", "away_team": "1win", "event_id": "143501", "event_start_utc": "2026-10-08T12:30:00Z", "features": {"away_elo": 1984.178977, "away_history_count": 317, "home_elo": 2050.731038, "home_history_count": 317}, "historical_source_observation_times_verified": false, "home_team": "Aurora", "inference_inputs": {"book_state": {"games_played": {"bo3:4:15038": 317, "bo3:4:15143": 317}, "inactivity_half_life_days": null, "inactivity_max_pull": null, "k": 48.0, "last_match_utc": {"bo3:4:15038": "2026-10-03T15:10:00Z", "bo3:4:15143": "2026-10-03T13:00:00Z"}, "minimum_reliable_games": null, "platt_intercept": 0.07332109494800931, "platt_slope": 0.8507054355364946, "ratings": {"bo3:4:15038": 1984.178977, "bo3:4:15143": 2050.731038},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"2026-10-07T22:27:21.585394+00:00", "team_ids": ["bo3:4:15143", "bo3:4:15038"]}, "market_type": "moneyline", "model_version": "dota2-tiered-elo-v6", "observed_at_utc": "2026-10-07T22:27:21.585394+00:00", "probabilities": {"away": 0.419234, "home": 0.580766}, "replay_scope": "Exact serving book state, calibration, temperature, inactivity reference and thin-history adjustments; training provenance not certified.", "schema": "esports-elo-replay-v1", "snapshot_hash": "0f8b095d31179e3a3017b2e93e816387139bd015f2830d12b6c2902f254875b1", "sport": "DOTA2"}</t>
        </is>
      </c>
    </row>
    <row r="13" ht="36" customHeight="1">
      <c r="A13" s="24" t="inlineStr">
        <is>
          <t>e65f6bb465c049bc</t>
        </is>
      </c>
      <c r="B13" s="24" t="inlineStr">
        <is>
          <t>2026-10-11T07:26:10.574372Z</t>
        </is>
      </c>
      <c r="C13" s="24" t="inlineStr">
        <is>
          <t>2026-10-11T09:00:00Z</t>
        </is>
      </c>
      <c r="D13" s="24" t="inlineStr">
        <is>
          <t>153110</t>
        </is>
      </c>
      <c r="E13" s="24" t="inlineStr">
        <is>
          <t>DOTA2</t>
        </is>
      </c>
      <c r="F13" s="24" t="inlineStr">
        <is>
          <t>PARIVISION</t>
        </is>
      </c>
      <c r="G13" s="24" t="inlineStr">
        <is>
          <t>Team Spirit</t>
        </is>
      </c>
      <c r="H13" s="24" t="inlineStr">
        <is>
          <t>total</t>
        </is>
      </c>
      <c r="I13" s="24" t="inlineStr">
        <is>
          <t>under</t>
        </is>
      </c>
      <c r="J13" s="25" t="n">
        <v>2.5</v>
      </c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0.501559</v>
      </c>
      <c r="P13" s="28" t="n"/>
      <c r="Q13" s="28" t="n">
        <v>-0.057912</v>
      </c>
      <c r="R13" s="26" t="n">
        <v>0</v>
      </c>
      <c r="S13" s="29" t="n">
        <v>1</v>
      </c>
      <c r="T13" s="24" t="inlineStr">
        <is>
          <t>dota2-total-tiered-elo-v6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2</v>
      </c>
      <c r="Y13" s="25" t="n"/>
      <c r="Z13" s="26" t="n"/>
      <c r="AA13" s="28" t="n"/>
      <c r="AB13" s="28" t="n"/>
      <c r="AC13" s="30" t="n">
        <v>-1</v>
      </c>
      <c r="AD13" s="24" t="inlineStr">
        <is>
          <t>2026-10-11T16:03:33.765763Z</t>
        </is>
      </c>
      <c r="AE13" s="31" t="inlineStr">
        <is>
          <t>Neutral Elo baseline; executable ask 0.5600 (market_slug=tsc-dota2-ts-pari-2026-10-11-tot-2pt5).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PARIVISION</t>
        </is>
      </c>
      <c r="AQ13" s="24" t="inlineStr">
        <is>
          <t>PARIVISION</t>
        </is>
      </c>
      <c r="AR13" s="24" t="inlineStr">
        <is>
          <t>PARIVISION</t>
        </is>
      </c>
      <c r="AS13" s="24" t="inlineStr">
        <is>
          <t>Team Spirit</t>
        </is>
      </c>
      <c r="AT13" s="24" t="inlineStr">
        <is>
          <t>Team Spirit</t>
        </is>
      </c>
      <c r="AU13" s="24" t="inlineStr">
        <is>
          <t>Team Spirit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e6ad89a5d5cd9c957bca5c6f529924ed1cad0a73c03e4b728aadeb70a4c6c573</t>
        </is>
      </c>
      <c r="BB13" s="24" t="inlineStr">
        <is>
          <t>neutral_elo</t>
        </is>
      </c>
      <c r="BC13" s="24" t="inlineStr">
        <is>
          <t>dota2-total-tiered-elo-v6</t>
        </is>
      </c>
      <c r="BD13" s="24" t="inlineStr">
        <is>
          <t>e6ad89a5d5cd9c957bca5c6f529924ed1cad0a73c03e4b728aadeb70a4c6c573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dota2-total-tiered-elo-v6</t>
        </is>
      </c>
      <c r="BH13" s="24" t="inlineStr">
        <is>
          <t>2026-10-11T07:25:29.357917Z</t>
        </is>
      </c>
      <c r="BI13" s="24" t="inlineStr">
        <is>
          <t>["same_event","same_team_same_day","same_league_same_day"]</t>
        </is>
      </c>
      <c r="BJ13" s="25" t="n">
        <v>2.5</v>
      </c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n"/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853dabd1bf3242d5</t>
        </is>
      </c>
      <c r="B14" s="24" t="inlineStr">
        <is>
          <t>2026-10-11T07:26:10.574372Z</t>
        </is>
      </c>
      <c r="C14" s="24" t="inlineStr">
        <is>
          <t>2026-10-11T09:00:00Z</t>
        </is>
      </c>
      <c r="D14" s="24" t="inlineStr">
        <is>
          <t>153110</t>
        </is>
      </c>
      <c r="E14" s="24" t="inlineStr">
        <is>
          <t>DOTA2</t>
        </is>
      </c>
      <c r="F14" s="24" t="inlineStr">
        <is>
          <t>PARIVISION</t>
        </is>
      </c>
      <c r="G14" s="24" t="inlineStr">
        <is>
          <t>Team Spirit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0.54183</v>
      </c>
      <c r="P14" s="28" t="n"/>
      <c r="Q14" s="28" t="n">
        <v>-0.15787</v>
      </c>
      <c r="R14" s="26" t="n">
        <v>0</v>
      </c>
      <c r="S14" s="29" t="n">
        <v>1</v>
      </c>
      <c r="T14" s="24" t="inlineStr">
        <is>
          <t>dota2-tiered-elo-v6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>
        <v>-233</v>
      </c>
      <c r="AA14" s="28" t="n">
        <v>0.7</v>
      </c>
      <c r="AB14" s="28" t="n">
        <v>0.0003</v>
      </c>
      <c r="AC14" s="30" t="n">
        <v>-1</v>
      </c>
      <c r="AD14" s="24" t="inlineStr">
        <is>
          <t>2026-10-11T16:03:34.542488Z</t>
        </is>
      </c>
      <c r="AE14" s="31" t="inlineStr">
        <is>
          <t>Neutral Elo baseline; executable ask 0.7000 (market_slug=aec-dota2-ts-pari-2026-10-11).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PARIVISION</t>
        </is>
      </c>
      <c r="AQ14" s="24" t="inlineStr">
        <is>
          <t>PARIVISION</t>
        </is>
      </c>
      <c r="AR14" s="24" t="inlineStr">
        <is>
          <t>PARIVISION</t>
        </is>
      </c>
      <c r="AS14" s="24" t="inlineStr">
        <is>
          <t>Team Spirit</t>
        </is>
      </c>
      <c r="AT14" s="24" t="inlineStr">
        <is>
          <t>Team Spirit</t>
        </is>
      </c>
      <c r="AU14" s="24" t="inlineStr">
        <is>
          <t>Team Spirit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e6ad89a5d5cd9c957bca5c6f529924ed1cad0a73c03e4b728aadeb70a4c6c573</t>
        </is>
      </c>
      <c r="BB14" s="24" t="inlineStr">
        <is>
          <t>neutral_elo</t>
        </is>
      </c>
      <c r="BC14" s="24" t="inlineStr">
        <is>
          <t>dota2-tiered-elo-v6</t>
        </is>
      </c>
      <c r="BD14" s="24" t="inlineStr">
        <is>
          <t>e6ad89a5d5cd9c957bca5c6f529924ed1cad0a73c03e4b728aadeb70a4c6c573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dota2-tiered-elo-v6</t>
        </is>
      </c>
      <c r="BH14" s="24" t="inlineStr">
        <is>
          <t>2026-10-11T07:25:39.511900Z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>
        <v>1.429185</v>
      </c>
      <c r="BR14" s="28" t="n">
        <v>0.7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n"/>
      <c r="DK14" s="24" t="n"/>
      <c r="DL14" s="24" t="n"/>
      <c r="DM14" s="24" t="n"/>
      <c r="DN14" s="24" t="n"/>
      <c r="DO14" s="24" t="n"/>
      <c r="DP14" s="24" t="n"/>
      <c r="DQ14" s="24" t="inlineStr">
        <is>
          <t>{"artifact_hash": "e6ad89a5d5cd9c957bca5c6f529924ed1cad0a73c03e4b728aadeb70a4c6c573", "away_team": "PARIVISION", "event_id": "153110", "event_start_utc": "2026-10-11T09:00:00Z", "features": {"away_elo": 2325.396544, "away_history_count": 251, "home_elo": 2270.921466, "home_history_count": 344}, "historical_source_observation_times_verified": false, "home_team": "Team Spirit", "inference_inputs": {"book_state": {"games_played": {"bo3:4:16704": 344, "bo3:4:18604": 251}, "inactivity_half_life_days": null, "inactivity_max_pull": null, "k": 48.0, "last_match_utc": {"bo3:4:16704": "2026-10-10T10:30:00Z", "bo3:4:18604": "2026-10-10T13:20:00Z"}, "minimum_reliable_games": null, "platt_intercept": 0.06964891143172529, "platt_slope": 0.8461580414660153, "ratings": {"bo3:4:16704": 2270.921466, "bo3:4:18604": 2325.396544},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"2026-10-11T07:25:19.138673+00:00", "team_ids": ["bo3:4:16704", "bo3:4:18604"]}, "market_type": "moneyline", "model_version": "dota2-tiered-elo-v6", "observed_at_utc": "2026-10-11T07:25:19.138673+00:00", "probabilities": {"away": 0.54183, "home": 0.45817}, "replay_scope": "Exact serving book state, calibration, temperature, inactivity reference and thin-history adjustments; training provenance not certified.", "schema": "esports-elo-replay-v1", "snapshot_hash": "7ef12b2318ffb4a13595ab212d3c9d59bb0fcf17abd3a4bcbdeff288b0edcf16", "sport": "DOTA2"}</t>
        </is>
      </c>
    </row>
    <row r="15" ht="36" customHeight="1">
      <c r="A15" s="24" t="inlineStr">
        <is>
          <t>1ab61cbd5b9e4962</t>
        </is>
      </c>
      <c r="B15" s="24" t="inlineStr">
        <is>
          <t>2026-10-13T05:56:44.892731Z</t>
        </is>
      </c>
      <c r="C15" s="24" t="inlineStr">
        <is>
          <t>2026-10-13T07:00:00Z</t>
        </is>
      </c>
      <c r="D15" s="24" t="inlineStr">
        <is>
          <t>156703</t>
        </is>
      </c>
      <c r="E15" s="24" t="inlineStr">
        <is>
          <t>DOTA2</t>
        </is>
      </c>
      <c r="F15" s="24" t="inlineStr">
        <is>
          <t>Zero Tenacity</t>
        </is>
      </c>
      <c r="G15" s="24" t="inlineStr">
        <is>
          <t>Team Lynx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-150</v>
      </c>
      <c r="M15" s="27" t="n">
        <v>1.666667</v>
      </c>
      <c r="N15" s="28" t="n">
        <v>0.6</v>
      </c>
      <c r="O15" s="28" t="n">
        <v>0.652763</v>
      </c>
      <c r="P15" s="28" t="n"/>
      <c r="Q15" s="28" t="n">
        <v>0.052763</v>
      </c>
      <c r="R15" s="26" t="n">
        <v>46</v>
      </c>
      <c r="S15" s="29" t="n">
        <v>1</v>
      </c>
      <c r="T15" s="24" t="inlineStr">
        <is>
          <t>dota2-tiered-elo-v6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0.6667</v>
      </c>
      <c r="AD15" s="24" t="inlineStr">
        <is>
          <t>2026-10-13T16:16:25.193560Z</t>
        </is>
      </c>
      <c r="AE15" s="31" t="inlineStr">
        <is>
          <t>Neutral Elo baseline; executable ask 0.6000 (market_slug=aec-dota2-lynx-z10-2026-10-13).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4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Zero Tenacity</t>
        </is>
      </c>
      <c r="AQ15" s="24" t="inlineStr">
        <is>
          <t>Zero Tenacity</t>
        </is>
      </c>
      <c r="AR15" s="24" t="inlineStr">
        <is>
          <t>Zero Tenacity</t>
        </is>
      </c>
      <c r="AS15" s="24" t="inlineStr">
        <is>
          <t>Team Lynx</t>
        </is>
      </c>
      <c r="AT15" s="24" t="inlineStr">
        <is>
          <t>Team Lynx</t>
        </is>
      </c>
      <c r="AU15" s="24" t="inlineStr">
        <is>
          <t>Team Lynx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498068cbee0b727d651d5d989f095e8a43ce7662aad212f07b645d438261f98f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498068cbee0b727d651d5d989f095e8a43ce7662aad212f07b645d438261f98f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2026-10-13T05:50:34.514198Z</t>
        </is>
      </c>
      <c r="BI15" s="24" t="inlineStr">
        <is>
          <t>["same_event","same_team_same_day","same_league_same_day"]</t>
        </is>
      </c>
      <c r="BJ15" s="25" t="n"/>
      <c r="BK15" s="26" t="n">
        <v>-150</v>
      </c>
      <c r="BL15" s="27" t="n">
        <v>1.666667</v>
      </c>
      <c r="BM15" s="28" t="n">
        <v>0.6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n"/>
      <c r="DK15" s="24" t="n"/>
      <c r="DL15" s="24" t="n"/>
      <c r="DM15" s="24" t="n"/>
      <c r="DN15" s="24" t="n"/>
      <c r="DO15" s="24" t="n"/>
      <c r="DP15" s="24" t="n"/>
      <c r="DQ15" s="24" t="inlineStr">
        <is>
          <t>{"artifact_hash": "498068cbee0b727d651d5d989f095e8a43ce7662aad212f07b645d438261f98f", "away_team": "Zero Tenacity", "event_id": "156703", "event_start_utc": "2026-10-13T07:00:00Z", "features": {"away_elo": 1583.870909, "away_history_count": 349, "home_elo": 1720.880148, "home_history_count": 185}, "historical_source_observation_times_verified": false, "home_team": "Team Lynx", "inference_inputs": {"book_state": {"games_played": {"bo3:4:18713": 349, "bo3:4:19913": 185}, "inactivity_half_life_days": null, "inactivity_max_pull": null, "k": 48.0, "last_match_utc": {"bo3:4:18713": "2026-10-09T16:25:00Z", "bo3:4:19913": "2026-10-12T16:40:00Z"}, "minimum_reliable_games": null, "platt_intercept": 0.06660293057110224, "platt_slope": 0.8502014663873206, "ratings": {"bo3:4:18713": 1583.870909, "bo3:4:19913": 1720.880148},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"2026-10-13T05:50:34.431410+00:00", "team_ids": ["bo3:4:19913", "bo3:4:18713"]}, "market_type": "moneyline", "model_version": "dota2-tiered-elo-v6", "observed_at_utc": "2026-10-13T05:50:34.431410+00:00", "probabilities": {"away": 0.347237, "home": 0.652763}, "replay_scope": "Exact serving book state, calibration, temperature, inactivity reference and thin-history adjustments; training provenance not certified.", "schema": "esports-elo-replay-v1", "snapshot_hash": "a76a3bddcb7e8437baf8b35cd3af51cda6bb163aaaf843d281e21e8ee20c5ba1", "sport": "DOTA2"}</t>
        </is>
      </c>
    </row>
    <row r="16" ht="36" customHeight="1">
      <c r="A16" s="24" t="inlineStr">
        <is>
          <t>b3e3535eb22648f5</t>
        </is>
      </c>
      <c r="B16" s="24" t="inlineStr">
        <is>
          <t>2026-10-13T05:56:44.892731Z</t>
        </is>
      </c>
      <c r="C16" s="24" t="inlineStr">
        <is>
          <t>2026-10-13T07:00:00Z</t>
        </is>
      </c>
      <c r="D16" s="24" t="inlineStr">
        <is>
          <t>156703</t>
        </is>
      </c>
      <c r="E16" s="24" t="inlineStr">
        <is>
          <t>DOTA2</t>
        </is>
      </c>
      <c r="F16" s="24" t="inlineStr">
        <is>
          <t>Zero Tenacity</t>
        </is>
      </c>
      <c r="G16" s="24" t="inlineStr">
        <is>
          <t>Team Lynx</t>
        </is>
      </c>
      <c r="H16" s="24" t="inlineStr">
        <is>
          <t>total</t>
        </is>
      </c>
      <c r="I16" s="24" t="inlineStr">
        <is>
          <t>under</t>
        </is>
      </c>
      <c r="J16" s="25" t="n">
        <v>2.5</v>
      </c>
      <c r="K16" s="24" t="inlineStr">
        <is>
          <t>polymarket_us</t>
        </is>
      </c>
      <c r="L16" s="26" t="n">
        <v>-122</v>
      </c>
      <c r="M16" s="27" t="n">
        <v>1.819672</v>
      </c>
      <c r="N16" s="28" t="n">
        <v>0.54955</v>
      </c>
      <c r="O16" s="28" t="n">
        <v>0.521347</v>
      </c>
      <c r="P16" s="28" t="n"/>
      <c r="Q16" s="28" t="n">
        <v>-0.028203</v>
      </c>
      <c r="R16" s="26" t="n">
        <v>6</v>
      </c>
      <c r="S16" s="29" t="n">
        <v>1</v>
      </c>
      <c r="T16" s="24" t="inlineStr">
        <is>
          <t>dota2-total-tiered-elo-v6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2</v>
      </c>
      <c r="Y16" s="25" t="n"/>
      <c r="Z16" s="26" t="n"/>
      <c r="AA16" s="28" t="n"/>
      <c r="AB16" s="28" t="n"/>
      <c r="AC16" s="30" t="n">
        <v>-1</v>
      </c>
      <c r="AD16" s="24" t="inlineStr">
        <is>
          <t>2026-10-13T10:08:19.007349Z</t>
        </is>
      </c>
      <c r="AE16" s="31" t="inlineStr">
        <is>
          <t>Neutral Elo baseline; executable ask 0.5500 (market_slug=tsc-dota2-lynx-z10-2026-10-13-tot-2pt5).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Zero Tenacity</t>
        </is>
      </c>
      <c r="AQ16" s="24" t="inlineStr">
        <is>
          <t>Zero Tenacity</t>
        </is>
      </c>
      <c r="AR16" s="24" t="inlineStr">
        <is>
          <t>Zero Tenacity</t>
        </is>
      </c>
      <c r="AS16" s="24" t="inlineStr">
        <is>
          <t>Team Lynx</t>
        </is>
      </c>
      <c r="AT16" s="24" t="inlineStr">
        <is>
          <t>Team Lynx</t>
        </is>
      </c>
      <c r="AU16" s="24" t="inlineStr">
        <is>
          <t>Team Lynx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498068cbee0b727d651d5d989f095e8a43ce7662aad212f07b645d438261f98f</t>
        </is>
      </c>
      <c r="BB16" s="24" t="inlineStr">
        <is>
          <t>neutral_elo</t>
        </is>
      </c>
      <c r="BC16" s="24" t="inlineStr">
        <is>
          <t>dota2-total-tiered-elo-v6</t>
        </is>
      </c>
      <c r="BD16" s="24" t="inlineStr">
        <is>
          <t>498068cbee0b727d651d5d989f095e8a43ce7662aad212f07b645d438261f98f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dota2-total-tiered-elo-v6</t>
        </is>
      </c>
      <c r="BH16" s="24" t="inlineStr">
        <is>
          <t>2026-10-13T05:51:15.148583Z</t>
        </is>
      </c>
      <c r="BI16" s="24" t="inlineStr">
        <is>
          <t>["same_event","same_team_same_day","same_league_same_day"]</t>
        </is>
      </c>
      <c r="BJ16" s="25" t="n">
        <v>2.5</v>
      </c>
      <c r="BK16" s="26" t="n">
        <v>-122</v>
      </c>
      <c r="BL16" s="27" t="n">
        <v>1.819672</v>
      </c>
      <c r="BM16" s="28" t="n">
        <v>0.54955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n"/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97e6148ef03847f8</t>
        </is>
      </c>
      <c r="B17" s="24" t="inlineStr">
        <is>
          <t>2026-10-13T05:56:44.892731Z</t>
        </is>
      </c>
      <c r="C17" s="24" t="inlineStr">
        <is>
          <t>2026-10-13T08:00:00Z</t>
        </is>
      </c>
      <c r="D17" s="24" t="inlineStr">
        <is>
          <t>156968</t>
        </is>
      </c>
      <c r="E17" s="24" t="inlineStr">
        <is>
          <t>DOTA2</t>
        </is>
      </c>
      <c r="F17" s="24" t="inlineStr">
        <is>
          <t>The goal of all life is death</t>
        </is>
      </c>
      <c r="G17" s="24" t="inlineStr">
        <is>
          <t>Resp Gaming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-113</v>
      </c>
      <c r="M17" s="27" t="n">
        <v>1.884956</v>
      </c>
      <c r="N17" s="28" t="n">
        <v>0.530516</v>
      </c>
      <c r="O17" s="28" t="n">
        <v>0.519271</v>
      </c>
      <c r="P17" s="28" t="n"/>
      <c r="Q17" s="28" t="n">
        <v>-0.011245</v>
      </c>
      <c r="R17" s="26" t="n">
        <v>14</v>
      </c>
      <c r="S17" s="29" t="n">
        <v>1</v>
      </c>
      <c r="T17" s="24" t="inlineStr">
        <is>
          <t>dota2-tiered-elo-v6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0.885</v>
      </c>
      <c r="AD17" s="24" t="inlineStr">
        <is>
          <t>2026-10-13T16:16:26.509439Z</t>
        </is>
      </c>
      <c r="AE17" s="31" t="inlineStr">
        <is>
          <t>Neutral Elo baseline; executable ask 0.5300 (market_slug=aec-dota2-rg-tgoalid-2026-10-13).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PAPER_CALL_MODEL_UNVALIDATED</t>
        </is>
      </c>
      <c r="AP17" s="24" t="inlineStr">
        <is>
          <t>The goal of all life is death</t>
        </is>
      </c>
      <c r="AQ17" s="24" t="inlineStr">
        <is>
          <t>The goal of all life is death</t>
        </is>
      </c>
      <c r="AR17" s="24" t="inlineStr">
        <is>
          <t>The goal of all life is death</t>
        </is>
      </c>
      <c r="AS17" s="24" t="inlineStr">
        <is>
          <t>Resp Gaming</t>
        </is>
      </c>
      <c r="AT17" s="24" t="inlineStr">
        <is>
          <t>Resp Gaming</t>
        </is>
      </c>
      <c r="AU17" s="24" t="inlineStr">
        <is>
          <t>Resp Gaming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498068cbee0b727d651d5d989f095e8a43ce7662aad212f07b645d438261f98f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498068cbee0b727d651d5d989f095e8a43ce7662aad212f07b645d438261f98f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2026-10-13T05:52:25.837911Z</t>
        </is>
      </c>
      <c r="BI17" s="24" t="inlineStr">
        <is>
          <t>["same_event","same_team_same_day","same_league_same_day"]</t>
        </is>
      </c>
      <c r="BJ17" s="25" t="n"/>
      <c r="BK17" s="26" t="n">
        <v>-113</v>
      </c>
      <c r="BL17" s="27" t="n">
        <v>1.884956</v>
      </c>
      <c r="BM17" s="28" t="n">
        <v>0.530516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n"/>
      <c r="DK17" s="24" t="n"/>
      <c r="DL17" s="24" t="n"/>
      <c r="DM17" s="24" t="n"/>
      <c r="DN17" s="24" t="n"/>
      <c r="DO17" s="24" t="n"/>
      <c r="DP17" s="24" t="n"/>
      <c r="DQ17" s="24" t="inlineStr">
        <is>
          <t>{"artifact_hash": "498068cbee0b727d651d5d989f095e8a43ce7662aad212f07b645d438261f98f", "away_team": "The goal of all life is death", "event_id": "156968", "event_start_utc": "2026-10-13T08:00:00Z", "features": {"away_elo": 1466.255216, "away_history_count": 23, "home_elo": 1500.0, "home_history_count": 0}, "historical_source_observation_times_verified": false, "home_team": "Resp Gaming", "inference_inputs": {"book_state": {"games_played": {"bo3:4:15069": 23}, "inactivity_half_life_days": null, "inactivity_max_pull": null, "k": 48.0, "last_match_utc": {"bo3:4:15069": "2026-08-29T08:00:00Z"}, "minimum_reliable_games": null, "platt_intercept": 0.06660293057110224, "platt_slope": 0.8502014663873206, "ratings": {"bo3:4:15069": 1466.255216},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"2026-10-13T05:50:34.431410+00:00", "team_ids": ["unknown:respgaming", "bo3:4:15069"]}, "market_type": "moneyline", "model_version": "dota2-tiered-elo-v6", "observed_at_utc": "2026-10-13T05:50:34.431410+00:00", "probabilities": {"away": 0.480729, "home": 0.519271}, "replay_scope": "Exact serving book state, calibration, temperature, inactivity reference and thin-history adjustments; training provenance not certified.", "schema": "esports-elo-replay-v1", "snapshot_hash": "3b65f483251e622ee149930e14ede499ee4b55a8bb1f06123a073c275e3e6562", "sport": "DOTA2"}</t>
        </is>
      </c>
    </row>
    <row r="18" ht="36" customHeight="1">
      <c r="A18" s="24" t="inlineStr">
        <is>
          <t>5ecfdc6cc0134507</t>
        </is>
      </c>
      <c r="B18" s="24" t="inlineStr">
        <is>
          <t>2026-10-13T05:56:44.892731Z</t>
        </is>
      </c>
      <c r="C18" s="24" t="inlineStr">
        <is>
          <t>2026-10-13T09:00:00Z</t>
        </is>
      </c>
      <c r="D18" s="24" t="inlineStr">
        <is>
          <t>156670</t>
        </is>
      </c>
      <c r="E18" s="24" t="inlineStr">
        <is>
          <t>DOTA2</t>
        </is>
      </c>
      <c r="F18" s="24" t="inlineStr">
        <is>
          <t>Nemiga Gaming</t>
        </is>
      </c>
      <c r="G18" s="24" t="inlineStr">
        <is>
          <t>HULIGANI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0.593184</v>
      </c>
      <c r="P18" s="28" t="n"/>
      <c r="Q18" s="28" t="n">
        <v>0.033713</v>
      </c>
      <c r="R18" s="26" t="n">
        <v>37</v>
      </c>
      <c r="S18" s="29" t="n">
        <v>1</v>
      </c>
      <c r="T18" s="24" t="inlineStr">
        <is>
          <t>dota2-tiered-elo-v6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-127</v>
      </c>
      <c r="AA18" s="28" t="n">
        <v>0.5600000000000001</v>
      </c>
      <c r="AB18" s="28" t="n">
        <v>0.000529</v>
      </c>
      <c r="AC18" s="30" t="n">
        <v>0.7874</v>
      </c>
      <c r="AD18" s="24" t="inlineStr">
        <is>
          <t>2026-10-13T16:16:27.687616Z</t>
        </is>
      </c>
      <c r="AE18" s="31" t="inlineStr">
        <is>
          <t>Neutral Elo baseline; executable ask 0.5600 (market_slug=aec-dota2-hul-nemiga-2026-10-13).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4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Nemiga Gaming</t>
        </is>
      </c>
      <c r="AQ18" s="24" t="inlineStr">
        <is>
          <t>Nemiga Gaming</t>
        </is>
      </c>
      <c r="AR18" s="24" t="inlineStr">
        <is>
          <t>Nemiga Gaming</t>
        </is>
      </c>
      <c r="AS18" s="24" t="inlineStr">
        <is>
          <t>HULIGANI</t>
        </is>
      </c>
      <c r="AT18" s="24" t="inlineStr">
        <is>
          <t>HULIGANI</t>
        </is>
      </c>
      <c r="AU18" s="24" t="inlineStr">
        <is>
          <t>HULIGANI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498068cbee0b727d651d5d989f095e8a43ce7662aad212f07b645d438261f98f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498068cbee0b727d651d5d989f095e8a43ce7662aad212f07b645d438261f98f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2026-10-13T05:52:36.540751Z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/>
      <c r="BO18" s="28" t="n"/>
      <c r="BP18" s="25" t="n"/>
      <c r="BQ18" s="27" t="n">
        <v>1.787402</v>
      </c>
      <c r="BR18" s="28" t="n">
        <v>0.5600000000000001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n"/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"498068cbee0b727d651d5d989f095e8a43ce7662aad212f07b645d438261f98f", "away_team": "Nemiga Gaming", "event_id": "156670", "event_start_utc": "2026-10-13T09:00:00Z", "features": {"away_elo": 1464.093003, "away_history_count": 295, "home_elo": 1544.327209, "home_history_count": 337}, "historical_source_observation_times_verified": false, "home_team": "HULIGANI", "inference_inputs": {"book_state": {"games_played": {"bo3:4:15098": 337, "bo3:4:16398": 295}, "inactivity_half_life_days": null, "inactivity_max_pull": null, "k": 48.0, "last_match_utc": {"bo3:4:15098": "2026-10-06T08:10:00Z", "bo3:4:16398": "2026-10-12T13:10:00Z"}, "minimum_reliable_games": null, "platt_intercept": 0.06660293057110224, "platt_slope": 0.8502014663873206, "ratings": {"bo3:4:15098": 1544.327209, "bo3:4:16398": 1464.093003},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"2026-10-13T05:50:34.431410+00:00", "team_ids": ["bo3:4:15098", "bo3:4:16398"]}, "market_type": "moneyline", "model_version": "dota2-tiered-elo-v6", "observed_at_utc": "2026-10-13T05:50:34.431410+00:00", "probabilities": {"away": 0.406816, "home": 0.593184}, "replay_scope": "Exact serving book state, calibration, temperature, inactivity reference and thin-history adjustments; training provenance not certified.", "schema": "esports-elo-replay-v1", "snapshot_hash": "1c8708fb5bbab32b607675cd051cb93a5e3de4c59fc3ccadd6eb3977bd7ceba2", "sport": "DOTA2"}</t>
        </is>
      </c>
    </row>
    <row r="19" ht="36" customHeight="1">
      <c r="A19" s="24" t="inlineStr">
        <is>
          <t>2d6fba2da9b94259</t>
        </is>
      </c>
      <c r="B19" s="24" t="inlineStr">
        <is>
          <t>2026-10-13T11:23:20.635144Z</t>
        </is>
      </c>
      <c r="C19" s="24" t="inlineStr">
        <is>
          <t>2026-10-13T12:00:00Z</t>
        </is>
      </c>
      <c r="D19" s="24" t="inlineStr">
        <is>
          <t>158060</t>
        </is>
      </c>
      <c r="E19" s="24" t="inlineStr">
        <is>
          <t>DOTA2</t>
        </is>
      </c>
      <c r="F19" s="24" t="inlineStr">
        <is>
          <t>Yakult Brothers</t>
        </is>
      </c>
      <c r="G19" s="24" t="inlineStr">
        <is>
          <t>Team Resilience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-233</v>
      </c>
      <c r="M19" s="27" t="n">
        <v>1.429185</v>
      </c>
      <c r="N19" s="28" t="n">
        <v>0.6997</v>
      </c>
      <c r="O19" s="28" t="n">
        <v>0.585585</v>
      </c>
      <c r="P19" s="28" t="n"/>
      <c r="Q19" s="28" t="n">
        <v>-0.114115</v>
      </c>
      <c r="R19" s="26" t="n">
        <v>0</v>
      </c>
      <c r="S19" s="29" t="n">
        <v>1</v>
      </c>
      <c r="T19" s="24" t="inlineStr">
        <is>
          <t>dota2-tiered-elo-v6</t>
        </is>
      </c>
      <c r="U19" s="24" t="inlineStr">
        <is>
          <t>settled</t>
        </is>
      </c>
      <c r="V19" s="24" t="inlineStr">
        <is>
          <t>push</t>
        </is>
      </c>
      <c r="W19" s="26" t="n"/>
      <c r="X19" s="26" t="n"/>
      <c r="Y19" s="25" t="n"/>
      <c r="Z19" s="26" t="n"/>
      <c r="AA19" s="28" t="n"/>
      <c r="AB19" s="28" t="n"/>
      <c r="AC19" s="30" t="n">
        <v>0</v>
      </c>
      <c r="AD19" s="24" t="inlineStr">
        <is>
          <t>2026-10-13T16:16:33.837041Z</t>
        </is>
      </c>
      <c r="AE19" s="31" t="inlineStr">
        <is>
          <t>Neutral Elo baseline; executable ask 0.7000 (market_slug=aec-dota2-tr-yb-2026-10-13).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Yakult Brothers</t>
        </is>
      </c>
      <c r="AQ19" s="24" t="inlineStr">
        <is>
          <t>Yakult Brothers</t>
        </is>
      </c>
      <c r="AR19" s="24" t="inlineStr">
        <is>
          <t>Yakult Brothers</t>
        </is>
      </c>
      <c r="AS19" s="24" t="inlineStr">
        <is>
          <t>Team Resilience</t>
        </is>
      </c>
      <c r="AT19" s="24" t="inlineStr">
        <is>
          <t>Team Resilience</t>
        </is>
      </c>
      <c r="AU19" s="24" t="inlineStr">
        <is>
          <t>Team Resilience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82eaf6866c5f8a33c82bd6297df9b8c17cc34456cc7a74fdcb602fb4705d7601</t>
        </is>
      </c>
      <c r="BB19" s="24" t="inlineStr">
        <is>
          <t>neutral_elo</t>
        </is>
      </c>
      <c r="BC19" s="24" t="inlineStr">
        <is>
          <t>dota2-tiered-elo-v6</t>
        </is>
      </c>
      <c r="BD19" s="24" t="inlineStr">
        <is>
          <t>82eaf6866c5f8a33c82bd6297df9b8c17cc34456cc7a74fdcb602fb4705d7601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dota2-tiered-elo-v6</t>
        </is>
      </c>
      <c r="BH19" s="24" t="inlineStr">
        <is>
          <t>2026-10-13T11:18:19.188548Z</t>
        </is>
      </c>
      <c r="BI19" s="24" t="inlineStr">
        <is>
          <t>["same_event","same_team_same_day","same_league_same_day"]</t>
        </is>
      </c>
      <c r="BJ19" s="25" t="n"/>
      <c r="BK19" s="26" t="n">
        <v>-233</v>
      </c>
      <c r="BL19" s="27" t="n">
        <v>1.429185</v>
      </c>
      <c r="BM19" s="28" t="n">
        <v>0.6997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inlineStr">
        <is>
          <t>esports market terminal (MARKET_STATE_EXPIRED) with prices {'Team Resilience': 0.66, 'Yakult Brothers': 0.34}; BO3 has no confirming finished-match result either</t>
        </is>
      </c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n"/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"82eaf6866c5f8a33c82bd6297df9b8c17cc34456cc7a74fdcb602fb4705d7601", "away_team": "Yakult Brothers", "event_id": "158060", "event_start_utc": "2026-10-13T12:00:00Z", "features": {"away_elo": 1669.762098, "away_history_count": 187, "home_elo": 1740.091782, "home_history_count": 22}, "historical_source_observation_times_verified": false, "home_team": "Team Resilience", "inference_inputs": {"book_state": {"games_played": {"bo3:4:18586": 187, "bo3:4:23196": 22}, "inactivity_half_life_days": null, "inactivity_max_pull": null, "k": 48.0, "last_match_utc": {"bo3:4:18586": "2026-10-13T04:00:00Z", "bo3:4:23196": "2026-10-13T04:00:00Z"}, "minimum_reliable_games": null, "platt_intercept": 0.06516991331836251, "platt_slope": 0.8491312027850109, "ratings": {"bo3:4:18586": 1669.762098, "bo3:4:23196": 1740.091782},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"2026-10-13T11:18:19.094097+00:00", "team_ids": ["bo3:4:23196", "bo3:4:18586"]}, "market_type": "moneyline", "model_version": "dota2-tiered-elo-v6", "observed_at_utc": "2026-10-13T11:18:19.094097+00:00", "probabilities": {"away": 0.414415, "home": 0.585585}, "replay_scope": "Exact serving book state, calibration, temperature, inactivity reference and thin-history adjustments; training provenance not certified.", "schema": "esports-elo-replay-v1", "snapshot_hash": "30fb7e04208f443731ef0e51cde435c290820fa84f88e1026fadf40a9b4bf015", "sport": "DOTA2"}</t>
        </is>
      </c>
    </row>
    <row r="20" ht="36" customHeight="1">
      <c r="A20" s="24" t="inlineStr">
        <is>
          <t>78ebde929d414a89</t>
        </is>
      </c>
      <c r="B20" s="24" t="inlineStr">
        <is>
          <t>2026-10-13T11:23:20.635144Z</t>
        </is>
      </c>
      <c r="C20" s="24" t="inlineStr">
        <is>
          <t>2026-10-13T13:00:00Z</t>
        </is>
      </c>
      <c r="D20" s="24" t="inlineStr">
        <is>
          <t>155060</t>
        </is>
      </c>
      <c r="E20" s="24" t="inlineStr">
        <is>
          <t>DOTA2</t>
        </is>
      </c>
      <c r="F20" s="24" t="inlineStr">
        <is>
          <t>The Warriors</t>
        </is>
      </c>
      <c r="G20" s="24" t="inlineStr">
        <is>
          <t>Power Rangers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-213</v>
      </c>
      <c r="M20" s="27" t="n">
        <v>1.469484</v>
      </c>
      <c r="N20" s="28" t="n">
        <v>0.680511</v>
      </c>
      <c r="O20" s="28" t="n">
        <v>0.531826</v>
      </c>
      <c r="P20" s="28" t="n"/>
      <c r="Q20" s="28" t="n">
        <v>-0.148685</v>
      </c>
      <c r="R20" s="26" t="n">
        <v>0</v>
      </c>
      <c r="S20" s="29" t="n">
        <v>1</v>
      </c>
      <c r="T20" s="24" t="inlineStr">
        <is>
          <t>dota2-tiered-elo-v6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-213</v>
      </c>
      <c r="AA20" s="28" t="n">
        <v>0.68</v>
      </c>
      <c r="AB20" s="28" t="n">
        <v>-0.000511</v>
      </c>
      <c r="AC20" s="30" t="n">
        <v>0.4695</v>
      </c>
      <c r="AD20" s="24" t="inlineStr">
        <is>
          <t>2026-10-13T22:05:36.292881Z</t>
        </is>
      </c>
      <c r="AE20" s="31" t="inlineStr">
        <is>
          <t>Neutral Elo baseline; executable ask 0.6800 (market_slug=aec-dota2-pr-twh-2026-10-13).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The Warriors</t>
        </is>
      </c>
      <c r="AQ20" s="24" t="inlineStr">
        <is>
          <t>The Warriors</t>
        </is>
      </c>
      <c r="AR20" s="24" t="inlineStr">
        <is>
          <t>The Warriors</t>
        </is>
      </c>
      <c r="AS20" s="24" t="inlineStr">
        <is>
          <t>Power Rangers</t>
        </is>
      </c>
      <c r="AT20" s="24" t="inlineStr">
        <is>
          <t>Power Rangers</t>
        </is>
      </c>
      <c r="AU20" s="24" t="inlineStr">
        <is>
          <t>Power Rangers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82eaf6866c5f8a33c82bd6297df9b8c17cc34456cc7a74fdcb602fb4705d7601</t>
        </is>
      </c>
      <c r="BB20" s="24" t="inlineStr">
        <is>
          <t>neutral_elo</t>
        </is>
      </c>
      <c r="BC20" s="24" t="inlineStr">
        <is>
          <t>dota2-tiered-elo-v6</t>
        </is>
      </c>
      <c r="BD20" s="24" t="inlineStr">
        <is>
          <t>82eaf6866c5f8a33c82bd6297df9b8c17cc34456cc7a74fdcb602fb4705d7601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dota2-tiered-elo-v6</t>
        </is>
      </c>
      <c r="BH20" s="24" t="inlineStr">
        <is>
          <t>2026-10-13T11:20:23.851640Z</t>
        </is>
      </c>
      <c r="BI20" s="24" t="inlineStr">
        <is>
          <t>["same_event","same_team_same_day","same_league_same_day"]</t>
        </is>
      </c>
      <c r="BJ20" s="25" t="n"/>
      <c r="BK20" s="26" t="n">
        <v>-213</v>
      </c>
      <c r="BL20" s="27" t="n">
        <v>1.469484</v>
      </c>
      <c r="BM20" s="28" t="n">
        <v>0.680511</v>
      </c>
      <c r="BN20" s="28" t="n"/>
      <c r="BO20" s="28" t="n"/>
      <c r="BP20" s="25" t="n"/>
      <c r="BQ20" s="27" t="n">
        <v>1.469484</v>
      </c>
      <c r="BR20" s="28" t="n">
        <v>0.68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n"/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"82eaf6866c5f8a33c82bd6297df9b8c17cc34456cc7a74fdcb602fb4705d7601", "away_team": "The Warriors", "event_id": "155060", "event_start_utc": "2026-10-13T13:00:00Z", "features": {"away_elo": 1573.452002, "away_history_count": 4, "home_elo": 1638.365225, "home_history_count": 93}, "historical_source_observation_times_verified": false, "home_team": "Power Rangers", "inference_inputs": {"book_state": {"games_played": {"bo3:4:16653": 93, "bo3:4:25465": 4}, "inactivity_half_life_days": null, "inactivity_max_pull": null, "k": 48.0, "last_match_utc": {"bo3:4:16653": "2026-09-08T09:00:00Z", "bo3:4:25465": "2026-10-12T19:25:00Z"}, "minimum_reliable_games": null, "platt_intercept": 0.06516991331836251, "platt_slope": 0.8491312027850109, "ratings": {"bo3:4:16653": 1638.365225, "bo3:4:25465": 1573.452002},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"2026-10-13T11:18:19.094097+00:00", "team_ids": ["bo3:4:16653", "bo3:4:25465"]}, "market_type": "moneyline", "model_version": "dota2-tiered-elo-v6", "observed_at_utc": "2026-10-13T11:18:19.094097+00:00", "probabilities": {"away": 0.468174, "home": 0.531826}, "replay_scope": "Exact serving book state, calibration, temperature, inactivity reference and thin-history adjustments; training provenance not certified.", "schema": "esports-elo-replay-v1", "snapshot_hash": "750d1ac2c44427d0341e3eb3cc2b85cb66e4553a14c56abf9b250e3ae4683337", "sport": "DOTA2"}</t>
        </is>
      </c>
    </row>
    <row r="21" ht="36" customHeight="1">
      <c r="A21" s="24" t="inlineStr">
        <is>
          <t>1f8d48b6d4734327</t>
        </is>
      </c>
      <c r="B21" s="24" t="inlineStr">
        <is>
          <t>2026-10-13T11:23:20.635144Z</t>
        </is>
      </c>
      <c r="C21" s="24" t="inlineStr">
        <is>
          <t>2026-10-13T13:00:00Z</t>
        </is>
      </c>
      <c r="D21" s="24" t="inlineStr">
        <is>
          <t>155060</t>
        </is>
      </c>
      <c r="E21" s="24" t="inlineStr">
        <is>
          <t>DOTA2</t>
        </is>
      </c>
      <c r="F21" s="24" t="inlineStr">
        <is>
          <t>The Warriors</t>
        </is>
      </c>
      <c r="G21" s="24" t="inlineStr">
        <is>
          <t>Power Rangers</t>
        </is>
      </c>
      <c r="H21" s="24" t="inlineStr">
        <is>
          <t>total</t>
        </is>
      </c>
      <c r="I21" s="24" t="inlineStr">
        <is>
          <t>under</t>
        </is>
      </c>
      <c r="J21" s="25" t="n">
        <v>2.5</v>
      </c>
      <c r="K21" s="24" t="inlineStr">
        <is>
          <t>polymarket_us</t>
        </is>
      </c>
      <c r="L21" s="26" t="n">
        <v>-138</v>
      </c>
      <c r="M21" s="27" t="n">
        <v>1.724638</v>
      </c>
      <c r="N21" s="28" t="n">
        <v>0.579832</v>
      </c>
      <c r="O21" s="28" t="n">
        <v>0.500901</v>
      </c>
      <c r="P21" s="28" t="n"/>
      <c r="Q21" s="28" t="n">
        <v>-0.078931</v>
      </c>
      <c r="R21" s="26" t="n">
        <v>0</v>
      </c>
      <c r="S21" s="29" t="n">
        <v>1</v>
      </c>
      <c r="T21" s="24" t="inlineStr">
        <is>
          <t>dota2-total-tiered-elo-v6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2</v>
      </c>
      <c r="Y21" s="25" t="n"/>
      <c r="Z21" s="26" t="n"/>
      <c r="AA21" s="28" t="n"/>
      <c r="AB21" s="28" t="n"/>
      <c r="AC21" s="30" t="n">
        <v>-1</v>
      </c>
      <c r="AD21" s="24" t="inlineStr">
        <is>
          <t>2026-10-13T16:16:35.052840Z</t>
        </is>
      </c>
      <c r="AE21" s="31" t="inlineStr">
        <is>
          <t>Neutral Elo baseline; executable ask 0.5800 (market_slug=tsc-dota2-pr-twh-2026-10-13-tot-2pt5).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The Warriors</t>
        </is>
      </c>
      <c r="AQ21" s="24" t="inlineStr">
        <is>
          <t>The Warriors</t>
        </is>
      </c>
      <c r="AR21" s="24" t="inlineStr">
        <is>
          <t>The Warriors</t>
        </is>
      </c>
      <c r="AS21" s="24" t="inlineStr">
        <is>
          <t>Power Rangers</t>
        </is>
      </c>
      <c r="AT21" s="24" t="inlineStr">
        <is>
          <t>Power Rangers</t>
        </is>
      </c>
      <c r="AU21" s="24" t="inlineStr">
        <is>
          <t>Power Rangers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82eaf6866c5f8a33c82bd6297df9b8c17cc34456cc7a74fdcb602fb4705d7601</t>
        </is>
      </c>
      <c r="BB21" s="24" t="inlineStr">
        <is>
          <t>neutral_elo</t>
        </is>
      </c>
      <c r="BC21" s="24" t="inlineStr">
        <is>
          <t>dota2-total-tiered-elo-v6</t>
        </is>
      </c>
      <c r="BD21" s="24" t="inlineStr">
        <is>
          <t>82eaf6866c5f8a33c82bd6297df9b8c17cc34456cc7a74fdcb602fb4705d7601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dota2-total-tiered-elo-v6</t>
        </is>
      </c>
      <c r="BH21" s="24" t="inlineStr">
        <is>
          <t>2026-10-13T11:20:23.925214Z</t>
        </is>
      </c>
      <c r="BI21" s="24" t="inlineStr">
        <is>
          <t>["same_event","same_team_same_day","same_league_same_day"]</t>
        </is>
      </c>
      <c r="BJ21" s="25" t="n">
        <v>2.5</v>
      </c>
      <c r="BK21" s="26" t="n">
        <v>-138</v>
      </c>
      <c r="BL21" s="27" t="n">
        <v>1.724638</v>
      </c>
      <c r="BM21" s="28" t="n">
        <v>0.579832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n"/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d1f35b4ff9b847dd</t>
        </is>
      </c>
      <c r="B22" s="24" t="inlineStr">
        <is>
          <t>2026-10-13T17:03:07.936006Z</t>
        </is>
      </c>
      <c r="C22" s="24" t="inlineStr">
        <is>
          <t>2026-10-13T19:00:00Z</t>
        </is>
      </c>
      <c r="D22" s="24" t="inlineStr">
        <is>
          <t>156711</t>
        </is>
      </c>
      <c r="E22" s="24" t="inlineStr">
        <is>
          <t>DOTA2</t>
        </is>
      </c>
      <c r="F22" s="24" t="inlineStr">
        <is>
          <t>salamit</t>
        </is>
      </c>
      <c r="G22" s="24" t="inlineStr">
        <is>
          <t>The Warriors</t>
        </is>
      </c>
      <c r="H22" s="24" t="inlineStr">
        <is>
          <t>total</t>
        </is>
      </c>
      <c r="I22" s="24" t="inlineStr">
        <is>
          <t>under</t>
        </is>
      </c>
      <c r="J22" s="25" t="n">
        <v>2.5</v>
      </c>
      <c r="K22" s="24" t="inlineStr">
        <is>
          <t>polymarket_us</t>
        </is>
      </c>
      <c r="L22" s="26" t="n">
        <v>-133</v>
      </c>
      <c r="M22" s="27" t="n">
        <v>1.75188</v>
      </c>
      <c r="N22" s="28" t="n">
        <v>0.570815</v>
      </c>
      <c r="O22" s="28" t="n">
        <v>0.50279</v>
      </c>
      <c r="P22" s="28" t="n"/>
      <c r="Q22" s="28" t="n">
        <v>-0.068025</v>
      </c>
      <c r="R22" s="26" t="n">
        <v>0</v>
      </c>
      <c r="S22" s="29" t="n">
        <v>1</v>
      </c>
      <c r="T22" s="24" t="inlineStr">
        <is>
          <t>dota2-total-tiered-elo-v6</t>
        </is>
      </c>
      <c r="U22" s="24" t="inlineStr">
        <is>
          <t>settled</t>
        </is>
      </c>
      <c r="V22" s="24" t="inlineStr">
        <is>
          <t>push</t>
        </is>
      </c>
      <c r="W22" s="26" t="n"/>
      <c r="X22" s="26" t="n"/>
      <c r="Y22" s="25" t="n"/>
      <c r="Z22" s="26" t="n"/>
      <c r="AA22" s="28" t="n"/>
      <c r="AB22" s="28" t="n"/>
      <c r="AC22" s="30" t="n">
        <v>0</v>
      </c>
      <c r="AD22" s="24" t="inlineStr">
        <is>
          <t>2026-10-13T22:05:42.159954Z</t>
        </is>
      </c>
      <c r="AE22" s="31" t="inlineStr">
        <is>
          <t>Neutral Elo baseline; executable ask 0.5700 (market_slug=tsc-dota2-twh-sala-2026-10-13-tot-2pt5).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4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salamit</t>
        </is>
      </c>
      <c r="AQ22" s="24" t="inlineStr">
        <is>
          <t>salamit</t>
        </is>
      </c>
      <c r="AR22" s="24" t="inlineStr">
        <is>
          <t>salamit</t>
        </is>
      </c>
      <c r="AS22" s="24" t="inlineStr">
        <is>
          <t>The Warriors</t>
        </is>
      </c>
      <c r="AT22" s="24" t="inlineStr">
        <is>
          <t>The Warriors</t>
        </is>
      </c>
      <c r="AU22" s="24" t="inlineStr">
        <is>
          <t>The Warriors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dbdf8c3e3bd3daca22666c2f38605f226d67625f4460aace1c5df263d8fc71b3</t>
        </is>
      </c>
      <c r="BB22" s="24" t="inlineStr">
        <is>
          <t>neutral_elo</t>
        </is>
      </c>
      <c r="BC22" s="24" t="inlineStr">
        <is>
          <t>dota2-total-tiered-elo-v6</t>
        </is>
      </c>
      <c r="BD22" s="24" t="inlineStr">
        <is>
          <t>dbdf8c3e3bd3daca22666c2f38605f226d67625f4460aace1c5df263d8fc71b3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dota2-total-tiered-elo-v6</t>
        </is>
      </c>
      <c r="BH22" s="24" t="inlineStr">
        <is>
          <t>2026-10-13T17:00:10.303927Z</t>
        </is>
      </c>
      <c r="BI22" s="24" t="inlineStr">
        <is>
          <t>["same_event","same_team_same_day","same_league_same_day"]</t>
        </is>
      </c>
      <c r="BJ22" s="25" t="n">
        <v>2.5</v>
      </c>
      <c r="BK22" s="26" t="n">
        <v>-133</v>
      </c>
      <c r="BL22" s="27" t="n">
        <v>1.75188</v>
      </c>
      <c r="BM22" s="28" t="n">
        <v>0.570815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inlineStr">
        <is>
          <t>esports market terminal (MARKET_STATE_EXPIRED) with prices {}; BO3 has no confirming finished-match result either</t>
        </is>
      </c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n"/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68cf9b6a21394e92</t>
        </is>
      </c>
      <c r="B23" s="24" t="inlineStr">
        <is>
          <t>2026-10-13T17:03:07.936006Z</t>
        </is>
      </c>
      <c r="C23" s="24" t="inlineStr">
        <is>
          <t>2026-10-13T19:00:00Z</t>
        </is>
      </c>
      <c r="D23" s="24" t="inlineStr">
        <is>
          <t>156711</t>
        </is>
      </c>
      <c r="E23" s="24" t="inlineStr">
        <is>
          <t>DOTA2</t>
        </is>
      </c>
      <c r="F23" s="24" t="inlineStr">
        <is>
          <t>salamit</t>
        </is>
      </c>
      <c r="G23" s="24" t="inlineStr">
        <is>
          <t>The Warriors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194</v>
      </c>
      <c r="M23" s="27" t="n">
        <v>2.94</v>
      </c>
      <c r="N23" s="28" t="n">
        <v>0.340136</v>
      </c>
      <c r="O23" s="28" t="n">
        <v>0.555922</v>
      </c>
      <c r="P23" s="28" t="n"/>
      <c r="Q23" s="28" t="n">
        <v>0.215786</v>
      </c>
      <c r="R23" s="26" t="n">
        <v>100</v>
      </c>
      <c r="S23" s="29" t="n">
        <v>2</v>
      </c>
      <c r="T23" s="24" t="inlineStr">
        <is>
          <t>dota2-tiered-elo-v6</t>
        </is>
      </c>
      <c r="U23" s="24" t="inlineStr">
        <is>
          <t>settled</t>
        </is>
      </c>
      <c r="V23" s="24" t="inlineStr">
        <is>
          <t>push</t>
        </is>
      </c>
      <c r="W23" s="26" t="n"/>
      <c r="X23" s="26" t="n"/>
      <c r="Y23" s="25" t="n"/>
      <c r="Z23" s="26" t="n"/>
      <c r="AA23" s="28" t="n"/>
      <c r="AB23" s="28" t="n"/>
      <c r="AC23" s="30" t="n">
        <v>0</v>
      </c>
      <c r="AD23" s="24" t="inlineStr">
        <is>
          <t>2026-10-13T22:05:47.150088Z</t>
        </is>
      </c>
      <c r="AE23" s="31" t="inlineStr">
        <is>
          <t>Neutral Elo baseline; executable ask 0.3400 (market_slug=aec-dota2-twh-sala-2026-10-13).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4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salamit</t>
        </is>
      </c>
      <c r="AQ23" s="24" t="inlineStr">
        <is>
          <t>salamit</t>
        </is>
      </c>
      <c r="AR23" s="24" t="inlineStr">
        <is>
          <t>salamit</t>
        </is>
      </c>
      <c r="AS23" s="24" t="inlineStr">
        <is>
          <t>The Warriors</t>
        </is>
      </c>
      <c r="AT23" s="24" t="inlineStr">
        <is>
          <t>The Warriors</t>
        </is>
      </c>
      <c r="AU23" s="24" t="inlineStr">
        <is>
          <t>The Warriors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dbdf8c3e3bd3daca22666c2f38605f226d67625f4460aace1c5df263d8fc71b3</t>
        </is>
      </c>
      <c r="BB23" s="24" t="inlineStr">
        <is>
          <t>neutral_elo</t>
        </is>
      </c>
      <c r="BC23" s="24" t="inlineStr">
        <is>
          <t>dota2-tiered-elo-v6</t>
        </is>
      </c>
      <c r="BD23" s="24" t="inlineStr">
        <is>
          <t>dbdf8c3e3bd3daca22666c2f38605f226d67625f4460aace1c5df263d8fc71b3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dota2-tiered-elo-v6</t>
        </is>
      </c>
      <c r="BH23" s="24" t="inlineStr">
        <is>
          <t>2026-10-13T17:00:20.578625Z</t>
        </is>
      </c>
      <c r="BI23" s="24" t="inlineStr">
        <is>
          <t>["same_event","same_team_same_day","same_league_same_day"]</t>
        </is>
      </c>
      <c r="BJ23" s="25" t="n"/>
      <c r="BK23" s="26" t="n">
        <v>194</v>
      </c>
      <c r="BL23" s="27" t="n">
        <v>2.94</v>
      </c>
      <c r="BM23" s="28" t="n">
        <v>0.340136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inlineStr">
        <is>
          <t>esports market terminal (MARKET_STATE_EXPIRED) with prices {}; BO3 has no confirming finished-match result either</t>
        </is>
      </c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n"/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"dbdf8c3e3bd3daca22666c2f38605f226d67625f4460aace1c5df263d8fc71b3", "away_team": "salamit", "event_id": "156711", "event_start_utc": "2026-10-13T19:00:00Z", "features": {"away_elo": 1460.291035, "away_history_count": 1, "home_elo": 1546.705133, "home_history_count": 5}, "historical_source_observation_times_verified": false, "home_team": "The Warriors", "inference_inputs": {"book_state": {"games_played": {"bo3:4:25465": 5, "bo3:4:25478": 1}, "inactivity_half_life_days": null, "inactivity_max_pull": null, "k": 48.0, "last_match_utc": {"bo3:4:25465": "2026-10-13T13:15:00Z", "bo3:4:25478": "2026-10-12T13:10:00Z"}, "minimum_reliable_games": null, "platt_intercept": 0.0660951180882821, "platt_slope": 0.8503469876096356, "ratings": {"bo3:4:25465": 1546.705133, "bo3:4:25478": 1460.291035},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"2026-10-13T16:58:36.903465+00:00", "team_ids": ["bo3:4:25465", "bo3:4:25478"]}, "market_type": "moneyline", "model_version": "dota2-tiered-elo-v6", "observed_at_utc": "2026-10-13T16:58:36.903465+00:00", "probabilities": {"away": 0.444078, "home": 0.555922}, "replay_scope": "Exact serving book state, calibration, temperature, inactivity reference and thin-history adjustments; training provenance not certified.", "schema": "esports-elo-replay-v1", "snapshot_hash": "2f2a234e6a44119421ca10c14d5f4e4e09831bd4f160550721c7e4aaf1a169d4", "sport": "DOTA2"}</t>
        </is>
      </c>
    </row>
    <row r="24" ht="36" customHeight="1">
      <c r="A24" s="24" t="inlineStr">
        <is>
          <t>4e6adcfa016f48e5</t>
        </is>
      </c>
      <c r="B24" s="24" t="inlineStr">
        <is>
          <t>2026-10-13T17:03:07.936006Z</t>
        </is>
      </c>
      <c r="C24" s="24" t="inlineStr">
        <is>
          <t>2026-10-13T21:00:00Z</t>
        </is>
      </c>
      <c r="D24" s="24" t="inlineStr">
        <is>
          <t>156778</t>
        </is>
      </c>
      <c r="E24" s="24" t="inlineStr">
        <is>
          <t>DOTA2</t>
        </is>
      </c>
      <c r="F24" s="24" t="inlineStr">
        <is>
          <t>Rottweilas Latam</t>
        </is>
      </c>
      <c r="G24" s="24" t="inlineStr">
        <is>
          <t>Amaru Gaming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133</v>
      </c>
      <c r="M24" s="27" t="n">
        <v>2.33</v>
      </c>
      <c r="N24" s="28" t="n">
        <v>0.429185</v>
      </c>
      <c r="O24" s="28" t="n">
        <v>0.522778</v>
      </c>
      <c r="P24" s="28" t="n"/>
      <c r="Q24" s="28" t="n">
        <v>0.093593</v>
      </c>
      <c r="R24" s="26" t="n">
        <v>67</v>
      </c>
      <c r="S24" s="29" t="n">
        <v>1.25</v>
      </c>
      <c r="T24" s="24" t="inlineStr">
        <is>
          <t>dota2-tiered-elo-v6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133</v>
      </c>
      <c r="AA24" s="28" t="n">
        <v>0.43</v>
      </c>
      <c r="AB24" s="28" t="n">
        <v>0.000815</v>
      </c>
      <c r="AC24" s="30" t="n">
        <v>-1.25</v>
      </c>
      <c r="AD24" s="24" t="inlineStr">
        <is>
          <t>2026-10-14T04:32:49.741971Z</t>
        </is>
      </c>
      <c r="AE24" s="31" t="inlineStr">
        <is>
          <t>Neutral Elo baseline; executable ask 0.4300 (market_slug=aec-dota2-agm-rl-2026-10-13).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Rottweilas Latam</t>
        </is>
      </c>
      <c r="AQ24" s="24" t="inlineStr">
        <is>
          <t>Rottweilas Latam</t>
        </is>
      </c>
      <c r="AR24" s="24" t="inlineStr">
        <is>
          <t>Rottweilas Latam</t>
        </is>
      </c>
      <c r="AS24" s="24" t="inlineStr">
        <is>
          <t>Amaru Gaming</t>
        </is>
      </c>
      <c r="AT24" s="24" t="inlineStr">
        <is>
          <t>Amaru Gaming</t>
        </is>
      </c>
      <c r="AU24" s="24" t="inlineStr">
        <is>
          <t>Amaru Gaming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dbdf8c3e3bd3daca22666c2f38605f226d67625f4460aace1c5df263d8fc71b3</t>
        </is>
      </c>
      <c r="BB24" s="24" t="inlineStr">
        <is>
          <t>neutral_elo</t>
        </is>
      </c>
      <c r="BC24" s="24" t="inlineStr">
        <is>
          <t>dota2-tiered-elo-v6</t>
        </is>
      </c>
      <c r="BD24" s="24" t="inlineStr">
        <is>
          <t>dbdf8c3e3bd3daca22666c2f38605f226d67625f4460aace1c5df263d8fc71b3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dota2-tiered-elo-v6</t>
        </is>
      </c>
      <c r="BH24" s="24" t="inlineStr">
        <is>
          <t>2026-10-13T17:00:20.655668Z</t>
        </is>
      </c>
      <c r="BI24" s="24" t="inlineStr">
        <is>
          <t>["same_event","same_team_same_day","same_league_same_day"]</t>
        </is>
      </c>
      <c r="BJ24" s="25" t="n"/>
      <c r="BK24" s="26" t="n">
        <v>133</v>
      </c>
      <c r="BL24" s="27" t="n">
        <v>2.33</v>
      </c>
      <c r="BM24" s="28" t="n">
        <v>0.429185</v>
      </c>
      <c r="BN24" s="28" t="n"/>
      <c r="BO24" s="28" t="n"/>
      <c r="BP24" s="25" t="n"/>
      <c r="BQ24" s="27" t="n">
        <v>2.33</v>
      </c>
      <c r="BR24" s="28" t="n">
        <v>0.43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n"/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"dbdf8c3e3bd3daca22666c2f38605f226d67625f4460aace1c5df263d8fc71b3", "away_team": "Rottweilas Latam", "event_id": "156778", "event_start_utc": "2026-10-13T21:00:00Z", "features": {"away_elo": 1589.161828, "away_history_count": 14, "home_elo": 1583.277818, "home_history_count": 40}, "historical_source_observation_times_verified": false, "home_team": "Amaru Gaming", "inference_inputs": {"book_state": {"games_played": {"bo3:4:22157": 40, "bo3:4:22288": 14}, "inactivity_half_life_days": null, "inactivity_max_pull": null, "k": 48.0, "last_match_utc": {"bo3:4:22157": "2026-08-08T18:00:00Z", "bo3:4:22288": "2026-10-10T21:10:00Z"}, "minimum_reliable_games": null, "platt_intercept": 0.0660951180882821, "platt_slope": 0.8503469876096356, "ratings": {"bo3:4:22157": 1583.277818, "bo3:4:22288": 1589.161828},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"2026-10-13T16:58:36.903465+00:00", "team_ids": ["bo3:4:22157", "bo3:4:22288"]}, "market_type": "moneyline", "model_version": "dota2-tiered-elo-v6", "observed_at_utc": "2026-10-13T16:58:36.903465+00:00", "probabilities": {"away": 0.522778, "home": 0.477222}, "replay_scope": "Exact serving book state, calibration, temperature, inactivity reference and thin-history adjustments; training provenance not certified.", "schema": "esports-elo-replay-v1", "snapshot_hash": "1a7c59420f60a97593d4329efa8097f5c696c3d97857d7a28977af1a5fb919e0", "sport": "DOTA2"}</t>
        </is>
      </c>
    </row>
    <row r="25" ht="36" customHeight="1">
      <c r="A25" s="24" t="inlineStr">
        <is>
          <t>e71ff76ddfc649ca</t>
        </is>
      </c>
      <c r="B25" s="24" t="inlineStr">
        <is>
          <t>2026-10-13T22:33:54.449023Z</t>
        </is>
      </c>
      <c r="C25" s="24" t="inlineStr">
        <is>
          <t>2026-10-14T04:00:00Z</t>
        </is>
      </c>
      <c r="D25" s="24" t="inlineStr">
        <is>
          <t>158262</t>
        </is>
      </c>
      <c r="E25" s="24" t="inlineStr">
        <is>
          <t>DOTA2</t>
        </is>
      </c>
      <c r="F25" s="24" t="inlineStr">
        <is>
          <t>Cloud Dawning</t>
        </is>
      </c>
      <c r="G25" s="24" t="inlineStr">
        <is>
          <t>Imperial Power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156</v>
      </c>
      <c r="M25" s="27" t="n">
        <v>2.56</v>
      </c>
      <c r="N25" s="28" t="n">
        <v>0.390625</v>
      </c>
      <c r="O25" s="28" t="n">
        <v>0.574536</v>
      </c>
      <c r="P25" s="28" t="n"/>
      <c r="Q25" s="28" t="n">
        <v>0.183911</v>
      </c>
      <c r="R25" s="26" t="n">
        <v>100</v>
      </c>
      <c r="S25" s="29" t="n">
        <v>2</v>
      </c>
      <c r="T25" s="24" t="inlineStr">
        <is>
          <t>dota2-tiered-elo-v6</t>
        </is>
      </c>
      <c r="U25" s="24" t="inlineStr">
        <is>
          <t>settled</t>
        </is>
      </c>
      <c r="V25" s="24" t="inlineStr">
        <is>
          <t>push</t>
        </is>
      </c>
      <c r="W25" s="26" t="n"/>
      <c r="X25" s="26" t="n"/>
      <c r="Y25" s="25" t="n"/>
      <c r="Z25" s="26" t="n"/>
      <c r="AA25" s="28" t="n"/>
      <c r="AB25" s="28" t="n"/>
      <c r="AC25" s="30" t="n">
        <v>0</v>
      </c>
      <c r="AD25" s="24" t="inlineStr">
        <is>
          <t>2026-10-14T04:32:55.433119Z</t>
        </is>
      </c>
      <c r="AE25" s="31" t="inlineStr">
        <is>
          <t>Neutral Elo baseline; executable ask 0.3900 (market_slug=aec-dota2-ip-cd-2026-10-14).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4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Cloud Dawning</t>
        </is>
      </c>
      <c r="AQ25" s="24" t="inlineStr">
        <is>
          <t>Cloud Dawning</t>
        </is>
      </c>
      <c r="AR25" s="24" t="inlineStr">
        <is>
          <t>Cloud Dawning</t>
        </is>
      </c>
      <c r="AS25" s="24" t="inlineStr">
        <is>
          <t>Imperial Power</t>
        </is>
      </c>
      <c r="AT25" s="24" t="inlineStr">
        <is>
          <t>Imperial Power</t>
        </is>
      </c>
      <c r="AU25" s="24" t="inlineStr">
        <is>
          <t>Imperial Power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dc027529e76ab16bef8ea31225ca11d3fdf6385e7d78b957d3e380f789668697</t>
        </is>
      </c>
      <c r="BB25" s="24" t="inlineStr">
        <is>
          <t>neutral_elo</t>
        </is>
      </c>
      <c r="BC25" s="24" t="inlineStr">
        <is>
          <t>dota2-tiered-elo-v6</t>
        </is>
      </c>
      <c r="BD25" s="24" t="inlineStr">
        <is>
          <t>dc027529e76ab16bef8ea31225ca11d3fdf6385e7d78b957d3e380f789668697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dota2-tiered-elo-v6</t>
        </is>
      </c>
      <c r="BH25" s="24" t="inlineStr">
        <is>
          <t>2026-10-13T22:29:18.434519Z</t>
        </is>
      </c>
      <c r="BI25" s="24" t="inlineStr">
        <is>
          <t>["same_event","same_team_same_day","same_league_same_day"]</t>
        </is>
      </c>
      <c r="BJ25" s="25" t="n"/>
      <c r="BK25" s="26" t="n">
        <v>156</v>
      </c>
      <c r="BL25" s="27" t="n">
        <v>2.56</v>
      </c>
      <c r="BM25" s="28" t="n">
        <v>0.390625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inlineStr">
        <is>
          <t>esports market terminal (MARKET_STATE_EXPIRED) with prices {}; BO3 has no confirming finished-match result either</t>
        </is>
      </c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n"/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"dc027529e76ab16bef8ea31225ca11d3fdf6385e7d78b957d3e380f789668697", "away_team": "Cloud Dawning", "event_id": "158262", "event_start_utc": "2026-10-14T04:00:00Z", "features": {"away_elo": 1365.355637, "away_history_count": 37, "home_elo": 1485.9812, "home_history_count": 1}, "historical_source_observation_times_verified": false, "home_team": "Imperial Power", "inference_inputs": {"book_state": {"games_played": {"bo3:4:21875": 37, "bo3:4:25484": 1}, "inactivity_half_life_days": null, "inactivity_max_pull": null, "k": 48.0, "last_match_utc": {"bo3:4:21875": "2026-10-13T08:10:00Z", "bo3:4:25484": "2026-10-13T04:00:00Z"}, "minimum_reliable_games": null, "platt_intercept": 0.07002877626643239, "platt_slope": 0.8484442429825593, "ratings": {"bo3:4:21875": 1365.355637, "bo3:4:25484": 1485.9812},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"2026-10-13T22:29:07.791212+00:00", "team_ids": ["bo3:4:25484", "bo3:4:21875"]}, "market_type": "moneyline", "model_version": "dota2-tiered-elo-v6", "observed_at_utc": "2026-10-13T22:29:07.791212+00:00", "probabilities": {"away": 0.425464, "home": 0.574536}, "replay_scope": "Exact serving book state, calibration, temperature, inactivity reference and thin-history adjustments; training provenance not certified.", "schema": "esports-elo-replay-v1", "snapshot_hash": "4ef0cf261aa1b84820c96fdd8c3f5ce33af807e3f098383a4fd68626aa144876", "sport": "DOTA2"}</t>
        </is>
      </c>
    </row>
    <row r="26" ht="36" customHeight="1">
      <c r="A26" s="24" t="inlineStr">
        <is>
          <t>6feed3de3f9b4f25</t>
        </is>
      </c>
      <c r="B26" s="24" t="inlineStr">
        <is>
          <t>2026-10-14T05:58:58.433878Z</t>
        </is>
      </c>
      <c r="C26" s="24" t="inlineStr">
        <is>
          <t>2026-10-14T09:00:00Z</t>
        </is>
      </c>
      <c r="D26" s="24" t="inlineStr">
        <is>
          <t>158214</t>
        </is>
      </c>
      <c r="E26" s="24" t="inlineStr">
        <is>
          <t>DOTA2</t>
        </is>
      </c>
      <c r="F26" s="24" t="inlineStr">
        <is>
          <t>Kalmychata</t>
        </is>
      </c>
      <c r="G26" s="24" t="inlineStr">
        <is>
          <t>Nemiga Gaming</t>
        </is>
      </c>
      <c r="H26" s="24" t="inlineStr">
        <is>
          <t>total</t>
        </is>
      </c>
      <c r="I26" s="24" t="inlineStr">
        <is>
          <t>under</t>
        </is>
      </c>
      <c r="J26" s="25" t="n">
        <v>2.5</v>
      </c>
      <c r="K26" s="24" t="inlineStr">
        <is>
          <t>polymarket_us</t>
        </is>
      </c>
      <c r="L26" s="26" t="n">
        <v>-133</v>
      </c>
      <c r="M26" s="27" t="n">
        <v>1.75188</v>
      </c>
      <c r="N26" s="28" t="n">
        <v>0.570815</v>
      </c>
      <c r="O26" s="28" t="n">
        <v>0.507493</v>
      </c>
      <c r="P26" s="28" t="n"/>
      <c r="Q26" s="28" t="n">
        <v>-0.063322</v>
      </c>
      <c r="R26" s="26" t="n">
        <v>0</v>
      </c>
      <c r="S26" s="29" t="n">
        <v>1</v>
      </c>
      <c r="T26" s="24" t="inlineStr">
        <is>
          <t>dota2-total-tiered-elo-v6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2</v>
      </c>
      <c r="Y26" s="25" t="n"/>
      <c r="Z26" s="26" t="n"/>
      <c r="AA26" s="28" t="n"/>
      <c r="AB26" s="28" t="n"/>
      <c r="AC26" s="30" t="n">
        <v>-1</v>
      </c>
      <c r="AD26" s="24" t="inlineStr">
        <is>
          <t>2026-10-14T16:16:10.151842Z</t>
        </is>
      </c>
      <c r="AE26" s="31" t="inlineStr">
        <is>
          <t>Neutral Elo baseline; executable ask 0.5700 (market_slug=tsc-dota2-nemiga-kalmy-2026-10-14-tot-2pt5).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Kalmychata</t>
        </is>
      </c>
      <c r="AQ26" s="24" t="inlineStr">
        <is>
          <t>Kalmychata</t>
        </is>
      </c>
      <c r="AR26" s="24" t="inlineStr">
        <is>
          <t>Kalmychata</t>
        </is>
      </c>
      <c r="AS26" s="24" t="inlineStr">
        <is>
          <t>Nemiga Gaming</t>
        </is>
      </c>
      <c r="AT26" s="24" t="inlineStr">
        <is>
          <t>Nemiga Gaming</t>
        </is>
      </c>
      <c r="AU26" s="24" t="inlineStr">
        <is>
          <t>Nemiga Gaming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fc46e0136357aa43869ef4ced7c0aa68d9788a5409ce876dbdac1283872f80fd</t>
        </is>
      </c>
      <c r="BB26" s="24" t="inlineStr">
        <is>
          <t>neutral_elo</t>
        </is>
      </c>
      <c r="BC26" s="24" t="inlineStr">
        <is>
          <t>dota2-total-tiered-elo-v6</t>
        </is>
      </c>
      <c r="BD26" s="24" t="inlineStr">
        <is>
          <t>fc46e0136357aa43869ef4ced7c0aa68d9788a5409ce876dbdac1283872f80fd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dota2-total-tiered-elo-v6</t>
        </is>
      </c>
      <c r="BH26" s="24" t="inlineStr">
        <is>
          <t>2026-10-14T05:52:44.375366Z</t>
        </is>
      </c>
      <c r="BI26" s="24" t="inlineStr">
        <is>
          <t>["same_event","same_team_same_day","same_league_same_day"]</t>
        </is>
      </c>
      <c r="BJ26" s="25" t="n">
        <v>2.5</v>
      </c>
      <c r="BK26" s="26" t="n">
        <v>-133</v>
      </c>
      <c r="BL26" s="27" t="n">
        <v>1.75188</v>
      </c>
      <c r="BM26" s="28" t="n">
        <v>0.570815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n"/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c097f2631c054985</t>
        </is>
      </c>
      <c r="B27" s="24" t="inlineStr">
        <is>
          <t>2026-10-14T05:58:58.433878Z</t>
        </is>
      </c>
      <c r="C27" s="24" t="inlineStr">
        <is>
          <t>2026-10-14T09:00:00Z</t>
        </is>
      </c>
      <c r="D27" s="24" t="inlineStr">
        <is>
          <t>158214</t>
        </is>
      </c>
      <c r="E27" s="24" t="inlineStr">
        <is>
          <t>DOTA2</t>
        </is>
      </c>
      <c r="F27" s="24" t="inlineStr">
        <is>
          <t>Kalmychata</t>
        </is>
      </c>
      <c r="G27" s="24" t="inlineStr">
        <is>
          <t>Nemiga Gaming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0.591355</v>
      </c>
      <c r="P27" s="28" t="n"/>
      <c r="Q27" s="28" t="n">
        <v>-0.038275</v>
      </c>
      <c r="R27" s="26" t="n">
        <v>1</v>
      </c>
      <c r="S27" s="29" t="n">
        <v>1</v>
      </c>
      <c r="T27" s="24" t="inlineStr">
        <is>
          <t>dota2-tiered-elo-v6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1</v>
      </c>
      <c r="X27" s="26" t="n">
        <v>0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0.5881999999999999</v>
      </c>
      <c r="AD27" s="24" t="inlineStr">
        <is>
          <t>2026-10-14T16:16:13.126559Z</t>
        </is>
      </c>
      <c r="AE27" s="31" t="inlineStr">
        <is>
          <t>Neutral Elo baseline; executable ask 0.6300 (market_slug=aec-dota2-nemiga-kalmy-2026-10-14).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Kalmychata</t>
        </is>
      </c>
      <c r="AQ27" s="24" t="inlineStr">
        <is>
          <t>Kalmychata</t>
        </is>
      </c>
      <c r="AR27" s="24" t="inlineStr">
        <is>
          <t>Kalmychata</t>
        </is>
      </c>
      <c r="AS27" s="24" t="inlineStr">
        <is>
          <t>Nemiga Gaming</t>
        </is>
      </c>
      <c r="AT27" s="24" t="inlineStr">
        <is>
          <t>Nemiga Gaming</t>
        </is>
      </c>
      <c r="AU27" s="24" t="inlineStr">
        <is>
          <t>Nemiga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fc46e0136357aa43869ef4ced7c0aa68d9788a5409ce876dbdac1283872f80fd</t>
        </is>
      </c>
      <c r="BB27" s="24" t="inlineStr">
        <is>
          <t>neutral_elo</t>
        </is>
      </c>
      <c r="BC27" s="24" t="inlineStr">
        <is>
          <t>dota2-tiered-elo-v6</t>
        </is>
      </c>
      <c r="BD27" s="24" t="inlineStr">
        <is>
          <t>fc46e0136357aa43869ef4ced7c0aa68d9788a5409ce876dbdac1283872f80fd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dota2-tiered-elo-v6</t>
        </is>
      </c>
      <c r="BH27" s="24" t="inlineStr">
        <is>
          <t>2026-10-14T05:53:14.998361Z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n"/>
      <c r="DK27" s="24" t="n"/>
      <c r="DL27" s="24" t="n"/>
      <c r="DM27" s="24" t="n"/>
      <c r="DN27" s="24" t="n"/>
      <c r="DO27" s="24" t="n"/>
      <c r="DP27" s="24" t="n"/>
      <c r="DQ27" s="24" t="inlineStr">
        <is>
          <t>{"artifact_hash": "fc46e0136357aa43869ef4ced7c0aa68d9788a5409ce876dbdac1283872f80fd", "away_team": "Kalmychata", "event_id": "158214", "event_start_utc": "2026-10-14T09:00:00Z", "features": {"away_elo": 1592.507792, "away_history_count": 168, "home_elo": 1488.080158, "home_history_count": 297}, "historical_source_observation_times_verified": false, "home_team": "Nemiga Gaming", "inference_inputs": {"book_state": {"games_played": {"bo3:4:15089": 168, "bo3:4:16398": 297}, "inactivity_half_life_days": null, "inactivity_max_pull": null, "k": 48.0, "last_match_utc": {"bo3:4:15089": "2026-10-13T09:00:00Z", "bo3:4:16398": "2026-10-13T16:00:00Z"}, "minimum_reliable_games": null, "platt_intercept": 0.07036763852883177, "platt_slope": 0.8490234145215234, "ratings": {"bo3:4:15089": 1592.507792, "bo3:4:16398": 1488.080158},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"2026-10-14T05:52:14.083136+00:00", "team_ids": ["bo3:4:16398", "bo3:4:15089"]}, "market_type": "moneyline", "model_version": "dota2-tiered-elo-v6", "observed_at_utc": "2026-10-14T05:52:14.083136+00:00", "probabilities": {"away": 0.591355, "home": 0.408645}, "replay_scope": "Exact serving book state, calibration, temperature, inactivity reference and thin-history adjustments; training provenance not certified.", "schema": "esports-elo-replay-v1", "snapshot_hash": "792be9ee076e5b22288cb5df758d4692b44c36a8a412c06212346b571186bdfc", "sport": "DOTA2"}</t>
        </is>
      </c>
    </row>
    <row r="28" ht="36" customHeight="1">
      <c r="A28" s="24" t="inlineStr">
        <is>
          <t>a8e6152fb6d3415e</t>
        </is>
      </c>
      <c r="B28" s="24" t="inlineStr">
        <is>
          <t>2026-10-14T05:58:58.433878Z</t>
        </is>
      </c>
      <c r="C28" s="24" t="inlineStr">
        <is>
          <t>2026-10-14T12:00:00Z</t>
        </is>
      </c>
      <c r="D28" s="24" t="inlineStr">
        <is>
          <t>158541</t>
        </is>
      </c>
      <c r="E28" s="24" t="inlineStr">
        <is>
          <t>DOTA2</t>
        </is>
      </c>
      <c r="F28" s="24" t="inlineStr">
        <is>
          <t>Team Resilience</t>
        </is>
      </c>
      <c r="G28" s="24" t="inlineStr">
        <is>
          <t>Yakult Brothers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-156</v>
      </c>
      <c r="M28" s="27" t="n">
        <v>1.641026</v>
      </c>
      <c r="N28" s="28" t="n">
        <v>0.609375</v>
      </c>
      <c r="O28" s="28" t="n">
        <v>0.549683</v>
      </c>
      <c r="P28" s="28" t="n"/>
      <c r="Q28" s="28" t="n">
        <v>-0.059692</v>
      </c>
      <c r="R28" s="26" t="n">
        <v>0</v>
      </c>
      <c r="S28" s="29" t="n">
        <v>1</v>
      </c>
      <c r="T28" s="24" t="inlineStr">
        <is>
          <t>dota2-tiered-elo-v6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-156</v>
      </c>
      <c r="AA28" s="28" t="n">
        <v>0.61</v>
      </c>
      <c r="AB28" s="28" t="n">
        <v>0.000625</v>
      </c>
      <c r="AC28" s="30" t="n">
        <v>0.641</v>
      </c>
      <c r="AD28" s="24" t="inlineStr">
        <is>
          <t>2026-10-14T16:16:16.355753Z</t>
        </is>
      </c>
      <c r="AE28" s="31" t="inlineStr">
        <is>
          <t>Neutral Elo baseline; executable ask 0.6100 (market_slug=aec-dota2-yb-tr-2026-10-14).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Team Resilience</t>
        </is>
      </c>
      <c r="AQ28" s="24" t="inlineStr">
        <is>
          <t>Team Resilience</t>
        </is>
      </c>
      <c r="AR28" s="24" t="inlineStr">
        <is>
          <t>Team Resilience</t>
        </is>
      </c>
      <c r="AS28" s="24" t="inlineStr">
        <is>
          <t>Yakult Brothers</t>
        </is>
      </c>
      <c r="AT28" s="24" t="inlineStr">
        <is>
          <t>Yakult Brothers</t>
        </is>
      </c>
      <c r="AU28" s="24" t="inlineStr">
        <is>
          <t>Yakult Brothers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fc46e0136357aa43869ef4ced7c0aa68d9788a5409ce876dbdac1283872f80fd</t>
        </is>
      </c>
      <c r="BB28" s="24" t="inlineStr">
        <is>
          <t>neutral_elo</t>
        </is>
      </c>
      <c r="BC28" s="24" t="inlineStr">
        <is>
          <t>dota2-tiered-elo-v6</t>
        </is>
      </c>
      <c r="BD28" s="24" t="inlineStr">
        <is>
          <t>fc46e0136357aa43869ef4ced7c0aa68d9788a5409ce876dbdac1283872f80fd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dota2-tiered-elo-v6</t>
        </is>
      </c>
      <c r="BH28" s="24" t="inlineStr">
        <is>
          <t>2026-10-14T05:55:09.636207Z</t>
        </is>
      </c>
      <c r="BI28" s="24" t="inlineStr">
        <is>
          <t>["same_event","same_team_same_day","same_league_same_day"]</t>
        </is>
      </c>
      <c r="BJ28" s="25" t="n"/>
      <c r="BK28" s="26" t="n">
        <v>-156</v>
      </c>
      <c r="BL28" s="27" t="n">
        <v>1.641026</v>
      </c>
      <c r="BM28" s="28" t="n">
        <v>0.609375</v>
      </c>
      <c r="BN28" s="28" t="n"/>
      <c r="BO28" s="28" t="n"/>
      <c r="BP28" s="25" t="n"/>
      <c r="BQ28" s="27" t="n">
        <v>1.641026</v>
      </c>
      <c r="BR28" s="28" t="n">
        <v>0.61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n"/>
      <c r="DK28" s="24" t="n"/>
      <c r="DL28" s="24" t="n"/>
      <c r="DM28" s="24" t="n"/>
      <c r="DN28" s="24" t="n"/>
      <c r="DO28" s="24" t="n"/>
      <c r="DP28" s="24" t="n"/>
      <c r="DQ28" s="24" t="inlineStr">
        <is>
          <t>{"artifact_hash": "fc46e0136357aa43869ef4ced7c0aa68d9788a5409ce876dbdac1283872f80fd", "away_team": "Team Resilience", "event_id": "158541", "event_start_utc": "2026-10-14T12:00:00Z", "features": {"away_elo": 1752.912205, "away_history_count": 23, "home_elo": 1689.95539, "home_history_count": 188}, "historical_source_observation_times_verified": false, "home_team": "Yakult Brothers", "inference_inputs": {"book_state": {"games_played": {"bo3:4:18586": 188, "bo3:4:23196": 23}, "inactivity_half_life_days": null, "inactivity_max_pull": null, "k": 48.0, "last_match_utc": {"bo3:4:18586": "2026-10-13T12:30:00Z", "bo3:4:23196": "2026-10-13T12:30:00Z"}, "minimum_reliable_games": null, "platt_intercept": 0.07036763852883177, "platt_slope": 0.8490234145215234, "ratings": {"bo3:4:18586": 1689.95539, "bo3:4:23196": 1752.912205},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"2026-10-14T05:52:14.083136+00:00", "team_ids": ["bo3:4:18586", "bo3:4:23196"]}, "market_type": "moneyline", "model_version": "dota2-tiered-elo-v6", "observed_at_utc": "2026-10-14T05:52:14.083136+00:00", "probabilities": {"away": 0.549683, "home": 0.450317}, "replay_scope": "Exact serving book state, calibration, temperature, inactivity reference and thin-history adjustments; training provenance not certified.", "schema": "esports-elo-replay-v1", "snapshot_hash": "b0e53c870d4a1380eb6f96e8b29b1badd097645f699610f6eb160a9e1dda942b", "sport": "DOTA2"}</t>
        </is>
      </c>
    </row>
    <row r="29" ht="36" customHeight="1">
      <c r="A29" s="24" t="inlineStr">
        <is>
          <t>83ce9365f1c8486b</t>
        </is>
      </c>
      <c r="B29" s="24" t="inlineStr">
        <is>
          <t>2026-10-14T05:58:58.433878Z</t>
        </is>
      </c>
      <c r="C29" s="24" t="inlineStr">
        <is>
          <t>2026-10-14T16:00:00Z</t>
        </is>
      </c>
      <c r="D29" s="24" t="inlineStr">
        <is>
          <t>156718</t>
        </is>
      </c>
      <c r="E29" s="24" t="inlineStr">
        <is>
          <t>DOTA2</t>
        </is>
      </c>
      <c r="F29" s="24" t="inlineStr">
        <is>
          <t>salamit</t>
        </is>
      </c>
      <c r="G29" s="24" t="inlineStr">
        <is>
          <t>Nemiga Gaming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150</v>
      </c>
      <c r="M29" s="27" t="n">
        <v>2.5</v>
      </c>
      <c r="N29" s="28" t="n">
        <v>0.4</v>
      </c>
      <c r="O29" s="28" t="n">
        <v>0.523655</v>
      </c>
      <c r="P29" s="28" t="n"/>
      <c r="Q29" s="28" t="n">
        <v>0.123655</v>
      </c>
      <c r="R29" s="26" t="n">
        <v>82</v>
      </c>
      <c r="S29" s="29" t="n">
        <v>1.5</v>
      </c>
      <c r="T29" s="24" t="inlineStr">
        <is>
          <t>dota2-tiered-elo-v6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>
        <v>150</v>
      </c>
      <c r="AA29" s="28" t="n">
        <v>0.4</v>
      </c>
      <c r="AB29" s="28" t="n">
        <v>0</v>
      </c>
      <c r="AC29" s="30" t="n">
        <v>-1.5</v>
      </c>
      <c r="AD29" s="24" t="inlineStr">
        <is>
          <t>2026-10-14T22:03:35.215421Z</t>
        </is>
      </c>
      <c r="AE29" s="31" t="inlineStr">
        <is>
          <t>Neutral Elo baseline; executable ask 0.4000 (market_slug=aec-dota2-nemiga-sala-2026-10-14).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4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salamit</t>
        </is>
      </c>
      <c r="AQ29" s="24" t="inlineStr">
        <is>
          <t>salamit</t>
        </is>
      </c>
      <c r="AR29" s="24" t="inlineStr">
        <is>
          <t>salamit</t>
        </is>
      </c>
      <c r="AS29" s="24" t="inlineStr">
        <is>
          <t>Nemiga Gaming</t>
        </is>
      </c>
      <c r="AT29" s="24" t="inlineStr">
        <is>
          <t>Nemiga Gaming</t>
        </is>
      </c>
      <c r="AU29" s="24" t="inlineStr">
        <is>
          <t>Nemiga Gaming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fc46e0136357aa43869ef4ced7c0aa68d9788a5409ce876dbdac1283872f80fd</t>
        </is>
      </c>
      <c r="BB29" s="24" t="inlineStr">
        <is>
          <t>neutral_elo</t>
        </is>
      </c>
      <c r="BC29" s="24" t="inlineStr">
        <is>
          <t>dota2-tiered-elo-v6</t>
        </is>
      </c>
      <c r="BD29" s="24" t="inlineStr">
        <is>
          <t>fc46e0136357aa43869ef4ced7c0aa68d9788a5409ce876dbdac1283872f80fd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dota2-tiered-elo-v6</t>
        </is>
      </c>
      <c r="BH29" s="24" t="inlineStr">
        <is>
          <t>2026-10-14T05:56:02.908549Z</t>
        </is>
      </c>
      <c r="BI29" s="24" t="inlineStr">
        <is>
          <t>["same_event","same_team_same_day","same_league_same_day"]</t>
        </is>
      </c>
      <c r="BJ29" s="25" t="n"/>
      <c r="BK29" s="26" t="n">
        <v>150</v>
      </c>
      <c r="BL29" s="27" t="n">
        <v>2.5</v>
      </c>
      <c r="BM29" s="28" t="n">
        <v>0.4</v>
      </c>
      <c r="BN29" s="28" t="n"/>
      <c r="BO29" s="28" t="n"/>
      <c r="BP29" s="25" t="n"/>
      <c r="BQ29" s="27" t="n">
        <v>2.5</v>
      </c>
      <c r="BR29" s="28" t="n">
        <v>0.4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n"/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"fc46e0136357aa43869ef4ced7c0aa68d9788a5409ce876dbdac1283872f80fd", "away_team": "salamit", "event_id": "156718", "event_start_utc": "2026-10-14T16:00:00Z", "features": {"away_elo": 1460.288501, "away_history_count": 1, "home_elo": 1488.080158, "home_history_count": 297}, "historical_source_observation_times_verified": false, "home_team": "Nemiga Gaming", "inference_inputs": {"book_state": {"games_played": {"bo3:4:16398": 297, "bo3:4:25478": 1}, "inactivity_half_life_days": null, "inactivity_max_pull": null, "k": 48.0, "last_match_utc": {"bo3:4:16398": "2026-10-13T16:00:00Z", "bo3:4:25478": "2026-10-12T13:10:00Z"}, "minimum_reliable_games": null, "platt_intercept": 0.07036763852883177, "platt_slope": 0.8490234145215234, "ratings": {"bo3:4:16398": 1488.080158, "bo3:4:25478": 1460.288501},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"2026-10-14T05:52:14.083136+00:00", "team_ids": ["bo3:4:16398", "bo3:4:25478"]}, "market_type": "moneyline", "model_version": "dota2-tiered-elo-v6", "observed_at_utc": "2026-10-14T05:52:14.083136+00:00", "probabilities": {"away": 0.476345, "home": 0.523655}, "replay_scope": "Exact serving book state, calibration, temperature, inactivity reference and thin-history adjustments; training provenance not certified.", "schema": "esports-elo-replay-v1", "snapshot_hash": "24a5e4b74578f47f77b530c4eb469cecd5efa6c30b455019c70d475f291f4144", "sport": "DOTA2"}</t>
        </is>
      </c>
    </row>
    <row r="30" ht="36" customHeight="1">
      <c r="A30" s="24" t="inlineStr">
        <is>
          <t>2be483f49c9540f7</t>
        </is>
      </c>
      <c r="B30" s="24" t="inlineStr">
        <is>
          <t>2026-10-14T16:27:13.864206Z</t>
        </is>
      </c>
      <c r="C30" s="24" t="inlineStr">
        <is>
          <t>2026-10-14T17:00:00Z</t>
        </is>
      </c>
      <c r="D30" s="24" t="inlineStr">
        <is>
          <t>159104</t>
        </is>
      </c>
      <c r="E30" s="24" t="inlineStr">
        <is>
          <t>DOTA2</t>
        </is>
      </c>
      <c r="F30" s="24" t="inlineStr">
        <is>
          <t>Hokori</t>
        </is>
      </c>
      <c r="G30" s="24" t="inlineStr">
        <is>
          <t>New Growth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-233</v>
      </c>
      <c r="M30" s="27" t="n">
        <v>1.429185</v>
      </c>
      <c r="N30" s="28" t="n">
        <v>0.6997</v>
      </c>
      <c r="O30" s="28" t="n">
        <v>0.562152</v>
      </c>
      <c r="P30" s="28" t="n"/>
      <c r="Q30" s="28" t="n">
        <v>-0.137548</v>
      </c>
      <c r="R30" s="26" t="n">
        <v>0</v>
      </c>
      <c r="S30" s="29" t="n">
        <v>1</v>
      </c>
      <c r="T30" s="24" t="inlineStr">
        <is>
          <t>dota2-tiered-elo-v6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-317</v>
      </c>
      <c r="AA30" s="28" t="n">
        <v>0.76</v>
      </c>
      <c r="AB30" s="28" t="n">
        <v>0.0603</v>
      </c>
      <c r="AC30" s="30" t="n">
        <v>0.4292</v>
      </c>
      <c r="AD30" s="24" t="inlineStr">
        <is>
          <t>2026-10-14T22:03:46.531228Z</t>
        </is>
      </c>
      <c r="AE30" s="31" t="inlineStr">
        <is>
          <t>Neutral Elo baseline; executable ask 0.7000 (market_slug=aec-dota2-nge-hkr-2026-10-14).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Hokori</t>
        </is>
      </c>
      <c r="AQ30" s="24" t="inlineStr">
        <is>
          <t>Hokori</t>
        </is>
      </c>
      <c r="AR30" s="24" t="inlineStr">
        <is>
          <t>Hokori</t>
        </is>
      </c>
      <c r="AS30" s="24" t="inlineStr">
        <is>
          <t>New Growth</t>
        </is>
      </c>
      <c r="AT30" s="24" t="inlineStr">
        <is>
          <t>New Growth</t>
        </is>
      </c>
      <c r="AU30" s="24" t="inlineStr">
        <is>
          <t>New Growth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a26d1a2618ded7e8f22b4b2c5138289c1c878e083c3b9d36683afd24812292e0</t>
        </is>
      </c>
      <c r="BB30" s="24" t="inlineStr">
        <is>
          <t>neutral_elo</t>
        </is>
      </c>
      <c r="BC30" s="24" t="inlineStr">
        <is>
          <t>dota2-tiered-elo-v6</t>
        </is>
      </c>
      <c r="BD30" s="24" t="inlineStr">
        <is>
          <t>a26d1a2618ded7e8f22b4b2c5138289c1c878e083c3b9d36683afd24812292e0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dota2-tiered-elo-v6</t>
        </is>
      </c>
      <c r="BH30" s="24" t="inlineStr">
        <is>
          <t>2026-10-14T16:25:51.391990Z</t>
        </is>
      </c>
      <c r="BI30" s="24" t="inlineStr">
        <is>
          <t>["same_event","same_team_same_day","same_league_same_day"]</t>
        </is>
      </c>
      <c r="BJ30" s="25" t="n"/>
      <c r="BK30" s="26" t="n">
        <v>-233</v>
      </c>
      <c r="BL30" s="27" t="n">
        <v>1.429185</v>
      </c>
      <c r="BM30" s="28" t="n">
        <v>0.6997</v>
      </c>
      <c r="BN30" s="28" t="n"/>
      <c r="BO30" s="28" t="n"/>
      <c r="BP30" s="25" t="n"/>
      <c r="BQ30" s="27" t="n">
        <v>1.315457</v>
      </c>
      <c r="BR30" s="28" t="n">
        <v>0.76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n"/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"a26d1a2618ded7e8f22b4b2c5138289c1c878e083c3b9d36683afd24812292e0", "away_team": "Hokori", "event_id": "159104", "event_start_utc": "2026-10-14T17:00:00Z", "features": {"away_elo": 1587.595589, "away_history_count": 93, "home_elo": 1511.739528, "home_history_count": 15}, "historical_source_observation_times_verified": false, "home_team": "New Growth", "inference_inputs": {"book_state": {"games_played": {"bo3:4:15828": 93, "bo3:4:22378": 15}, "inactivity_half_life_days": null, "inactivity_max_pull": null, "k": 48.0, "last_match_utc": {"bo3:4:15828": "2026-10-13T17:10:00Z", "bo3:4:22378": "2026-10-13T17:15:00Z"}, "minimum_reliable_games": null, "platt_intercept": 0.06909602886851295, "platt_slope": 0.8410344295425396, "ratings": {"bo3:4:15828": 1587.595589, "bo3:4:22378": 1511.739528},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"2026-10-14T16:25:51.279063+00:00", "team_ids": ["bo3:4:22378", "bo3:4:15828"]}, "market_type": "moneyline", "model_version": "dota2-tiered-elo-v6", "observed_at_utc": "2026-10-14T16:25:51.279063+00:00", "probabilities": {"away": 0.562152, "home": 0.437848}, "replay_scope": "Exact serving book state, calibration, temperature, inactivity reference and thin-history adjustments; training provenance not certified.", "schema": "esports-elo-replay-v1", "snapshot_hash": "d1c9ac18453b9cbab360dfe4e5be811f611b79e9b9bb5035e88ea7fe1674bfe0", "sport": "DOTA2"}</t>
        </is>
      </c>
    </row>
    <row r="31" ht="36" customHeight="1">
      <c r="A31" s="24" t="inlineStr">
        <is>
          <t>e0917ecfe396428d</t>
        </is>
      </c>
      <c r="B31" s="24" t="inlineStr">
        <is>
          <t>2026-10-14T16:27:13.864206Z</t>
        </is>
      </c>
      <c r="C31" s="24" t="inlineStr">
        <is>
          <t>2026-10-14T17:00:00Z</t>
        </is>
      </c>
      <c r="D31" s="24" t="inlineStr">
        <is>
          <t>159527</t>
        </is>
      </c>
      <c r="E31" s="24" t="inlineStr">
        <is>
          <t>DOTA2</t>
        </is>
      </c>
      <c r="F31" s="24" t="inlineStr">
        <is>
          <t>Rottweilas Latam</t>
        </is>
      </c>
      <c r="G31" s="24" t="inlineStr">
        <is>
          <t>Skyreavers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150</v>
      </c>
      <c r="M31" s="27" t="n">
        <v>2.5</v>
      </c>
      <c r="N31" s="28" t="n">
        <v>0.4</v>
      </c>
      <c r="O31" s="28" t="n">
        <v>0.5145110000000001</v>
      </c>
      <c r="P31" s="28" t="n"/>
      <c r="Q31" s="28" t="n">
        <v>0.114511</v>
      </c>
      <c r="R31" s="26" t="n">
        <v>77</v>
      </c>
      <c r="S31" s="29" t="n">
        <v>1.5</v>
      </c>
      <c r="T31" s="24" t="inlineStr">
        <is>
          <t>dota2-tiered-elo-v6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0</v>
      </c>
      <c r="X31" s="26" t="n">
        <v>1</v>
      </c>
      <c r="Y31" s="25" t="n"/>
      <c r="Z31" s="26" t="n">
        <v>-400</v>
      </c>
      <c r="AA31" s="28" t="n">
        <v>0.8</v>
      </c>
      <c r="AB31" s="28" t="n">
        <v>0.4</v>
      </c>
      <c r="AC31" s="30" t="n">
        <v>-1.5</v>
      </c>
      <c r="AD31" s="24" t="inlineStr">
        <is>
          <t>2026-10-14T22:03:47.682370Z</t>
        </is>
      </c>
      <c r="AE31" s="31" t="inlineStr">
        <is>
          <t>Neutral Elo baseline; executable ask 0.4000 (market_slug=aec-dota2-sky-rl-2026-10-14).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4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Rottweilas Latam</t>
        </is>
      </c>
      <c r="AQ31" s="24" t="inlineStr">
        <is>
          <t>Rottweilas Latam</t>
        </is>
      </c>
      <c r="AR31" s="24" t="inlineStr">
        <is>
          <t>Rottweilas Latam</t>
        </is>
      </c>
      <c r="AS31" s="24" t="inlineStr">
        <is>
          <t>Skyreavers</t>
        </is>
      </c>
      <c r="AT31" s="24" t="inlineStr">
        <is>
          <t>Skyreavers</t>
        </is>
      </c>
      <c r="AU31" s="24" t="inlineStr">
        <is>
          <t>Skyreavers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a26d1a2618ded7e8f22b4b2c5138289c1c878e083c3b9d36683afd24812292e0</t>
        </is>
      </c>
      <c r="BB31" s="24" t="inlineStr">
        <is>
          <t>neutral_elo</t>
        </is>
      </c>
      <c r="BC31" s="24" t="inlineStr">
        <is>
          <t>dota2-tiered-elo-v6</t>
        </is>
      </c>
      <c r="BD31" s="24" t="inlineStr">
        <is>
          <t>a26d1a2618ded7e8f22b4b2c5138289c1c878e083c3b9d36683afd24812292e0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dota2-tiered-elo-v6</t>
        </is>
      </c>
      <c r="BH31" s="24" t="inlineStr">
        <is>
          <t>2026-10-14T16:26:32.931088Z</t>
        </is>
      </c>
      <c r="BI31" s="24" t="inlineStr">
        <is>
          <t>["same_event","same_team_same_day","same_league_same_day"]</t>
        </is>
      </c>
      <c r="BJ31" s="25" t="n"/>
      <c r="BK31" s="26" t="n">
        <v>150</v>
      </c>
      <c r="BL31" s="27" t="n">
        <v>2.5</v>
      </c>
      <c r="BM31" s="28" t="n">
        <v>0.4</v>
      </c>
      <c r="BN31" s="28" t="n"/>
      <c r="BO31" s="28" t="n"/>
      <c r="BP31" s="25" t="n"/>
      <c r="BQ31" s="27" t="n">
        <v>1.25</v>
      </c>
      <c r="BR31" s="28" t="n">
        <v>0.8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n"/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"a26d1a2618ded7e8f22b4b2c5138289c1c878e083c3b9d36683afd24812292e0", "away_team": "Rottweilas Latam", "event_id": "159527", "event_start_utc": "2026-10-14T17:00:00Z", "features": {"away_elo": 1555.776918, "away_history_count": 15, "home_elo": 1522.384807, "home_history_count": 5}, "historical_source_observation_times_verified": false, "home_team": "Skyreavers", "inference_inputs": {"book_state": {"games_played": {"bo3:4:22288": 15, "bo3:4:25468": 5}, "inactivity_half_life_days": null, "inactivity_max_pull": null, "k": 48.0, "last_match_utc": {"bo3:4:22288": "2026-10-13T21:00:00Z", "bo3:4:25468": "2026-10-13T21:00:00Z"}, "minimum_reliable_games": null, "platt_intercept": 0.06909602886851295, "platt_slope": 0.8410344295425396, "ratings": {"bo3:4:22288": 1555.776918, "bo3:4:25468": 1522.384807},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"2026-10-14T16:25:51.279063+00:00", "team_ids": ["bo3:4:25468", "bo3:4:22288"]}, "market_type": "moneyline", "model_version": "dota2-tiered-elo-v6", "observed_at_utc": "2026-10-14T16:25:51.279063+00:00", "probabilities": {"away": 0.514511, "home": 0.485489}, "replay_scope": "Exact serving book state, calibration, temperature, inactivity reference and thin-history adjustments; training provenance not certified.", "schema": "esports-elo-replay-v1", "snapshot_hash": "53e21587e49ce07031479c6ea4c0f7d59d4a6641af182747482efe9dd33de1b1", "sport": "DOTA2"}</t>
        </is>
      </c>
    </row>
    <row r="32" ht="36" customHeight="1">
      <c r="A32" s="24" t="inlineStr">
        <is>
          <t>bcd57d1678884086</t>
        </is>
      </c>
      <c r="B32" s="24" t="inlineStr">
        <is>
          <t>2026-10-14T16:27:13.864206Z</t>
        </is>
      </c>
      <c r="C32" s="24" t="inlineStr">
        <is>
          <t>2026-10-14T17:00:00Z</t>
        </is>
      </c>
      <c r="D32" s="24" t="inlineStr">
        <is>
          <t>159889</t>
        </is>
      </c>
      <c r="E32" s="24" t="inlineStr">
        <is>
          <t>DOTA2</t>
        </is>
      </c>
      <c r="F32" s="24" t="inlineStr">
        <is>
          <t>Korb3n Team</t>
        </is>
      </c>
      <c r="G32" s="24" t="inlineStr">
        <is>
          <t>by Owl Team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144</v>
      </c>
      <c r="M32" s="27" t="n">
        <v>2.44</v>
      </c>
      <c r="N32" s="28" t="n">
        <v>0.409836</v>
      </c>
      <c r="O32" s="28" t="n">
        <v>0.56987</v>
      </c>
      <c r="P32" s="28" t="n"/>
      <c r="Q32" s="28" t="n">
        <v>0.160034</v>
      </c>
      <c r="R32" s="26" t="n">
        <v>100</v>
      </c>
      <c r="S32" s="29" t="n">
        <v>1.75</v>
      </c>
      <c r="T32" s="24" t="inlineStr">
        <is>
          <t>dota2-tiered-elo-v6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2.52</v>
      </c>
      <c r="AD32" s="24" t="inlineStr">
        <is>
          <t>2026-10-14T22:03:49.037405Z</t>
        </is>
      </c>
      <c r="AE32" s="31" t="inlineStr">
        <is>
          <t>Neutral Elo baseline; executable ask 0.4100 (market_slug=aec-dota2-bot-kt-2026-10-14).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4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Korb3n Team</t>
        </is>
      </c>
      <c r="AQ32" s="24" t="inlineStr">
        <is>
          <t>Korb3n Team</t>
        </is>
      </c>
      <c r="AR32" s="24" t="inlineStr">
        <is>
          <t>Korb3n Team</t>
        </is>
      </c>
      <c r="AS32" s="24" t="inlineStr">
        <is>
          <t>by Owl Team</t>
        </is>
      </c>
      <c r="AT32" s="24" t="inlineStr">
        <is>
          <t>by Owl Team</t>
        </is>
      </c>
      <c r="AU32" s="24" t="inlineStr">
        <is>
          <t>by Owl Team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a26d1a2618ded7e8f22b4b2c5138289c1c878e083c3b9d36683afd24812292e0</t>
        </is>
      </c>
      <c r="BB32" s="24" t="inlineStr">
        <is>
          <t>neutral_elo</t>
        </is>
      </c>
      <c r="BC32" s="24" t="inlineStr">
        <is>
          <t>dota2-tiered-elo-v6</t>
        </is>
      </c>
      <c r="BD32" s="24" t="inlineStr">
        <is>
          <t>a26d1a2618ded7e8f22b4b2c5138289c1c878e083c3b9d36683afd24812292e0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dota2-tiered-elo-v6</t>
        </is>
      </c>
      <c r="BH32" s="24" t="inlineStr">
        <is>
          <t>2026-10-14T16:26:33.015972Z</t>
        </is>
      </c>
      <c r="BI32" s="24" t="inlineStr">
        <is>
          <t>["same_event","same_team_same_day","same_league_same_day"]</t>
        </is>
      </c>
      <c r="BJ32" s="25" t="n"/>
      <c r="BK32" s="26" t="n">
        <v>144</v>
      </c>
      <c r="BL32" s="27" t="n">
        <v>2.44</v>
      </c>
      <c r="BM32" s="28" t="n">
        <v>0.409836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n"/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"a26d1a2618ded7e8f22b4b2c5138289c1c878e083c3b9d36683afd24812292e0", "away_team": "Korb3n Team", "event_id": "159889", "event_start_utc": "2026-10-14T17:00:00Z", "features": {"away_elo": 1413.038012, "away_history_count": 4, "home_elo": 1622.517552, "home_history_count": 15}, "historical_source_observation_times_verified": false, "home_team": "by Owl Team", "inference_inputs": {"book_state": {"games_played": {"bo3:4:20838": 4, "bo3:4:21660": 15}, "inactivity_half_life_days": null, "inactivity_max_pull": null, "k": 48.0, "last_match_utc": {"bo3:4:20838": "2025-06-05T18:15:00Z", "bo3:4:21660": "2025-11-30T14:10:00Z"}, "minimum_reliable_games": null, "platt_intercept": 0.06909602886851295, "platt_slope": 0.8410344295425396, "ratings": {"bo3:4:20838": 1413.038012, "bo3:4:21660": 1622.517552},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"2026-10-14T16:25:51.279063+00:00", "team_ids": ["bo3:4:21660", "bo3:4:20838"]}, "market_type": "moneyline", "model_version": "dota2-tiered-elo-v6", "observed_at_utc": "2026-10-14T16:25:51.279063+00:00", "probabilities": {"away": 0.43013, "home": 0.56987}, "replay_scope": "Exact serving book state, calibration, temperature, inactivity reference and thin-history adjustments; training provenance not certified.", "schema": "esports-elo-replay-v1", "snapshot_hash": "d4e2a64a9f5668351842c1563ecc563be1b30fa530535fc1eb116755d6aad808", "sport": "DOTA2"}</t>
        </is>
      </c>
    </row>
    <row r="33" ht="36" customHeight="1">
      <c r="A33" s="24" t="inlineStr">
        <is>
          <t>7661844d13214c3b</t>
        </is>
      </c>
      <c r="B33" s="24" t="inlineStr">
        <is>
          <t>2026-10-14T16:27:13.864206Z</t>
        </is>
      </c>
      <c r="C33" s="24" t="inlineStr">
        <is>
          <t>2026-10-14T19:00:00Z</t>
        </is>
      </c>
      <c r="D33" s="24" t="inlineStr">
        <is>
          <t>156716</t>
        </is>
      </c>
      <c r="E33" s="24" t="inlineStr">
        <is>
          <t>DOTA2</t>
        </is>
      </c>
      <c r="F33" s="24" t="inlineStr">
        <is>
          <t>salamit</t>
        </is>
      </c>
      <c r="G33" s="24" t="inlineStr">
        <is>
          <t>Dawn Bulls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-223</v>
      </c>
      <c r="M33" s="27" t="n">
        <v>1.44843</v>
      </c>
      <c r="N33" s="28" t="n">
        <v>0.690402</v>
      </c>
      <c r="O33" s="28" t="n">
        <v>0.5931959999999999</v>
      </c>
      <c r="P33" s="28" t="n"/>
      <c r="Q33" s="28" t="n">
        <v>-0.097206</v>
      </c>
      <c r="R33" s="26" t="n">
        <v>0</v>
      </c>
      <c r="S33" s="29" t="n">
        <v>1</v>
      </c>
      <c r="T33" s="24" t="inlineStr">
        <is>
          <t>dota2-tiered-elo-v6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0</v>
      </c>
      <c r="X33" s="26" t="n">
        <v>1</v>
      </c>
      <c r="Y33" s="25" t="n"/>
      <c r="Z33" s="26" t="n">
        <v>-223</v>
      </c>
      <c r="AA33" s="28" t="n">
        <v>0.6899999999999999</v>
      </c>
      <c r="AB33" s="28" t="n">
        <v>-0.000402</v>
      </c>
      <c r="AC33" s="30" t="n">
        <v>0.4484</v>
      </c>
      <c r="AD33" s="24" t="inlineStr">
        <is>
          <t>2026-10-14T22:03:50.252949Z</t>
        </is>
      </c>
      <c r="AE33" s="31" t="inlineStr">
        <is>
          <t>Neutral Elo baseline; executable ask 0.6900 (market_slug=aec-dota2-dba-sala-2026-10-14).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salamit</t>
        </is>
      </c>
      <c r="AQ33" s="24" t="inlineStr">
        <is>
          <t>salamit</t>
        </is>
      </c>
      <c r="AR33" s="24" t="inlineStr">
        <is>
          <t>salamit</t>
        </is>
      </c>
      <c r="AS33" s="24" t="inlineStr">
        <is>
          <t>Dawn Bulls</t>
        </is>
      </c>
      <c r="AT33" s="24" t="inlineStr">
        <is>
          <t>Dawn Bulls</t>
        </is>
      </c>
      <c r="AU33" s="24" t="inlineStr">
        <is>
          <t>Dawn Bulls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a26d1a2618ded7e8f22b4b2c5138289c1c878e083c3b9d36683afd24812292e0</t>
        </is>
      </c>
      <c r="BB33" s="24" t="inlineStr">
        <is>
          <t>neutral_elo</t>
        </is>
      </c>
      <c r="BC33" s="24" t="inlineStr">
        <is>
          <t>dota2-tiered-elo-v6</t>
        </is>
      </c>
      <c r="BD33" s="24" t="inlineStr">
        <is>
          <t>a26d1a2618ded7e8f22b4b2c5138289c1c878e083c3b9d36683afd24812292e0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dota2-tiered-elo-v6</t>
        </is>
      </c>
      <c r="BH33" s="24" t="inlineStr">
        <is>
          <t>2026-10-14T16:26:43.456466Z</t>
        </is>
      </c>
      <c r="BI33" s="24" t="inlineStr">
        <is>
          <t>["same_event","same_team_same_day","same_league_same_day"]</t>
        </is>
      </c>
      <c r="BJ33" s="25" t="n"/>
      <c r="BK33" s="26" t="n">
        <v>-223</v>
      </c>
      <c r="BL33" s="27" t="n">
        <v>1.44843</v>
      </c>
      <c r="BM33" s="28" t="n">
        <v>0.690402</v>
      </c>
      <c r="BN33" s="28" t="n"/>
      <c r="BO33" s="28" t="n"/>
      <c r="BP33" s="25" t="n"/>
      <c r="BQ33" s="27" t="n">
        <v>1.44843</v>
      </c>
      <c r="BR33" s="28" t="n">
        <v>0.6899999999999999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n"/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"a26d1a2618ded7e8f22b4b2c5138289c1c878e083c3b9d36683afd24812292e0", "away_team": "salamit", "event_id": "156716", "event_start_utc": "2026-10-14T19:00:00Z", "features": {"away_elo": 1460.359665, "away_history_count": 1, "home_elo": 1619.975066, "home_history_count": 6}, "historical_source_observation_times_verified": false, "home_team": "Dawn Bulls", "inference_inputs": {"book_state": {"games_played": {"bo3:4:25301": 6, "bo3:4:25478": 1}, "inactivity_half_life_days": null, "inactivity_max_pull": null, "k": 48.0, "last_match_utc": {"bo3:4:25301": "2026-10-13T16:00:00Z", "bo3:4:25478": "2026-10-12T13:10:00Z"}, "minimum_reliable_games": null, "platt_intercept": 0.06909602886851295, "platt_slope": 0.8410344295425396, "ratings": {"bo3:4:25301": 1619.975066, "bo3:4:25478": 1460.359665},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"2026-10-14T16:25:51.279063+00:00", "team_ids": ["bo3:4:25301", "bo3:4:25478"]}, "market_type": "moneyline", "model_version": "dota2-tiered-elo-v6", "observed_at_utc": "2026-10-14T16:25:51.279063+00:00", "probabilities": {"away": 0.406804, "home": 0.593196}, "replay_scope": "Exact serving book state, calibration, temperature, inactivity reference and thin-history adjustments; training provenance not certified.", "schema": "esports-elo-replay-v1", "snapshot_hash": "cabcc8a699a98345988ad0f64096ec22f1d9b9d311724c52f265d49816451015", "sport": "DOTA2"}</t>
        </is>
      </c>
    </row>
    <row r="34" ht="36" customHeight="1">
      <c r="A34" s="24" t="inlineStr">
        <is>
          <t>be3a94d2a7f7405c</t>
        </is>
      </c>
      <c r="B34" s="24" t="inlineStr">
        <is>
          <t>2026-10-14T22:48:57.652722Z</t>
        </is>
      </c>
      <c r="C34" s="24" t="inlineStr">
        <is>
          <t>2026-10-15T04:00:00Z</t>
        </is>
      </c>
      <c r="D34" s="24" t="inlineStr">
        <is>
          <t>156063</t>
        </is>
      </c>
      <c r="E34" s="24" t="inlineStr">
        <is>
          <t>DOTA2</t>
        </is>
      </c>
      <c r="F34" s="24" t="inlineStr">
        <is>
          <t>Royal Bear</t>
        </is>
      </c>
      <c r="G34" s="24" t="inlineStr">
        <is>
          <t>Execration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156</v>
      </c>
      <c r="M34" s="27" t="n">
        <v>2.56</v>
      </c>
      <c r="N34" s="28" t="n">
        <v>0.390625</v>
      </c>
      <c r="O34" s="28" t="n">
        <v>0.527991</v>
      </c>
      <c r="P34" s="28" t="n"/>
      <c r="Q34" s="28" t="n">
        <v>0.137366</v>
      </c>
      <c r="R34" s="26" t="n">
        <v>89</v>
      </c>
      <c r="S34" s="29" t="n">
        <v>1.5</v>
      </c>
      <c r="T34" s="24" t="inlineStr">
        <is>
          <t>dota2-tiered-elo-v6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0.3900 (market_slug=aec-dota2-xctn-rb-2026-10-15).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Royal Bear</t>
        </is>
      </c>
      <c r="AQ34" s="24" t="inlineStr">
        <is>
          <t>Royal Bear</t>
        </is>
      </c>
      <c r="AR34" s="24" t="inlineStr">
        <is>
          <t>Royal Bear</t>
        </is>
      </c>
      <c r="AS34" s="24" t="inlineStr">
        <is>
          <t>Execration</t>
        </is>
      </c>
      <c r="AT34" s="24" t="inlineStr">
        <is>
          <t>Execration</t>
        </is>
      </c>
      <c r="AU34" s="24" t="inlineStr">
        <is>
          <t>Execration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158823ce1a587d2f3671a0256c3ba7ba544c89560e738394a181423449115870</t>
        </is>
      </c>
      <c r="BB34" s="24" t="inlineStr">
        <is>
          <t>neutral_elo</t>
        </is>
      </c>
      <c r="BC34" s="24" t="inlineStr">
        <is>
          <t>dota2-tiered-elo-v6</t>
        </is>
      </c>
      <c r="BD34" s="24" t="inlineStr">
        <is>
          <t>158823ce1a587d2f3671a0256c3ba7ba544c89560e738394a181423449115870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dota2-tiered-elo-v6</t>
        </is>
      </c>
      <c r="BH34" s="24" t="inlineStr">
        <is>
          <t>2026-10-14T22:46:53.140829Z</t>
        </is>
      </c>
      <c r="BI34" s="24" t="inlineStr">
        <is>
          <t>["same_event","same_team_same_day","same_league_same_day"]</t>
        </is>
      </c>
      <c r="BJ34" s="25" t="n"/>
      <c r="BK34" s="26" t="n">
        <v>156</v>
      </c>
      <c r="BL34" s="27" t="n">
        <v>2.56</v>
      </c>
      <c r="BM34" s="28" t="n">
        <v>0.390625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n"/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"158823ce1a587d2f3671a0256c3ba7ba544c89560e738394a181423449115870", "away_team": "Royal Bear", "event_id": "156063", "event_start_utc": "2026-10-15T04:00:00Z", "features": {"away_elo": 1565.005066, "away_history_count": 2, "home_elo": 1620.77125, "home_history_count": 232}, "historical_source_observation_times_verified": false, "home_team": "Execration", "inference_inputs": {"book_state": {"games_played": {"bo3:4:16710": 232, "bo3:4:25439": 2}, "inactivity_half_life_days": null, "inactivity_max_pull": null, "k": 48.0, "last_match_utc": {"bo3:4:16710": "2026-09-13T05:45:00Z", "bo3:4:25439": "2026-10-10T08:10:00Z"}, "minimum_reliable_games": null, "platt_intercept": 0.0741677632303944, "platt_slope": 0.8370812307603834, "ratings": {"bo3:4:16710": 1620.77125, "bo3:4:25439": 1565.005066},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"2026-10-14T22:46:32.820014+00:00", "team_ids": ["bo3:4:16710", "bo3:4:25439"]}, "market_type": "moneyline", "model_version": "dota2-tiered-elo-v6", "observed_at_utc": "2026-10-14T22:46:32.820014+00:00", "probabilities": {"away": 0.472009, "home": 0.527991}, "replay_scope": "Exact serving book state, calibration, temperature, inactivity reference and thin-history adjustments; training provenance not certified.", "schema": "esports-elo-replay-v1", "snapshot_hash": "21e684090db0fc15459d72e5adb631b9021f69f3e924847f36be1bc1730bee91", "sport": "DOTA2"}</t>
        </is>
      </c>
    </row>
    <row r="35" ht="36" customHeight="1">
      <c r="A35" s="24" t="inlineStr">
        <is>
          <t>68e42885fd4d4714</t>
        </is>
      </c>
      <c r="B35" s="24" t="inlineStr">
        <is>
          <t>2026-10-14T22:48:57.652722Z</t>
        </is>
      </c>
      <c r="C35" s="24" t="inlineStr">
        <is>
          <t>2026-10-15T04:00:00Z</t>
        </is>
      </c>
      <c r="D35" s="24" t="inlineStr">
        <is>
          <t>156799</t>
        </is>
      </c>
      <c r="E35" s="24" t="inlineStr">
        <is>
          <t>DOTA2</t>
        </is>
      </c>
      <c r="F35" s="24" t="inlineStr">
        <is>
          <t>Team Kinetix</t>
        </is>
      </c>
      <c r="G35" s="24" t="inlineStr">
        <is>
          <t>Direborn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-133</v>
      </c>
      <c r="M35" s="27" t="n">
        <v>1.75188</v>
      </c>
      <c r="N35" s="28" t="n">
        <v>0.570815</v>
      </c>
      <c r="O35" s="28" t="n">
        <v>0.6493910000000001</v>
      </c>
      <c r="P35" s="28" t="n"/>
      <c r="Q35" s="28" t="n">
        <v>0.07857599999999999</v>
      </c>
      <c r="R35" s="26" t="n">
        <v>59</v>
      </c>
      <c r="S35" s="29" t="n">
        <v>1.25</v>
      </c>
      <c r="T35" s="24" t="inlineStr">
        <is>
          <t>dota2-tiered-elo-v6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0.5700 (market_slug=aec-dota2-db-tke-2026-10-15).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4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Team Kinetix</t>
        </is>
      </c>
      <c r="AQ35" s="24" t="inlineStr">
        <is>
          <t>Team Kinetix</t>
        </is>
      </c>
      <c r="AR35" s="24" t="inlineStr">
        <is>
          <t>Team Kinetix</t>
        </is>
      </c>
      <c r="AS35" s="24" t="inlineStr">
        <is>
          <t>Direborn</t>
        </is>
      </c>
      <c r="AT35" s="24" t="inlineStr">
        <is>
          <t>Direborn</t>
        </is>
      </c>
      <c r="AU35" s="24" t="inlineStr">
        <is>
          <t>Direborn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158823ce1a587d2f3671a0256c3ba7ba544c89560e738394a181423449115870</t>
        </is>
      </c>
      <c r="BB35" s="24" t="inlineStr">
        <is>
          <t>neutral_elo</t>
        </is>
      </c>
      <c r="BC35" s="24" t="inlineStr">
        <is>
          <t>dota2-tiered-elo-v6</t>
        </is>
      </c>
      <c r="BD35" s="24" t="inlineStr">
        <is>
          <t>158823ce1a587d2f3671a0256c3ba7ba544c89560e738394a181423449115870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dota2-tiered-elo-v6</t>
        </is>
      </c>
      <c r="BH35" s="24" t="inlineStr">
        <is>
          <t>2026-10-14T22:46:53.205469Z</t>
        </is>
      </c>
      <c r="BI35" s="24" t="inlineStr">
        <is>
          <t>["same_event","same_team_same_day","same_league_same_day"]</t>
        </is>
      </c>
      <c r="BJ35" s="25" t="n"/>
      <c r="BK35" s="26" t="n">
        <v>-133</v>
      </c>
      <c r="BL35" s="27" t="n">
        <v>1.75188</v>
      </c>
      <c r="BM35" s="28" t="n">
        <v>0.570815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n"/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"158823ce1a587d2f3671a0256c3ba7ba544c89560e738394a181423449115870", "away_team": "Team Kinetix", "event_id": "156799", "event_start_utc": "2026-10-15T04:00:00Z", "features": {"away_elo": 1454.932244, "away_history_count": 17, "home_elo": 1597.368763, "home_history_count": 40}, "historical_source_observation_times_verified": false, "home_team": "Direborn", "inference_inputs": {"book_state": {"games_played": {"bo3:4:24344": 40, "bo3:4:25225": 17}, "inactivity_half_life_days": null, "inactivity_max_pull": null, "k": 48.0, "last_match_utc": {"bo3:4:24344": "2026-10-08T03:10:00Z", "bo3:4:25225": "2026-10-12T08:00:00Z"}, "minimum_reliable_games": null, "platt_intercept": 0.0741677632303944, "platt_slope": 0.8370812307603834, "ratings": {"bo3:4:24344": 1597.368763, "bo3:4:25225": 1454.932244},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"2026-10-14T22:46:32.820014+00:00", "team_ids": ["bo3:4:24344", "bo3:4:25225"]}, "market_type": "moneyline", "model_version": "dota2-tiered-elo-v6", "observed_at_utc": "2026-10-14T22:46:32.820014+00:00", "probabilities": {"away": 0.350609, "home": 0.649391}, "replay_scope": "Exact serving book state, calibration, temperature, inactivity reference and thin-history adjustments; training provenance not certified.", "schema": "esports-elo-replay-v1", "snapshot_hash": "9aa03fcfb2d0ec6dca89faef6ba9ac3db646dcd5a3c5249be6a09f2755ed94cd", "sport": "DOTA2"}</t>
        </is>
      </c>
    </row>
    <row r="36" ht="36" customHeight="1">
      <c r="A36" s="24" t="inlineStr">
        <is>
          <t>79cbf26d3c3d49c4</t>
        </is>
      </c>
      <c r="B36" s="24" t="inlineStr">
        <is>
          <t>2026-10-14T22:48:57.652722Z</t>
        </is>
      </c>
      <c r="C36" s="24" t="inlineStr">
        <is>
          <t>2026-10-15T10:00:00Z</t>
        </is>
      </c>
      <c r="D36" s="24" t="inlineStr">
        <is>
          <t>156803</t>
        </is>
      </c>
      <c r="E36" s="24" t="inlineStr">
        <is>
          <t>DOTA2</t>
        </is>
      </c>
      <c r="F36" s="24" t="inlineStr">
        <is>
          <t>Dawn Bulls</t>
        </is>
      </c>
      <c r="G36" s="24" t="inlineStr">
        <is>
          <t>Team Lynx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122</v>
      </c>
      <c r="M36" s="27" t="n">
        <v>2.22</v>
      </c>
      <c r="N36" s="28" t="n">
        <v>0.45045</v>
      </c>
      <c r="O36" s="28" t="n">
        <v>0.612465</v>
      </c>
      <c r="P36" s="28" t="n"/>
      <c r="Q36" s="28" t="n">
        <v>0.162015</v>
      </c>
      <c r="R36" s="26" t="n">
        <v>100</v>
      </c>
      <c r="S36" s="29" t="n">
        <v>1.75</v>
      </c>
      <c r="T36" s="24" t="inlineStr">
        <is>
          <t>dota2-tiered-elo-v6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0.4500 (market_slug=aec-dota2-lynx-dba-2026-10-15).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4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Dawn Bulls</t>
        </is>
      </c>
      <c r="AQ36" s="24" t="inlineStr">
        <is>
          <t>Dawn Bulls</t>
        </is>
      </c>
      <c r="AR36" s="24" t="inlineStr">
        <is>
          <t>Dawn Bulls</t>
        </is>
      </c>
      <c r="AS36" s="24" t="inlineStr">
        <is>
          <t>Team Lynx</t>
        </is>
      </c>
      <c r="AT36" s="24" t="inlineStr">
        <is>
          <t>Team Lynx</t>
        </is>
      </c>
      <c r="AU36" s="24" t="inlineStr">
        <is>
          <t>Team Lynx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158823ce1a587d2f3671a0256c3ba7ba544c89560e738394a181423449115870</t>
        </is>
      </c>
      <c r="BB36" s="24" t="inlineStr">
        <is>
          <t>neutral_elo</t>
        </is>
      </c>
      <c r="BC36" s="24" t="inlineStr">
        <is>
          <t>dota2-tiered-elo-v6</t>
        </is>
      </c>
      <c r="BD36" s="24" t="inlineStr">
        <is>
          <t>158823ce1a587d2f3671a0256c3ba7ba544c89560e738394a181423449115870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dota2-tiered-elo-v6</t>
        </is>
      </c>
      <c r="BH36" s="24" t="inlineStr">
        <is>
          <t>2026-10-14T22:48:05.177623Z</t>
        </is>
      </c>
      <c r="BI36" s="24" t="inlineStr">
        <is>
          <t>["same_event","same_team_same_day","same_league_same_day"]</t>
        </is>
      </c>
      <c r="BJ36" s="25" t="n"/>
      <c r="BK36" s="26" t="n">
        <v>122</v>
      </c>
      <c r="BL36" s="27" t="n">
        <v>2.22</v>
      </c>
      <c r="BM36" s="28" t="n">
        <v>0.45045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n"/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"158823ce1a587d2f3671a0256c3ba7ba544c89560e738394a181423449115870", "away_team": "Dawn Bulls", "event_id": "156803", "event_start_utc": "2026-10-15T10:00:00Z", "features": {"away_elo": 1640.18007, "away_history_count": 7, "home_elo": 1758.623049, "home_history_count": 188}, "historical_source_observation_times_verified": false, "home_team": "Team Lynx", "inference_inputs": {"book_state": {"games_played": {"bo3:4:19913": 188, "bo3:4:25301": 7}, "inactivity_half_life_days": null, "inactivity_max_pull": null, "k": 48.0, "last_match_utc": {"bo3:4:19913": "2026-10-14T10:00:00Z", "bo3:4:25301": "2026-10-14T19:10:00Z"}, "minimum_reliable_games": null, "platt_intercept": 0.0741677632303944, "platt_slope": 0.8370812307603834, "ratings": {"bo3:4:19913": 1758.623049, "bo3:4:25301": 1640.18007},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"2026-10-14T22:46:32.820014+00:00", "team_ids": ["bo3:4:19913", "bo3:4:25301"]}, "market_type": "moneyline", "model_version": "dota2-tiered-elo-v6", "observed_at_utc": "2026-10-14T22:46:32.820014+00:00", "probabilities": {"away": 0.387535, "home": 0.612465}, "replay_scope": "Exact serving book state, calibration, temperature, inactivity reference and thin-history adjustments; training provenance not certified.", "schema": "esports-elo-replay-v1", "snapshot_hash": "6f823458a4506198d775b496a2f575e24740130115de5ca82ae946e9b2b115a0", "sport": "DOTA2"}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2026-10-14T22:49:54Z</dcterms:created>
  <dcterms:modified xmlns:dcterms="http://purl.org/dc/terms/" xmlns:xsi="http://www.w3.org/2001/XMLSchema-instance" xsi:type="dcterms:W3CDTF">2026-10-14T22:49:54Z</dcterms:modified>
</cp:coreProperties>
</file>