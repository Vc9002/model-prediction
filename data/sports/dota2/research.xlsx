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icks" sheetId="2" state="visible" r:id="rId2"/>
  </sheets>
  <definedNames>
    <definedName name="_xlnm.Print_Area" localSheetId="0">'Summary'!$A$1:$L$19</definedName>
    <definedName name="_xlnm.Print_Titles" localSheetId="1">'Picks'!$1:$1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###"/>
    <numFmt numFmtId="165" formatCode="0.000000"/>
    <numFmt numFmtId="166" formatCode="0.0000"/>
    <numFmt numFmtId="167" formatCode="0.0%"/>
  </numFmts>
  <fonts count="9">
    <font>
      <name val="Calibri"/>
      <family val="2"/>
      <color theme="1"/>
      <sz val="11"/>
      <scheme val="minor"/>
    </font>
    <font>
      <name val="Aptos"/>
      <color rgb="001F2937"/>
      <sz val="10"/>
    </font>
    <font>
      <name val="Aptos"/>
      <b val="1"/>
      <color rgb="00FFFFFF"/>
      <sz val="10"/>
    </font>
    <font>
      <name val="Aptos Display"/>
      <b val="1"/>
      <color rgb="00FFFFFF"/>
      <sz val="18"/>
    </font>
    <font>
      <name val="Aptos"/>
      <b val="1"/>
      <color rgb="0017365D"/>
      <sz val="10"/>
    </font>
    <font>
      <name val="Aptos"/>
      <color rgb="00374151"/>
      <sz val="10"/>
    </font>
    <font>
      <name val="Aptos Display"/>
      <b val="1"/>
      <color rgb="00111827"/>
      <sz val="15"/>
    </font>
    <font>
      <name val="Aptos"/>
      <b val="1"/>
      <color rgb="00FFFFFF"/>
      <sz val="11"/>
    </font>
    <font>
      <name val="Aptos"/>
      <i val="1"/>
      <color rgb="007A4E00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F3F6F9"/>
      </patternFill>
    </fill>
    <fill>
      <patternFill patternType="solid">
        <fgColor rgb="00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4" borderId="0" pivotButton="0" quotePrefix="0" xfId="0"/>
    <xf numFmtId="0" fontId="5" fillId="0" borderId="0" pivotButton="0" quotePrefix="0" xfId="0"/>
    <xf numFmtId="1" fontId="4" fillId="0" borderId="0" pivotButton="0" quotePrefix="0" xfId="0"/>
    <xf numFmtId="0" fontId="4" fillId="4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167" fontId="6" fillId="5" borderId="0" applyAlignment="1" pivotButton="0" quotePrefix="0" xfId="0">
      <alignment vertical="center"/>
    </xf>
    <xf numFmtId="166" fontId="6" fillId="5" borderId="0" applyAlignment="1" pivotButton="0" quotePrefix="0" xfId="0">
      <alignment vertical="center"/>
    </xf>
    <xf numFmtId="10" fontId="6" fillId="5" borderId="0" applyAlignment="1" pivotButton="0" quotePrefix="0" xfId="0">
      <alignment vertical="center"/>
    </xf>
    <xf numFmtId="0" fontId="7" fillId="3" borderId="0" pivotButton="0" quotePrefix="0" xfId="0"/>
    <xf numFmtId="0" fontId="4" fillId="4" borderId="0" applyAlignment="1" pivotButton="0" quotePrefix="0" xfId="0">
      <alignment horizontal="center"/>
    </xf>
    <xf numFmtId="0" fontId="1" fillId="6" borderId="0" applyAlignment="1" pivotButton="0" quotePrefix="0" xfId="0">
      <alignment horizontal="left"/>
    </xf>
    <xf numFmtId="0" fontId="1" fillId="6" borderId="0" applyAlignment="1" pivotButton="0" quotePrefix="0" xfId="0">
      <alignment horizontal="right"/>
    </xf>
    <xf numFmtId="167" fontId="1" fillId="6" borderId="0" applyAlignment="1" pivotButton="0" quotePrefix="0" xfId="0">
      <alignment horizontal="right"/>
    </xf>
    <xf numFmtId="166" fontId="1" fillId="6" borderId="0" applyAlignment="1" pivotButton="0" quotePrefix="0" xfId="0">
      <alignment horizontal="right"/>
    </xf>
    <xf numFmtId="10" fontId="1" fillId="6" borderId="0" applyAlignment="1" pivotButton="0" quotePrefix="0" xfId="0">
      <alignment horizontal="right"/>
    </xf>
    <xf numFmtId="0" fontId="1" fillId="7" borderId="0" applyAlignment="1" pivotButton="0" quotePrefix="0" xfId="0">
      <alignment horizontal="left"/>
    </xf>
    <xf numFmtId="0" fontId="1" fillId="7" borderId="0" applyAlignment="1" pivotButton="0" quotePrefix="0" xfId="0">
      <alignment horizontal="right"/>
    </xf>
    <xf numFmtId="167" fontId="1" fillId="7" borderId="0" applyAlignment="1" pivotButton="0" quotePrefix="0" xfId="0">
      <alignment horizontal="right"/>
    </xf>
    <xf numFmtId="166" fontId="1" fillId="7" borderId="0" applyAlignment="1" pivotButton="0" quotePrefix="0" xfId="0">
      <alignment horizontal="right"/>
    </xf>
    <xf numFmtId="10" fontId="1" fillId="7" borderId="0" applyAlignment="1" pivotButton="0" quotePrefix="0" xfId="0">
      <alignment horizontal="right"/>
    </xf>
    <xf numFmtId="0" fontId="8" fillId="8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49" fontId="1" fillId="0" borderId="0" applyAlignment="1" pivotButton="0" quotePrefix="0" xfId="0">
      <alignment horizontal="left" vertical="top"/>
    </xf>
    <xf numFmtId="164" fontId="1" fillId="0" borderId="0" applyAlignment="1" pivotButton="0" quotePrefix="0" xfId="0">
      <alignment horizontal="right" vertical="top"/>
    </xf>
    <xf numFmtId="1" fontId="1" fillId="0" borderId="0" applyAlignment="1" pivotButton="0" quotePrefix="0" xfId="0">
      <alignment horizontal="right" vertical="top"/>
    </xf>
    <xf numFmtId="165" fontId="1" fillId="0" borderId="0" applyAlignment="1" pivotButton="0" quotePrefix="0" xfId="0">
      <alignment horizontal="right" vertical="top"/>
    </xf>
    <xf numFmtId="10" fontId="1" fillId="0" borderId="0" applyAlignment="1" pivotButton="0" quotePrefix="0" xfId="0">
      <alignment horizontal="right" vertical="top"/>
    </xf>
    <xf numFmtId="2" fontId="1" fillId="0" borderId="0" applyAlignment="1" pivotButton="0" quotePrefix="0" xfId="0">
      <alignment horizontal="right" vertical="top"/>
    </xf>
    <xf numFmtId="166" fontId="1" fillId="0" borderId="0" applyAlignment="1" pivotButton="0" quotePrefix="0" xfId="0">
      <alignment horizontal="right" vertical="top"/>
    </xf>
    <xf numFmtId="49" fontId="1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PicksLedger" displayName="PicksLedger" ref="A1:DQ31" headerRowCount="1">
  <autoFilter ref="A1:DQ31"/>
  <tableColumns count="121">
    <tableColumn id="1" name="pick_id"/>
    <tableColumn id="2" name="created_at_utc"/>
    <tableColumn id="3" name="event_start_utc"/>
    <tableColumn id="4" name="event_id"/>
    <tableColumn id="5" name="league"/>
    <tableColumn id="6" name="away_team"/>
    <tableColumn id="7" name="home_team"/>
    <tableColumn id="8" name="market_type"/>
    <tableColumn id="9" name="selection"/>
    <tableColumn id="10" name="line"/>
    <tableColumn id="11" name="sportsbook"/>
    <tableColumn id="12" name="american_odds"/>
    <tableColumn id="13" name="decimal_odds"/>
    <tableColumn id="14" name="market_implied_probability"/>
    <tableColumn id="15" name="model_probability"/>
    <tableColumn id="16" name="model_uncertainty"/>
    <tableColumn id="17" name="edge"/>
    <tableColumn id="18" name="confidence_score"/>
    <tableColumn id="19" name="units"/>
    <tableColumn id="20" name="model_version"/>
    <tableColumn id="21" name="status"/>
    <tableColumn id="22" name="result"/>
    <tableColumn id="23" name="away_score"/>
    <tableColumn id="24" name="home_score"/>
    <tableColumn id="25" name="closing_line"/>
    <tableColumn id="26" name="closing_american_odds"/>
    <tableColumn id="27" name="closing_implied_probability"/>
    <tableColumn id="28" name="probability_clv"/>
    <tableColumn id="29" name="pnl_units"/>
    <tableColumn id="30" name="settled_at_utc"/>
    <tableColumn id="31" name="rationale"/>
    <tableColumn id="32" name="risks"/>
    <tableColumn id="33" name="review_status"/>
    <tableColumn id="34" name="loss_classification"/>
    <tableColumn id="35" name="loss_cause"/>
    <tableColumn id="36" name="corrective_action"/>
    <tableColumn id="37" name="call_type"/>
    <tableColumn id="38" name="ledger_schema_version"/>
    <tableColumn id="39" name="record_type"/>
    <tableColumn id="40" name="decision"/>
    <tableColumn id="41" name="reason_code"/>
    <tableColumn id="42" name="canonical_away_team_id"/>
    <tableColumn id="43" name="canonical_away_team_name"/>
    <tableColumn id="44" name="original_away_team"/>
    <tableColumn id="45" name="canonical_home_team_id"/>
    <tableColumn id="46" name="canonical_home_team_name"/>
    <tableColumn id="47" name="original_home_team"/>
    <tableColumn id="48" name="banned_team_id"/>
    <tableColumn id="49" name="banned_team_name"/>
    <tableColumn id="50" name="model_origin"/>
    <tableColumn id="51" name="baseline_identifier"/>
    <tableColumn id="52" name="model_state_at_decision"/>
    <tableColumn id="53" name="model_artifact_hash"/>
    <tableColumn id="54" name="calibration_method"/>
    <tableColumn id="55" name="calibration_version"/>
    <tableColumn id="56" name="calibration_artifact_hash"/>
    <tableColumn id="57" name="feature_schema_version"/>
    <tableColumn id="58" name="entity_map_version"/>
    <tableColumn id="59" name="code_revision"/>
    <tableColumn id="60" name="observed_at_utc"/>
    <tableColumn id="61" name="correlation_tags"/>
    <tableColumn id="62" name="decision_line"/>
    <tableColumn id="63" name="decision_american_odds"/>
    <tableColumn id="64" name="decision_decimal_odds"/>
    <tableColumn id="65" name="decision_raw_implied_probability"/>
    <tableColumn id="66" name="decision_no_vig_probability"/>
    <tableColumn id="67" name="decision_consensus_probability"/>
    <tableColumn id="68" name="decision_consensus_line"/>
    <tableColumn id="69" name="closing_decimal_odds"/>
    <tableColumn id="70" name="closing_raw_implied_probability"/>
    <tableColumn id="71" name="closing_no_vig_probability"/>
    <tableColumn id="72" name="closing_consensus_probability"/>
    <tableColumn id="73" name="closing_consensus_line"/>
    <tableColumn id="74" name="legacy_units"/>
    <tableColumn id="75" name="void_reason"/>
    <tableColumn id="76" name="research_score_units"/>
    <tableColumn id="77" name="research_pnl_units"/>
    <tableColumn id="78" name="research_scored_at_utc"/>
    <tableColumn id="79" name="research_scoring_note"/>
    <tableColumn id="80" name="migrated_from_version"/>
    <tableColumn id="81" name="elo_probability"/>
    <tableColumn id="82" name="trend_gap"/>
    <tableColumn id="83" name="park_factor"/>
    <tableColumn id="84" name="weather_factor"/>
    <tableColumn id="85" name="pitcher_era_gap"/>
    <tableColumn id="86" name="probable_starter_era_gap"/>
    <tableColumn id="87" name="unavailable_features"/>
    <tableColumn id="88" name="defensive_trend_gap"/>
    <tableColumn id="89" name="neutral_elo_rating_difference"/>
    <tableColumn id="90" name="bullpen_weakness_gap"/>
    <tableColumn id="91" name="starter_era_gap"/>
    <tableColumn id="92" name="rest_disparity"/>
    <tableColumn id="93" name="back_to_back_gap"/>
    <tableColumn id="94" name="games_last_7_gap"/>
    <tableColumn id="95" name="schedule_missingness"/>
    <tableColumn id="96" name="market_residual_probability"/>
    <tableColumn id="97" name="trade_candidate"/>
    <tableColumn id="98" name="config_hash"/>
    <tableColumn id="99" name="config_byte_sha256"/>
    <tableColumn id="100" name="config_path"/>
    <tableColumn id="101" name="model_artifact_byte_sha256"/>
    <tableColumn id="102" name="model_artifact_path"/>
    <tableColumn id="103" name="market_quote_observed_at_utc"/>
    <tableColumn id="104" name="market_quote_timestamp_valid"/>
    <tableColumn id="105" name="market_quote_source"/>
    <tableColumn id="106" name="market_quote_provenance"/>
    <tableColumn id="107" name="market_quote_reconstructed"/>
    <tableColumn id="108" name="market_snapshot_hash"/>
    <tableColumn id="109" name="market_snapshot_archive_path"/>
    <tableColumn id="110" name="market_snapshot_record_id"/>
    <tableColumn id="111" name="record_source"/>
    <tableColumn id="112" name="is_backfill"/>
    <tableColumn id="113" name="model_probability_raw"/>
    <tableColumn id="114" name="market_probability_at_decision"/>
    <tableColumn id="115" name="serving_probability"/>
    <tableColumn id="116" name="blend_weight"/>
    <tableColumn id="117" name="blend_policy_artifact_hash"/>
    <tableColumn id="118" name="blend_experiment_spec_hash"/>
    <tableColumn id="119" name="blend_config_hash"/>
    <tableColumn id="120" name="serving_policy_block_reason"/>
    <tableColumn id="121" name="model_input_snapshot_j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7" customWidth="1" min="10" max="10"/>
    <col width="4" customWidth="1" min="11" max="11"/>
    <col width="12" customWidth="1" min="12" max="12"/>
  </cols>
  <sheetData>
    <row r="1" ht="34" customHeight="1">
      <c r="A1" s="1" t="inlineStr">
        <is>
          <t>MODEL PREDICTION — PICKS LEDGER</t>
        </is>
      </c>
      <c r="J1" s="2" t="inlineStr">
        <is>
          <t>METRIC CONTROL</t>
        </is>
      </c>
    </row>
    <row r="2">
      <c r="J2" s="3" t="inlineStr">
        <is>
          <t>Minimum calibration sample</t>
        </is>
      </c>
      <c r="L2" s="4" t="n">
        <v>30</v>
      </c>
    </row>
    <row r="3" ht="20" customHeight="1">
      <c r="A3" s="5" t="inlineStr">
        <is>
          <t>Total records</t>
        </is>
      </c>
      <c r="C3" s="5" t="inlineStr">
        <is>
          <t>Open records</t>
        </is>
      </c>
      <c r="E3" s="5" t="inlineStr">
        <is>
          <t>Settled records</t>
        </is>
      </c>
      <c r="G3" s="5" t="inlineStr">
        <is>
          <t>Calibration status</t>
        </is>
      </c>
    </row>
    <row r="4" ht="28" customHeight="1">
      <c r="A4" s="6">
        <f>COUNTA('Picks'!$A$2:$A$31)</f>
        <v/>
      </c>
      <c r="C4" s="6">
        <f>COUNTIF('Picks'!$U$2:$U$31,"open")</f>
        <v/>
      </c>
      <c r="E4" s="6">
        <f>COUNTIF('Picks'!$U$2:$U$31,"settled")</f>
        <v/>
      </c>
      <c r="G4" s="6">
        <f>IF(COUNTIFS('Picks'!$U$2:$U$31,"settled",'Picks'!$V$2:$V$31,"win")+COUNTIFS('Picks'!$U$2:$U$31,"settled",'Picks'!$V$2:$V$31,"loss")&gt;=$L$2,"Ready","Insufficient sample")</f>
        <v/>
      </c>
    </row>
    <row r="6" ht="20" customHeight="1">
      <c r="A6" s="5" t="inlineStr">
        <is>
          <t>Research scored</t>
        </is>
      </c>
      <c r="C6" s="5" t="inlineStr">
        <is>
          <t>Research record</t>
        </is>
      </c>
      <c r="E6" s="5" t="inlineStr">
        <is>
          <t>Research accuracy</t>
        </is>
      </c>
      <c r="G6" s="5" t="inlineStr">
        <is>
          <t>Research ROI</t>
        </is>
      </c>
    </row>
    <row r="7" ht="28" customHeight="1">
      <c r="A7" s="6">
        <f>COUNTIF('Picks'!$BX$2:$BX$31,"&gt;0")</f>
        <v/>
      </c>
      <c r="C7" s="6">
        <f>COUNTIFS('Picks'!$BX$2:$BX$31,"&gt;0",'Picks'!$V$2:$V$31,"win")&amp;"-"&amp;COUNTIFS('Picks'!$BX$2:$BX$31,"&gt;0",'Picks'!$V$2:$V$31,"loss")</f>
        <v/>
      </c>
      <c r="E7" s="7">
        <f>IFERROR(COUNTIFS('Picks'!$BX$2:$BX$31,"&gt;0",'Picks'!$V$2:$V$31,"win")/(COUNTIFS('Picks'!$BX$2:$BX$31,"&gt;0",'Picks'!$V$2:$V$31,"win")+COUNTIFS('Picks'!$BX$2:$BX$31,"&gt;0",'Picks'!$V$2:$V$31,"loss")),0)</f>
        <v/>
      </c>
      <c r="G7" s="7">
        <f>IFERROR(SUM('Picks'!$BY$2:$BY$31)/SUM('Picks'!$BX$2:$BX$31),0)</f>
        <v/>
      </c>
    </row>
    <row r="9" ht="20" customHeight="1">
      <c r="A9" s="5" t="inlineStr">
        <is>
          <t>Research P&amp;L</t>
        </is>
      </c>
      <c r="C9" s="5" t="inlineStr">
        <is>
          <t>Mean raw-probability CLV</t>
        </is>
      </c>
      <c r="E9" s="5" t="inlineStr">
        <is>
          <t>Qualified calls</t>
        </is>
      </c>
      <c r="G9" s="5" t="inlineStr">
        <is>
          <t>Qualified P&amp;L</t>
        </is>
      </c>
    </row>
    <row r="10" ht="28" customHeight="1">
      <c r="A10" s="8">
        <f>SUM('Picks'!$BY$2:$BY$31)</f>
        <v/>
      </c>
      <c r="C10" s="9">
        <f>IFERROR(AVERAGEIF('Picks'!$AB$2:$AB$31,"&lt;&gt;",'Picks'!$AB$2:$AB$31),0)</f>
        <v/>
      </c>
      <c r="E10" s="6">
        <f>COUNTIFS('Picks'!$AM$2:$AM$31,"QUALIFIED_SHADOW_CALL",'Picks'!$U$2:$U$31,"settled")</f>
        <v/>
      </c>
      <c r="G10" s="8">
        <f>SUMIFS('Picks'!$AC$2:$AC$31,'Picks'!$AM$2:$AM$31,"QUALIFIED_SHADOW_CALL")</f>
        <v/>
      </c>
    </row>
    <row r="12">
      <c r="A12" s="10" t="inlineStr">
        <is>
          <t>SETTLED ACCURACY BY MARKET</t>
        </is>
      </c>
    </row>
    <row r="13">
      <c r="A13" s="11" t="inlineStr">
        <is>
          <t>Market</t>
        </is>
      </c>
      <c r="B13" s="11" t="inlineStr">
        <is>
          <t>Settled</t>
        </is>
      </c>
      <c r="C13" s="11" t="inlineStr">
        <is>
          <t>Wins</t>
        </is>
      </c>
      <c r="D13" s="11" t="inlineStr">
        <is>
          <t>Losses</t>
        </is>
      </c>
      <c r="E13" s="11" t="inlineStr">
        <is>
          <t>Accuracy</t>
        </is>
      </c>
      <c r="F13" s="11" t="inlineStr">
        <is>
          <t>Research P&amp;L</t>
        </is>
      </c>
      <c r="G13" s="11" t="inlineStr">
        <is>
          <t>Mean CLV</t>
        </is>
      </c>
    </row>
    <row r="14">
      <c r="A14" s="12" t="inlineStr">
        <is>
          <t>moneyline</t>
        </is>
      </c>
      <c r="B14" s="13">
        <f>COUNTIFS('Picks'!$H$2:$H$31,$A14,'Picks'!$U$2:$U$31,"settled")</f>
        <v/>
      </c>
      <c r="C14" s="13">
        <f>COUNTIFS('Picks'!$H$2:$H$31,$A14,'Picks'!$U$2:$U$31,"settled",'Picks'!$V$2:$V$31,"win")</f>
        <v/>
      </c>
      <c r="D14" s="13">
        <f>COUNTIFS('Picks'!$H$2:$H$31,$A14,'Picks'!$U$2:$U$31,"settled",'Picks'!$V$2:$V$31,"loss")</f>
        <v/>
      </c>
      <c r="E14" s="14">
        <f>IFERROR(C14/(C14+D14),0)</f>
        <v/>
      </c>
      <c r="F14" s="15">
        <f>SUMIFS('Picks'!$BY$2:$BY$31,'Picks'!$H$2:$H$31,$A14)</f>
        <v/>
      </c>
      <c r="G14" s="16">
        <f>IFERROR(AVERAGEIFS('Picks'!$AB$2:$AB$31,'Picks'!$H$2:$H$31,$A14,'Picks'!$U$2:$U$31,"settled"),0)</f>
        <v/>
      </c>
    </row>
    <row r="15">
      <c r="A15" s="17" t="inlineStr">
        <is>
          <t>spread</t>
        </is>
      </c>
      <c r="B15" s="18">
        <f>COUNTIFS('Picks'!$H$2:$H$31,$A15,'Picks'!$U$2:$U$31,"settled")</f>
        <v/>
      </c>
      <c r="C15" s="18">
        <f>COUNTIFS('Picks'!$H$2:$H$31,$A15,'Picks'!$U$2:$U$31,"settled",'Picks'!$V$2:$V$31,"win")</f>
        <v/>
      </c>
      <c r="D15" s="18">
        <f>COUNTIFS('Picks'!$H$2:$H$31,$A15,'Picks'!$U$2:$U$31,"settled",'Picks'!$V$2:$V$31,"loss")</f>
        <v/>
      </c>
      <c r="E15" s="19">
        <f>IFERROR(C15/(C15+D15),0)</f>
        <v/>
      </c>
      <c r="F15" s="20">
        <f>SUMIFS('Picks'!$BY$2:$BY$31,'Picks'!$H$2:$H$31,$A15)</f>
        <v/>
      </c>
      <c r="G15" s="21">
        <f>IFERROR(AVERAGEIFS('Picks'!$AB$2:$AB$31,'Picks'!$H$2:$H$31,$A15,'Picks'!$U$2:$U$31,"settled"),0)</f>
        <v/>
      </c>
    </row>
    <row r="16">
      <c r="A16" s="12" t="inlineStr">
        <is>
          <t>total</t>
        </is>
      </c>
      <c r="B16" s="13">
        <f>COUNTIFS('Picks'!$H$2:$H$31,$A16,'Picks'!$U$2:$U$31,"settled")</f>
        <v/>
      </c>
      <c r="C16" s="13">
        <f>COUNTIFS('Picks'!$H$2:$H$31,$A16,'Picks'!$U$2:$U$31,"settled",'Picks'!$V$2:$V$31,"win")</f>
        <v/>
      </c>
      <c r="D16" s="13">
        <f>COUNTIFS('Picks'!$H$2:$H$31,$A16,'Picks'!$U$2:$U$31,"settled",'Picks'!$V$2:$V$31,"loss")</f>
        <v/>
      </c>
      <c r="E16" s="14">
        <f>IFERROR(C16/(C16+D16),0)</f>
        <v/>
      </c>
      <c r="F16" s="15">
        <f>SUMIFS('Picks'!$BY$2:$BY$31,'Picks'!$H$2:$H$31,$A16)</f>
        <v/>
      </c>
      <c r="G16" s="16">
        <f>IFERROR(AVERAGEIFS('Picks'!$AB$2:$AB$31,'Picks'!$H$2:$H$31,$A16,'Picks'!$U$2:$U$31,"settled"),0)</f>
        <v/>
      </c>
    </row>
    <row r="18">
      <c r="A18" s="22" t="inlineStr">
        <is>
          <t>Descriptive only—not evidence of profitability. Calibration needs 30 settled binary picks.</t>
        </is>
      </c>
    </row>
    <row r="19"/>
  </sheetData>
  <mergeCells count="3">
    <mergeCell ref="A18:L19"/>
    <mergeCell ref="A12:G12"/>
    <mergeCell ref="A1:H1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Q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18" customWidth="1" min="4" max="4"/>
    <col width="12" customWidth="1" min="5" max="5"/>
    <col width="24" customWidth="1" min="6" max="6"/>
    <col width="24" customWidth="1" min="7" max="7"/>
    <col width="13" customWidth="1" min="8" max="8"/>
    <col width="12" customWidth="1" min="9" max="9"/>
    <col width="15" customWidth="1" min="10" max="10"/>
    <col width="2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4" customWidth="1" min="20" max="20"/>
    <col width="12" customWidth="1" min="21" max="21"/>
    <col width="12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25" customWidth="1" min="30" max="30"/>
    <col width="48" customWidth="1" min="31" max="31"/>
    <col width="48" customWidth="1" min="32" max="32"/>
    <col width="15" customWidth="1" min="33" max="33"/>
    <col width="21" customWidth="1" min="34" max="34"/>
    <col width="48" customWidth="1" min="35" max="35"/>
    <col width="48" customWidth="1" min="36" max="36"/>
    <col width="12" customWidth="1" min="37" max="37"/>
    <col width="15" customWidth="1" min="38" max="38"/>
    <col width="13" customWidth="1" min="39" max="39"/>
    <col width="12" customWidth="1" min="40" max="40"/>
    <col width="24" customWidth="1" min="41" max="41"/>
    <col width="18" customWidth="1" min="42" max="42"/>
    <col width="22" customWidth="1" min="43" max="43"/>
    <col width="22" customWidth="1" min="44" max="44"/>
    <col width="18" customWidth="1" min="45" max="45"/>
    <col width="22" customWidth="1" min="46" max="46"/>
    <col width="22" customWidth="1" min="47" max="47"/>
    <col width="18" customWidth="1" min="48" max="48"/>
    <col width="22" customWidth="1" min="49" max="49"/>
    <col width="14" customWidth="1" min="50" max="50"/>
    <col width="21" customWidth="1" min="51" max="51"/>
    <col width="22" customWidth="1" min="52" max="52"/>
    <col width="20" customWidth="1" min="53" max="53"/>
    <col width="20" customWidth="1" min="54" max="54"/>
    <col width="21" customWidth="1" min="55" max="55"/>
    <col width="20" customWidth="1" min="56" max="56"/>
    <col width="22" customWidth="1" min="57" max="57"/>
    <col width="20" customWidth="1" min="58" max="58"/>
    <col width="15" customWidth="1" min="59" max="59"/>
    <col width="25" customWidth="1" min="60" max="60"/>
    <col width="18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3" customWidth="1" min="75" max="75"/>
    <col width="15" customWidth="1" min="76" max="76"/>
    <col width="15" customWidth="1" min="77" max="77"/>
    <col width="25" customWidth="1" min="78" max="78"/>
    <col width="48" customWidth="1" min="79" max="79"/>
    <col width="22" customWidth="1" min="80" max="80"/>
    <col width="17" customWidth="1" min="81" max="81"/>
    <col width="12" customWidth="1" min="82" max="82"/>
    <col width="13" customWidth="1" min="83" max="83"/>
    <col width="16" customWidth="1" min="84" max="84"/>
    <col width="17" customWidth="1" min="85" max="85"/>
    <col width="22" customWidth="1" min="86" max="86"/>
    <col width="22" customWidth="1" min="87" max="87"/>
    <col width="21" customWidth="1" min="88" max="88"/>
    <col width="22" customWidth="1" min="89" max="89"/>
    <col width="22" customWidth="1" min="90" max="90"/>
    <col width="17" customWidth="1" min="91" max="91"/>
    <col width="16" customWidth="1" min="92" max="92"/>
    <col width="18" customWidth="1" min="93" max="93"/>
    <col width="18" customWidth="1" min="94" max="94"/>
    <col width="22" customWidth="1" min="95" max="95"/>
    <col width="22" customWidth="1" min="96" max="96"/>
    <col width="17" customWidth="1" min="97" max="97"/>
    <col width="20" customWidth="1" min="98" max="98"/>
    <col width="20" customWidth="1" min="99" max="99"/>
    <col width="13" customWidth="1" min="100" max="100"/>
    <col width="22" customWidth="1" min="101" max="101"/>
    <col width="21" customWidth="1" min="102" max="102"/>
    <col width="22" customWidth="1" min="103" max="103"/>
    <col width="22" customWidth="1" min="104" max="104"/>
    <col width="21" customWidth="1" min="105" max="105"/>
    <col width="22" customWidth="1" min="106" max="106"/>
    <col width="22" customWidth="1" min="107" max="107"/>
    <col width="20" customWidth="1" min="108" max="108"/>
    <col width="22" customWidth="1" min="109" max="109"/>
    <col width="18" customWidth="1" min="110" max="110"/>
    <col width="15" customWidth="1" min="111" max="111"/>
    <col width="13" customWidth="1" min="112" max="112"/>
    <col width="22" customWidth="1" min="113" max="113"/>
    <col width="22" customWidth="1" min="114" max="114"/>
    <col width="21" customWidth="1" min="115" max="115"/>
    <col width="14" customWidth="1" min="116" max="116"/>
    <col width="20" customWidth="1" min="117" max="117"/>
    <col width="20" customWidth="1" min="118" max="118"/>
    <col width="20" customWidth="1" min="119" max="119"/>
    <col width="22" customWidth="1" min="120" max="120"/>
    <col width="22" customWidth="1" min="121" max="121"/>
  </cols>
  <sheetData>
    <row r="1" ht="32" customHeight="1">
      <c r="A1" s="23" t="inlineStr">
        <is>
          <t>pick_id</t>
        </is>
      </c>
      <c r="B1" s="23" t="inlineStr">
        <is>
          <t>created_at_utc</t>
        </is>
      </c>
      <c r="C1" s="23" t="inlineStr">
        <is>
          <t>event_start_utc</t>
        </is>
      </c>
      <c r="D1" s="23" t="inlineStr">
        <is>
          <t>event_id</t>
        </is>
      </c>
      <c r="E1" s="23" t="inlineStr">
        <is>
          <t>league</t>
        </is>
      </c>
      <c r="F1" s="23" t="inlineStr">
        <is>
          <t>away_team</t>
        </is>
      </c>
      <c r="G1" s="23" t="inlineStr">
        <is>
          <t>home_team</t>
        </is>
      </c>
      <c r="H1" s="23" t="inlineStr">
        <is>
          <t>market_type</t>
        </is>
      </c>
      <c r="I1" s="23" t="inlineStr">
        <is>
          <t>selection</t>
        </is>
      </c>
      <c r="J1" s="23" t="inlineStr">
        <is>
          <t>line</t>
        </is>
      </c>
      <c r="K1" s="23" t="inlineStr">
        <is>
          <t>sportsbook</t>
        </is>
      </c>
      <c r="L1" s="23" t="inlineStr">
        <is>
          <t>american_odds</t>
        </is>
      </c>
      <c r="M1" s="23" t="inlineStr">
        <is>
          <t>decimal_odds</t>
        </is>
      </c>
      <c r="N1" s="23" t="inlineStr">
        <is>
          <t>market_implied_probability</t>
        </is>
      </c>
      <c r="O1" s="23" t="inlineStr">
        <is>
          <t>model_probability</t>
        </is>
      </c>
      <c r="P1" s="23" t="inlineStr">
        <is>
          <t>model_uncertainty</t>
        </is>
      </c>
      <c r="Q1" s="23" t="inlineStr">
        <is>
          <t>edge</t>
        </is>
      </c>
      <c r="R1" s="23" t="inlineStr">
        <is>
          <t>confidence_score</t>
        </is>
      </c>
      <c r="S1" s="23" t="inlineStr">
        <is>
          <t>units</t>
        </is>
      </c>
      <c r="T1" s="23" t="inlineStr">
        <is>
          <t>model_version</t>
        </is>
      </c>
      <c r="U1" s="23" t="inlineStr">
        <is>
          <t>status</t>
        </is>
      </c>
      <c r="V1" s="23" t="inlineStr">
        <is>
          <t>result</t>
        </is>
      </c>
      <c r="W1" s="23" t="inlineStr">
        <is>
          <t>away_score</t>
        </is>
      </c>
      <c r="X1" s="23" t="inlineStr">
        <is>
          <t>home_score</t>
        </is>
      </c>
      <c r="Y1" s="23" t="inlineStr">
        <is>
          <t>closing_line</t>
        </is>
      </c>
      <c r="Z1" s="23" t="inlineStr">
        <is>
          <t>closing_american_odds</t>
        </is>
      </c>
      <c r="AA1" s="23" t="inlineStr">
        <is>
          <t>closing_implied_probability</t>
        </is>
      </c>
      <c r="AB1" s="23" t="inlineStr">
        <is>
          <t>probability_clv</t>
        </is>
      </c>
      <c r="AC1" s="23" t="inlineStr">
        <is>
          <t>pnl_units</t>
        </is>
      </c>
      <c r="AD1" s="23" t="inlineStr">
        <is>
          <t>settled_at_utc</t>
        </is>
      </c>
      <c r="AE1" s="23" t="inlineStr">
        <is>
          <t>rationale</t>
        </is>
      </c>
      <c r="AF1" s="23" t="inlineStr">
        <is>
          <t>risks</t>
        </is>
      </c>
      <c r="AG1" s="23" t="inlineStr">
        <is>
          <t>review_status</t>
        </is>
      </c>
      <c r="AH1" s="23" t="inlineStr">
        <is>
          <t>loss_classification</t>
        </is>
      </c>
      <c r="AI1" s="23" t="inlineStr">
        <is>
          <t>loss_cause</t>
        </is>
      </c>
      <c r="AJ1" s="23" t="inlineStr">
        <is>
          <t>corrective_action</t>
        </is>
      </c>
      <c r="AK1" s="23" t="inlineStr">
        <is>
          <t>call_type</t>
        </is>
      </c>
      <c r="AL1" s="23" t="inlineStr">
        <is>
          <t>ledger_schema_version</t>
        </is>
      </c>
      <c r="AM1" s="23" t="inlineStr">
        <is>
          <t>record_type</t>
        </is>
      </c>
      <c r="AN1" s="23" t="inlineStr">
        <is>
          <t>decision</t>
        </is>
      </c>
      <c r="AO1" s="23" t="inlineStr">
        <is>
          <t>reason_code</t>
        </is>
      </c>
      <c r="AP1" s="23" t="inlineStr">
        <is>
          <t>canonical_away_team_id</t>
        </is>
      </c>
      <c r="AQ1" s="23" t="inlineStr">
        <is>
          <t>canonical_away_team_name</t>
        </is>
      </c>
      <c r="AR1" s="23" t="inlineStr">
        <is>
          <t>original_away_team</t>
        </is>
      </c>
      <c r="AS1" s="23" t="inlineStr">
        <is>
          <t>canonical_home_team_id</t>
        </is>
      </c>
      <c r="AT1" s="23" t="inlineStr">
        <is>
          <t>canonical_home_team_name</t>
        </is>
      </c>
      <c r="AU1" s="23" t="inlineStr">
        <is>
          <t>original_home_team</t>
        </is>
      </c>
      <c r="AV1" s="23" t="inlineStr">
        <is>
          <t>banned_team_id</t>
        </is>
      </c>
      <c r="AW1" s="23" t="inlineStr">
        <is>
          <t>banned_team_name</t>
        </is>
      </c>
      <c r="AX1" s="23" t="inlineStr">
        <is>
          <t>model_origin</t>
        </is>
      </c>
      <c r="AY1" s="23" t="inlineStr">
        <is>
          <t>baseline_identifier</t>
        </is>
      </c>
      <c r="AZ1" s="23" t="inlineStr">
        <is>
          <t>model_state_at_decision</t>
        </is>
      </c>
      <c r="BA1" s="23" t="inlineStr">
        <is>
          <t>model_artifact_hash</t>
        </is>
      </c>
      <c r="BB1" s="23" t="inlineStr">
        <is>
          <t>calibration_method</t>
        </is>
      </c>
      <c r="BC1" s="23" t="inlineStr">
        <is>
          <t>calibration_version</t>
        </is>
      </c>
      <c r="BD1" s="23" t="inlineStr">
        <is>
          <t>calibration_artifact_hash</t>
        </is>
      </c>
      <c r="BE1" s="23" t="inlineStr">
        <is>
          <t>feature_schema_version</t>
        </is>
      </c>
      <c r="BF1" s="23" t="inlineStr">
        <is>
          <t>entity_map_version</t>
        </is>
      </c>
      <c r="BG1" s="23" t="inlineStr">
        <is>
          <t>code_revision</t>
        </is>
      </c>
      <c r="BH1" s="23" t="inlineStr">
        <is>
          <t>observed_at_utc</t>
        </is>
      </c>
      <c r="BI1" s="23" t="inlineStr">
        <is>
          <t>correlation_tags</t>
        </is>
      </c>
      <c r="BJ1" s="23" t="inlineStr">
        <is>
          <t>decision_line</t>
        </is>
      </c>
      <c r="BK1" s="23" t="inlineStr">
        <is>
          <t>decision_american_odds</t>
        </is>
      </c>
      <c r="BL1" s="23" t="inlineStr">
        <is>
          <t>decision_decimal_odds</t>
        </is>
      </c>
      <c r="BM1" s="23" t="inlineStr">
        <is>
          <t>decision_raw_implied_probability</t>
        </is>
      </c>
      <c r="BN1" s="23" t="inlineStr">
        <is>
          <t>decision_no_vig_probability</t>
        </is>
      </c>
      <c r="BO1" s="23" t="inlineStr">
        <is>
          <t>decision_consensus_probability</t>
        </is>
      </c>
      <c r="BP1" s="23" t="inlineStr">
        <is>
          <t>decision_consensus_line</t>
        </is>
      </c>
      <c r="BQ1" s="23" t="inlineStr">
        <is>
          <t>closing_decimal_odds</t>
        </is>
      </c>
      <c r="BR1" s="23" t="inlineStr">
        <is>
          <t>closing_raw_implied_probability</t>
        </is>
      </c>
      <c r="BS1" s="23" t="inlineStr">
        <is>
          <t>closing_no_vig_probability</t>
        </is>
      </c>
      <c r="BT1" s="23" t="inlineStr">
        <is>
          <t>closing_consensus_probability</t>
        </is>
      </c>
      <c r="BU1" s="23" t="inlineStr">
        <is>
          <t>closing_consensus_line</t>
        </is>
      </c>
      <c r="BV1" s="23" t="inlineStr">
        <is>
          <t>legacy_units</t>
        </is>
      </c>
      <c r="BW1" s="23" t="inlineStr">
        <is>
          <t>void_reason</t>
        </is>
      </c>
      <c r="BX1" s="23" t="inlineStr">
        <is>
          <t>research_score_units</t>
        </is>
      </c>
      <c r="BY1" s="23" t="inlineStr">
        <is>
          <t>research_pnl_units</t>
        </is>
      </c>
      <c r="BZ1" s="23" t="inlineStr">
        <is>
          <t>research_scored_at_utc</t>
        </is>
      </c>
      <c r="CA1" s="23" t="inlineStr">
        <is>
          <t>research_scoring_note</t>
        </is>
      </c>
      <c r="CB1" s="23" t="inlineStr">
        <is>
          <t>migrated_from_version</t>
        </is>
      </c>
      <c r="CC1" s="23" t="inlineStr">
        <is>
          <t>elo_probability</t>
        </is>
      </c>
      <c r="CD1" s="23" t="inlineStr">
        <is>
          <t>trend_gap</t>
        </is>
      </c>
      <c r="CE1" s="23" t="inlineStr">
        <is>
          <t>park_factor</t>
        </is>
      </c>
      <c r="CF1" s="23" t="inlineStr">
        <is>
          <t>weather_factor</t>
        </is>
      </c>
      <c r="CG1" s="23" t="inlineStr">
        <is>
          <t>pitcher_era_gap</t>
        </is>
      </c>
      <c r="CH1" s="23" t="inlineStr">
        <is>
          <t>probable_starter_era_gap</t>
        </is>
      </c>
      <c r="CI1" s="23" t="inlineStr">
        <is>
          <t>unavailable_features</t>
        </is>
      </c>
      <c r="CJ1" s="23" t="inlineStr">
        <is>
          <t>defensive_trend_gap</t>
        </is>
      </c>
      <c r="CK1" s="23" t="inlineStr">
        <is>
          <t>neutral_elo_rating_difference</t>
        </is>
      </c>
      <c r="CL1" s="23" t="inlineStr">
        <is>
          <t>bullpen_weakness_gap</t>
        </is>
      </c>
      <c r="CM1" s="23" t="inlineStr">
        <is>
          <t>starter_era_gap</t>
        </is>
      </c>
      <c r="CN1" s="23" t="inlineStr">
        <is>
          <t>rest_disparity</t>
        </is>
      </c>
      <c r="CO1" s="23" t="inlineStr">
        <is>
          <t>back_to_back_gap</t>
        </is>
      </c>
      <c r="CP1" s="23" t="inlineStr">
        <is>
          <t>games_last_7_gap</t>
        </is>
      </c>
      <c r="CQ1" s="23" t="inlineStr">
        <is>
          <t>schedule_missingness</t>
        </is>
      </c>
      <c r="CR1" s="23" t="inlineStr">
        <is>
          <t>market_residual_probability</t>
        </is>
      </c>
      <c r="CS1" s="23" t="inlineStr">
        <is>
          <t>trade_candidate</t>
        </is>
      </c>
      <c r="CT1" s="23" t="inlineStr">
        <is>
          <t>config_hash</t>
        </is>
      </c>
      <c r="CU1" s="23" t="inlineStr">
        <is>
          <t>config_byte_sha256</t>
        </is>
      </c>
      <c r="CV1" s="23" t="inlineStr">
        <is>
          <t>config_path</t>
        </is>
      </c>
      <c r="CW1" s="23" t="inlineStr">
        <is>
          <t>model_artifact_byte_sha256</t>
        </is>
      </c>
      <c r="CX1" s="23" t="inlineStr">
        <is>
          <t>model_artifact_path</t>
        </is>
      </c>
      <c r="CY1" s="23" t="inlineStr">
        <is>
          <t>market_quote_observed_at_utc</t>
        </is>
      </c>
      <c r="CZ1" s="23" t="inlineStr">
        <is>
          <t>market_quote_timestamp_valid</t>
        </is>
      </c>
      <c r="DA1" s="23" t="inlineStr">
        <is>
          <t>market_quote_source</t>
        </is>
      </c>
      <c r="DB1" s="23" t="inlineStr">
        <is>
          <t>market_quote_provenance</t>
        </is>
      </c>
      <c r="DC1" s="23" t="inlineStr">
        <is>
          <t>market_quote_reconstructed</t>
        </is>
      </c>
      <c r="DD1" s="23" t="inlineStr">
        <is>
          <t>market_snapshot_hash</t>
        </is>
      </c>
      <c r="DE1" s="23" t="inlineStr">
        <is>
          <t>market_snapshot_archive_path</t>
        </is>
      </c>
      <c r="DF1" s="23" t="inlineStr">
        <is>
          <t>market_snapshot_record_id</t>
        </is>
      </c>
      <c r="DG1" s="23" t="inlineStr">
        <is>
          <t>record_source</t>
        </is>
      </c>
      <c r="DH1" s="23" t="inlineStr">
        <is>
          <t>is_backfill</t>
        </is>
      </c>
      <c r="DI1" s="23" t="inlineStr">
        <is>
          <t>model_probability_raw</t>
        </is>
      </c>
      <c r="DJ1" s="23" t="inlineStr">
        <is>
          <t>market_probability_at_decision</t>
        </is>
      </c>
      <c r="DK1" s="23" t="inlineStr">
        <is>
          <t>serving_probability</t>
        </is>
      </c>
      <c r="DL1" s="23" t="inlineStr">
        <is>
          <t>blend_weight</t>
        </is>
      </c>
      <c r="DM1" s="23" t="inlineStr">
        <is>
          <t>blend_policy_artifact_hash</t>
        </is>
      </c>
      <c r="DN1" s="23" t="inlineStr">
        <is>
          <t>blend_experiment_spec_hash</t>
        </is>
      </c>
      <c r="DO1" s="23" t="inlineStr">
        <is>
          <t>blend_config_hash</t>
        </is>
      </c>
      <c r="DP1" s="23" t="inlineStr">
        <is>
          <t>serving_policy_block_reason</t>
        </is>
      </c>
      <c r="DQ1" s="23" t="inlineStr">
        <is>
          <t>model_input_snapshot_json</t>
        </is>
      </c>
    </row>
    <row r="2" ht="36" customHeight="1">
      <c r="A2" s="24" t="inlineStr">
        <is>
          <t>6754815580954e41</t>
        </is>
      </c>
      <c r="B2" s="24" t="inlineStr">
        <is>
          <t>2026-10-05T22:25:55.486296Z</t>
        </is>
      </c>
      <c r="C2" s="24" t="inlineStr">
        <is>
          <t>2026-10-06T03:00:00Z</t>
        </is>
      </c>
      <c r="D2" s="24" t="inlineStr">
        <is>
          <t>143516</t>
        </is>
      </c>
      <c r="E2" s="24" t="inlineStr">
        <is>
          <t>DOTA2</t>
        </is>
      </c>
      <c r="F2" s="24" t="inlineStr">
        <is>
          <t>InterActive Philippines</t>
        </is>
      </c>
      <c r="G2" s="24" t="inlineStr">
        <is>
          <t>Yangon Galacticos</t>
        </is>
      </c>
      <c r="H2" s="24" t="inlineStr">
        <is>
          <t>moneyline</t>
        </is>
      </c>
      <c r="I2" s="24" t="inlineStr">
        <is>
          <t>away</t>
        </is>
      </c>
      <c r="J2" s="25" t="n"/>
      <c r="K2" s="24" t="inlineStr">
        <is>
          <t>polymarket_us</t>
        </is>
      </c>
      <c r="L2" s="26" t="n">
        <v>-133</v>
      </c>
      <c r="M2" s="27" t="n">
        <v>1.75188</v>
      </c>
      <c r="N2" s="28" t="n">
        <v>0.570815</v>
      </c>
      <c r="O2" s="28" t="n">
        <v>0.506171</v>
      </c>
      <c r="P2" s="28" t="n"/>
      <c r="Q2" s="28" t="n">
        <v>-0.06464399999999999</v>
      </c>
      <c r="R2" s="26" t="n">
        <v>0</v>
      </c>
      <c r="S2" s="29" t="n">
        <v>1</v>
      </c>
      <c r="T2" s="24" t="inlineStr">
        <is>
          <t>dota2-tiered-elo-v6</t>
        </is>
      </c>
      <c r="U2" s="24" t="inlineStr">
        <is>
          <t>settled</t>
        </is>
      </c>
      <c r="V2" s="24" t="inlineStr">
        <is>
          <t>win</t>
        </is>
      </c>
      <c r="W2" s="26" t="n">
        <v>1</v>
      </c>
      <c r="X2" s="26" t="n">
        <v>0</v>
      </c>
      <c r="Y2" s="25" t="n"/>
      <c r="Z2" s="26" t="n">
        <v>-133</v>
      </c>
      <c r="AA2" s="28" t="n">
        <v>0.57</v>
      </c>
      <c r="AB2" s="28" t="n">
        <v>-0.000815</v>
      </c>
      <c r="AC2" s="30" t="n">
        <v>0.7519</v>
      </c>
      <c r="AD2" s="24" t="inlineStr">
        <is>
          <t>2026-10-06T10:01:10.196234Z</t>
        </is>
      </c>
      <c r="AE2" s="31" t="inlineStr">
        <is>
          <t>Neutral Elo baseline; executable ask 0.5700 (market_slug=aec-dota2-yg-iac-2026-10-06).</t>
        </is>
      </c>
      <c r="AF2" s="31" t="inlineStr">
        <is>
          <t>Config-promoted esports baseline; gates enforced at log time.</t>
        </is>
      </c>
      <c r="AG2" s="24" t="inlineStr">
        <is>
          <t>not_applicable</t>
        </is>
      </c>
      <c r="AH2" s="24" t="n"/>
      <c r="AI2" s="31" t="n"/>
      <c r="AJ2" s="31" t="n"/>
      <c r="AK2" s="24" t="inlineStr">
        <is>
          <t>paper_call</t>
        </is>
      </c>
      <c r="AL2" s="26" t="n">
        <v>4</v>
      </c>
      <c r="AM2" s="24" t="inlineStr">
        <is>
          <t>RESEARCH_OBSERVATION</t>
        </is>
      </c>
      <c r="AN2" s="24" t="inlineStr">
        <is>
          <t>CALL</t>
        </is>
      </c>
      <c r="AO2" s="24" t="inlineStr">
        <is>
          <t>PAPER_CALL_LOW_EDGE</t>
        </is>
      </c>
      <c r="AP2" s="24" t="inlineStr">
        <is>
          <t>InterActive Philippines</t>
        </is>
      </c>
      <c r="AQ2" s="24" t="inlineStr">
        <is>
          <t>InterActive Philippines</t>
        </is>
      </c>
      <c r="AR2" s="24" t="inlineStr">
        <is>
          <t>InterActive Philippines</t>
        </is>
      </c>
      <c r="AS2" s="24" t="inlineStr">
        <is>
          <t>Yangon Galacticos</t>
        </is>
      </c>
      <c r="AT2" s="24" t="inlineStr">
        <is>
          <t>Yangon Galacticos</t>
        </is>
      </c>
      <c r="AU2" s="24" t="inlineStr">
        <is>
          <t>Yangon Galacticos</t>
        </is>
      </c>
      <c r="AV2" s="24" t="n"/>
      <c r="AW2" s="24" t="n"/>
      <c r="AX2" s="24" t="inlineStr">
        <is>
          <t>statistical_model</t>
        </is>
      </c>
      <c r="AY2" s="24" t="n"/>
      <c r="AZ2" s="24" t="inlineStr">
        <is>
          <t>shadow_qualified</t>
        </is>
      </c>
      <c r="BA2" s="24" t="inlineStr">
        <is>
          <t>8fd316347e24d5faa7a92e7ef89a639c490973a25d2b8dbb2af706a2af5abf92</t>
        </is>
      </c>
      <c r="BB2" s="24" t="inlineStr">
        <is>
          <t>neutral_elo</t>
        </is>
      </c>
      <c r="BC2" s="24" t="inlineStr">
        <is>
          <t>dota2-tiered-elo-v6</t>
        </is>
      </c>
      <c r="BD2" s="24" t="inlineStr">
        <is>
          <t>8fd316347e24d5faa7a92e7ef89a639c490973a25d2b8dbb2af706a2af5abf92</t>
        </is>
      </c>
      <c r="BE2" s="24" t="inlineStr">
        <is>
          <t>1</t>
        </is>
      </c>
      <c r="BF2" s="24" t="inlineStr">
        <is>
          <t>1</t>
        </is>
      </c>
      <c r="BG2" s="24" t="inlineStr">
        <is>
          <t>dota2-tiered-elo-v6</t>
        </is>
      </c>
      <c r="BH2" s="24" t="inlineStr">
        <is>
          <t>2026-10-05T22:25:23.814001Z</t>
        </is>
      </c>
      <c r="BI2" s="24" t="inlineStr">
        <is>
          <t>["same_event","same_team_same_day","same_league_same_day"]</t>
        </is>
      </c>
      <c r="BJ2" s="25" t="n"/>
      <c r="BK2" s="26" t="n">
        <v>-133</v>
      </c>
      <c r="BL2" s="27" t="n">
        <v>1.75188</v>
      </c>
      <c r="BM2" s="28" t="n">
        <v>0.570815</v>
      </c>
      <c r="BN2" s="28" t="n"/>
      <c r="BO2" s="28" t="n"/>
      <c r="BP2" s="25" t="n"/>
      <c r="BQ2" s="27" t="n">
        <v>1.75188</v>
      </c>
      <c r="BR2" s="28" t="n">
        <v>0.57</v>
      </c>
      <c r="BS2" s="28" t="n"/>
      <c r="BT2" s="28" t="n"/>
      <c r="BU2" s="25" t="n"/>
      <c r="BV2" s="29" t="n"/>
      <c r="BW2" s="24" t="n"/>
      <c r="BX2" s="30" t="n"/>
      <c r="BY2" s="27" t="n"/>
      <c r="BZ2" s="24" t="n"/>
      <c r="CA2" s="31" t="n"/>
      <c r="CB2" s="24" t="n"/>
      <c r="CC2" s="24" t="n"/>
      <c r="CD2" s="24" t="n"/>
      <c r="CE2" s="24" t="n"/>
      <c r="CF2" s="24" t="n"/>
      <c r="CG2" s="24" t="n"/>
      <c r="CH2" s="24" t="n"/>
      <c r="CI2" s="24" t="n"/>
      <c r="CJ2" s="24" t="n"/>
      <c r="CK2" s="24" t="n"/>
      <c r="CL2" s="24" t="n"/>
      <c r="CM2" s="24" t="n"/>
      <c r="CN2" s="24" t="n"/>
      <c r="CO2" s="24" t="n"/>
      <c r="CP2" s="24" t="n"/>
      <c r="CQ2" s="24" t="n"/>
      <c r="CR2" s="24" t="n"/>
      <c r="CS2" s="24" t="inlineStr">
        <is>
          <t>False</t>
        </is>
      </c>
      <c r="CT2" s="24" t="n"/>
      <c r="CU2" s="24" t="n"/>
      <c r="CV2" s="24" t="n"/>
      <c r="CW2" s="24" t="n"/>
      <c r="CX2" s="24" t="n"/>
      <c r="CY2" s="24" t="n"/>
      <c r="CZ2" s="24" t="n"/>
      <c r="DA2" s="24" t="n"/>
      <c r="DB2" s="24" t="n"/>
      <c r="DC2" s="24" t="n"/>
      <c r="DD2" s="24" t="n"/>
      <c r="DE2" s="24" t="n"/>
      <c r="DF2" s="24" t="n"/>
      <c r="DG2" s="24" t="n"/>
      <c r="DH2" s="24" t="n"/>
      <c r="DI2" s="24" t="n"/>
      <c r="DJ2" s="24" t="inlineStr">
        <is>
          <t>0.570815</t>
        </is>
      </c>
      <c r="DK2" s="24" t="n"/>
      <c r="DL2" s="24" t="n"/>
      <c r="DM2" s="24" t="n"/>
      <c r="DN2" s="24" t="n"/>
      <c r="DO2" s="24" t="n"/>
      <c r="DP2" s="24" t="n"/>
      <c r="DQ2" s="24" t="inlineStr">
        <is>
          <t>{"artifact_hash": "8fd316347e24d5faa7a92e7ef89a639c490973a25d2b8dbb2af706a2af5abf92", "away_team": "InterActive Philippines", "event_id": "143516", "event_start_utc": "2026-10-06T03:00:00Z", "features": {"away_elo": 1587.691293, "away_history_count": 194, "home_elo": 1566.553099, "home_history_count": 248}, "historical_source_observation_times_verified": false, "home_team": "Yangon Galacticos", "inference_inputs": {"book_state": {"games_played": {"bo3:4:15612": 194, "bo3:4:15805": 248}, "inactivity_half_life_days": null, "inactivity_max_pull": null, "k": 48.0, "last_match_utc": {"bo3:4:15612": "2026-10-04T06:20:00Z", "bo3:4:15805": "2026-10-01T03:10:00Z"}, "minimum_reliable_games": null, "platt_intercept": 0.08103315066152637, "platt_slope": 0.8449481325411426, "ratings": {"bo3:4:15612": 1587.691293, "bo3:4:15805": 1566.553099},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"2026-10-05T22:25:23.694580+00:00", "team_ids": ["bo3:4:15805", "bo3:4:15612"]}, "market_type": "moneyline", "model_version": "dota2-tiered-elo-v6", "observed_at_utc": "2026-10-05T22:25:23.694580+00:00", "probabilities": {"away": 0.506171, "home": 0.493829}, "replay_scope": "Exact serving book state, calibration, temperature, inactivity reference and thin-history adjustments; training provenance not certified.", "schema": "esports-elo-replay-v1", "snapshot_hash": "2172ba463ba0686ecf088107e2b9e2f84c07dd92910d87a7583d9f5082a7d563", "sport": "DOTA2"}</t>
        </is>
      </c>
    </row>
    <row r="3" ht="36" customHeight="1">
      <c r="A3" s="24" t="inlineStr">
        <is>
          <t>8d5b805d9c6949e6</t>
        </is>
      </c>
      <c r="B3" s="24" t="inlineStr">
        <is>
          <t>2026-10-05T22:25:55.486296Z</t>
        </is>
      </c>
      <c r="C3" s="24" t="inlineStr">
        <is>
          <t>2026-10-06T08:00:00Z</t>
        </is>
      </c>
      <c r="D3" s="24" t="inlineStr">
        <is>
          <t>143561</t>
        </is>
      </c>
      <c r="E3" s="24" t="inlineStr">
        <is>
          <t>DOTA2</t>
        </is>
      </c>
      <c r="F3" s="24" t="inlineStr">
        <is>
          <t>CyberHero</t>
        </is>
      </c>
      <c r="G3" s="24" t="inlineStr">
        <is>
          <t>HULIGANI</t>
        </is>
      </c>
      <c r="H3" s="24" t="inlineStr">
        <is>
          <t>moneyline</t>
        </is>
      </c>
      <c r="I3" s="24" t="inlineStr">
        <is>
          <t>home</t>
        </is>
      </c>
      <c r="J3" s="25" t="n"/>
      <c r="K3" s="24" t="inlineStr">
        <is>
          <t>polymarket_us</t>
        </is>
      </c>
      <c r="L3" s="26" t="n">
        <v>-144</v>
      </c>
      <c r="M3" s="27" t="n">
        <v>1.694444</v>
      </c>
      <c r="N3" s="28" t="n">
        <v>0.590164</v>
      </c>
      <c r="O3" s="28" t="n">
        <v>0.562428</v>
      </c>
      <c r="P3" s="28" t="n"/>
      <c r="Q3" s="28" t="n">
        <v>-0.027736</v>
      </c>
      <c r="R3" s="26" t="n">
        <v>6</v>
      </c>
      <c r="S3" s="29" t="n">
        <v>1</v>
      </c>
      <c r="T3" s="24" t="inlineStr">
        <is>
          <t>dota2-tiered-elo-v6</t>
        </is>
      </c>
      <c r="U3" s="24" t="inlineStr">
        <is>
          <t>settled</t>
        </is>
      </c>
      <c r="V3" s="24" t="inlineStr">
        <is>
          <t>loss</t>
        </is>
      </c>
      <c r="W3" s="26" t="n">
        <v>1</v>
      </c>
      <c r="X3" s="26" t="n">
        <v>0</v>
      </c>
      <c r="Y3" s="25" t="n"/>
      <c r="Z3" s="26" t="n">
        <v>-900</v>
      </c>
      <c r="AA3" s="28" t="n">
        <v>0.9</v>
      </c>
      <c r="AB3" s="28" t="n">
        <v>0.309836</v>
      </c>
      <c r="AC3" s="30" t="n">
        <v>-1</v>
      </c>
      <c r="AD3" s="24" t="inlineStr">
        <is>
          <t>2026-10-06T16:02:46.753236Z</t>
        </is>
      </c>
      <c r="AE3" s="31" t="inlineStr">
        <is>
          <t>Neutral Elo baseline; executable ask 0.5900 (market_slug=aec-dota2-hul-ch-2026-10-06).</t>
        </is>
      </c>
      <c r="AF3" s="31" t="inlineStr">
        <is>
          <t>Config-promoted esports baseline; gates enforced at log time.</t>
        </is>
      </c>
      <c r="AG3" s="24" t="inlineStr">
        <is>
          <t>review_required</t>
        </is>
      </c>
      <c r="AH3" s="24" t="n"/>
      <c r="AI3" s="31" t="n"/>
      <c r="AJ3" s="31" t="n"/>
      <c r="AK3" s="24" t="inlineStr">
        <is>
          <t>paper_call</t>
        </is>
      </c>
      <c r="AL3" s="26" t="n">
        <v>4</v>
      </c>
      <c r="AM3" s="24" t="inlineStr">
        <is>
          <t>RESEARCH_OBSERVATION</t>
        </is>
      </c>
      <c r="AN3" s="24" t="inlineStr">
        <is>
          <t>CALL</t>
        </is>
      </c>
      <c r="AO3" s="24" t="inlineStr">
        <is>
          <t>PAPER_CALL_LOW_EDGE</t>
        </is>
      </c>
      <c r="AP3" s="24" t="inlineStr">
        <is>
          <t>CyberHero</t>
        </is>
      </c>
      <c r="AQ3" s="24" t="inlineStr">
        <is>
          <t>CyberHero</t>
        </is>
      </c>
      <c r="AR3" s="24" t="inlineStr">
        <is>
          <t>CyberHero</t>
        </is>
      </c>
      <c r="AS3" s="24" t="inlineStr">
        <is>
          <t>HULIGANI</t>
        </is>
      </c>
      <c r="AT3" s="24" t="inlineStr">
        <is>
          <t>HULIGANI</t>
        </is>
      </c>
      <c r="AU3" s="24" t="inlineStr">
        <is>
          <t>HULIGANI</t>
        </is>
      </c>
      <c r="AV3" s="24" t="n"/>
      <c r="AW3" s="24" t="n"/>
      <c r="AX3" s="24" t="inlineStr">
        <is>
          <t>statistical_model</t>
        </is>
      </c>
      <c r="AY3" s="24" t="n"/>
      <c r="AZ3" s="24" t="inlineStr">
        <is>
          <t>shadow_qualified</t>
        </is>
      </c>
      <c r="BA3" s="24" t="inlineStr">
        <is>
          <t>8fd316347e24d5faa7a92e7ef89a639c490973a25d2b8dbb2af706a2af5abf92</t>
        </is>
      </c>
      <c r="BB3" s="24" t="inlineStr">
        <is>
          <t>neutral_elo</t>
        </is>
      </c>
      <c r="BC3" s="24" t="inlineStr">
        <is>
          <t>dota2-tiered-elo-v6</t>
        </is>
      </c>
      <c r="BD3" s="24" t="inlineStr">
        <is>
          <t>8fd316347e24d5faa7a92e7ef89a639c490973a25d2b8dbb2af706a2af5abf92</t>
        </is>
      </c>
      <c r="BE3" s="24" t="inlineStr">
        <is>
          <t>1</t>
        </is>
      </c>
      <c r="BF3" s="24" t="inlineStr">
        <is>
          <t>1</t>
        </is>
      </c>
      <c r="BG3" s="24" t="inlineStr">
        <is>
          <t>dota2-tiered-elo-v6</t>
        </is>
      </c>
      <c r="BH3" s="24" t="inlineStr">
        <is>
          <t>2026-10-05T22:25:34.131544Z</t>
        </is>
      </c>
      <c r="BI3" s="24" t="inlineStr">
        <is>
          <t>["same_event","same_team_same_day","same_league_same_day"]</t>
        </is>
      </c>
      <c r="BJ3" s="25" t="n"/>
      <c r="BK3" s="26" t="n">
        <v>-144</v>
      </c>
      <c r="BL3" s="27" t="n">
        <v>1.694444</v>
      </c>
      <c r="BM3" s="28" t="n">
        <v>0.590164</v>
      </c>
      <c r="BN3" s="28" t="n"/>
      <c r="BO3" s="28" t="n"/>
      <c r="BP3" s="25" t="n"/>
      <c r="BQ3" s="27" t="n">
        <v>1.111111</v>
      </c>
      <c r="BR3" s="28" t="n">
        <v>0.9</v>
      </c>
      <c r="BS3" s="28" t="n"/>
      <c r="BT3" s="28" t="n"/>
      <c r="BU3" s="25" t="n"/>
      <c r="BV3" s="29" t="n"/>
      <c r="BW3" s="24" t="n"/>
      <c r="BX3" s="30" t="n"/>
      <c r="BY3" s="27" t="n"/>
      <c r="BZ3" s="24" t="n"/>
      <c r="CA3" s="31" t="n"/>
      <c r="CB3" s="24" t="n"/>
      <c r="CC3" s="24" t="n"/>
      <c r="CD3" s="24" t="n"/>
      <c r="CE3" s="24" t="n"/>
      <c r="CF3" s="24" t="n"/>
      <c r="CG3" s="24" t="n"/>
      <c r="CH3" s="24" t="n"/>
      <c r="CI3" s="24" t="n"/>
      <c r="CJ3" s="24" t="n"/>
      <c r="CK3" s="24" t="n"/>
      <c r="CL3" s="24" t="n"/>
      <c r="CM3" s="24" t="n"/>
      <c r="CN3" s="24" t="n"/>
      <c r="CO3" s="24" t="n"/>
      <c r="CP3" s="24" t="n"/>
      <c r="CQ3" s="24" t="n"/>
      <c r="CR3" s="24" t="n"/>
      <c r="CS3" s="24" t="inlineStr">
        <is>
          <t>False</t>
        </is>
      </c>
      <c r="CT3" s="24" t="n"/>
      <c r="CU3" s="24" t="n"/>
      <c r="CV3" s="24" t="n"/>
      <c r="CW3" s="24" t="n"/>
      <c r="CX3" s="24" t="n"/>
      <c r="CY3" s="24" t="n"/>
      <c r="CZ3" s="24" t="n"/>
      <c r="DA3" s="24" t="n"/>
      <c r="DB3" s="24" t="n"/>
      <c r="DC3" s="24" t="n"/>
      <c r="DD3" s="24" t="n"/>
      <c r="DE3" s="24" t="n"/>
      <c r="DF3" s="24" t="n"/>
      <c r="DG3" s="24" t="n"/>
      <c r="DH3" s="24" t="n"/>
      <c r="DI3" s="24" t="n"/>
      <c r="DJ3" s="24" t="inlineStr">
        <is>
          <t>0.590164</t>
        </is>
      </c>
      <c r="DK3" s="24" t="n"/>
      <c r="DL3" s="24" t="n"/>
      <c r="DM3" s="24" t="n"/>
      <c r="DN3" s="24" t="n"/>
      <c r="DO3" s="24" t="n"/>
      <c r="DP3" s="24" t="n"/>
      <c r="DQ3" s="24" t="inlineStr">
        <is>
          <t>{"artifact_hash": "8fd316347e24d5faa7a92e7ef89a639c490973a25d2b8dbb2af706a2af5abf92", "away_team": "CyberHero", "event_id": "143561", "event_start_utc": "2026-10-06T08:00:00Z", "features": {"away_elo": 1488.83224, "away_history_count": 1, "home_elo": 1584.789817, "home_history_count": 336}, "historical_source_observation_times_verified": false, "home_team": "HULIGANI", "inference_inputs": {"book_state": {"games_played": {"bo3:4:15098": 336, "bo3:4:25398": 1}, "inactivity_half_life_days": null, "inactivity_max_pull": null, "k": 48.0, "last_match_utc": {"bo3:4:15098": "2026-10-05T08:00:00Z", "bo3:4:25398": "2026-10-05T11:10:00Z"}, "minimum_reliable_games": null, "platt_intercept": 0.08103315066152637, "platt_slope": 0.8449481325411426, "ratings": {"bo3:4:15098": 1584.789817, "bo3:4:25398": 1488.83224},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"2026-10-05T22:25:23.694580+00:00", "team_ids": ["bo3:4:15098", "bo3:4:25398"]}, "market_type": "moneyline", "model_version": "dota2-tiered-elo-v6", "observed_at_utc": "2026-10-05T22:25:23.694580+00:00", "probabilities": {"away": 0.437572, "home": 0.562428}, "replay_scope": "Exact serving book state, calibration, temperature, inactivity reference and thin-history adjustments; training provenance not certified.", "schema": "esports-elo-replay-v1", "snapshot_hash": "c44a835116c1677c2c2a584e22677bccdb7b9a22eb4bf8f09044d36880847ee7", "sport": "DOTA2"}</t>
        </is>
      </c>
    </row>
    <row r="4" ht="36" customHeight="1">
      <c r="A4" s="24" t="inlineStr">
        <is>
          <t>6084828cb57b4b7c</t>
        </is>
      </c>
      <c r="B4" s="24" t="inlineStr">
        <is>
          <t>2026-10-06T10:51:23.725681Z</t>
        </is>
      </c>
      <c r="C4" s="24" t="inlineStr">
        <is>
          <t>2026-10-06T14:00:00Z</t>
        </is>
      </c>
      <c r="D4" s="24" t="inlineStr">
        <is>
          <t>143565</t>
        </is>
      </c>
      <c r="E4" s="24" t="inlineStr">
        <is>
          <t>DOTA2</t>
        </is>
      </c>
      <c r="F4" s="24" t="inlineStr">
        <is>
          <t>Yellow Submarine</t>
        </is>
      </c>
      <c r="G4" s="24" t="inlineStr">
        <is>
          <t>Team Synapse</t>
        </is>
      </c>
      <c r="H4" s="24" t="inlineStr">
        <is>
          <t>moneyline</t>
        </is>
      </c>
      <c r="I4" s="24" t="inlineStr">
        <is>
          <t>home</t>
        </is>
      </c>
      <c r="J4" s="25" t="n"/>
      <c r="K4" s="24" t="inlineStr">
        <is>
          <t>polymarket_us</t>
        </is>
      </c>
      <c r="L4" s="26" t="n">
        <v>122</v>
      </c>
      <c r="M4" s="27" t="n">
        <v>2.22</v>
      </c>
      <c r="N4" s="28" t="n">
        <v>0.45045</v>
      </c>
      <c r="O4" s="28" t="n">
        <v>0.586581</v>
      </c>
      <c r="P4" s="28" t="n"/>
      <c r="Q4" s="28" t="n">
        <v>0.136131</v>
      </c>
      <c r="R4" s="26" t="n">
        <v>88</v>
      </c>
      <c r="S4" s="29" t="n">
        <v>1.5</v>
      </c>
      <c r="T4" s="24" t="inlineStr">
        <is>
          <t>dota2-tiered-elo-v6</t>
        </is>
      </c>
      <c r="U4" s="24" t="inlineStr">
        <is>
          <t>settled</t>
        </is>
      </c>
      <c r="V4" s="24" t="inlineStr">
        <is>
          <t>win</t>
        </is>
      </c>
      <c r="W4" s="26" t="n">
        <v>0</v>
      </c>
      <c r="X4" s="26" t="n">
        <v>1</v>
      </c>
      <c r="Y4" s="25" t="n"/>
      <c r="Z4" s="26" t="n">
        <v>122</v>
      </c>
      <c r="AA4" s="28" t="n">
        <v>0.45</v>
      </c>
      <c r="AB4" s="28" t="n">
        <v>-0.00045</v>
      </c>
      <c r="AC4" s="30" t="n">
        <v>1.83</v>
      </c>
      <c r="AD4" s="24" t="inlineStr">
        <is>
          <t>2026-10-06T22:02:46.998047Z</t>
        </is>
      </c>
      <c r="AE4" s="31" t="inlineStr">
        <is>
          <t>Neutral Elo baseline; executable ask 0.4500 (market_slug=aec-dota2-tsea-yes-2026-10-06).</t>
        </is>
      </c>
      <c r="AF4" s="31" t="inlineStr">
        <is>
          <t>Config-promoted esports baseline; gates enforced at log time.</t>
        </is>
      </c>
      <c r="AG4" s="24" t="inlineStr">
        <is>
          <t>not_applicable</t>
        </is>
      </c>
      <c r="AH4" s="24" t="n"/>
      <c r="AI4" s="31" t="n"/>
      <c r="AJ4" s="31" t="n"/>
      <c r="AK4" s="24" t="inlineStr">
        <is>
          <t>model_qualified</t>
        </is>
      </c>
      <c r="AL4" s="26" t="n">
        <v>4</v>
      </c>
      <c r="AM4" s="24" t="inlineStr">
        <is>
          <t>QUALIFIED_SHADOW_CALL</t>
        </is>
      </c>
      <c r="AN4" s="24" t="inlineStr">
        <is>
          <t>CALL</t>
        </is>
      </c>
      <c r="AO4" s="24" t="inlineStr">
        <is>
          <t>QUALIFIED</t>
        </is>
      </c>
      <c r="AP4" s="24" t="inlineStr">
        <is>
          <t>Yellow Submarine</t>
        </is>
      </c>
      <c r="AQ4" s="24" t="inlineStr">
        <is>
          <t>Yellow Submarine</t>
        </is>
      </c>
      <c r="AR4" s="24" t="inlineStr">
        <is>
          <t>Yellow Submarine</t>
        </is>
      </c>
      <c r="AS4" s="24" t="inlineStr">
        <is>
          <t>Team Synapse</t>
        </is>
      </c>
      <c r="AT4" s="24" t="inlineStr">
        <is>
          <t>Team Synapse</t>
        </is>
      </c>
      <c r="AU4" s="24" t="inlineStr">
        <is>
          <t>Team Synapse</t>
        </is>
      </c>
      <c r="AV4" s="24" t="n"/>
      <c r="AW4" s="24" t="n"/>
      <c r="AX4" s="24" t="inlineStr">
        <is>
          <t>statistical_model</t>
        </is>
      </c>
      <c r="AY4" s="24" t="n"/>
      <c r="AZ4" s="24" t="inlineStr">
        <is>
          <t>shadow_qualified</t>
        </is>
      </c>
      <c r="BA4" s="24" t="inlineStr">
        <is>
          <t>6759e71c6db4f5d9b0ec78bb2474758963eb5552e8a6657a0edf8ae49f26fe3d</t>
        </is>
      </c>
      <c r="BB4" s="24" t="inlineStr">
        <is>
          <t>neutral_elo</t>
        </is>
      </c>
      <c r="BC4" s="24" t="inlineStr">
        <is>
          <t>dota2-tiered-elo-v6</t>
        </is>
      </c>
      <c r="BD4" s="24" t="inlineStr">
        <is>
          <t>6759e71c6db4f5d9b0ec78bb2474758963eb5552e8a6657a0edf8ae49f26fe3d</t>
        </is>
      </c>
      <c r="BE4" s="24" t="inlineStr">
        <is>
          <t>1</t>
        </is>
      </c>
      <c r="BF4" s="24" t="inlineStr">
        <is>
          <t>1</t>
        </is>
      </c>
      <c r="BG4" s="24" t="inlineStr">
        <is>
          <t>dota2-tiered-elo-v6</t>
        </is>
      </c>
      <c r="BH4" s="24" t="inlineStr">
        <is>
          <t>2026-10-06T10:51:03.361802Z</t>
        </is>
      </c>
      <c r="BI4" s="24" t="inlineStr">
        <is>
          <t>["same_event","same_team_same_day","same_league_same_day"]</t>
        </is>
      </c>
      <c r="BJ4" s="25" t="n"/>
      <c r="BK4" s="26" t="n">
        <v>122</v>
      </c>
      <c r="BL4" s="27" t="n">
        <v>2.22</v>
      </c>
      <c r="BM4" s="28" t="n">
        <v>0.45045</v>
      </c>
      <c r="BN4" s="28" t="n"/>
      <c r="BO4" s="28" t="n"/>
      <c r="BP4" s="25" t="n"/>
      <c r="BQ4" s="27" t="n">
        <v>2.22</v>
      </c>
      <c r="BR4" s="28" t="n">
        <v>0.45</v>
      </c>
      <c r="BS4" s="28" t="n"/>
      <c r="BT4" s="28" t="n"/>
      <c r="BU4" s="25" t="n"/>
      <c r="BV4" s="29" t="n"/>
      <c r="BW4" s="24" t="n"/>
      <c r="BX4" s="30" t="n"/>
      <c r="BY4" s="27" t="n"/>
      <c r="BZ4" s="24" t="n"/>
      <c r="CA4" s="31" t="n"/>
      <c r="CB4" s="24" t="n"/>
      <c r="CC4" s="24" t="n"/>
      <c r="CD4" s="24" t="n"/>
      <c r="CE4" s="24" t="n"/>
      <c r="CF4" s="24" t="n"/>
      <c r="CG4" s="24" t="n"/>
      <c r="CH4" s="24" t="n"/>
      <c r="CI4" s="24" t="n"/>
      <c r="CJ4" s="24" t="n"/>
      <c r="CK4" s="24" t="n"/>
      <c r="CL4" s="24" t="n"/>
      <c r="CM4" s="24" t="n"/>
      <c r="CN4" s="24" t="n"/>
      <c r="CO4" s="24" t="n"/>
      <c r="CP4" s="24" t="n"/>
      <c r="CQ4" s="24" t="n"/>
      <c r="CR4" s="24" t="n"/>
      <c r="CS4" s="24" t="inlineStr">
        <is>
          <t>True</t>
        </is>
      </c>
      <c r="CT4" s="24" t="n"/>
      <c r="CU4" s="24" t="n"/>
      <c r="CV4" s="24" t="n"/>
      <c r="CW4" s="24" t="n"/>
      <c r="CX4" s="24" t="n"/>
      <c r="CY4" s="24" t="n"/>
      <c r="CZ4" s="24" t="n"/>
      <c r="DA4" s="24" t="n"/>
      <c r="DB4" s="24" t="n"/>
      <c r="DC4" s="24" t="n"/>
      <c r="DD4" s="24" t="n"/>
      <c r="DE4" s="24" t="n"/>
      <c r="DF4" s="24" t="n"/>
      <c r="DG4" s="24" t="n"/>
      <c r="DH4" s="24" t="n"/>
      <c r="DI4" s="24" t="n"/>
      <c r="DJ4" s="24" t="inlineStr">
        <is>
          <t>0.45045</t>
        </is>
      </c>
      <c r="DK4" s="24" t="n"/>
      <c r="DL4" s="24" t="n"/>
      <c r="DM4" s="24" t="n"/>
      <c r="DN4" s="24" t="n"/>
      <c r="DO4" s="24" t="n"/>
      <c r="DP4" s="24" t="n"/>
      <c r="DQ4" s="24" t="inlineStr">
        <is>
          <t>{"artifact_hash": "6759e71c6db4f5d9b0ec78bb2474758963eb5552e8a6657a0edf8ae49f26fe3d", "away_team": "Yellow Submarine", "event_id": "143565", "event_start_utc": "2026-10-06T14:00:00Z", "features": {"away_elo": 1786.028424, "away_history_count": 285, "home_elo": 1855.458017, "home_history_count": 23}, "historical_source_observation_times_verified": false, "home_team": "Team Synapse", "inference_inputs": {"book_state": {"games_played": {"bo3:4:16486": 285, "bo3:4:25201": 23}, "inactivity_half_life_days": null, "inactivity_max_pull": null, "k": 48.0, "last_match_utc": {"bo3:4:16486": "2026-10-05T11:10:00Z", "bo3:4:25201": "2026-10-05T08:00:00Z"}, "minimum_reliable_games": null, "platt_intercept": 0.0806649303548175, "platt_slope": 0.8439015098774778, "ratings": {"bo3:4:16486": 1786.028424, "bo3:4:25201": 1855.458017},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"2026-10-06T10:50:53.111088+00:00", "team_ids": ["bo3:4:25201", "bo3:4:16486"]}, "market_type": "moneyline", "model_version": "dota2-tiered-elo-v6", "observed_at_utc": "2026-10-06T10:50:53.111088+00:00", "probabilities": {"away": 0.413419, "home": 0.586581}, "replay_scope": "Exact serving book state, calibration, temperature, inactivity reference and thin-history adjustments; training provenance not certified.", "schema": "esports-elo-replay-v1", "snapshot_hash": "2d95927cb9101c0d665d6d64969b5ac62cd066f6a48af941c35e0f56d54aa876", "sport": "DOTA2"}</t>
        </is>
      </c>
    </row>
    <row r="5" ht="36" customHeight="1">
      <c r="A5" s="24" t="inlineStr">
        <is>
          <t>dfcb0d3ca334487c</t>
        </is>
      </c>
      <c r="B5" s="24" t="inlineStr">
        <is>
          <t>2026-10-06T16:34:32.687894Z</t>
        </is>
      </c>
      <c r="C5" s="24" t="inlineStr">
        <is>
          <t>2026-10-06T17:00:00Z</t>
        </is>
      </c>
      <c r="D5" s="24" t="inlineStr">
        <is>
          <t>144500</t>
        </is>
      </c>
      <c r="E5" s="24" t="inlineStr">
        <is>
          <t>DOTA2</t>
        </is>
      </c>
      <c r="F5" s="24" t="inlineStr">
        <is>
          <t>MOUZ</t>
        </is>
      </c>
      <c r="G5" s="24" t="inlineStr">
        <is>
          <t>LEGION</t>
        </is>
      </c>
      <c r="H5" s="24" t="inlineStr">
        <is>
          <t>moneyline</t>
        </is>
      </c>
      <c r="I5" s="24" t="inlineStr">
        <is>
          <t>away</t>
        </is>
      </c>
      <c r="J5" s="25" t="n"/>
      <c r="K5" s="24" t="inlineStr">
        <is>
          <t>polymarket_us</t>
        </is>
      </c>
      <c r="L5" s="26" t="n">
        <v>-117</v>
      </c>
      <c r="M5" s="27" t="n">
        <v>1.854701</v>
      </c>
      <c r="N5" s="28" t="n">
        <v>0.539171</v>
      </c>
      <c r="O5" s="28" t="n">
        <v>0.552316</v>
      </c>
      <c r="P5" s="28" t="n"/>
      <c r="Q5" s="28" t="n">
        <v>0.013145</v>
      </c>
      <c r="R5" s="26" t="n">
        <v>27</v>
      </c>
      <c r="S5" s="29" t="n">
        <v>1</v>
      </c>
      <c r="T5" s="24" t="inlineStr">
        <is>
          <t>dota2-tiered-elo-v6</t>
        </is>
      </c>
      <c r="U5" s="24" t="inlineStr">
        <is>
          <t>settled</t>
        </is>
      </c>
      <c r="V5" s="24" t="inlineStr">
        <is>
          <t>loss</t>
        </is>
      </c>
      <c r="W5" s="26" t="n">
        <v>0</v>
      </c>
      <c r="X5" s="26" t="n">
        <v>1</v>
      </c>
      <c r="Y5" s="25" t="n"/>
      <c r="Z5" s="26" t="n">
        <v>-117</v>
      </c>
      <c r="AA5" s="28" t="n">
        <v>0.54</v>
      </c>
      <c r="AB5" s="28" t="n">
        <v>0.000829</v>
      </c>
      <c r="AC5" s="30" t="n">
        <v>-1</v>
      </c>
      <c r="AD5" s="24" t="inlineStr">
        <is>
          <t>2026-10-06T22:02:49.440470Z</t>
        </is>
      </c>
      <c r="AE5" s="31" t="inlineStr">
        <is>
          <t>Neutral Elo baseline; executable ask 0.5400 (market_slug=aec-dota2-leg-mouz-2026-10-06).</t>
        </is>
      </c>
      <c r="AF5" s="31" t="inlineStr">
        <is>
          <t>Config-promoted esports baseline; gates enforced at log time.</t>
        </is>
      </c>
      <c r="AG5" s="24" t="inlineStr">
        <is>
          <t>review_required</t>
        </is>
      </c>
      <c r="AH5" s="24" t="n"/>
      <c r="AI5" s="31" t="n"/>
      <c r="AJ5" s="31" t="n"/>
      <c r="AK5" s="24" t="inlineStr">
        <is>
          <t>paper_call</t>
        </is>
      </c>
      <c r="AL5" s="26" t="n">
        <v>4</v>
      </c>
      <c r="AM5" s="24" t="inlineStr">
        <is>
          <t>RESEARCH_OBSERVATION</t>
        </is>
      </c>
      <c r="AN5" s="24" t="inlineStr">
        <is>
          <t>CALL</t>
        </is>
      </c>
      <c r="AO5" s="24" t="inlineStr">
        <is>
          <t>PAPER_CALL_LOW_EDGE</t>
        </is>
      </c>
      <c r="AP5" s="24" t="inlineStr">
        <is>
          <t>MOUZ</t>
        </is>
      </c>
      <c r="AQ5" s="24" t="inlineStr">
        <is>
          <t>MOUZ</t>
        </is>
      </c>
      <c r="AR5" s="24" t="inlineStr">
        <is>
          <t>MOUZ</t>
        </is>
      </c>
      <c r="AS5" s="24" t="inlineStr">
        <is>
          <t>LEGION</t>
        </is>
      </c>
      <c r="AT5" s="24" t="inlineStr">
        <is>
          <t>LEGION</t>
        </is>
      </c>
      <c r="AU5" s="24" t="inlineStr">
        <is>
          <t>LEGION</t>
        </is>
      </c>
      <c r="AV5" s="24" t="n"/>
      <c r="AW5" s="24" t="n"/>
      <c r="AX5" s="24" t="inlineStr">
        <is>
          <t>statistical_model</t>
        </is>
      </c>
      <c r="AY5" s="24" t="n"/>
      <c r="AZ5" s="24" t="inlineStr">
        <is>
          <t>shadow_qualified</t>
        </is>
      </c>
      <c r="BA5" s="24" t="inlineStr">
        <is>
          <t>4690b99c58f0ec38c0a7f8871260c2693630b47ca56007141cc547de632674ee</t>
        </is>
      </c>
      <c r="BB5" s="24" t="inlineStr">
        <is>
          <t>neutral_elo</t>
        </is>
      </c>
      <c r="BC5" s="24" t="inlineStr">
        <is>
          <t>dota2-tiered-elo-v6</t>
        </is>
      </c>
      <c r="BD5" s="24" t="inlineStr">
        <is>
          <t>4690b99c58f0ec38c0a7f8871260c2693630b47ca56007141cc547de632674ee</t>
        </is>
      </c>
      <c r="BE5" s="24" t="inlineStr">
        <is>
          <t>1</t>
        </is>
      </c>
      <c r="BF5" s="24" t="inlineStr">
        <is>
          <t>1</t>
        </is>
      </c>
      <c r="BG5" s="24" t="inlineStr">
        <is>
          <t>dota2-tiered-elo-v6</t>
        </is>
      </c>
      <c r="BH5" s="24" t="inlineStr">
        <is>
          <t>2026-10-06T16:34:12.398493Z</t>
        </is>
      </c>
      <c r="BI5" s="24" t="inlineStr">
        <is>
          <t>["same_event","same_team_same_day","same_league_same_day"]</t>
        </is>
      </c>
      <c r="BJ5" s="25" t="n"/>
      <c r="BK5" s="26" t="n">
        <v>-117</v>
      </c>
      <c r="BL5" s="27" t="n">
        <v>1.854701</v>
      </c>
      <c r="BM5" s="28" t="n">
        <v>0.539171</v>
      </c>
      <c r="BN5" s="28" t="n"/>
      <c r="BO5" s="28" t="n"/>
      <c r="BP5" s="25" t="n"/>
      <c r="BQ5" s="27" t="n">
        <v>1.854701</v>
      </c>
      <c r="BR5" s="28" t="n">
        <v>0.54</v>
      </c>
      <c r="BS5" s="28" t="n"/>
      <c r="BT5" s="28" t="n"/>
      <c r="BU5" s="25" t="n"/>
      <c r="BV5" s="29" t="n"/>
      <c r="BW5" s="24" t="n"/>
      <c r="BX5" s="30" t="n"/>
      <c r="BY5" s="27" t="n"/>
      <c r="BZ5" s="24" t="n"/>
      <c r="CA5" s="31" t="n"/>
      <c r="CB5" s="24" t="n"/>
      <c r="CC5" s="24" t="n"/>
      <c r="CD5" s="24" t="n"/>
      <c r="CE5" s="24" t="n"/>
      <c r="CF5" s="24" t="n"/>
      <c r="CG5" s="24" t="n"/>
      <c r="CH5" s="24" t="n"/>
      <c r="CI5" s="24" t="n"/>
      <c r="CJ5" s="24" t="n"/>
      <c r="CK5" s="24" t="n"/>
      <c r="CL5" s="24" t="n"/>
      <c r="CM5" s="24" t="n"/>
      <c r="CN5" s="24" t="n"/>
      <c r="CO5" s="24" t="n"/>
      <c r="CP5" s="24" t="n"/>
      <c r="CQ5" s="24" t="n"/>
      <c r="CR5" s="24" t="n"/>
      <c r="CS5" s="24" t="inlineStr">
        <is>
          <t>True</t>
        </is>
      </c>
      <c r="CT5" s="24" t="n"/>
      <c r="CU5" s="24" t="n"/>
      <c r="CV5" s="24" t="n"/>
      <c r="CW5" s="24" t="n"/>
      <c r="CX5" s="24" t="n"/>
      <c r="CY5" s="24" t="n"/>
      <c r="CZ5" s="24" t="n"/>
      <c r="DA5" s="24" t="n"/>
      <c r="DB5" s="24" t="n"/>
      <c r="DC5" s="24" t="n"/>
      <c r="DD5" s="24" t="n"/>
      <c r="DE5" s="24" t="n"/>
      <c r="DF5" s="24" t="n"/>
      <c r="DG5" s="24" t="n"/>
      <c r="DH5" s="24" t="n"/>
      <c r="DI5" s="24" t="n"/>
      <c r="DJ5" s="24" t="inlineStr">
        <is>
          <t>0.539171</t>
        </is>
      </c>
      <c r="DK5" s="24" t="n"/>
      <c r="DL5" s="24" t="n"/>
      <c r="DM5" s="24" t="n"/>
      <c r="DN5" s="24" t="n"/>
      <c r="DO5" s="24" t="n"/>
      <c r="DP5" s="24" t="n"/>
      <c r="DQ5" s="24" t="inlineStr">
        <is>
          <t>{"artifact_hash": "4690b99c58f0ec38c0a7f8871260c2693630b47ca56007141cc547de632674ee", "away_team": "MOUZ", "event_id": "144500", "event_start_utc": "2026-10-06T17:00:00Z", "features": {"away_elo": 1644.197963, "away_history_count": 363, "home_elo": 1532.76, "home_history_count": 1}, "historical_source_observation_times_verified": false, "home_team": "LEGION", "inference_inputs": {"book_state": {"games_played": {"bo3:4:15032": 363, "bo3:4:25401": 1}, "inactivity_half_life_days": null, "inactivity_max_pull": null, "k": 48.0, "last_match_utc": {"bo3:4:15032": "2026-10-05T18:00:00Z", "bo3:4:25401": "2026-10-05T14:00:00Z"}, "minimum_reliable_games": null, "platt_intercept": 0.08111949537955908, "platt_slope": 0.8418535477548365, "ratings": {"bo3:4:15032": 1644.197963, "bo3:4:25401": 1532.76},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"2026-10-06T16:34:12.325280+00:00", "team_ids": ["bo3:4:25401", "bo3:4:15032"]}, "market_type": "moneyline", "model_version": "dota2-tiered-elo-v6", "observed_at_utc": "2026-10-06T16:34:12.325280+00:00", "probabilities": {"away": 0.552316, "home": 0.447684}, "replay_scope": "Exact serving book state, calibration, temperature, inactivity reference and thin-history adjustments; training provenance not certified.", "schema": "esports-elo-replay-v1", "snapshot_hash": "d7ab51a4f880e3c1e54ff9e61bc180831b900208cf5f6dcb73682f2580b1dd3d", "sport": "DOTA2"}</t>
        </is>
      </c>
    </row>
    <row r="6" ht="36" customHeight="1">
      <c r="A6" s="24" t="inlineStr">
        <is>
          <t>dc9dc5e2c86f41bb</t>
        </is>
      </c>
      <c r="B6" s="24" t="inlineStr">
        <is>
          <t>2026-10-06T22:25:56.390271Z</t>
        </is>
      </c>
      <c r="C6" s="24" t="inlineStr">
        <is>
          <t>2026-10-07T03:00:00Z</t>
        </is>
      </c>
      <c r="D6" s="24" t="inlineStr">
        <is>
          <t>145226</t>
        </is>
      </c>
      <c r="E6" s="24" t="inlineStr">
        <is>
          <t>DOTA2</t>
        </is>
      </c>
      <c r="F6" s="24" t="inlineStr">
        <is>
          <t>ЯЧЁ123</t>
        </is>
      </c>
      <c r="G6" s="24" t="inlineStr">
        <is>
          <t>Direborn</t>
        </is>
      </c>
      <c r="H6" s="24" t="inlineStr">
        <is>
          <t>moneyline</t>
        </is>
      </c>
      <c r="I6" s="24" t="inlineStr">
        <is>
          <t>home</t>
        </is>
      </c>
      <c r="J6" s="25" t="n"/>
      <c r="K6" s="24" t="inlineStr">
        <is>
          <t>polymarket_us</t>
        </is>
      </c>
      <c r="L6" s="26" t="n">
        <v>-233</v>
      </c>
      <c r="M6" s="27" t="n">
        <v>1.429185</v>
      </c>
      <c r="N6" s="28" t="n">
        <v>0.6997</v>
      </c>
      <c r="O6" s="28" t="n">
        <v>0.550796</v>
      </c>
      <c r="P6" s="28" t="n"/>
      <c r="Q6" s="28" t="n">
        <v>-0.148904</v>
      </c>
      <c r="R6" s="26" t="n">
        <v>0</v>
      </c>
      <c r="S6" s="29" t="n">
        <v>1</v>
      </c>
      <c r="T6" s="24" t="inlineStr">
        <is>
          <t>dota2-tiered-elo-v6</t>
        </is>
      </c>
      <c r="U6" s="24" t="inlineStr">
        <is>
          <t>settled</t>
        </is>
      </c>
      <c r="V6" s="24" t="inlineStr">
        <is>
          <t>win</t>
        </is>
      </c>
      <c r="W6" s="26" t="n">
        <v>0</v>
      </c>
      <c r="X6" s="26" t="n">
        <v>1</v>
      </c>
      <c r="Y6" s="25" t="n"/>
      <c r="Z6" s="26" t="n">
        <v>-233</v>
      </c>
      <c r="AA6" s="28" t="n">
        <v>0.7</v>
      </c>
      <c r="AB6" s="28" t="n">
        <v>0.0003</v>
      </c>
      <c r="AC6" s="30" t="n">
        <v>0.4292</v>
      </c>
      <c r="AD6" s="24" t="inlineStr">
        <is>
          <t>2026-10-07T10:04:37.824505Z</t>
        </is>
      </c>
      <c r="AE6" s="31" t="inlineStr">
        <is>
          <t>Neutral Elo baseline; executable ask 0.7000 (market_slug=aec-dota2-db-y123-2026-10-07).</t>
        </is>
      </c>
      <c r="AF6" s="31" t="inlineStr">
        <is>
          <t>Config-promoted esports baseline; gates enforced at log time.</t>
        </is>
      </c>
      <c r="AG6" s="24" t="inlineStr">
        <is>
          <t>not_applicable</t>
        </is>
      </c>
      <c r="AH6" s="24" t="n"/>
      <c r="AI6" s="31" t="n"/>
      <c r="AJ6" s="31" t="n"/>
      <c r="AK6" s="24" t="inlineStr">
        <is>
          <t>paper_call</t>
        </is>
      </c>
      <c r="AL6" s="26" t="n">
        <v>4</v>
      </c>
      <c r="AM6" s="24" t="inlineStr">
        <is>
          <t>RESEARCH_OBSERVATION</t>
        </is>
      </c>
      <c r="AN6" s="24" t="inlineStr">
        <is>
          <t>CALL</t>
        </is>
      </c>
      <c r="AO6" s="24" t="inlineStr">
        <is>
          <t>PAPER_CALL_MODEL_UNVALIDATED</t>
        </is>
      </c>
      <c r="AP6" s="24" t="inlineStr">
        <is>
          <t>ЯЧЁ123</t>
        </is>
      </c>
      <c r="AQ6" s="24" t="inlineStr">
        <is>
          <t>ЯЧЁ123</t>
        </is>
      </c>
      <c r="AR6" s="24" t="inlineStr">
        <is>
          <t>ЯЧЁ123</t>
        </is>
      </c>
      <c r="AS6" s="24" t="inlineStr">
        <is>
          <t>Direborn</t>
        </is>
      </c>
      <c r="AT6" s="24" t="inlineStr">
        <is>
          <t>Direborn</t>
        </is>
      </c>
      <c r="AU6" s="24" t="inlineStr">
        <is>
          <t>Direborn</t>
        </is>
      </c>
      <c r="AV6" s="24" t="n"/>
      <c r="AW6" s="24" t="n"/>
      <c r="AX6" s="24" t="inlineStr">
        <is>
          <t>statistical_model</t>
        </is>
      </c>
      <c r="AY6" s="24" t="n"/>
      <c r="AZ6" s="24" t="inlineStr">
        <is>
          <t>shadow_qualified</t>
        </is>
      </c>
      <c r="BA6" s="24" t="inlineStr">
        <is>
          <t>c6996bf486b3088429204679c4a6b5d24c63cbcf4cadb3e51613f46a7fcb8642</t>
        </is>
      </c>
      <c r="BB6" s="24" t="inlineStr">
        <is>
          <t>neutral_elo</t>
        </is>
      </c>
      <c r="BC6" s="24" t="inlineStr">
        <is>
          <t>dota2-tiered-elo-v6</t>
        </is>
      </c>
      <c r="BD6" s="24" t="inlineStr">
        <is>
          <t>c6996bf486b3088429204679c4a6b5d24c63cbcf4cadb3e51613f46a7fcb8642</t>
        </is>
      </c>
      <c r="BE6" s="24" t="inlineStr">
        <is>
          <t>1</t>
        </is>
      </c>
      <c r="BF6" s="24" t="inlineStr">
        <is>
          <t>1</t>
        </is>
      </c>
      <c r="BG6" s="24" t="inlineStr">
        <is>
          <t>dota2-tiered-elo-v6</t>
        </is>
      </c>
      <c r="BH6" s="24" t="inlineStr">
        <is>
          <t>2026-10-06T22:25:25.556351Z</t>
        </is>
      </c>
      <c r="BI6" s="24" t="inlineStr">
        <is>
          <t>["same_event","same_team_same_day","same_league_same_day"]</t>
        </is>
      </c>
      <c r="BJ6" s="25" t="n"/>
      <c r="BK6" s="26" t="n">
        <v>-233</v>
      </c>
      <c r="BL6" s="27" t="n">
        <v>1.429185</v>
      </c>
      <c r="BM6" s="28" t="n">
        <v>0.6997</v>
      </c>
      <c r="BN6" s="28" t="n"/>
      <c r="BO6" s="28" t="n"/>
      <c r="BP6" s="25" t="n"/>
      <c r="BQ6" s="27" t="n">
        <v>1.429185</v>
      </c>
      <c r="BR6" s="28" t="n">
        <v>0.7</v>
      </c>
      <c r="BS6" s="28" t="n"/>
      <c r="BT6" s="28" t="n"/>
      <c r="BU6" s="25" t="n"/>
      <c r="BV6" s="29" t="n"/>
      <c r="BW6" s="24" t="n"/>
      <c r="BX6" s="30" t="n"/>
      <c r="BY6" s="27" t="n"/>
      <c r="BZ6" s="24" t="n"/>
      <c r="CA6" s="31" t="n"/>
      <c r="CB6" s="24" t="n"/>
      <c r="CC6" s="24" t="n"/>
      <c r="CD6" s="24" t="n"/>
      <c r="CE6" s="24" t="n"/>
      <c r="CF6" s="24" t="n"/>
      <c r="CG6" s="24" t="n"/>
      <c r="CH6" s="24" t="n"/>
      <c r="CI6" s="24" t="n"/>
      <c r="CJ6" s="24" t="n"/>
      <c r="CK6" s="24" t="n"/>
      <c r="CL6" s="24" t="n"/>
      <c r="CM6" s="24" t="n"/>
      <c r="CN6" s="24" t="n"/>
      <c r="CO6" s="24" t="n"/>
      <c r="CP6" s="24" t="n"/>
      <c r="CQ6" s="24" t="n"/>
      <c r="CR6" s="24" t="n"/>
      <c r="CS6" s="24" t="inlineStr">
        <is>
          <t>False</t>
        </is>
      </c>
      <c r="CT6" s="24" t="n"/>
      <c r="CU6" s="24" t="n"/>
      <c r="CV6" s="24" t="n"/>
      <c r="CW6" s="24" t="n"/>
      <c r="CX6" s="24" t="n"/>
      <c r="CY6" s="24" t="n"/>
      <c r="CZ6" s="24" t="n"/>
      <c r="DA6" s="24" t="n"/>
      <c r="DB6" s="24" t="n"/>
      <c r="DC6" s="24" t="n"/>
      <c r="DD6" s="24" t="n"/>
      <c r="DE6" s="24" t="n"/>
      <c r="DF6" s="24" t="n"/>
      <c r="DG6" s="24" t="n"/>
      <c r="DH6" s="24" t="n"/>
      <c r="DI6" s="24" t="n"/>
      <c r="DJ6" s="24" t="inlineStr">
        <is>
          <t>0.6997</t>
        </is>
      </c>
      <c r="DK6" s="24" t="n"/>
      <c r="DL6" s="24" t="n"/>
      <c r="DM6" s="24" t="n"/>
      <c r="DN6" s="24" t="n"/>
      <c r="DO6" s="24" t="n"/>
      <c r="DP6" s="24" t="n"/>
      <c r="DQ6" s="24" t="inlineStr">
        <is>
          <t>{"artifact_hash": "c6996bf486b3088429204679c4a6b5d24c63cbcf4cadb3e51613f46a7fcb8642", "away_team": "\u042f\u0427\u0401123", "event_id": "145226", "event_start_utc": "2026-10-07T03:00:00Z", "features": {"away_elo": 1500.0, "away_history_count": 0, "home_elo": 1584.551416, "home_history_count": 37}, "historical_source_observation_times_verified": false, "home_team": "Direborn", "inference_inputs": {"book_state": {"games_played": {"bo3:4:24344": 37}, "inactivity_half_life_days": null, "inactivity_max_pull": null, "k": 48.0, "last_match_utc": {"bo3:4:24344": "2026-10-06T06:30:00Z"}, "minimum_reliable_games": null, "platt_intercept": 0.07646024717646603, "platt_slope": 0.8471774676108041, "ratings": {"bo3:4:24344": 1584.551416},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"2026-10-06T22:25:25.483347+00:00", "team_ids": ["bo3:4:24344", "unknown:\u044f\u0447\u0435123"]}, "market_type": "moneyline", "model_version": "dota2-tiered-elo-v6", "observed_at_utc": "2026-10-06T22:25:25.483347+00:00", "probabilities": {"away": 0.449204, "home": 0.550796}, "replay_scope": "Exact serving book state, calibration, temperature, inactivity reference and thin-history adjustments; training provenance not certified.", "schema": "esports-elo-replay-v1", "snapshot_hash": "dc330291efd584143729f621ac5b58f7d873a090a9b0f169c927e0ebb9493b25", "sport": "DOTA2"}</t>
        </is>
      </c>
    </row>
    <row r="7" ht="36" customHeight="1">
      <c r="A7" s="24" t="inlineStr">
        <is>
          <t>6bd11fd8697444fe</t>
        </is>
      </c>
      <c r="B7" s="24" t="inlineStr">
        <is>
          <t>2026-10-07T05:29:10.726256Z</t>
        </is>
      </c>
      <c r="C7" s="24" t="inlineStr">
        <is>
          <t>2026-10-07T09:00:00Z</t>
        </is>
      </c>
      <c r="D7" s="24" t="inlineStr">
        <is>
          <t>145796</t>
        </is>
      </c>
      <c r="E7" s="24" t="inlineStr">
        <is>
          <t>DOTA2</t>
        </is>
      </c>
      <c r="F7" s="24" t="inlineStr">
        <is>
          <t>Yellow Submarine</t>
        </is>
      </c>
      <c r="G7" s="24" t="inlineStr">
        <is>
          <t>Blasterbl</t>
        </is>
      </c>
      <c r="H7" s="24" t="inlineStr">
        <is>
          <t>moneyline</t>
        </is>
      </c>
      <c r="I7" s="24" t="inlineStr">
        <is>
          <t>away</t>
        </is>
      </c>
      <c r="J7" s="25" t="n"/>
      <c r="K7" s="24" t="inlineStr">
        <is>
          <t>polymarket_us</t>
        </is>
      </c>
      <c r="L7" s="26" t="n">
        <v>-144</v>
      </c>
      <c r="M7" s="27" t="n">
        <v>1.694444</v>
      </c>
      <c r="N7" s="28" t="n">
        <v>0.590164</v>
      </c>
      <c r="O7" s="28" t="n">
        <v>0.639911</v>
      </c>
      <c r="P7" s="28" t="n"/>
      <c r="Q7" s="28" t="n">
        <v>0.049747</v>
      </c>
      <c r="R7" s="26" t="n">
        <v>45</v>
      </c>
      <c r="S7" s="29" t="n">
        <v>1</v>
      </c>
      <c r="T7" s="24" t="inlineStr">
        <is>
          <t>dota2-tiered-elo-v6</t>
        </is>
      </c>
      <c r="U7" s="24" t="inlineStr">
        <is>
          <t>settled</t>
        </is>
      </c>
      <c r="V7" s="24" t="inlineStr">
        <is>
          <t>loss</t>
        </is>
      </c>
      <c r="W7" s="26" t="n">
        <v>0</v>
      </c>
      <c r="X7" s="26" t="n">
        <v>1</v>
      </c>
      <c r="Y7" s="25" t="n"/>
      <c r="Z7" s="26" t="n">
        <v>-144</v>
      </c>
      <c r="AA7" s="28" t="n">
        <v>0.59</v>
      </c>
      <c r="AB7" s="28" t="n">
        <v>-0.000164</v>
      </c>
      <c r="AC7" s="30" t="n">
        <v>-1</v>
      </c>
      <c r="AD7" s="24" t="inlineStr">
        <is>
          <t>2026-10-07T16:04:42.463623Z</t>
        </is>
      </c>
      <c r="AE7" s="31" t="inlineStr">
        <is>
          <t>Neutral Elo baseline; executable ask 0.5900 (market_slug=aec-dota2-bbl-yes-2026-10-07).</t>
        </is>
      </c>
      <c r="AF7" s="31" t="inlineStr">
        <is>
          <t>Config-promoted esports baseline; gates enforced at log time.</t>
        </is>
      </c>
      <c r="AG7" s="24" t="inlineStr">
        <is>
          <t>review_required</t>
        </is>
      </c>
      <c r="AH7" s="24" t="n"/>
      <c r="AI7" s="31" t="n"/>
      <c r="AJ7" s="31" t="n"/>
      <c r="AK7" s="24" t="inlineStr">
        <is>
          <t>model_qualified</t>
        </is>
      </c>
      <c r="AL7" s="26" t="n">
        <v>4</v>
      </c>
      <c r="AM7" s="24" t="inlineStr">
        <is>
          <t>QUALIFIED_SHADOW_CALL</t>
        </is>
      </c>
      <c r="AN7" s="24" t="inlineStr">
        <is>
          <t>CALL</t>
        </is>
      </c>
      <c r="AO7" s="24" t="inlineStr">
        <is>
          <t>QUALIFIED</t>
        </is>
      </c>
      <c r="AP7" s="24" t="inlineStr">
        <is>
          <t>Yellow Submarine</t>
        </is>
      </c>
      <c r="AQ7" s="24" t="inlineStr">
        <is>
          <t>Yellow Submarine</t>
        </is>
      </c>
      <c r="AR7" s="24" t="inlineStr">
        <is>
          <t>Yellow Submarine</t>
        </is>
      </c>
      <c r="AS7" s="24" t="inlineStr">
        <is>
          <t>Blasterbl</t>
        </is>
      </c>
      <c r="AT7" s="24" t="inlineStr">
        <is>
          <t>Blasterbl</t>
        </is>
      </c>
      <c r="AU7" s="24" t="inlineStr">
        <is>
          <t>Blasterbl</t>
        </is>
      </c>
      <c r="AV7" s="24" t="n"/>
      <c r="AW7" s="24" t="n"/>
      <c r="AX7" s="24" t="inlineStr">
        <is>
          <t>statistical_model</t>
        </is>
      </c>
      <c r="AY7" s="24" t="n"/>
      <c r="AZ7" s="24" t="inlineStr">
        <is>
          <t>shadow_qualified</t>
        </is>
      </c>
      <c r="BA7" s="24" t="inlineStr">
        <is>
          <t>00ed5147d0e0a43bf2db627ef55a5a1201c6979969e61e75b6a4a259a94f99a0</t>
        </is>
      </c>
      <c r="BB7" s="24" t="inlineStr">
        <is>
          <t>neutral_elo</t>
        </is>
      </c>
      <c r="BC7" s="24" t="inlineStr">
        <is>
          <t>dota2-tiered-elo-v6</t>
        </is>
      </c>
      <c r="BD7" s="24" t="inlineStr">
        <is>
          <t>00ed5147d0e0a43bf2db627ef55a5a1201c6979969e61e75b6a4a259a94f99a0</t>
        </is>
      </c>
      <c r="BE7" s="24" t="inlineStr">
        <is>
          <t>1</t>
        </is>
      </c>
      <c r="BF7" s="24" t="inlineStr">
        <is>
          <t>1</t>
        </is>
      </c>
      <c r="BG7" s="24" t="inlineStr">
        <is>
          <t>dota2-tiered-elo-v6</t>
        </is>
      </c>
      <c r="BH7" s="24" t="inlineStr">
        <is>
          <t>2026-10-07T05:28:49.757708Z</t>
        </is>
      </c>
      <c r="BI7" s="24" t="inlineStr">
        <is>
          <t>["same_event","same_team_same_day","same_league_same_day"]</t>
        </is>
      </c>
      <c r="BJ7" s="25" t="n"/>
      <c r="BK7" s="26" t="n">
        <v>-144</v>
      </c>
      <c r="BL7" s="27" t="n">
        <v>1.694444</v>
      </c>
      <c r="BM7" s="28" t="n">
        <v>0.590164</v>
      </c>
      <c r="BN7" s="28" t="n"/>
      <c r="BO7" s="28" t="n"/>
      <c r="BP7" s="25" t="n"/>
      <c r="BQ7" s="27" t="n">
        <v>1.694444</v>
      </c>
      <c r="BR7" s="28" t="n">
        <v>0.59</v>
      </c>
      <c r="BS7" s="28" t="n"/>
      <c r="BT7" s="28" t="n"/>
      <c r="BU7" s="25" t="n"/>
      <c r="BV7" s="29" t="n"/>
      <c r="BW7" s="24" t="n"/>
      <c r="BX7" s="30" t="n"/>
      <c r="BY7" s="27" t="n"/>
      <c r="BZ7" s="24" t="n"/>
      <c r="CA7" s="31" t="n"/>
      <c r="CB7" s="24" t="n"/>
      <c r="CC7" s="24" t="n"/>
      <c r="CD7" s="24" t="n"/>
      <c r="CE7" s="24" t="n"/>
      <c r="CF7" s="24" t="n"/>
      <c r="CG7" s="24" t="n"/>
      <c r="CH7" s="24" t="n"/>
      <c r="CI7" s="24" t="n"/>
      <c r="CJ7" s="24" t="n"/>
      <c r="CK7" s="24" t="n"/>
      <c r="CL7" s="24" t="n"/>
      <c r="CM7" s="24" t="n"/>
      <c r="CN7" s="24" t="n"/>
      <c r="CO7" s="24" t="n"/>
      <c r="CP7" s="24" t="n"/>
      <c r="CQ7" s="24" t="n"/>
      <c r="CR7" s="24" t="n"/>
      <c r="CS7" s="24" t="inlineStr">
        <is>
          <t>True</t>
        </is>
      </c>
      <c r="CT7" s="24" t="n"/>
      <c r="CU7" s="24" t="n"/>
      <c r="CV7" s="24" t="n"/>
      <c r="CW7" s="24" t="n"/>
      <c r="CX7" s="24" t="n"/>
      <c r="CY7" s="24" t="n"/>
      <c r="CZ7" s="24" t="n"/>
      <c r="DA7" s="24" t="n"/>
      <c r="DB7" s="24" t="n"/>
      <c r="DC7" s="24" t="n"/>
      <c r="DD7" s="24" t="n"/>
      <c r="DE7" s="24" t="n"/>
      <c r="DF7" s="24" t="n"/>
      <c r="DG7" s="24" t="n"/>
      <c r="DH7" s="24" t="n"/>
      <c r="DI7" s="24" t="n"/>
      <c r="DJ7" s="24" t="inlineStr">
        <is>
          <t>0.590164</t>
        </is>
      </c>
      <c r="DK7" s="24" t="n"/>
      <c r="DL7" s="24" t="n"/>
      <c r="DM7" s="24" t="n"/>
      <c r="DN7" s="24" t="n"/>
      <c r="DO7" s="24" t="n"/>
      <c r="DP7" s="24" t="n"/>
      <c r="DQ7" s="24" t="inlineStr">
        <is>
          <t>{"artifact_hash": "00ed5147d0e0a43bf2db627ef55a5a1201c6979969e61e75b6a4a259a94f99a0", "away_team": "Yellow Submarine", "event_id": "145796", "event_start_utc": "2026-10-07T09:00:00Z", "features": {"away_elo": 1759.660919, "away_history_count": 286, "home_elo": 1497.898695, "home_history_count": 2}, "historical_source_observation_times_verified": false, "home_team": "Blasterbl", "inference_inputs": {"book_state": {"games_played": {"bo3:4:16486": 286, "bo3:4:23832": 2}, "inactivity_half_life_days": null, "inactivity_max_pull": null, "k": 48.0, "last_match_utc": {"bo3:4:16486": "2026-10-06T14:35:00Z", "bo3:4:23832": "2026-10-06T12:20:00Z"}, "minimum_reliable_games": null, "platt_intercept": 0.07646024717646603, "platt_slope": 0.8471774676108041, "ratings": {"bo3:4:16486": 1759.660919, "bo3:4:23832": 1497.898695},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"2026-10-07T05:28:49.648258+00:00", "team_ids": ["bo3:4:23832", "bo3:4:16486"]}, "market_type": "moneyline", "model_version": "dota2-tiered-elo-v6", "observed_at_utc": "2026-10-07T05:28:49.648258+00:00", "probabilities": {"away": 0.639911, "home": 0.360089}, "replay_scope": "Exact serving book state, calibration, temperature, inactivity reference and thin-history adjustments; training provenance not certified.", "schema": "esports-elo-replay-v1", "snapshot_hash": "8a7fc04bcf06afcbba6bf364eb12482398a8f0fcc2bcc06755a2c1074e81fe44", "sport": "DOTA2"}</t>
        </is>
      </c>
    </row>
    <row r="8" ht="36" customHeight="1">
      <c r="A8" s="24" t="inlineStr">
        <is>
          <t>1c64d63ce6044147</t>
        </is>
      </c>
      <c r="B8" s="24" t="inlineStr">
        <is>
          <t>2026-10-07T10:23:30.086549Z</t>
        </is>
      </c>
      <c r="C8" s="24" t="inlineStr">
        <is>
          <t>2026-10-07T12:00:00Z</t>
        </is>
      </c>
      <c r="D8" s="24" t="inlineStr">
        <is>
          <t>146207</t>
        </is>
      </c>
      <c r="E8" s="24" t="inlineStr">
        <is>
          <t>DOTA2</t>
        </is>
      </c>
      <c r="F8" s="24" t="inlineStr">
        <is>
          <t>MOUZ</t>
        </is>
      </c>
      <c r="G8" s="24" t="inlineStr">
        <is>
          <t>CyberHero</t>
        </is>
      </c>
      <c r="H8" s="24" t="inlineStr">
        <is>
          <t>moneyline</t>
        </is>
      </c>
      <c r="I8" s="24" t="inlineStr">
        <is>
          <t>away</t>
        </is>
      </c>
      <c r="J8" s="25" t="n"/>
      <c r="K8" s="24" t="inlineStr">
        <is>
          <t>polymarket_us</t>
        </is>
      </c>
      <c r="L8" s="26" t="n">
        <v>-117</v>
      </c>
      <c r="M8" s="27" t="n">
        <v>1.854701</v>
      </c>
      <c r="N8" s="28" t="n">
        <v>0.539171</v>
      </c>
      <c r="O8" s="28" t="n">
        <v>0.533946</v>
      </c>
      <c r="P8" s="28" t="n"/>
      <c r="Q8" s="28" t="n">
        <v>-0.005225</v>
      </c>
      <c r="R8" s="26" t="n">
        <v>17</v>
      </c>
      <c r="S8" s="29" t="n">
        <v>1</v>
      </c>
      <c r="T8" s="24" t="inlineStr">
        <is>
          <t>dota2-tiered-elo-v6</t>
        </is>
      </c>
      <c r="U8" s="24" t="inlineStr">
        <is>
          <t>settled</t>
        </is>
      </c>
      <c r="V8" s="24" t="inlineStr">
        <is>
          <t>loss</t>
        </is>
      </c>
      <c r="W8" s="26" t="n">
        <v>0</v>
      </c>
      <c r="X8" s="26" t="n">
        <v>1</v>
      </c>
      <c r="Y8" s="25" t="n"/>
      <c r="Z8" s="26" t="n">
        <v>-122</v>
      </c>
      <c r="AA8" s="28" t="n">
        <v>0.55</v>
      </c>
      <c r="AB8" s="28" t="n">
        <v>0.010829</v>
      </c>
      <c r="AC8" s="30" t="n">
        <v>-1</v>
      </c>
      <c r="AD8" s="24" t="inlineStr">
        <is>
          <t>2026-10-07T16:04:45.150642Z</t>
        </is>
      </c>
      <c r="AE8" s="31" t="inlineStr">
        <is>
          <t>Neutral Elo baseline; executable ask 0.5400 (market_slug=aec-dota2-ch-mouz-2026-10-07).</t>
        </is>
      </c>
      <c r="AF8" s="31" t="inlineStr">
        <is>
          <t>Config-promoted esports baseline; gates enforced at log time.</t>
        </is>
      </c>
      <c r="AG8" s="24" t="inlineStr">
        <is>
          <t>review_required</t>
        </is>
      </c>
      <c r="AH8" s="24" t="n"/>
      <c r="AI8" s="31" t="n"/>
      <c r="AJ8" s="31" t="n"/>
      <c r="AK8" s="24" t="inlineStr">
        <is>
          <t>paper_call</t>
        </is>
      </c>
      <c r="AL8" s="26" t="n">
        <v>4</v>
      </c>
      <c r="AM8" s="24" t="inlineStr">
        <is>
          <t>RESEARCH_OBSERVATION</t>
        </is>
      </c>
      <c r="AN8" s="24" t="inlineStr">
        <is>
          <t>CALL</t>
        </is>
      </c>
      <c r="AO8" s="24" t="inlineStr">
        <is>
          <t>PAPER_CALL_LOW_EDGE</t>
        </is>
      </c>
      <c r="AP8" s="24" t="inlineStr">
        <is>
          <t>MOUZ</t>
        </is>
      </c>
      <c r="AQ8" s="24" t="inlineStr">
        <is>
          <t>MOUZ</t>
        </is>
      </c>
      <c r="AR8" s="24" t="inlineStr">
        <is>
          <t>MOUZ</t>
        </is>
      </c>
      <c r="AS8" s="24" t="inlineStr">
        <is>
          <t>CyberHero</t>
        </is>
      </c>
      <c r="AT8" s="24" t="inlineStr">
        <is>
          <t>CyberHero</t>
        </is>
      </c>
      <c r="AU8" s="24" t="inlineStr">
        <is>
          <t>CyberHero</t>
        </is>
      </c>
      <c r="AV8" s="24" t="n"/>
      <c r="AW8" s="24" t="n"/>
      <c r="AX8" s="24" t="inlineStr">
        <is>
          <t>statistical_model</t>
        </is>
      </c>
      <c r="AY8" s="24" t="n"/>
      <c r="AZ8" s="24" t="inlineStr">
        <is>
          <t>shadow_qualified</t>
        </is>
      </c>
      <c r="BA8" s="24" t="inlineStr">
        <is>
          <t>8f4a6f5ae78633bea4c7b21d6e2903f4d5a628c17b4db8222ef6d4549d50f177</t>
        </is>
      </c>
      <c r="BB8" s="24" t="inlineStr">
        <is>
          <t>neutral_elo</t>
        </is>
      </c>
      <c r="BC8" s="24" t="inlineStr">
        <is>
          <t>dota2-tiered-elo-v6</t>
        </is>
      </c>
      <c r="BD8" s="24" t="inlineStr">
        <is>
          <t>8f4a6f5ae78633bea4c7b21d6e2903f4d5a628c17b4db8222ef6d4549d50f177</t>
        </is>
      </c>
      <c r="BE8" s="24" t="inlineStr">
        <is>
          <t>1</t>
        </is>
      </c>
      <c r="BF8" s="24" t="inlineStr">
        <is>
          <t>1</t>
        </is>
      </c>
      <c r="BG8" s="24" t="inlineStr">
        <is>
          <t>dota2-tiered-elo-v6</t>
        </is>
      </c>
      <c r="BH8" s="24" t="inlineStr">
        <is>
          <t>2026-10-07T10:23:09.270676Z</t>
        </is>
      </c>
      <c r="BI8" s="24" t="inlineStr">
        <is>
          <t>["same_event","same_team_same_day","same_league_same_day"]</t>
        </is>
      </c>
      <c r="BJ8" s="25" t="n"/>
      <c r="BK8" s="26" t="n">
        <v>-117</v>
      </c>
      <c r="BL8" s="27" t="n">
        <v>1.854701</v>
      </c>
      <c r="BM8" s="28" t="n">
        <v>0.539171</v>
      </c>
      <c r="BN8" s="28" t="n"/>
      <c r="BO8" s="28" t="n"/>
      <c r="BP8" s="25" t="n"/>
      <c r="BQ8" s="27" t="n">
        <v>1.819672</v>
      </c>
      <c r="BR8" s="28" t="n">
        <v>0.55</v>
      </c>
      <c r="BS8" s="28" t="n"/>
      <c r="BT8" s="28" t="n"/>
      <c r="BU8" s="25" t="n"/>
      <c r="BV8" s="29" t="n"/>
      <c r="BW8" s="24" t="n"/>
      <c r="BX8" s="30" t="n"/>
      <c r="BY8" s="27" t="n"/>
      <c r="BZ8" s="24" t="n"/>
      <c r="CA8" s="31" t="n"/>
      <c r="CB8" s="24" t="n"/>
      <c r="CC8" s="24" t="n"/>
      <c r="CD8" s="24" t="n"/>
      <c r="CE8" s="24" t="n"/>
      <c r="CF8" s="24" t="n"/>
      <c r="CG8" s="24" t="n"/>
      <c r="CH8" s="24" t="n"/>
      <c r="CI8" s="24" t="n"/>
      <c r="CJ8" s="24" t="n"/>
      <c r="CK8" s="24" t="n"/>
      <c r="CL8" s="24" t="n"/>
      <c r="CM8" s="24" t="n"/>
      <c r="CN8" s="24" t="n"/>
      <c r="CO8" s="24" t="n"/>
      <c r="CP8" s="24" t="n"/>
      <c r="CQ8" s="24" t="n"/>
      <c r="CR8" s="24" t="n"/>
      <c r="CS8" s="24" t="inlineStr">
        <is>
          <t>False</t>
        </is>
      </c>
      <c r="CT8" s="24" t="n"/>
      <c r="CU8" s="24" t="n"/>
      <c r="CV8" s="24" t="n"/>
      <c r="CW8" s="24" t="n"/>
      <c r="CX8" s="24" t="n"/>
      <c r="CY8" s="24" t="n"/>
      <c r="CZ8" s="24" t="n"/>
      <c r="DA8" s="24" t="n"/>
      <c r="DB8" s="24" t="n"/>
      <c r="DC8" s="24" t="n"/>
      <c r="DD8" s="24" t="n"/>
      <c r="DE8" s="24" t="n"/>
      <c r="DF8" s="24" t="n"/>
      <c r="DG8" s="24" t="n"/>
      <c r="DH8" s="24" t="n"/>
      <c r="DI8" s="24" t="n"/>
      <c r="DJ8" s="24" t="inlineStr">
        <is>
          <t>0.539171</t>
        </is>
      </c>
      <c r="DK8" s="24" t="n"/>
      <c r="DL8" s="24" t="n"/>
      <c r="DM8" s="24" t="n"/>
      <c r="DN8" s="24" t="n"/>
      <c r="DO8" s="24" t="n"/>
      <c r="DP8" s="24" t="n"/>
      <c r="DQ8" s="24" t="inlineStr">
        <is>
          <t>{"artifact_hash": "8f4a6f5ae78633bea4c7b21d6e2903f4d5a628c17b4db8222ef6d4549d50f177", "away_team": "MOUZ", "event_id": "146207", "event_start_utc": "2026-10-07T12:00:00Z", "features": {"away_elo": 1601.278288, "away_history_count": 364, "home_elo": 1530.437849, "home_history_count": 2}, "historical_source_observation_times_verified": false, "home_team": "CyberHero", "inference_inputs": {"book_state": {"games_played": {"bo3:4:15032": 364, "bo3:4:25398": 2}, "inactivity_half_life_days": null, "inactivity_max_pull": null, "k": 48.0, "last_match_utc": {"bo3:4:15032": "2026-10-06T17:20:00Z", "bo3:4:25398": "2026-10-06T08:10:00Z"}, "minimum_reliable_games": null, "platt_intercept": 0.07656940144871896, "platt_slope": 0.849720404615883, "ratings": {"bo3:4:15032": 1601.278288, "bo3:4:25398": 1530.437849},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"2026-10-07T10:23:09.218675+00:00", "team_ids": ["bo3:4:25398", "bo3:4:15032"]}, "market_type": "moneyline", "model_version": "dota2-tiered-elo-v6", "observed_at_utc": "2026-10-07T10:23:09.218675+00:00", "probabilities": {"away": 0.533946, "home": 0.466054}, "replay_scope": "Exact serving book state, calibration, temperature, inactivity reference and thin-history adjustments; training provenance not certified.", "schema": "esports-elo-replay-v1", "snapshot_hash": "4646121ff359ae6c5ec0687780aa2d1878fdb09c65bd920cb1d15daf0b498a38", "sport": "DOTA2"}</t>
        </is>
      </c>
    </row>
    <row r="9" ht="36" customHeight="1">
      <c r="A9" s="24" t="inlineStr">
        <is>
          <t>8cefd49654204cc8</t>
        </is>
      </c>
      <c r="B9" s="24" t="inlineStr">
        <is>
          <t>2026-10-07T10:23:30.086549Z</t>
        </is>
      </c>
      <c r="C9" s="24" t="inlineStr">
        <is>
          <t>2026-10-07T15:00:00Z</t>
        </is>
      </c>
      <c r="D9" s="24" t="inlineStr">
        <is>
          <t>146208</t>
        </is>
      </c>
      <c r="E9" s="24" t="inlineStr">
        <is>
          <t>DOTA2</t>
        </is>
      </c>
      <c r="F9" s="24" t="inlineStr">
        <is>
          <t>LEGION</t>
        </is>
      </c>
      <c r="G9" s="24" t="inlineStr">
        <is>
          <t>Team Synapse</t>
        </is>
      </c>
      <c r="H9" s="24" t="inlineStr">
        <is>
          <t>moneyline</t>
        </is>
      </c>
      <c r="I9" s="24" t="inlineStr">
        <is>
          <t>home</t>
        </is>
      </c>
      <c r="J9" s="25" t="n"/>
      <c r="K9" s="24" t="inlineStr">
        <is>
          <t>polymarket_us</t>
        </is>
      </c>
      <c r="L9" s="26" t="n">
        <v>-144</v>
      </c>
      <c r="M9" s="27" t="n">
        <v>1.694444</v>
      </c>
      <c r="N9" s="28" t="n">
        <v>0.590164</v>
      </c>
      <c r="O9" s="28" t="n">
        <v>0.673769</v>
      </c>
      <c r="P9" s="28" t="n"/>
      <c r="Q9" s="28" t="n">
        <v>0.083605</v>
      </c>
      <c r="R9" s="26" t="n">
        <v>62</v>
      </c>
      <c r="S9" s="29" t="n">
        <v>1.25</v>
      </c>
      <c r="T9" s="24" t="inlineStr">
        <is>
          <t>dota2-tiered-elo-v6</t>
        </is>
      </c>
      <c r="U9" s="24" t="inlineStr">
        <is>
          <t>settled</t>
        </is>
      </c>
      <c r="V9" s="24" t="inlineStr">
        <is>
          <t>loss</t>
        </is>
      </c>
      <c r="W9" s="26" t="n">
        <v>1</v>
      </c>
      <c r="X9" s="26" t="n">
        <v>0</v>
      </c>
      <c r="Y9" s="25" t="n"/>
      <c r="Z9" s="26" t="n">
        <v>-122</v>
      </c>
      <c r="AA9" s="28" t="n">
        <v>0.55</v>
      </c>
      <c r="AB9" s="28" t="n">
        <v>-0.040164</v>
      </c>
      <c r="AC9" s="30" t="n">
        <v>-1.25</v>
      </c>
      <c r="AD9" s="24" t="inlineStr">
        <is>
          <t>2026-10-07T22:03:03.245445Z</t>
        </is>
      </c>
      <c r="AE9" s="31" t="inlineStr">
        <is>
          <t>Neutral Elo baseline; executable ask 0.5900 (market_slug=aec-dota2-tsea-leg-2026-10-07).</t>
        </is>
      </c>
      <c r="AF9" s="31" t="inlineStr">
        <is>
          <t>Config-promoted esports baseline; gates enforced at log time.</t>
        </is>
      </c>
      <c r="AG9" s="24" t="inlineStr">
        <is>
          <t>review_required</t>
        </is>
      </c>
      <c r="AH9" s="24" t="n"/>
      <c r="AI9" s="31" t="n"/>
      <c r="AJ9" s="31" t="n"/>
      <c r="AK9" s="24" t="inlineStr">
        <is>
          <t>model_qualified</t>
        </is>
      </c>
      <c r="AL9" s="26" t="n">
        <v>4</v>
      </c>
      <c r="AM9" s="24" t="inlineStr">
        <is>
          <t>QUALIFIED_SHADOW_CALL</t>
        </is>
      </c>
      <c r="AN9" s="24" t="inlineStr">
        <is>
          <t>CALL</t>
        </is>
      </c>
      <c r="AO9" s="24" t="inlineStr">
        <is>
          <t>QUALIFIED</t>
        </is>
      </c>
      <c r="AP9" s="24" t="inlineStr">
        <is>
          <t>LEGION</t>
        </is>
      </c>
      <c r="AQ9" s="24" t="inlineStr">
        <is>
          <t>LEGION</t>
        </is>
      </c>
      <c r="AR9" s="24" t="inlineStr">
        <is>
          <t>LEGION</t>
        </is>
      </c>
      <c r="AS9" s="24" t="inlineStr">
        <is>
          <t>Team Synapse</t>
        </is>
      </c>
      <c r="AT9" s="24" t="inlineStr">
        <is>
          <t>Team Synapse</t>
        </is>
      </c>
      <c r="AU9" s="24" t="inlineStr">
        <is>
          <t>Team Synapse</t>
        </is>
      </c>
      <c r="AV9" s="24" t="n"/>
      <c r="AW9" s="24" t="n"/>
      <c r="AX9" s="24" t="inlineStr">
        <is>
          <t>statistical_model</t>
        </is>
      </c>
      <c r="AY9" s="24" t="n"/>
      <c r="AZ9" s="24" t="inlineStr">
        <is>
          <t>shadow_qualified</t>
        </is>
      </c>
      <c r="BA9" s="24" t="inlineStr">
        <is>
          <t>8f4a6f5ae78633bea4c7b21d6e2903f4d5a628c17b4db8222ef6d4549d50f177</t>
        </is>
      </c>
      <c r="BB9" s="24" t="inlineStr">
        <is>
          <t>neutral_elo</t>
        </is>
      </c>
      <c r="BC9" s="24" t="inlineStr">
        <is>
          <t>dota2-tiered-elo-v6</t>
        </is>
      </c>
      <c r="BD9" s="24" t="inlineStr">
        <is>
          <t>8f4a6f5ae78633bea4c7b21d6e2903f4d5a628c17b4db8222ef6d4549d50f177</t>
        </is>
      </c>
      <c r="BE9" s="24" t="inlineStr">
        <is>
          <t>1</t>
        </is>
      </c>
      <c r="BF9" s="24" t="inlineStr">
        <is>
          <t>1</t>
        </is>
      </c>
      <c r="BG9" s="24" t="inlineStr">
        <is>
          <t>dota2-tiered-elo-v6</t>
        </is>
      </c>
      <c r="BH9" s="24" t="inlineStr">
        <is>
          <t>2026-10-07T10:23:09.332235Z</t>
        </is>
      </c>
      <c r="BI9" s="24" t="inlineStr">
        <is>
          <t>["same_event","same_team_same_day","same_league_same_day"]</t>
        </is>
      </c>
      <c r="BJ9" s="25" t="n"/>
      <c r="BK9" s="26" t="n">
        <v>-144</v>
      </c>
      <c r="BL9" s="27" t="n">
        <v>1.694444</v>
      </c>
      <c r="BM9" s="28" t="n">
        <v>0.590164</v>
      </c>
      <c r="BN9" s="28" t="n"/>
      <c r="BO9" s="28" t="n"/>
      <c r="BP9" s="25" t="n"/>
      <c r="BQ9" s="27" t="n">
        <v>1.819672</v>
      </c>
      <c r="BR9" s="28" t="n">
        <v>0.55</v>
      </c>
      <c r="BS9" s="28" t="n"/>
      <c r="BT9" s="28" t="n"/>
      <c r="BU9" s="25" t="n"/>
      <c r="BV9" s="29" t="n"/>
      <c r="BW9" s="24" t="n"/>
      <c r="BX9" s="30" t="n"/>
      <c r="BY9" s="27" t="n"/>
      <c r="BZ9" s="24" t="n"/>
      <c r="CA9" s="31" t="n"/>
      <c r="CB9" s="24" t="n"/>
      <c r="CC9" s="24" t="n"/>
      <c r="CD9" s="24" t="n"/>
      <c r="CE9" s="24" t="n"/>
      <c r="CF9" s="24" t="n"/>
      <c r="CG9" s="24" t="n"/>
      <c r="CH9" s="24" t="n"/>
      <c r="CI9" s="24" t="n"/>
      <c r="CJ9" s="24" t="n"/>
      <c r="CK9" s="24" t="n"/>
      <c r="CL9" s="24" t="n"/>
      <c r="CM9" s="24" t="n"/>
      <c r="CN9" s="24" t="n"/>
      <c r="CO9" s="24" t="n"/>
      <c r="CP9" s="24" t="n"/>
      <c r="CQ9" s="24" t="n"/>
      <c r="CR9" s="24" t="n"/>
      <c r="CS9" s="24" t="inlineStr">
        <is>
          <t>True</t>
        </is>
      </c>
      <c r="CT9" s="24" t="n"/>
      <c r="CU9" s="24" t="n"/>
      <c r="CV9" s="24" t="n"/>
      <c r="CW9" s="24" t="n"/>
      <c r="CX9" s="24" t="n"/>
      <c r="CY9" s="24" t="n"/>
      <c r="CZ9" s="24" t="n"/>
      <c r="DA9" s="24" t="n"/>
      <c r="DB9" s="24" t="n"/>
      <c r="DC9" s="24" t="n"/>
      <c r="DD9" s="24" t="n"/>
      <c r="DE9" s="24" t="n"/>
      <c r="DF9" s="24" t="n"/>
      <c r="DG9" s="24" t="n"/>
      <c r="DH9" s="24" t="n"/>
      <c r="DI9" s="24" t="n"/>
      <c r="DJ9" s="24" t="inlineStr">
        <is>
          <t>0.590164</t>
        </is>
      </c>
      <c r="DK9" s="24" t="n"/>
      <c r="DL9" s="24" t="n"/>
      <c r="DM9" s="24" t="n"/>
      <c r="DN9" s="24" t="n"/>
      <c r="DO9" s="24" t="n"/>
      <c r="DP9" s="24" t="n"/>
      <c r="DQ9" s="24" t="inlineStr">
        <is>
          <t>{"artifact_hash": "8f4a6f5ae78633bea4c7b21d6e2903f4d5a628c17b4db8222ef6d4549d50f177", "away_team": "LEGION", "event_id": "146208", "event_start_utc": "2026-10-07T15:00:00Z", "features": {"away_elo": 1575.629058, "away_history_count": 2, "home_elo": 1881.437986, "home_history_count": 24}, "historical_source_observation_times_verified": false, "home_team": "Team Synapse", "inference_inputs": {"book_state": {"games_played": {"bo3:4:25201": 24, "bo3:4:25401": 2}, "inactivity_half_life_days": null, "inactivity_max_pull": null, "k": 48.0, "last_match_utc": {"bo3:4:25201": "2026-10-06T14:35:00Z", "bo3:4:25401": "2026-10-06T17:20:00Z"}, "minimum_reliable_games": null, "platt_intercept": 0.07656940144871896, "platt_slope": 0.849720404615883, "ratings": {"bo3:4:25201": 1881.437986, "bo3:4:25401": 1575.629058},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"2026-10-07T10:23:09.218675+00:00", "team_ids": ["bo3:4:25201", "bo3:4:25401"]}, "market_type": "moneyline", "model_version": "dota2-tiered-elo-v6", "observed_at_utc": "2026-10-07T10:23:09.218675+00:00", "probabilities": {"away": 0.326231, "home": 0.673769}, "replay_scope": "Exact serving book state, calibration, temperature, inactivity reference and thin-history adjustments; training provenance not certified.", "schema": "esports-elo-replay-v1", "snapshot_hash": "c988e0bfb2734b187c99c9c45d600ba856d037d2016dfe738b6843af5d964537", "sport": "DOTA2"}</t>
        </is>
      </c>
    </row>
    <row r="10" ht="36" customHeight="1">
      <c r="A10" s="24" t="inlineStr">
        <is>
          <t>19b0f1115ea3453a</t>
        </is>
      </c>
      <c r="B10" s="24" t="inlineStr">
        <is>
          <t>2026-10-07T16:32:44.972195Z</t>
        </is>
      </c>
      <c r="C10" s="24" t="inlineStr">
        <is>
          <t>2026-10-07T18:00:00Z</t>
        </is>
      </c>
      <c r="D10" s="24" t="inlineStr">
        <is>
          <t>147363</t>
        </is>
      </c>
      <c r="E10" s="24" t="inlineStr">
        <is>
          <t>DOTA2</t>
        </is>
      </c>
      <c r="F10" s="24" t="inlineStr">
        <is>
          <t>CyberHero</t>
        </is>
      </c>
      <c r="G10" s="24" t="inlineStr">
        <is>
          <t>Blasterbl</t>
        </is>
      </c>
      <c r="H10" s="24" t="inlineStr">
        <is>
          <t>moneyline</t>
        </is>
      </c>
      <c r="I10" s="24" t="inlineStr">
        <is>
          <t>away</t>
        </is>
      </c>
      <c r="J10" s="25" t="n"/>
      <c r="K10" s="24" t="inlineStr">
        <is>
          <t>polymarket_us</t>
        </is>
      </c>
      <c r="L10" s="26" t="n">
        <v>163</v>
      </c>
      <c r="M10" s="27" t="n">
        <v>2.63</v>
      </c>
      <c r="N10" s="28" t="n">
        <v>0.380228</v>
      </c>
      <c r="O10" s="28" t="n">
        <v>0.502246</v>
      </c>
      <c r="P10" s="28" t="n"/>
      <c r="Q10" s="28" t="n">
        <v>0.122018</v>
      </c>
      <c r="R10" s="26" t="n">
        <v>81</v>
      </c>
      <c r="S10" s="29" t="n">
        <v>1.5</v>
      </c>
      <c r="T10" s="24" t="inlineStr">
        <is>
          <t>dota2-tiered-elo-v6</t>
        </is>
      </c>
      <c r="U10" s="24" t="inlineStr">
        <is>
          <t>settled</t>
        </is>
      </c>
      <c r="V10" s="24" t="inlineStr">
        <is>
          <t>loss</t>
        </is>
      </c>
      <c r="W10" s="26" t="n">
        <v>0</v>
      </c>
      <c r="X10" s="26" t="n">
        <v>1</v>
      </c>
      <c r="Y10" s="25" t="n"/>
      <c r="Z10" s="26" t="n">
        <v>144</v>
      </c>
      <c r="AA10" s="28" t="n">
        <v>0.41</v>
      </c>
      <c r="AB10" s="28" t="n">
        <v>0.029772</v>
      </c>
      <c r="AC10" s="30" t="n">
        <v>-1.5</v>
      </c>
      <c r="AD10" s="24" t="inlineStr">
        <is>
          <t>2026-10-08T03:22:08.205365Z</t>
        </is>
      </c>
      <c r="AE10" s="31" t="inlineStr">
        <is>
          <t>Neutral Elo baseline; executable ask 0.3800 (market_slug=aec-dota2-bbl-ch-2026-10-07).</t>
        </is>
      </c>
      <c r="AF10" s="31" t="inlineStr">
        <is>
          <t>Config-promoted esports baseline; gates enforced at log time.</t>
        </is>
      </c>
      <c r="AG10" s="24" t="inlineStr">
        <is>
          <t>review_required</t>
        </is>
      </c>
      <c r="AH10" s="24" t="n"/>
      <c r="AI10" s="31" t="n"/>
      <c r="AJ10" s="31" t="n"/>
      <c r="AK10" s="24" t="inlineStr">
        <is>
          <t>model_qualified</t>
        </is>
      </c>
      <c r="AL10" s="26" t="n">
        <v>4</v>
      </c>
      <c r="AM10" s="24" t="inlineStr">
        <is>
          <t>QUALIFIED_SHADOW_CALL</t>
        </is>
      </c>
      <c r="AN10" s="24" t="inlineStr">
        <is>
          <t>CALL</t>
        </is>
      </c>
      <c r="AO10" s="24" t="inlineStr">
        <is>
          <t>QUALIFIED</t>
        </is>
      </c>
      <c r="AP10" s="24" t="inlineStr">
        <is>
          <t>CyberHero</t>
        </is>
      </c>
      <c r="AQ10" s="24" t="inlineStr">
        <is>
          <t>CyberHero</t>
        </is>
      </c>
      <c r="AR10" s="24" t="inlineStr">
        <is>
          <t>CyberHero</t>
        </is>
      </c>
      <c r="AS10" s="24" t="inlineStr">
        <is>
          <t>Blasterbl</t>
        </is>
      </c>
      <c r="AT10" s="24" t="inlineStr">
        <is>
          <t>Blasterbl</t>
        </is>
      </c>
      <c r="AU10" s="24" t="inlineStr">
        <is>
          <t>Blasterbl</t>
        </is>
      </c>
      <c r="AV10" s="24" t="n"/>
      <c r="AW10" s="24" t="n"/>
      <c r="AX10" s="24" t="inlineStr">
        <is>
          <t>statistical_model</t>
        </is>
      </c>
      <c r="AY10" s="24" t="n"/>
      <c r="AZ10" s="24" t="inlineStr">
        <is>
          <t>shadow_qualified</t>
        </is>
      </c>
      <c r="BA10" s="24" t="inlineStr">
        <is>
          <t>77804c68a4a17976e73de5a127cd27afaab30de3f32a7869f2309315b9e3f416</t>
        </is>
      </c>
      <c r="BB10" s="24" t="inlineStr">
        <is>
          <t>neutral_elo</t>
        </is>
      </c>
      <c r="BC10" s="24" t="inlineStr">
        <is>
          <t>dota2-tiered-elo-v6</t>
        </is>
      </c>
      <c r="BD10" s="24" t="inlineStr">
        <is>
          <t>77804c68a4a17976e73de5a127cd27afaab30de3f32a7869f2309315b9e3f416</t>
        </is>
      </c>
      <c r="BE10" s="24" t="inlineStr">
        <is>
          <t>1</t>
        </is>
      </c>
      <c r="BF10" s="24" t="inlineStr">
        <is>
          <t>1</t>
        </is>
      </c>
      <c r="BG10" s="24" t="inlineStr">
        <is>
          <t>dota2-tiered-elo-v6</t>
        </is>
      </c>
      <c r="BH10" s="24" t="inlineStr">
        <is>
          <t>2026-10-07T16:32:25.394431Z</t>
        </is>
      </c>
      <c r="BI10" s="24" t="inlineStr">
        <is>
          <t>["same_event","same_team_same_day","same_league_same_day"]</t>
        </is>
      </c>
      <c r="BJ10" s="25" t="n"/>
      <c r="BK10" s="26" t="n">
        <v>163</v>
      </c>
      <c r="BL10" s="27" t="n">
        <v>2.63</v>
      </c>
      <c r="BM10" s="28" t="n">
        <v>0.380228</v>
      </c>
      <c r="BN10" s="28" t="n"/>
      <c r="BO10" s="28" t="n"/>
      <c r="BP10" s="25" t="n"/>
      <c r="BQ10" s="27" t="n">
        <v>2.44</v>
      </c>
      <c r="BR10" s="28" t="n">
        <v>0.41</v>
      </c>
      <c r="BS10" s="28" t="n"/>
      <c r="BT10" s="28" t="n"/>
      <c r="BU10" s="25" t="n"/>
      <c r="BV10" s="29" t="n"/>
      <c r="BW10" s="24" t="n"/>
      <c r="BX10" s="30" t="n"/>
      <c r="BY10" s="27" t="n"/>
      <c r="BZ10" s="24" t="n"/>
      <c r="CA10" s="31" t="n"/>
      <c r="CB10" s="24" t="n"/>
      <c r="CC10" s="24" t="n"/>
      <c r="CD10" s="24" t="n"/>
      <c r="CE10" s="24" t="n"/>
      <c r="CF10" s="24" t="n"/>
      <c r="CG10" s="24" t="n"/>
      <c r="CH10" s="24" t="n"/>
      <c r="CI10" s="24" t="n"/>
      <c r="CJ10" s="24" t="n"/>
      <c r="CK10" s="24" t="n"/>
      <c r="CL10" s="24" t="n"/>
      <c r="CM10" s="24" t="n"/>
      <c r="CN10" s="24" t="n"/>
      <c r="CO10" s="24" t="n"/>
      <c r="CP10" s="24" t="n"/>
      <c r="CQ10" s="24" t="n"/>
      <c r="CR10" s="24" t="n"/>
      <c r="CS10" s="24" t="inlineStr">
        <is>
          <t>True</t>
        </is>
      </c>
      <c r="CT10" s="24" t="n"/>
      <c r="CU10" s="24" t="n"/>
      <c r="CV10" s="24" t="n"/>
      <c r="CW10" s="24" t="n"/>
      <c r="CX10" s="24" t="n"/>
      <c r="CY10" s="24" t="n"/>
      <c r="CZ10" s="24" t="n"/>
      <c r="DA10" s="24" t="n"/>
      <c r="DB10" s="24" t="n"/>
      <c r="DC10" s="24" t="n"/>
      <c r="DD10" s="24" t="n"/>
      <c r="DE10" s="24" t="n"/>
      <c r="DF10" s="24" t="n"/>
      <c r="DG10" s="24" t="n"/>
      <c r="DH10" s="24" t="n"/>
      <c r="DI10" s="24" t="n"/>
      <c r="DJ10" s="24" t="inlineStr">
        <is>
          <t>0.380228</t>
        </is>
      </c>
      <c r="DK10" s="24" t="n"/>
      <c r="DL10" s="24" t="n"/>
      <c r="DM10" s="24" t="n"/>
      <c r="DN10" s="24" t="n"/>
      <c r="DO10" s="24" t="n"/>
      <c r="DP10" s="24" t="n"/>
      <c r="DQ10" s="24" t="inlineStr">
        <is>
          <t>{"artifact_hash": "77804c68a4a17976e73de5a127cd27afaab30de3f32a7869f2309315b9e3f416", "away_team": "CyberHero", "event_id": "147363", "event_start_utc": "2026-10-07T18:00:00Z", "features": {"away_elo": 1569.735616, "away_history_count": 3, "home_elo": 1551.480983, "home_history_count": 3}, "historical_source_observation_times_verified": false, "home_team": "Blasterbl", "inference_inputs": {"book_state": {"games_played": {"bo3:4:23832": 3, "bo3:4:25398": 3}, "inactivity_half_life_days": null, "inactivity_max_pull": null, "k": 48.0, "last_match_utc": {"bo3:4:23832": "2026-10-07T09:00:00Z", "bo3:4:25398": "2026-10-07T12:50:00Z"}, "minimum_reliable_games": null, "platt_intercept": 0.07340728322508241, "platt_slope": 0.8514773257097051, "ratings": {"bo3:4:23832": 1551.480983, "bo3:4:25398": 1569.735616},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"2026-10-07T16:32:25.298285+00:00", "team_ids": ["bo3:4:23832", "bo3:4:25398"]}, "market_type": "moneyline", "model_version": "dota2-tiered-elo-v6", "observed_at_utc": "2026-10-07T16:32:25.298285+00:00", "probabilities": {"away": 0.502246, "home": 0.497754}, "replay_scope": "Exact serving book state, calibration, temperature, inactivity reference and thin-history adjustments; training provenance not certified.", "schema": "esports-elo-replay-v1", "snapshot_hash": "8154548b6b33dee97f9700772469ce7ac6a57a577ee13aca6c4fed8410f500ec", "sport": "DOTA2"}</t>
        </is>
      </c>
    </row>
    <row r="11" ht="36" customHeight="1">
      <c r="A11" s="24" t="inlineStr">
        <is>
          <t>430679b60e374980</t>
        </is>
      </c>
      <c r="B11" s="24" t="inlineStr">
        <is>
          <t>2026-10-07T22:27:42.225451Z</t>
        </is>
      </c>
      <c r="C11" s="24" t="inlineStr">
        <is>
          <t>2026-10-08T03:00:00Z</t>
        </is>
      </c>
      <c r="D11" s="24" t="inlineStr">
        <is>
          <t>147220</t>
        </is>
      </c>
      <c r="E11" s="24" t="inlineStr">
        <is>
          <t>DOTA2</t>
        </is>
      </c>
      <c r="F11" s="24" t="inlineStr">
        <is>
          <t>Direborn</t>
        </is>
      </c>
      <c r="G11" s="24" t="inlineStr">
        <is>
          <t>InterActive Philippines</t>
        </is>
      </c>
      <c r="H11" s="24" t="inlineStr">
        <is>
          <t>moneyline</t>
        </is>
      </c>
      <c r="I11" s="24" t="inlineStr">
        <is>
          <t>away</t>
        </is>
      </c>
      <c r="J11" s="25" t="n"/>
      <c r="K11" s="24" t="inlineStr">
        <is>
          <t>polymarket_us</t>
        </is>
      </c>
      <c r="L11" s="26" t="n">
        <v>-117</v>
      </c>
      <c r="M11" s="27" t="n">
        <v>1.854701</v>
      </c>
      <c r="N11" s="28" t="n">
        <v>0.539171</v>
      </c>
      <c r="O11" s="28" t="n">
        <v>0.526899</v>
      </c>
      <c r="P11" s="28" t="n"/>
      <c r="Q11" s="28" t="n">
        <v>-0.012272</v>
      </c>
      <c r="R11" s="26" t="n">
        <v>14</v>
      </c>
      <c r="S11" s="29" t="n">
        <v>1</v>
      </c>
      <c r="T11" s="24" t="inlineStr">
        <is>
          <t>dota2-tiered-elo-v6</t>
        </is>
      </c>
      <c r="U11" s="24" t="inlineStr">
        <is>
          <t>settled</t>
        </is>
      </c>
      <c r="V11" s="24" t="inlineStr">
        <is>
          <t>loss</t>
        </is>
      </c>
      <c r="W11" s="26" t="n">
        <v>0</v>
      </c>
      <c r="X11" s="26" t="n">
        <v>1</v>
      </c>
      <c r="Y11" s="25" t="n"/>
      <c r="Z11" s="26" t="n">
        <v>-117</v>
      </c>
      <c r="AA11" s="28" t="n">
        <v>0.54</v>
      </c>
      <c r="AB11" s="28" t="n">
        <v>0.000829</v>
      </c>
      <c r="AC11" s="30" t="n">
        <v>-1</v>
      </c>
      <c r="AD11" s="24" t="inlineStr">
        <is>
          <t>2026-10-11T04:37:06.110067Z</t>
        </is>
      </c>
      <c r="AE11" s="31" t="inlineStr">
        <is>
          <t>Neutral Elo baseline; executable ask 0.5400 (market_slug=aec-dota2-iac-db-2026-10-08).</t>
        </is>
      </c>
      <c r="AF11" s="31" t="inlineStr">
        <is>
          <t>Config-promoted esports baseline; gates enforced at log time.</t>
        </is>
      </c>
      <c r="AG11" s="24" t="inlineStr">
        <is>
          <t>review_required</t>
        </is>
      </c>
      <c r="AH11" s="24" t="n"/>
      <c r="AI11" s="31" t="n"/>
      <c r="AJ11" s="31" t="n"/>
      <c r="AK11" s="24" t="inlineStr">
        <is>
          <t>paper_call</t>
        </is>
      </c>
      <c r="AL11" s="26" t="n">
        <v>4</v>
      </c>
      <c r="AM11" s="24" t="inlineStr">
        <is>
          <t>RESEARCH_OBSERVATION</t>
        </is>
      </c>
      <c r="AN11" s="24" t="inlineStr">
        <is>
          <t>CALL</t>
        </is>
      </c>
      <c r="AO11" s="24" t="inlineStr">
        <is>
          <t>PAPER_CALL_LOW_EDGE</t>
        </is>
      </c>
      <c r="AP11" s="24" t="inlineStr">
        <is>
          <t>Direborn</t>
        </is>
      </c>
      <c r="AQ11" s="24" t="inlineStr">
        <is>
          <t>Direborn</t>
        </is>
      </c>
      <c r="AR11" s="24" t="inlineStr">
        <is>
          <t>Direborn</t>
        </is>
      </c>
      <c r="AS11" s="24" t="inlineStr">
        <is>
          <t>InterActive Philippines</t>
        </is>
      </c>
      <c r="AT11" s="24" t="inlineStr">
        <is>
          <t>InterActive Philippines</t>
        </is>
      </c>
      <c r="AU11" s="24" t="inlineStr">
        <is>
          <t>InterActive Philippines</t>
        </is>
      </c>
      <c r="AV11" s="24" t="n"/>
      <c r="AW11" s="24" t="n"/>
      <c r="AX11" s="24" t="inlineStr">
        <is>
          <t>statistical_model</t>
        </is>
      </c>
      <c r="AY11" s="24" t="n"/>
      <c r="AZ11" s="24" t="inlineStr">
        <is>
          <t>shadow_qualified</t>
        </is>
      </c>
      <c r="BA11" s="24" t="inlineStr">
        <is>
          <t>baf9ccaa8f54c8de00adf9d2925d470d4e11611a62506fe2d568ed997460bb51</t>
        </is>
      </c>
      <c r="BB11" s="24" t="inlineStr">
        <is>
          <t>neutral_elo</t>
        </is>
      </c>
      <c r="BC11" s="24" t="inlineStr">
        <is>
          <t>dota2-tiered-elo-v6</t>
        </is>
      </c>
      <c r="BD11" s="24" t="inlineStr">
        <is>
          <t>baf9ccaa8f54c8de00adf9d2925d470d4e11611a62506fe2d568ed997460bb51</t>
        </is>
      </c>
      <c r="BE11" s="24" t="inlineStr">
        <is>
          <t>1</t>
        </is>
      </c>
      <c r="BF11" s="24" t="inlineStr">
        <is>
          <t>1</t>
        </is>
      </c>
      <c r="BG11" s="24" t="inlineStr">
        <is>
          <t>dota2-tiered-elo-v6</t>
        </is>
      </c>
      <c r="BH11" s="24" t="inlineStr">
        <is>
          <t>2026-10-07T22:27:21.735215Z</t>
        </is>
      </c>
      <c r="BI11" s="24" t="inlineStr">
        <is>
          <t>["same_event","same_team_same_day","same_league_same_day"]</t>
        </is>
      </c>
      <c r="BJ11" s="25" t="n"/>
      <c r="BK11" s="26" t="n">
        <v>-117</v>
      </c>
      <c r="BL11" s="27" t="n">
        <v>1.854701</v>
      </c>
      <c r="BM11" s="28" t="n">
        <v>0.539171</v>
      </c>
      <c r="BN11" s="28" t="n"/>
      <c r="BO11" s="28" t="n"/>
      <c r="BP11" s="25" t="n"/>
      <c r="BQ11" s="27" t="n">
        <v>1.854701</v>
      </c>
      <c r="BR11" s="28" t="n">
        <v>0.54</v>
      </c>
      <c r="BS11" s="28" t="n"/>
      <c r="BT11" s="28" t="n"/>
      <c r="BU11" s="25" t="n"/>
      <c r="BV11" s="29" t="n"/>
      <c r="BW11" s="24" t="n"/>
      <c r="BX11" s="30" t="n"/>
      <c r="BY11" s="27" t="n"/>
      <c r="BZ11" s="24" t="n"/>
      <c r="CA11" s="31" t="n"/>
      <c r="CB11" s="24" t="n"/>
      <c r="CC11" s="24" t="n"/>
      <c r="CD11" s="24" t="n"/>
      <c r="CE11" s="24" t="n"/>
      <c r="CF11" s="24" t="n"/>
      <c r="CG11" s="24" t="n"/>
      <c r="CH11" s="24" t="n"/>
      <c r="CI11" s="24" t="n"/>
      <c r="CJ11" s="24" t="n"/>
      <c r="CK11" s="24" t="n"/>
      <c r="CL11" s="24" t="n"/>
      <c r="CM11" s="24" t="n"/>
      <c r="CN11" s="24" t="n"/>
      <c r="CO11" s="24" t="n"/>
      <c r="CP11" s="24" t="n"/>
      <c r="CQ11" s="24" t="n"/>
      <c r="CR11" s="24" t="n"/>
      <c r="CS11" s="24" t="inlineStr">
        <is>
          <t>False</t>
        </is>
      </c>
      <c r="CT11" s="24" t="n"/>
      <c r="CU11" s="24" t="n"/>
      <c r="CV11" s="24" t="n"/>
      <c r="CW11" s="24" t="n"/>
      <c r="CX11" s="24" t="n"/>
      <c r="CY11" s="24" t="n"/>
      <c r="CZ11" s="24" t="n"/>
      <c r="DA11" s="24" t="n"/>
      <c r="DB11" s="24" t="n"/>
      <c r="DC11" s="24" t="n"/>
      <c r="DD11" s="24" t="n"/>
      <c r="DE11" s="24" t="n"/>
      <c r="DF11" s="24" t="n"/>
      <c r="DG11" s="24" t="n"/>
      <c r="DH11" s="24" t="n"/>
      <c r="DI11" s="24" t="n"/>
      <c r="DJ11" s="24" t="inlineStr">
        <is>
          <t>0.539171</t>
        </is>
      </c>
      <c r="DK11" s="24" t="n"/>
      <c r="DL11" s="24" t="n"/>
      <c r="DM11" s="24" t="n"/>
      <c r="DN11" s="24" t="n"/>
      <c r="DO11" s="24" t="n"/>
      <c r="DP11" s="24" t="n"/>
      <c r="DQ11" s="24" t="inlineStr">
        <is>
          <t>{"artifact_hash": "baf9ccaa8f54c8de00adf9d2925d470d4e11611a62506fe2d568ed997460bb51", "away_team": "Direborn", "event_id": "147220", "event_start_utc": "2026-10-08T03:00:00Z", "features": {"away_elo": 1632.37521, "away_history_count": 39, "home_elo": 1591.369706, "home_history_count": 196}, "historical_source_observation_times_verified": false, "home_team": "InterActive Philippines", "inference_inputs": {"book_state": {"games_played": {"bo3:4:15612": 196, "bo3:4:24344": 39}, "inactivity_half_life_days": null, "inactivity_max_pull": null, "k": 48.0, "last_match_utc": {"bo3:4:15612": "2026-10-07T06:00:00Z", "bo3:4:24344": "2026-10-07T09:30:00Z"}, "minimum_reliable_games": null, "platt_intercept": 0.07332109494800931, "platt_slope": 0.8507054355364946, "ratings": {"bo3:4:15612": 1591.369706, "bo3:4:24344": 1632.37521},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"2026-10-07T22:27:21.585394+00:00", "team_ids": ["bo3:4:15612", "bo3:4:24344"]}, "market_type": "moneyline", "model_version": "dota2-tiered-elo-v6", "observed_at_utc": "2026-10-07T22:27:21.585394+00:00", "probabilities": {"away": 0.526899, "home": 0.473101}, "replay_scope": "Exact serving book state, calibration, temperature, inactivity reference and thin-history adjustments; training provenance not certified.", "schema": "esports-elo-replay-v1", "snapshot_hash": "4c1cfbb6ee62a8dc4553a30cd7340239d2f33b5b1a6c3cde191076da88ad8a8c", "sport": "DOTA2"}</t>
        </is>
      </c>
    </row>
    <row r="12" ht="36" customHeight="1">
      <c r="A12" s="24" t="inlineStr">
        <is>
          <t>5a5e89a8ba9646b9</t>
        </is>
      </c>
      <c r="B12" s="24" t="inlineStr">
        <is>
          <t>2026-10-07T22:27:42.225451Z</t>
        </is>
      </c>
      <c r="C12" s="24" t="inlineStr">
        <is>
          <t>2026-10-08T12:30:00Z</t>
        </is>
      </c>
      <c r="D12" s="24" t="inlineStr">
        <is>
          <t>143501</t>
        </is>
      </c>
      <c r="E12" s="24" t="inlineStr">
        <is>
          <t>DOTA2</t>
        </is>
      </c>
      <c r="F12" s="24" t="inlineStr">
        <is>
          <t>1win</t>
        </is>
      </c>
      <c r="G12" s="24" t="inlineStr">
        <is>
          <t>Aurora</t>
        </is>
      </c>
      <c r="H12" s="24" t="inlineStr">
        <is>
          <t>moneyline</t>
        </is>
      </c>
      <c r="I12" s="24" t="inlineStr">
        <is>
          <t>home</t>
        </is>
      </c>
      <c r="J12" s="25" t="n"/>
      <c r="K12" s="24" t="inlineStr">
        <is>
          <t>polymarket_us</t>
        </is>
      </c>
      <c r="L12" s="26" t="n">
        <v>-117</v>
      </c>
      <c r="M12" s="27" t="n">
        <v>1.854701</v>
      </c>
      <c r="N12" s="28" t="n">
        <v>0.539171</v>
      </c>
      <c r="O12" s="28" t="n">
        <v>0.580766</v>
      </c>
      <c r="P12" s="28" t="n"/>
      <c r="Q12" s="28" t="n">
        <v>0.041595</v>
      </c>
      <c r="R12" s="26" t="n">
        <v>41</v>
      </c>
      <c r="S12" s="29" t="n">
        <v>1</v>
      </c>
      <c r="T12" s="24" t="inlineStr">
        <is>
          <t>dota2-tiered-elo-v6</t>
        </is>
      </c>
      <c r="U12" s="24" t="inlineStr">
        <is>
          <t>settled</t>
        </is>
      </c>
      <c r="V12" s="24" t="inlineStr">
        <is>
          <t>win</t>
        </is>
      </c>
      <c r="W12" s="26" t="n">
        <v>0</v>
      </c>
      <c r="X12" s="26" t="n">
        <v>1</v>
      </c>
      <c r="Y12" s="25" t="n"/>
      <c r="Z12" s="26" t="n">
        <v>-117</v>
      </c>
      <c r="AA12" s="28" t="n">
        <v>0.54</v>
      </c>
      <c r="AB12" s="28" t="n">
        <v>0.000829</v>
      </c>
      <c r="AC12" s="30" t="n">
        <v>0.8547</v>
      </c>
      <c r="AD12" s="24" t="inlineStr">
        <is>
          <t>2026-10-11T04:37:07.563968Z</t>
        </is>
      </c>
      <c r="AE12" s="31" t="inlineStr">
        <is>
          <t>Neutral Elo baseline; executable ask 0.5400 (market_slug=aec-dota2-aur-1win-2026-10-08).</t>
        </is>
      </c>
      <c r="AF12" s="31" t="inlineStr">
        <is>
          <t>Config-promoted esports baseline; gates enforced at log time.</t>
        </is>
      </c>
      <c r="AG12" s="24" t="inlineStr">
        <is>
          <t>not_applicable</t>
        </is>
      </c>
      <c r="AH12" s="24" t="n"/>
      <c r="AI12" s="31" t="n"/>
      <c r="AJ12" s="31" t="n"/>
      <c r="AK12" s="24" t="inlineStr">
        <is>
          <t>model_qualified</t>
        </is>
      </c>
      <c r="AL12" s="26" t="n">
        <v>4</v>
      </c>
      <c r="AM12" s="24" t="inlineStr">
        <is>
          <t>QUALIFIED_SHADOW_CALL</t>
        </is>
      </c>
      <c r="AN12" s="24" t="inlineStr">
        <is>
          <t>CALL</t>
        </is>
      </c>
      <c r="AO12" s="24" t="inlineStr">
        <is>
          <t>QUALIFIED</t>
        </is>
      </c>
      <c r="AP12" s="24" t="inlineStr">
        <is>
          <t>1win</t>
        </is>
      </c>
      <c r="AQ12" s="24" t="inlineStr">
        <is>
          <t>1win</t>
        </is>
      </c>
      <c r="AR12" s="24" t="inlineStr">
        <is>
          <t>1win</t>
        </is>
      </c>
      <c r="AS12" s="24" t="inlineStr">
        <is>
          <t>Aurora</t>
        </is>
      </c>
      <c r="AT12" s="24" t="inlineStr">
        <is>
          <t>Aurora</t>
        </is>
      </c>
      <c r="AU12" s="24" t="inlineStr">
        <is>
          <t>Aurora</t>
        </is>
      </c>
      <c r="AV12" s="24" t="n"/>
      <c r="AW12" s="24" t="n"/>
      <c r="AX12" s="24" t="inlineStr">
        <is>
          <t>statistical_model</t>
        </is>
      </c>
      <c r="AY12" s="24" t="n"/>
      <c r="AZ12" s="24" t="inlineStr">
        <is>
          <t>shadow_qualified</t>
        </is>
      </c>
      <c r="BA12" s="24" t="inlineStr">
        <is>
          <t>baf9ccaa8f54c8de00adf9d2925d470d4e11611a62506fe2d568ed997460bb51</t>
        </is>
      </c>
      <c r="BB12" s="24" t="inlineStr">
        <is>
          <t>neutral_elo</t>
        </is>
      </c>
      <c r="BC12" s="24" t="inlineStr">
        <is>
          <t>dota2-tiered-elo-v6</t>
        </is>
      </c>
      <c r="BD12" s="24" t="inlineStr">
        <is>
          <t>baf9ccaa8f54c8de00adf9d2925d470d4e11611a62506fe2d568ed997460bb51</t>
        </is>
      </c>
      <c r="BE12" s="24" t="inlineStr">
        <is>
          <t>1</t>
        </is>
      </c>
      <c r="BF12" s="24" t="inlineStr">
        <is>
          <t>1</t>
        </is>
      </c>
      <c r="BG12" s="24" t="inlineStr">
        <is>
          <t>dota2-tiered-elo-v6</t>
        </is>
      </c>
      <c r="BH12" s="24" t="inlineStr">
        <is>
          <t>2026-10-07T22:27:42.208675Z</t>
        </is>
      </c>
      <c r="BI12" s="24" t="inlineStr">
        <is>
          <t>["same_event","same_team_same_day","same_league_same_day"]</t>
        </is>
      </c>
      <c r="BJ12" s="25" t="n"/>
      <c r="BK12" s="26" t="n">
        <v>-117</v>
      </c>
      <c r="BL12" s="27" t="n">
        <v>1.854701</v>
      </c>
      <c r="BM12" s="28" t="n">
        <v>0.539171</v>
      </c>
      <c r="BN12" s="28" t="n"/>
      <c r="BO12" s="28" t="n"/>
      <c r="BP12" s="25" t="n"/>
      <c r="BQ12" s="27" t="n">
        <v>1.854701</v>
      </c>
      <c r="BR12" s="28" t="n">
        <v>0.54</v>
      </c>
      <c r="BS12" s="28" t="n"/>
      <c r="BT12" s="28" t="n"/>
      <c r="BU12" s="25" t="n"/>
      <c r="BV12" s="29" t="n"/>
      <c r="BW12" s="24" t="n"/>
      <c r="BX12" s="30" t="n"/>
      <c r="BY12" s="27" t="n"/>
      <c r="BZ12" s="24" t="n"/>
      <c r="CA12" s="31" t="n"/>
      <c r="CB12" s="24" t="n"/>
      <c r="CC12" s="24" t="n"/>
      <c r="CD12" s="24" t="n"/>
      <c r="CE12" s="24" t="n"/>
      <c r="CF12" s="24" t="n"/>
      <c r="CG12" s="24" t="n"/>
      <c r="CH12" s="24" t="n"/>
      <c r="CI12" s="24" t="n"/>
      <c r="CJ12" s="24" t="n"/>
      <c r="CK12" s="24" t="n"/>
      <c r="CL12" s="24" t="n"/>
      <c r="CM12" s="24" t="n"/>
      <c r="CN12" s="24" t="n"/>
      <c r="CO12" s="24" t="n"/>
      <c r="CP12" s="24" t="n"/>
      <c r="CQ12" s="24" t="n"/>
      <c r="CR12" s="24" t="n"/>
      <c r="CS12" s="24" t="inlineStr">
        <is>
          <t>True</t>
        </is>
      </c>
      <c r="CT12" s="24" t="n"/>
      <c r="CU12" s="24" t="n"/>
      <c r="CV12" s="24" t="n"/>
      <c r="CW12" s="24" t="n"/>
      <c r="CX12" s="24" t="n"/>
      <c r="CY12" s="24" t="n"/>
      <c r="CZ12" s="24" t="n"/>
      <c r="DA12" s="24" t="n"/>
      <c r="DB12" s="24" t="n"/>
      <c r="DC12" s="24" t="n"/>
      <c r="DD12" s="24" t="n"/>
      <c r="DE12" s="24" t="n"/>
      <c r="DF12" s="24" t="n"/>
      <c r="DG12" s="24" t="n"/>
      <c r="DH12" s="24" t="n"/>
      <c r="DI12" s="24" t="n"/>
      <c r="DJ12" s="24" t="inlineStr">
        <is>
          <t>0.539171</t>
        </is>
      </c>
      <c r="DK12" s="24" t="n"/>
      <c r="DL12" s="24" t="n"/>
      <c r="DM12" s="24" t="n"/>
      <c r="DN12" s="24" t="n"/>
      <c r="DO12" s="24" t="n"/>
      <c r="DP12" s="24" t="n"/>
      <c r="DQ12" s="24" t="inlineStr">
        <is>
          <t>{"artifact_hash": "baf9ccaa8f54c8de00adf9d2925d470d4e11611a62506fe2d568ed997460bb51", "away_team": "1win", "event_id": "143501", "event_start_utc": "2026-10-08T12:30:00Z", "features": {"away_elo": 1984.178977, "away_history_count": 317, "home_elo": 2050.731038, "home_history_count": 317}, "historical_source_observation_times_verified": false, "home_team": "Aurora", "inference_inputs": {"book_state": {"games_played": {"bo3:4:15038": 317, "bo3:4:15143": 317}, "inactivity_half_life_days": null, "inactivity_max_pull": null, "k": 48.0, "last_match_utc": {"bo3:4:15038": "2026-10-03T15:10:00Z", "bo3:4:15143": "2026-10-03T13:00:00Z"}, "minimum_reliable_games": null, "platt_intercept": 0.07332109494800931, "platt_slope": 0.8507054355364946, "ratings": {"bo3:4:15038": 1984.178977, "bo3:4:15143": 2050.731038},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"2026-10-07T22:27:21.585394+00:00", "team_ids": ["bo3:4:15143", "bo3:4:15038"]}, "market_type": "moneyline", "model_version": "dota2-tiered-elo-v6", "observed_at_utc": "2026-10-07T22:27:21.585394+00:00", "probabilities": {"away": 0.419234, "home": 0.580766}, "replay_scope": "Exact serving book state, calibration, temperature, inactivity reference and thin-history adjustments; training provenance not certified.", "schema": "esports-elo-replay-v1", "snapshot_hash": "0f8b095d31179e3a3017b2e93e816387139bd015f2830d12b6c2902f254875b1", "sport": "DOTA2"}</t>
        </is>
      </c>
    </row>
    <row r="13" ht="36" customHeight="1">
      <c r="A13" s="24" t="inlineStr">
        <is>
          <t>e65f6bb465c049bc</t>
        </is>
      </c>
      <c r="B13" s="24" t="inlineStr">
        <is>
          <t>2026-10-11T07:26:10.574372Z</t>
        </is>
      </c>
      <c r="C13" s="24" t="inlineStr">
        <is>
          <t>2026-10-11T09:00:00Z</t>
        </is>
      </c>
      <c r="D13" s="24" t="inlineStr">
        <is>
          <t>153110</t>
        </is>
      </c>
      <c r="E13" s="24" t="inlineStr">
        <is>
          <t>DOTA2</t>
        </is>
      </c>
      <c r="F13" s="24" t="inlineStr">
        <is>
          <t>PARIVISION</t>
        </is>
      </c>
      <c r="G13" s="24" t="inlineStr">
        <is>
          <t>Team Spirit</t>
        </is>
      </c>
      <c r="H13" s="24" t="inlineStr">
        <is>
          <t>total</t>
        </is>
      </c>
      <c r="I13" s="24" t="inlineStr">
        <is>
          <t>under</t>
        </is>
      </c>
      <c r="J13" s="25" t="n">
        <v>2.5</v>
      </c>
      <c r="K13" s="24" t="inlineStr">
        <is>
          <t>polymarket_us</t>
        </is>
      </c>
      <c r="L13" s="26" t="n">
        <v>-127</v>
      </c>
      <c r="M13" s="27" t="n">
        <v>1.787402</v>
      </c>
      <c r="N13" s="28" t="n">
        <v>0.5594710000000001</v>
      </c>
      <c r="O13" s="28" t="n">
        <v>0.501559</v>
      </c>
      <c r="P13" s="28" t="n"/>
      <c r="Q13" s="28" t="n">
        <v>-0.057912</v>
      </c>
      <c r="R13" s="26" t="n">
        <v>0</v>
      </c>
      <c r="S13" s="29" t="n">
        <v>1</v>
      </c>
      <c r="T13" s="24" t="inlineStr">
        <is>
          <t>dota2-total-tiered-elo-v6</t>
        </is>
      </c>
      <c r="U13" s="24" t="inlineStr">
        <is>
          <t>settled</t>
        </is>
      </c>
      <c r="V13" s="24" t="inlineStr">
        <is>
          <t>loss</t>
        </is>
      </c>
      <c r="W13" s="26" t="n">
        <v>1</v>
      </c>
      <c r="X13" s="26" t="n">
        <v>2</v>
      </c>
      <c r="Y13" s="25" t="n"/>
      <c r="Z13" s="26" t="n"/>
      <c r="AA13" s="28" t="n"/>
      <c r="AB13" s="28" t="n"/>
      <c r="AC13" s="30" t="n">
        <v>-1</v>
      </c>
      <c r="AD13" s="24" t="inlineStr">
        <is>
          <t>2026-10-11T16:03:33.765763Z</t>
        </is>
      </c>
      <c r="AE13" s="31" t="inlineStr">
        <is>
          <t>Neutral Elo baseline; executable ask 0.5600 (market_slug=tsc-dota2-ts-pari-2026-10-11-tot-2pt5).</t>
        </is>
      </c>
      <c r="AF13" s="31" t="inlineStr">
        <is>
          <t>Config-promoted esports baseline; gates enforced at log time.</t>
        </is>
      </c>
      <c r="AG13" s="24" t="inlineStr">
        <is>
          <t>review_required</t>
        </is>
      </c>
      <c r="AH13" s="24" t="n"/>
      <c r="AI13" s="31" t="n"/>
      <c r="AJ13" s="31" t="n"/>
      <c r="AK13" s="24" t="inlineStr">
        <is>
          <t>paper_call</t>
        </is>
      </c>
      <c r="AL13" s="26" t="n">
        <v>4</v>
      </c>
      <c r="AM13" s="24" t="inlineStr">
        <is>
          <t>RESEARCH_OBSERVATION</t>
        </is>
      </c>
      <c r="AN13" s="24" t="inlineStr">
        <is>
          <t>CALL</t>
        </is>
      </c>
      <c r="AO13" s="24" t="inlineStr">
        <is>
          <t>PAPER_CALL_LOW_EDGE</t>
        </is>
      </c>
      <c r="AP13" s="24" t="inlineStr">
        <is>
          <t>PARIVISION</t>
        </is>
      </c>
      <c r="AQ13" s="24" t="inlineStr">
        <is>
          <t>PARIVISION</t>
        </is>
      </c>
      <c r="AR13" s="24" t="inlineStr">
        <is>
          <t>PARIVISION</t>
        </is>
      </c>
      <c r="AS13" s="24" t="inlineStr">
        <is>
          <t>Team Spirit</t>
        </is>
      </c>
      <c r="AT13" s="24" t="inlineStr">
        <is>
          <t>Team Spirit</t>
        </is>
      </c>
      <c r="AU13" s="24" t="inlineStr">
        <is>
          <t>Team Spirit</t>
        </is>
      </c>
      <c r="AV13" s="24" t="n"/>
      <c r="AW13" s="24" t="n"/>
      <c r="AX13" s="24" t="inlineStr">
        <is>
          <t>statistical_model</t>
        </is>
      </c>
      <c r="AY13" s="24" t="n"/>
      <c r="AZ13" s="24" t="inlineStr">
        <is>
          <t>shadow_qualified</t>
        </is>
      </c>
      <c r="BA13" s="24" t="inlineStr">
        <is>
          <t>e6ad89a5d5cd9c957bca5c6f529924ed1cad0a73c03e4b728aadeb70a4c6c573</t>
        </is>
      </c>
      <c r="BB13" s="24" t="inlineStr">
        <is>
          <t>neutral_elo</t>
        </is>
      </c>
      <c r="BC13" s="24" t="inlineStr">
        <is>
          <t>dota2-total-tiered-elo-v6</t>
        </is>
      </c>
      <c r="BD13" s="24" t="inlineStr">
        <is>
          <t>e6ad89a5d5cd9c957bca5c6f529924ed1cad0a73c03e4b728aadeb70a4c6c573</t>
        </is>
      </c>
      <c r="BE13" s="24" t="inlineStr">
        <is>
          <t>1</t>
        </is>
      </c>
      <c r="BF13" s="24" t="inlineStr">
        <is>
          <t>1</t>
        </is>
      </c>
      <c r="BG13" s="24" t="inlineStr">
        <is>
          <t>dota2-total-tiered-elo-v6</t>
        </is>
      </c>
      <c r="BH13" s="24" t="inlineStr">
        <is>
          <t>2026-10-11T07:25:29.357917Z</t>
        </is>
      </c>
      <c r="BI13" s="24" t="inlineStr">
        <is>
          <t>["same_event","same_team_same_day","same_league_same_day"]</t>
        </is>
      </c>
      <c r="BJ13" s="25" t="n">
        <v>2.5</v>
      </c>
      <c r="BK13" s="26" t="n">
        <v>-127</v>
      </c>
      <c r="BL13" s="27" t="n">
        <v>1.787402</v>
      </c>
      <c r="BM13" s="28" t="n">
        <v>0.5594710000000001</v>
      </c>
      <c r="BN13" s="28" t="n"/>
      <c r="BO13" s="28" t="n"/>
      <c r="BP13" s="25" t="n"/>
      <c r="BQ13" s="27" t="n"/>
      <c r="BR13" s="28" t="n"/>
      <c r="BS13" s="28" t="n"/>
      <c r="BT13" s="28" t="n"/>
      <c r="BU13" s="25" t="n"/>
      <c r="BV13" s="29" t="n"/>
      <c r="BW13" s="24" t="n"/>
      <c r="BX13" s="30" t="n"/>
      <c r="BY13" s="27" t="n"/>
      <c r="BZ13" s="24" t="n"/>
      <c r="CA13" s="31" t="n"/>
      <c r="CB13" s="24" t="n"/>
      <c r="CC13" s="24" t="n"/>
      <c r="CD13" s="24" t="n"/>
      <c r="CE13" s="24" t="n"/>
      <c r="CF13" s="24" t="n"/>
      <c r="CG13" s="24" t="n"/>
      <c r="CH13" s="24" t="n"/>
      <c r="CI13" s="24" t="n"/>
      <c r="CJ13" s="24" t="n"/>
      <c r="CK13" s="24" t="n"/>
      <c r="CL13" s="24" t="n"/>
      <c r="CM13" s="24" t="n"/>
      <c r="CN13" s="24" t="n"/>
      <c r="CO13" s="24" t="n"/>
      <c r="CP13" s="24" t="n"/>
      <c r="CQ13" s="24" t="n"/>
      <c r="CR13" s="24" t="n"/>
      <c r="CS13" s="24" t="inlineStr">
        <is>
          <t>False</t>
        </is>
      </c>
      <c r="CT13" s="24" t="n"/>
      <c r="CU13" s="24" t="n"/>
      <c r="CV13" s="24" t="n"/>
      <c r="CW13" s="24" t="n"/>
      <c r="CX13" s="24" t="n"/>
      <c r="CY13" s="24" t="n"/>
      <c r="CZ13" s="24" t="n"/>
      <c r="DA13" s="24" t="n"/>
      <c r="DB13" s="24" t="n"/>
      <c r="DC13" s="24" t="n"/>
      <c r="DD13" s="24" t="n"/>
      <c r="DE13" s="24" t="n"/>
      <c r="DF13" s="24" t="n"/>
      <c r="DG13" s="24" t="n"/>
      <c r="DH13" s="24" t="n"/>
      <c r="DI13" s="24" t="n"/>
      <c r="DJ13" s="24" t="n"/>
      <c r="DK13" s="24" t="n"/>
      <c r="DL13" s="24" t="n"/>
      <c r="DM13" s="24" t="n"/>
      <c r="DN13" s="24" t="n"/>
      <c r="DO13" s="24" t="n"/>
      <c r="DP13" s="24" t="n"/>
      <c r="DQ13" s="24" t="n"/>
    </row>
    <row r="14" ht="36" customHeight="1">
      <c r="A14" s="24" t="inlineStr">
        <is>
          <t>853dabd1bf3242d5</t>
        </is>
      </c>
      <c r="B14" s="24" t="inlineStr">
        <is>
          <t>2026-10-11T07:26:10.574372Z</t>
        </is>
      </c>
      <c r="C14" s="24" t="inlineStr">
        <is>
          <t>2026-10-11T09:00:00Z</t>
        </is>
      </c>
      <c r="D14" s="24" t="inlineStr">
        <is>
          <t>153110</t>
        </is>
      </c>
      <c r="E14" s="24" t="inlineStr">
        <is>
          <t>DOTA2</t>
        </is>
      </c>
      <c r="F14" s="24" t="inlineStr">
        <is>
          <t>PARIVISION</t>
        </is>
      </c>
      <c r="G14" s="24" t="inlineStr">
        <is>
          <t>Team Spirit</t>
        </is>
      </c>
      <c r="H14" s="24" t="inlineStr">
        <is>
          <t>moneyline</t>
        </is>
      </c>
      <c r="I14" s="24" t="inlineStr">
        <is>
          <t>away</t>
        </is>
      </c>
      <c r="J14" s="25" t="n"/>
      <c r="K14" s="24" t="inlineStr">
        <is>
          <t>polymarket_us</t>
        </is>
      </c>
      <c r="L14" s="26" t="n">
        <v>-233</v>
      </c>
      <c r="M14" s="27" t="n">
        <v>1.429185</v>
      </c>
      <c r="N14" s="28" t="n">
        <v>0.6997</v>
      </c>
      <c r="O14" s="28" t="n">
        <v>0.54183</v>
      </c>
      <c r="P14" s="28" t="n"/>
      <c r="Q14" s="28" t="n">
        <v>-0.15787</v>
      </c>
      <c r="R14" s="26" t="n">
        <v>0</v>
      </c>
      <c r="S14" s="29" t="n">
        <v>1</v>
      </c>
      <c r="T14" s="24" t="inlineStr">
        <is>
          <t>dota2-tiered-elo-v6</t>
        </is>
      </c>
      <c r="U14" s="24" t="inlineStr">
        <is>
          <t>settled</t>
        </is>
      </c>
      <c r="V14" s="24" t="inlineStr">
        <is>
          <t>loss</t>
        </is>
      </c>
      <c r="W14" s="26" t="n">
        <v>0</v>
      </c>
      <c r="X14" s="26" t="n">
        <v>1</v>
      </c>
      <c r="Y14" s="25" t="n"/>
      <c r="Z14" s="26" t="n">
        <v>-233</v>
      </c>
      <c r="AA14" s="28" t="n">
        <v>0.7</v>
      </c>
      <c r="AB14" s="28" t="n">
        <v>0.0003</v>
      </c>
      <c r="AC14" s="30" t="n">
        <v>-1</v>
      </c>
      <c r="AD14" s="24" t="inlineStr">
        <is>
          <t>2026-10-11T16:03:34.542488Z</t>
        </is>
      </c>
      <c r="AE14" s="31" t="inlineStr">
        <is>
          <t>Neutral Elo baseline; executable ask 0.7000 (market_slug=aec-dota2-ts-pari-2026-10-11).</t>
        </is>
      </c>
      <c r="AF14" s="31" t="inlineStr">
        <is>
          <t>Config-promoted esports baseline; gates enforced at log time.</t>
        </is>
      </c>
      <c r="AG14" s="24" t="inlineStr">
        <is>
          <t>review_required</t>
        </is>
      </c>
      <c r="AH14" s="24" t="n"/>
      <c r="AI14" s="31" t="n"/>
      <c r="AJ14" s="31" t="n"/>
      <c r="AK14" s="24" t="inlineStr">
        <is>
          <t>paper_call</t>
        </is>
      </c>
      <c r="AL14" s="26" t="n">
        <v>4</v>
      </c>
      <c r="AM14" s="24" t="inlineStr">
        <is>
          <t>RESEARCH_OBSERVATION</t>
        </is>
      </c>
      <c r="AN14" s="24" t="inlineStr">
        <is>
          <t>CALL</t>
        </is>
      </c>
      <c r="AO14" s="24" t="inlineStr">
        <is>
          <t>PAPER_CALL_LOW_EDGE</t>
        </is>
      </c>
      <c r="AP14" s="24" t="inlineStr">
        <is>
          <t>PARIVISION</t>
        </is>
      </c>
      <c r="AQ14" s="24" t="inlineStr">
        <is>
          <t>PARIVISION</t>
        </is>
      </c>
      <c r="AR14" s="24" t="inlineStr">
        <is>
          <t>PARIVISION</t>
        </is>
      </c>
      <c r="AS14" s="24" t="inlineStr">
        <is>
          <t>Team Spirit</t>
        </is>
      </c>
      <c r="AT14" s="24" t="inlineStr">
        <is>
          <t>Team Spirit</t>
        </is>
      </c>
      <c r="AU14" s="24" t="inlineStr">
        <is>
          <t>Team Spirit</t>
        </is>
      </c>
      <c r="AV14" s="24" t="n"/>
      <c r="AW14" s="24" t="n"/>
      <c r="AX14" s="24" t="inlineStr">
        <is>
          <t>statistical_model</t>
        </is>
      </c>
      <c r="AY14" s="24" t="n"/>
      <c r="AZ14" s="24" t="inlineStr">
        <is>
          <t>shadow_qualified</t>
        </is>
      </c>
      <c r="BA14" s="24" t="inlineStr">
        <is>
          <t>e6ad89a5d5cd9c957bca5c6f529924ed1cad0a73c03e4b728aadeb70a4c6c573</t>
        </is>
      </c>
      <c r="BB14" s="24" t="inlineStr">
        <is>
          <t>neutral_elo</t>
        </is>
      </c>
      <c r="BC14" s="24" t="inlineStr">
        <is>
          <t>dota2-tiered-elo-v6</t>
        </is>
      </c>
      <c r="BD14" s="24" t="inlineStr">
        <is>
          <t>e6ad89a5d5cd9c957bca5c6f529924ed1cad0a73c03e4b728aadeb70a4c6c573</t>
        </is>
      </c>
      <c r="BE14" s="24" t="inlineStr">
        <is>
          <t>1</t>
        </is>
      </c>
      <c r="BF14" s="24" t="inlineStr">
        <is>
          <t>1</t>
        </is>
      </c>
      <c r="BG14" s="24" t="inlineStr">
        <is>
          <t>dota2-tiered-elo-v6</t>
        </is>
      </c>
      <c r="BH14" s="24" t="inlineStr">
        <is>
          <t>2026-10-11T07:25:39.511900Z</t>
        </is>
      </c>
      <c r="BI14" s="24" t="inlineStr">
        <is>
          <t>["same_event","same_team_same_day","same_league_same_day"]</t>
        </is>
      </c>
      <c r="BJ14" s="25" t="n"/>
      <c r="BK14" s="26" t="n">
        <v>-233</v>
      </c>
      <c r="BL14" s="27" t="n">
        <v>1.429185</v>
      </c>
      <c r="BM14" s="28" t="n">
        <v>0.6997</v>
      </c>
      <c r="BN14" s="28" t="n"/>
      <c r="BO14" s="28" t="n"/>
      <c r="BP14" s="25" t="n"/>
      <c r="BQ14" s="27" t="n">
        <v>1.429185</v>
      </c>
      <c r="BR14" s="28" t="n">
        <v>0.7</v>
      </c>
      <c r="BS14" s="28" t="n"/>
      <c r="BT14" s="28" t="n"/>
      <c r="BU14" s="25" t="n"/>
      <c r="BV14" s="29" t="n"/>
      <c r="BW14" s="24" t="n"/>
      <c r="BX14" s="30" t="n"/>
      <c r="BY14" s="27" t="n"/>
      <c r="BZ14" s="24" t="n"/>
      <c r="CA14" s="31" t="n"/>
      <c r="CB14" s="24" t="n"/>
      <c r="CC14" s="24" t="n"/>
      <c r="CD14" s="24" t="n"/>
      <c r="CE14" s="24" t="n"/>
      <c r="CF14" s="24" t="n"/>
      <c r="CG14" s="24" t="n"/>
      <c r="CH14" s="24" t="n"/>
      <c r="CI14" s="24" t="n"/>
      <c r="CJ14" s="24" t="n"/>
      <c r="CK14" s="24" t="n"/>
      <c r="CL14" s="24" t="n"/>
      <c r="CM14" s="24" t="n"/>
      <c r="CN14" s="24" t="n"/>
      <c r="CO14" s="24" t="n"/>
      <c r="CP14" s="24" t="n"/>
      <c r="CQ14" s="24" t="n"/>
      <c r="CR14" s="24" t="n"/>
      <c r="CS14" s="24" t="inlineStr">
        <is>
          <t>False</t>
        </is>
      </c>
      <c r="CT14" s="24" t="n"/>
      <c r="CU14" s="24" t="n"/>
      <c r="CV14" s="24" t="n"/>
      <c r="CW14" s="24" t="n"/>
      <c r="CX14" s="24" t="n"/>
      <c r="CY14" s="24" t="n"/>
      <c r="CZ14" s="24" t="n"/>
      <c r="DA14" s="24" t="n"/>
      <c r="DB14" s="24" t="n"/>
      <c r="DC14" s="24" t="n"/>
      <c r="DD14" s="24" t="n"/>
      <c r="DE14" s="24" t="n"/>
      <c r="DF14" s="24" t="n"/>
      <c r="DG14" s="24" t="n"/>
      <c r="DH14" s="24" t="n"/>
      <c r="DI14" s="24" t="n"/>
      <c r="DJ14" s="24" t="n"/>
      <c r="DK14" s="24" t="n"/>
      <c r="DL14" s="24" t="n"/>
      <c r="DM14" s="24" t="n"/>
      <c r="DN14" s="24" t="n"/>
      <c r="DO14" s="24" t="n"/>
      <c r="DP14" s="24" t="n"/>
      <c r="DQ14" s="24" t="inlineStr">
        <is>
          <t>{"artifact_hash": "e6ad89a5d5cd9c957bca5c6f529924ed1cad0a73c03e4b728aadeb70a4c6c573", "away_team": "PARIVISION", "event_id": "153110", "event_start_utc": "2026-10-11T09:00:00Z", "features": {"away_elo": 2325.396544, "away_history_count": 251, "home_elo": 2270.921466, "home_history_count": 344}, "historical_source_observation_times_verified": false, "home_team": "Team Spirit", "inference_inputs": {"book_state": {"games_played": {"bo3:4:16704": 344, "bo3:4:18604": 251}, "inactivity_half_life_days": null, "inactivity_max_pull": null, "k": 48.0, "last_match_utc": {"bo3:4:16704": "2026-10-10T10:30:00Z", "bo3:4:18604": "2026-10-10T13:20:00Z"}, "minimum_reliable_games": null, "platt_intercept": 0.06964891143172529, "platt_slope": 0.8461580414660153, "ratings": {"bo3:4:16704": 2270.921466, "bo3:4:18604": 2325.396544}, "recency_half_life_days": null, "recency_max_boost": null, "temperature": 1.18, "thin_data_max_shrink": null, "tier_weights": null}, "code_sha256": {"esports.py": "8d25951d04320147b4f82f35408c7948ac3d6a80af203ada3bac1aa630e7b330", "features/elo_ratings.py": "8525faf022a6343c452286dbfeb17dbb043744c6bdabbe448b6b371216da439b"}, "reference_date": "2026-10-11T07:25:19.138673+00:00", "team_ids": ["bo3:4:16704", "bo3:4:18604"]}, "market_type": "moneyline", "model_version": "dota2-tiered-elo-v6", "observed_at_utc": "2026-10-11T07:25:19.138673+00:00", "probabilities": {"away": 0.54183, "home": 0.45817}, "replay_scope": "Exact serving book state, calibration, temperature, inactivity reference and thin-history adjustments; training provenance not certified.", "schema": "esports-elo-replay-v1", "snapshot_hash": "7ef12b2318ffb4a13595ab212d3c9d59bb0fcf17abd3a4bcbdeff288b0edcf16", "sport": "DOTA2"}</t>
        </is>
      </c>
    </row>
    <row r="15" ht="36" customHeight="1">
      <c r="A15" s="24" t="inlineStr">
        <is>
          <t>1ab61cbd5b9e4962</t>
        </is>
      </c>
      <c r="B15" s="24" t="inlineStr">
        <is>
          <t>2026-10-13T05:56:44.892731Z</t>
        </is>
      </c>
      <c r="C15" s="24" t="inlineStr">
        <is>
          <t>2026-10-13T07:00:00Z</t>
        </is>
      </c>
      <c r="D15" s="24" t="inlineStr">
        <is>
          <t>156703</t>
        </is>
      </c>
      <c r="E15" s="24" t="inlineStr">
        <is>
          <t>DOTA2</t>
        </is>
      </c>
      <c r="F15" s="24" t="inlineStr">
        <is>
          <t>Zero Tenacity</t>
        </is>
      </c>
      <c r="G15" s="24" t="inlineStr">
        <is>
          <t>Team Lynx</t>
        </is>
      </c>
      <c r="H15" s="24" t="inlineStr">
        <is>
          <t>moneyline</t>
        </is>
      </c>
      <c r="I15" s="24" t="inlineStr">
        <is>
          <t>home</t>
        </is>
      </c>
      <c r="J15" s="25" t="n"/>
      <c r="K15" s="24" t="inlineStr">
        <is>
          <t>polymarket_us</t>
        </is>
      </c>
      <c r="L15" s="26" t="n">
        <v>-150</v>
      </c>
      <c r="M15" s="27" t="n">
        <v>1.666667</v>
      </c>
      <c r="N15" s="28" t="n">
        <v>0.6</v>
      </c>
      <c r="O15" s="28" t="n">
        <v>0.652763</v>
      </c>
      <c r="P15" s="28" t="n"/>
      <c r="Q15" s="28" t="n">
        <v>0.052763</v>
      </c>
      <c r="R15" s="26" t="n">
        <v>46</v>
      </c>
      <c r="S15" s="29" t="n">
        <v>1</v>
      </c>
      <c r="T15" s="24" t="inlineStr">
        <is>
          <t>dota2-tiered-elo-v6</t>
        </is>
      </c>
      <c r="U15" s="24" t="inlineStr">
        <is>
          <t>settled</t>
        </is>
      </c>
      <c r="V15" s="24" t="inlineStr">
        <is>
          <t>win</t>
        </is>
      </c>
      <c r="W15" s="26" t="n">
        <v>0</v>
      </c>
      <c r="X15" s="26" t="n">
        <v>1</v>
      </c>
      <c r="Y15" s="25" t="n"/>
      <c r="Z15" s="26" t="n"/>
      <c r="AA15" s="28" t="n"/>
      <c r="AB15" s="28" t="n"/>
      <c r="AC15" s="30" t="n">
        <v>0.6667</v>
      </c>
      <c r="AD15" s="24" t="inlineStr">
        <is>
          <t>2026-10-13T16:16:25.193560Z</t>
        </is>
      </c>
      <c r="AE15" s="31" t="inlineStr">
        <is>
          <t>Neutral Elo baseline; executable ask 0.6000 (market_slug=aec-dota2-lynx-z10-2026-10-13).</t>
        </is>
      </c>
      <c r="AF15" s="31" t="inlineStr">
        <is>
          <t>Config-promoted esports baseline; gates enforced at log time.</t>
        </is>
      </c>
      <c r="AG15" s="24" t="inlineStr">
        <is>
          <t>not_applicable</t>
        </is>
      </c>
      <c r="AH15" s="24" t="n"/>
      <c r="AI15" s="31" t="n"/>
      <c r="AJ15" s="31" t="n"/>
      <c r="AK15" s="24" t="inlineStr">
        <is>
          <t>model_qualified</t>
        </is>
      </c>
      <c r="AL15" s="26" t="n">
        <v>4</v>
      </c>
      <c r="AM15" s="24" t="inlineStr">
        <is>
          <t>QUALIFIED_SHADOW_CALL</t>
        </is>
      </c>
      <c r="AN15" s="24" t="inlineStr">
        <is>
          <t>CALL</t>
        </is>
      </c>
      <c r="AO15" s="24" t="inlineStr">
        <is>
          <t>QUALIFIED</t>
        </is>
      </c>
      <c r="AP15" s="24" t="inlineStr">
        <is>
          <t>Zero Tenacity</t>
        </is>
      </c>
      <c r="AQ15" s="24" t="inlineStr">
        <is>
          <t>Zero Tenacity</t>
        </is>
      </c>
      <c r="AR15" s="24" t="inlineStr">
        <is>
          <t>Zero Tenacity</t>
        </is>
      </c>
      <c r="AS15" s="24" t="inlineStr">
        <is>
          <t>Team Lynx</t>
        </is>
      </c>
      <c r="AT15" s="24" t="inlineStr">
        <is>
          <t>Team Lynx</t>
        </is>
      </c>
      <c r="AU15" s="24" t="inlineStr">
        <is>
          <t>Team Lynx</t>
        </is>
      </c>
      <c r="AV15" s="24" t="n"/>
      <c r="AW15" s="24" t="n"/>
      <c r="AX15" s="24" t="inlineStr">
        <is>
          <t>statistical_model</t>
        </is>
      </c>
      <c r="AY15" s="24" t="n"/>
      <c r="AZ15" s="24" t="inlineStr">
        <is>
          <t>shadow_qualified</t>
        </is>
      </c>
      <c r="BA15" s="24" t="inlineStr">
        <is>
          <t>498068cbee0b727d651d5d989f095e8a43ce7662aad212f07b645d438261f98f</t>
        </is>
      </c>
      <c r="BB15" s="24" t="inlineStr">
        <is>
          <t>neutral_elo</t>
        </is>
      </c>
      <c r="BC15" s="24" t="inlineStr">
        <is>
          <t>dota2-tiered-elo-v6</t>
        </is>
      </c>
      <c r="BD15" s="24" t="inlineStr">
        <is>
          <t>498068cbee0b727d651d5d989f095e8a43ce7662aad212f07b645d438261f98f</t>
        </is>
      </c>
      <c r="BE15" s="24" t="inlineStr">
        <is>
          <t>1</t>
        </is>
      </c>
      <c r="BF15" s="24" t="inlineStr">
        <is>
          <t>1</t>
        </is>
      </c>
      <c r="BG15" s="24" t="inlineStr">
        <is>
          <t>dota2-tiered-elo-v6</t>
        </is>
      </c>
      <c r="BH15" s="24" t="inlineStr">
        <is>
          <t>2026-10-13T05:50:34.514198Z</t>
        </is>
      </c>
      <c r="BI15" s="24" t="inlineStr">
        <is>
          <t>["same_event","same_team_same_day","same_league_same_day"]</t>
        </is>
      </c>
      <c r="BJ15" s="25" t="n"/>
      <c r="BK15" s="26" t="n">
        <v>-150</v>
      </c>
      <c r="BL15" s="27" t="n">
        <v>1.666667</v>
      </c>
      <c r="BM15" s="28" t="n">
        <v>0.6</v>
      </c>
      <c r="BN15" s="28" t="n"/>
      <c r="BO15" s="28" t="n"/>
      <c r="BP15" s="25" t="n"/>
      <c r="BQ15" s="27" t="n"/>
      <c r="BR15" s="28" t="n"/>
      <c r="BS15" s="28" t="n"/>
      <c r="BT15" s="28" t="n"/>
      <c r="BU15" s="25" t="n"/>
      <c r="BV15" s="29" t="n"/>
      <c r="BW15" s="24" t="n"/>
      <c r="BX15" s="30" t="n"/>
      <c r="BY15" s="27" t="n"/>
      <c r="BZ15" s="24" t="n"/>
      <c r="CA15" s="31" t="n"/>
      <c r="CB15" s="24" t="n"/>
      <c r="CC15" s="24" t="n"/>
      <c r="CD15" s="24" t="n"/>
      <c r="CE15" s="24" t="n"/>
      <c r="CF15" s="24" t="n"/>
      <c r="CG15" s="24" t="n"/>
      <c r="CH15" s="24" t="n"/>
      <c r="CI15" s="24" t="n"/>
      <c r="CJ15" s="24" t="n"/>
      <c r="CK15" s="24" t="n"/>
      <c r="CL15" s="24" t="n"/>
      <c r="CM15" s="24" t="n"/>
      <c r="CN15" s="24" t="n"/>
      <c r="CO15" s="24" t="n"/>
      <c r="CP15" s="24" t="n"/>
      <c r="CQ15" s="24" t="n"/>
      <c r="CR15" s="24" t="n"/>
      <c r="CS15" s="24" t="inlineStr">
        <is>
          <t>True</t>
        </is>
      </c>
      <c r="CT15" s="24" t="n"/>
      <c r="CU15" s="24" t="n"/>
      <c r="CV15" s="24" t="n"/>
      <c r="CW15" s="24" t="n"/>
      <c r="CX15" s="24" t="n"/>
      <c r="CY15" s="24" t="n"/>
      <c r="CZ15" s="24" t="n"/>
      <c r="DA15" s="24" t="n"/>
      <c r="DB15" s="24" t="n"/>
      <c r="DC15" s="24" t="n"/>
      <c r="DD15" s="24" t="n"/>
      <c r="DE15" s="24" t="n"/>
      <c r="DF15" s="24" t="n"/>
      <c r="DG15" s="24" t="n"/>
      <c r="DH15" s="24" t="n"/>
      <c r="DI15" s="24" t="n"/>
      <c r="DJ15" s="24" t="n"/>
      <c r="DK15" s="24" t="n"/>
      <c r="DL15" s="24" t="n"/>
      <c r="DM15" s="24" t="n"/>
      <c r="DN15" s="24" t="n"/>
      <c r="DO15" s="24" t="n"/>
      <c r="DP15" s="24" t="n"/>
      <c r="DQ15" s="24" t="inlineStr">
        <is>
          <t>{"artifact_hash": "498068cbee0b727d651d5d989f095e8a43ce7662aad212f07b645d438261f98f", "away_team": "Zero Tenacity", "event_id": "156703", "event_start_utc": "2026-10-13T07:00:00Z", "features": {"away_elo": 1583.870909, "away_history_count": 349, "home_elo": 1720.880148, "home_history_count": 185}, "historical_source_observation_times_verified": false, "home_team": "Team Lynx", "inference_inputs": {"book_state": {"games_played": {"bo3:4:18713": 349, "bo3:4:19913": 185}, "inactivity_half_life_days": null, "inactivity_max_pull": null, "k": 48.0, "last_match_utc": {"bo3:4:18713": "2026-10-09T16:25:00Z", "bo3:4:19913": "2026-10-12T16:40:00Z"}, "minimum_reliable_games": null, "platt_intercept": 0.06660293057110224, "platt_slope": 0.8502014663873206, "ratings": {"bo3:4:18713": 1583.870909, "bo3:4:19913": 1720.880148},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"2026-10-13T05:50:34.431410+00:00", "team_ids": ["bo3:4:19913", "bo3:4:18713"]}, "market_type": "moneyline", "model_version": "dota2-tiered-elo-v6", "observed_at_utc": "2026-10-13T05:50:34.431410+00:00", "probabilities": {"away": 0.347237, "home": 0.652763}, "replay_scope": "Exact serving book state, calibration, temperature, inactivity reference and thin-history adjustments; training provenance not certified.", "schema": "esports-elo-replay-v1", "snapshot_hash": "a76a3bddcb7e8437baf8b35cd3af51cda6bb163aaaf843d281e21e8ee20c5ba1", "sport": "DOTA2"}</t>
        </is>
      </c>
    </row>
    <row r="16" ht="36" customHeight="1">
      <c r="A16" s="24" t="inlineStr">
        <is>
          <t>b3e3535eb22648f5</t>
        </is>
      </c>
      <c r="B16" s="24" t="inlineStr">
        <is>
          <t>2026-10-13T05:56:44.892731Z</t>
        </is>
      </c>
      <c r="C16" s="24" t="inlineStr">
        <is>
          <t>2026-10-13T07:00:00Z</t>
        </is>
      </c>
      <c r="D16" s="24" t="inlineStr">
        <is>
          <t>156703</t>
        </is>
      </c>
      <c r="E16" s="24" t="inlineStr">
        <is>
          <t>DOTA2</t>
        </is>
      </c>
      <c r="F16" s="24" t="inlineStr">
        <is>
          <t>Zero Tenacity</t>
        </is>
      </c>
      <c r="G16" s="24" t="inlineStr">
        <is>
          <t>Team Lynx</t>
        </is>
      </c>
      <c r="H16" s="24" t="inlineStr">
        <is>
          <t>total</t>
        </is>
      </c>
      <c r="I16" s="24" t="inlineStr">
        <is>
          <t>under</t>
        </is>
      </c>
      <c r="J16" s="25" t="n">
        <v>2.5</v>
      </c>
      <c r="K16" s="24" t="inlineStr">
        <is>
          <t>polymarket_us</t>
        </is>
      </c>
      <c r="L16" s="26" t="n">
        <v>-122</v>
      </c>
      <c r="M16" s="27" t="n">
        <v>1.819672</v>
      </c>
      <c r="N16" s="28" t="n">
        <v>0.54955</v>
      </c>
      <c r="O16" s="28" t="n">
        <v>0.521347</v>
      </c>
      <c r="P16" s="28" t="n"/>
      <c r="Q16" s="28" t="n">
        <v>-0.028203</v>
      </c>
      <c r="R16" s="26" t="n">
        <v>6</v>
      </c>
      <c r="S16" s="29" t="n">
        <v>1</v>
      </c>
      <c r="T16" s="24" t="inlineStr">
        <is>
          <t>dota2-total-tiered-elo-v6</t>
        </is>
      </c>
      <c r="U16" s="24" t="inlineStr">
        <is>
          <t>settled</t>
        </is>
      </c>
      <c r="V16" s="24" t="inlineStr">
        <is>
          <t>loss</t>
        </is>
      </c>
      <c r="W16" s="26" t="n">
        <v>1</v>
      </c>
      <c r="X16" s="26" t="n">
        <v>2</v>
      </c>
      <c r="Y16" s="25" t="n"/>
      <c r="Z16" s="26" t="n"/>
      <c r="AA16" s="28" t="n"/>
      <c r="AB16" s="28" t="n"/>
      <c r="AC16" s="30" t="n">
        <v>-1</v>
      </c>
      <c r="AD16" s="24" t="inlineStr">
        <is>
          <t>2026-10-13T10:08:19.007349Z</t>
        </is>
      </c>
      <c r="AE16" s="31" t="inlineStr">
        <is>
          <t>Neutral Elo baseline; executable ask 0.5500 (market_slug=tsc-dota2-lynx-z10-2026-10-13-tot-2pt5).</t>
        </is>
      </c>
      <c r="AF16" s="31" t="inlineStr">
        <is>
          <t>Config-promoted esports baseline; gates enforced at log time.</t>
        </is>
      </c>
      <c r="AG16" s="24" t="inlineStr">
        <is>
          <t>review_required</t>
        </is>
      </c>
      <c r="AH16" s="24" t="n"/>
      <c r="AI16" s="31" t="n"/>
      <c r="AJ16" s="31" t="n"/>
      <c r="AK16" s="24" t="inlineStr">
        <is>
          <t>paper_call</t>
        </is>
      </c>
      <c r="AL16" s="26" t="n">
        <v>4</v>
      </c>
      <c r="AM16" s="24" t="inlineStr">
        <is>
          <t>RESEARCH_OBSERVATION</t>
        </is>
      </c>
      <c r="AN16" s="24" t="inlineStr">
        <is>
          <t>CALL</t>
        </is>
      </c>
      <c r="AO16" s="24" t="inlineStr">
        <is>
          <t>PAPER_CALL_LOW_EDGE</t>
        </is>
      </c>
      <c r="AP16" s="24" t="inlineStr">
        <is>
          <t>Zero Tenacity</t>
        </is>
      </c>
      <c r="AQ16" s="24" t="inlineStr">
        <is>
          <t>Zero Tenacity</t>
        </is>
      </c>
      <c r="AR16" s="24" t="inlineStr">
        <is>
          <t>Zero Tenacity</t>
        </is>
      </c>
      <c r="AS16" s="24" t="inlineStr">
        <is>
          <t>Team Lynx</t>
        </is>
      </c>
      <c r="AT16" s="24" t="inlineStr">
        <is>
          <t>Team Lynx</t>
        </is>
      </c>
      <c r="AU16" s="24" t="inlineStr">
        <is>
          <t>Team Lynx</t>
        </is>
      </c>
      <c r="AV16" s="24" t="n"/>
      <c r="AW16" s="24" t="n"/>
      <c r="AX16" s="24" t="inlineStr">
        <is>
          <t>statistical_model</t>
        </is>
      </c>
      <c r="AY16" s="24" t="n"/>
      <c r="AZ16" s="24" t="inlineStr">
        <is>
          <t>shadow_qualified</t>
        </is>
      </c>
      <c r="BA16" s="24" t="inlineStr">
        <is>
          <t>498068cbee0b727d651d5d989f095e8a43ce7662aad212f07b645d438261f98f</t>
        </is>
      </c>
      <c r="BB16" s="24" t="inlineStr">
        <is>
          <t>neutral_elo</t>
        </is>
      </c>
      <c r="BC16" s="24" t="inlineStr">
        <is>
          <t>dota2-total-tiered-elo-v6</t>
        </is>
      </c>
      <c r="BD16" s="24" t="inlineStr">
        <is>
          <t>498068cbee0b727d651d5d989f095e8a43ce7662aad212f07b645d438261f98f</t>
        </is>
      </c>
      <c r="BE16" s="24" t="inlineStr">
        <is>
          <t>1</t>
        </is>
      </c>
      <c r="BF16" s="24" t="inlineStr">
        <is>
          <t>1</t>
        </is>
      </c>
      <c r="BG16" s="24" t="inlineStr">
        <is>
          <t>dota2-total-tiered-elo-v6</t>
        </is>
      </c>
      <c r="BH16" s="24" t="inlineStr">
        <is>
          <t>2026-10-13T05:51:15.148583Z</t>
        </is>
      </c>
      <c r="BI16" s="24" t="inlineStr">
        <is>
          <t>["same_event","same_team_same_day","same_league_same_day"]</t>
        </is>
      </c>
      <c r="BJ16" s="25" t="n">
        <v>2.5</v>
      </c>
      <c r="BK16" s="26" t="n">
        <v>-122</v>
      </c>
      <c r="BL16" s="27" t="n">
        <v>1.819672</v>
      </c>
      <c r="BM16" s="28" t="n">
        <v>0.54955</v>
      </c>
      <c r="BN16" s="28" t="n"/>
      <c r="BO16" s="28" t="n"/>
      <c r="BP16" s="25" t="n"/>
      <c r="BQ16" s="27" t="n"/>
      <c r="BR16" s="28" t="n"/>
      <c r="BS16" s="28" t="n"/>
      <c r="BT16" s="28" t="n"/>
      <c r="BU16" s="25" t="n"/>
      <c r="BV16" s="29" t="n"/>
      <c r="BW16" s="24" t="n"/>
      <c r="BX16" s="30" t="n"/>
      <c r="BY16" s="27" t="n"/>
      <c r="BZ16" s="24" t="n"/>
      <c r="CA16" s="31" t="n"/>
      <c r="CB16" s="24" t="n"/>
      <c r="CC16" s="24" t="n"/>
      <c r="CD16" s="24" t="n"/>
      <c r="CE16" s="24" t="n"/>
      <c r="CF16" s="24" t="n"/>
      <c r="CG16" s="24" t="n"/>
      <c r="CH16" s="24" t="n"/>
      <c r="CI16" s="24" t="n"/>
      <c r="CJ16" s="24" t="n"/>
      <c r="CK16" s="24" t="n"/>
      <c r="CL16" s="24" t="n"/>
      <c r="CM16" s="24" t="n"/>
      <c r="CN16" s="24" t="n"/>
      <c r="CO16" s="24" t="n"/>
      <c r="CP16" s="24" t="n"/>
      <c r="CQ16" s="24" t="n"/>
      <c r="CR16" s="24" t="n"/>
      <c r="CS16" s="24" t="inlineStr">
        <is>
          <t>False</t>
        </is>
      </c>
      <c r="CT16" s="24" t="n"/>
      <c r="CU16" s="24" t="n"/>
      <c r="CV16" s="24" t="n"/>
      <c r="CW16" s="24" t="n"/>
      <c r="CX16" s="24" t="n"/>
      <c r="CY16" s="24" t="n"/>
      <c r="CZ16" s="24" t="n"/>
      <c r="DA16" s="24" t="n"/>
      <c r="DB16" s="24" t="n"/>
      <c r="DC16" s="24" t="n"/>
      <c r="DD16" s="24" t="n"/>
      <c r="DE16" s="24" t="n"/>
      <c r="DF16" s="24" t="n"/>
      <c r="DG16" s="24" t="n"/>
      <c r="DH16" s="24" t="n"/>
      <c r="DI16" s="24" t="n"/>
      <c r="DJ16" s="24" t="n"/>
      <c r="DK16" s="24" t="n"/>
      <c r="DL16" s="24" t="n"/>
      <c r="DM16" s="24" t="n"/>
      <c r="DN16" s="24" t="n"/>
      <c r="DO16" s="24" t="n"/>
      <c r="DP16" s="24" t="n"/>
      <c r="DQ16" s="24" t="n"/>
    </row>
    <row r="17" ht="36" customHeight="1">
      <c r="A17" s="24" t="inlineStr">
        <is>
          <t>97e6148ef03847f8</t>
        </is>
      </c>
      <c r="B17" s="24" t="inlineStr">
        <is>
          <t>2026-10-13T05:56:44.892731Z</t>
        </is>
      </c>
      <c r="C17" s="24" t="inlineStr">
        <is>
          <t>2026-10-13T08:00:00Z</t>
        </is>
      </c>
      <c r="D17" s="24" t="inlineStr">
        <is>
          <t>156968</t>
        </is>
      </c>
      <c r="E17" s="24" t="inlineStr">
        <is>
          <t>DOTA2</t>
        </is>
      </c>
      <c r="F17" s="24" t="inlineStr">
        <is>
          <t>The goal of all life is death</t>
        </is>
      </c>
      <c r="G17" s="24" t="inlineStr">
        <is>
          <t>Resp Gaming</t>
        </is>
      </c>
      <c r="H17" s="24" t="inlineStr">
        <is>
          <t>moneyline</t>
        </is>
      </c>
      <c r="I17" s="24" t="inlineStr">
        <is>
          <t>home</t>
        </is>
      </c>
      <c r="J17" s="25" t="n"/>
      <c r="K17" s="24" t="inlineStr">
        <is>
          <t>polymarket_us</t>
        </is>
      </c>
      <c r="L17" s="26" t="n">
        <v>-113</v>
      </c>
      <c r="M17" s="27" t="n">
        <v>1.884956</v>
      </c>
      <c r="N17" s="28" t="n">
        <v>0.530516</v>
      </c>
      <c r="O17" s="28" t="n">
        <v>0.519271</v>
      </c>
      <c r="P17" s="28" t="n"/>
      <c r="Q17" s="28" t="n">
        <v>-0.011245</v>
      </c>
      <c r="R17" s="26" t="n">
        <v>14</v>
      </c>
      <c r="S17" s="29" t="n">
        <v>1</v>
      </c>
      <c r="T17" s="24" t="inlineStr">
        <is>
          <t>dota2-tiered-elo-v6</t>
        </is>
      </c>
      <c r="U17" s="24" t="inlineStr">
        <is>
          <t>settled</t>
        </is>
      </c>
      <c r="V17" s="24" t="inlineStr">
        <is>
          <t>win</t>
        </is>
      </c>
      <c r="W17" s="26" t="n">
        <v>0</v>
      </c>
      <c r="X17" s="26" t="n">
        <v>1</v>
      </c>
      <c r="Y17" s="25" t="n"/>
      <c r="Z17" s="26" t="n"/>
      <c r="AA17" s="28" t="n"/>
      <c r="AB17" s="28" t="n"/>
      <c r="AC17" s="30" t="n">
        <v>0.885</v>
      </c>
      <c r="AD17" s="24" t="inlineStr">
        <is>
          <t>2026-10-13T16:16:26.509439Z</t>
        </is>
      </c>
      <c r="AE17" s="31" t="inlineStr">
        <is>
          <t>Neutral Elo baseline; executable ask 0.5300 (market_slug=aec-dota2-rg-tgoalid-2026-10-13).</t>
        </is>
      </c>
      <c r="AF17" s="31" t="inlineStr">
        <is>
          <t>Config-promoted esports baseline; gates enforced at log time.</t>
        </is>
      </c>
      <c r="AG17" s="24" t="inlineStr">
        <is>
          <t>not_applicable</t>
        </is>
      </c>
      <c r="AH17" s="24" t="n"/>
      <c r="AI17" s="31" t="n"/>
      <c r="AJ17" s="31" t="n"/>
      <c r="AK17" s="24" t="inlineStr">
        <is>
          <t>paper_call</t>
        </is>
      </c>
      <c r="AL17" s="26" t="n">
        <v>4</v>
      </c>
      <c r="AM17" s="24" t="inlineStr">
        <is>
          <t>RESEARCH_OBSERVATION</t>
        </is>
      </c>
      <c r="AN17" s="24" t="inlineStr">
        <is>
          <t>CALL</t>
        </is>
      </c>
      <c r="AO17" s="24" t="inlineStr">
        <is>
          <t>PAPER_CALL_MODEL_UNVALIDATED</t>
        </is>
      </c>
      <c r="AP17" s="24" t="inlineStr">
        <is>
          <t>The goal of all life is death</t>
        </is>
      </c>
      <c r="AQ17" s="24" t="inlineStr">
        <is>
          <t>The goal of all life is death</t>
        </is>
      </c>
      <c r="AR17" s="24" t="inlineStr">
        <is>
          <t>The goal of all life is death</t>
        </is>
      </c>
      <c r="AS17" s="24" t="inlineStr">
        <is>
          <t>Resp Gaming</t>
        </is>
      </c>
      <c r="AT17" s="24" t="inlineStr">
        <is>
          <t>Resp Gaming</t>
        </is>
      </c>
      <c r="AU17" s="24" t="inlineStr">
        <is>
          <t>Resp Gaming</t>
        </is>
      </c>
      <c r="AV17" s="24" t="n"/>
      <c r="AW17" s="24" t="n"/>
      <c r="AX17" s="24" t="inlineStr">
        <is>
          <t>statistical_model</t>
        </is>
      </c>
      <c r="AY17" s="24" t="n"/>
      <c r="AZ17" s="24" t="inlineStr">
        <is>
          <t>shadow_qualified</t>
        </is>
      </c>
      <c r="BA17" s="24" t="inlineStr">
        <is>
          <t>498068cbee0b727d651d5d989f095e8a43ce7662aad212f07b645d438261f98f</t>
        </is>
      </c>
      <c r="BB17" s="24" t="inlineStr">
        <is>
          <t>neutral_elo</t>
        </is>
      </c>
      <c r="BC17" s="24" t="inlineStr">
        <is>
          <t>dota2-tiered-elo-v6</t>
        </is>
      </c>
      <c r="BD17" s="24" t="inlineStr">
        <is>
          <t>498068cbee0b727d651d5d989f095e8a43ce7662aad212f07b645d438261f98f</t>
        </is>
      </c>
      <c r="BE17" s="24" t="inlineStr">
        <is>
          <t>1</t>
        </is>
      </c>
      <c r="BF17" s="24" t="inlineStr">
        <is>
          <t>1</t>
        </is>
      </c>
      <c r="BG17" s="24" t="inlineStr">
        <is>
          <t>dota2-tiered-elo-v6</t>
        </is>
      </c>
      <c r="BH17" s="24" t="inlineStr">
        <is>
          <t>2026-10-13T05:52:25.837911Z</t>
        </is>
      </c>
      <c r="BI17" s="24" t="inlineStr">
        <is>
          <t>["same_event","same_team_same_day","same_league_same_day"]</t>
        </is>
      </c>
      <c r="BJ17" s="25" t="n"/>
      <c r="BK17" s="26" t="n">
        <v>-113</v>
      </c>
      <c r="BL17" s="27" t="n">
        <v>1.884956</v>
      </c>
      <c r="BM17" s="28" t="n">
        <v>0.530516</v>
      </c>
      <c r="BN17" s="28" t="n"/>
      <c r="BO17" s="28" t="n"/>
      <c r="BP17" s="25" t="n"/>
      <c r="BQ17" s="27" t="n"/>
      <c r="BR17" s="28" t="n"/>
      <c r="BS17" s="28" t="n"/>
      <c r="BT17" s="28" t="n"/>
      <c r="BU17" s="25" t="n"/>
      <c r="BV17" s="29" t="n"/>
      <c r="BW17" s="24" t="n"/>
      <c r="BX17" s="30" t="n"/>
      <c r="BY17" s="27" t="n"/>
      <c r="BZ17" s="24" t="n"/>
      <c r="CA17" s="31" t="n"/>
      <c r="CB17" s="24" t="n"/>
      <c r="CC17" s="24" t="n"/>
      <c r="CD17" s="24" t="n"/>
      <c r="CE17" s="24" t="n"/>
      <c r="CF17" s="24" t="n"/>
      <c r="CG17" s="24" t="n"/>
      <c r="CH17" s="24" t="n"/>
      <c r="CI17" s="24" t="n"/>
      <c r="CJ17" s="24" t="n"/>
      <c r="CK17" s="24" t="n"/>
      <c r="CL17" s="24" t="n"/>
      <c r="CM17" s="24" t="n"/>
      <c r="CN17" s="24" t="n"/>
      <c r="CO17" s="24" t="n"/>
      <c r="CP17" s="24" t="n"/>
      <c r="CQ17" s="24" t="n"/>
      <c r="CR17" s="24" t="n"/>
      <c r="CS17" s="24" t="inlineStr">
        <is>
          <t>False</t>
        </is>
      </c>
      <c r="CT17" s="24" t="n"/>
      <c r="CU17" s="24" t="n"/>
      <c r="CV17" s="24" t="n"/>
      <c r="CW17" s="24" t="n"/>
      <c r="CX17" s="24" t="n"/>
      <c r="CY17" s="24" t="n"/>
      <c r="CZ17" s="24" t="n"/>
      <c r="DA17" s="24" t="n"/>
      <c r="DB17" s="24" t="n"/>
      <c r="DC17" s="24" t="n"/>
      <c r="DD17" s="24" t="n"/>
      <c r="DE17" s="24" t="n"/>
      <c r="DF17" s="24" t="n"/>
      <c r="DG17" s="24" t="n"/>
      <c r="DH17" s="24" t="n"/>
      <c r="DI17" s="24" t="n"/>
      <c r="DJ17" s="24" t="n"/>
      <c r="DK17" s="24" t="n"/>
      <c r="DL17" s="24" t="n"/>
      <c r="DM17" s="24" t="n"/>
      <c r="DN17" s="24" t="n"/>
      <c r="DO17" s="24" t="n"/>
      <c r="DP17" s="24" t="n"/>
      <c r="DQ17" s="24" t="inlineStr">
        <is>
          <t>{"artifact_hash": "498068cbee0b727d651d5d989f095e8a43ce7662aad212f07b645d438261f98f", "away_team": "The goal of all life is death", "event_id": "156968", "event_start_utc": "2026-10-13T08:00:00Z", "features": {"away_elo": 1466.255216, "away_history_count": 23, "home_elo": 1500.0, "home_history_count": 0}, "historical_source_observation_times_verified": false, "home_team": "Resp Gaming", "inference_inputs": {"book_state": {"games_played": {"bo3:4:15069": 23}, "inactivity_half_life_days": null, "inactivity_max_pull": null, "k": 48.0, "last_match_utc": {"bo3:4:15069": "2026-08-29T08:00:00Z"}, "minimum_reliable_games": null, "platt_intercept": 0.06660293057110224, "platt_slope": 0.8502014663873206, "ratings": {"bo3:4:15069": 1466.255216},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"2026-10-13T05:50:34.431410+00:00", "team_ids": ["unknown:respgaming", "bo3:4:15069"]}, "market_type": "moneyline", "model_version": "dota2-tiered-elo-v6", "observed_at_utc": "2026-10-13T05:50:34.431410+00:00", "probabilities": {"away": 0.480729, "home": 0.519271}, "replay_scope": "Exact serving book state, calibration, temperature, inactivity reference and thin-history adjustments; training provenance not certified.", "schema": "esports-elo-replay-v1", "snapshot_hash": "3b65f483251e622ee149930e14ede499ee4b55a8bb1f06123a073c275e3e6562", "sport": "DOTA2"}</t>
        </is>
      </c>
    </row>
    <row r="18" ht="36" customHeight="1">
      <c r="A18" s="24" t="inlineStr">
        <is>
          <t>5ecfdc6cc0134507</t>
        </is>
      </c>
      <c r="B18" s="24" t="inlineStr">
        <is>
          <t>2026-10-13T05:56:44.892731Z</t>
        </is>
      </c>
      <c r="C18" s="24" t="inlineStr">
        <is>
          <t>2026-10-13T09:00:00Z</t>
        </is>
      </c>
      <c r="D18" s="24" t="inlineStr">
        <is>
          <t>156670</t>
        </is>
      </c>
      <c r="E18" s="24" t="inlineStr">
        <is>
          <t>DOTA2</t>
        </is>
      </c>
      <c r="F18" s="24" t="inlineStr">
        <is>
          <t>Nemiga Gaming</t>
        </is>
      </c>
      <c r="G18" s="24" t="inlineStr">
        <is>
          <t>HULIGANI</t>
        </is>
      </c>
      <c r="H18" s="24" t="inlineStr">
        <is>
          <t>moneyline</t>
        </is>
      </c>
      <c r="I18" s="24" t="inlineStr">
        <is>
          <t>home</t>
        </is>
      </c>
      <c r="J18" s="25" t="n"/>
      <c r="K18" s="24" t="inlineStr">
        <is>
          <t>polymarket_us</t>
        </is>
      </c>
      <c r="L18" s="26" t="n">
        <v>-127</v>
      </c>
      <c r="M18" s="27" t="n">
        <v>1.787402</v>
      </c>
      <c r="N18" s="28" t="n">
        <v>0.5594710000000001</v>
      </c>
      <c r="O18" s="28" t="n">
        <v>0.593184</v>
      </c>
      <c r="P18" s="28" t="n"/>
      <c r="Q18" s="28" t="n">
        <v>0.033713</v>
      </c>
      <c r="R18" s="26" t="n">
        <v>37</v>
      </c>
      <c r="S18" s="29" t="n">
        <v>1</v>
      </c>
      <c r="T18" s="24" t="inlineStr">
        <is>
          <t>dota2-tiered-elo-v6</t>
        </is>
      </c>
      <c r="U18" s="24" t="inlineStr">
        <is>
          <t>settled</t>
        </is>
      </c>
      <c r="V18" s="24" t="inlineStr">
        <is>
          <t>win</t>
        </is>
      </c>
      <c r="W18" s="26" t="n">
        <v>0</v>
      </c>
      <c r="X18" s="26" t="n">
        <v>1</v>
      </c>
      <c r="Y18" s="25" t="n"/>
      <c r="Z18" s="26" t="n">
        <v>-127</v>
      </c>
      <c r="AA18" s="28" t="n">
        <v>0.5600000000000001</v>
      </c>
      <c r="AB18" s="28" t="n">
        <v>0.000529</v>
      </c>
      <c r="AC18" s="30" t="n">
        <v>0.7874</v>
      </c>
      <c r="AD18" s="24" t="inlineStr">
        <is>
          <t>2026-10-13T16:16:27.687616Z</t>
        </is>
      </c>
      <c r="AE18" s="31" t="inlineStr">
        <is>
          <t>Neutral Elo baseline; executable ask 0.5600 (market_slug=aec-dota2-hul-nemiga-2026-10-13).</t>
        </is>
      </c>
      <c r="AF18" s="31" t="inlineStr">
        <is>
          <t>Config-promoted esports baseline; gates enforced at log time.</t>
        </is>
      </c>
      <c r="AG18" s="24" t="inlineStr">
        <is>
          <t>not_applicable</t>
        </is>
      </c>
      <c r="AH18" s="24" t="n"/>
      <c r="AI18" s="31" t="n"/>
      <c r="AJ18" s="31" t="n"/>
      <c r="AK18" s="24" t="inlineStr">
        <is>
          <t>model_qualified</t>
        </is>
      </c>
      <c r="AL18" s="26" t="n">
        <v>4</v>
      </c>
      <c r="AM18" s="24" t="inlineStr">
        <is>
          <t>QUALIFIED_SHADOW_CALL</t>
        </is>
      </c>
      <c r="AN18" s="24" t="inlineStr">
        <is>
          <t>CALL</t>
        </is>
      </c>
      <c r="AO18" s="24" t="inlineStr">
        <is>
          <t>QUALIFIED</t>
        </is>
      </c>
      <c r="AP18" s="24" t="inlineStr">
        <is>
          <t>Nemiga Gaming</t>
        </is>
      </c>
      <c r="AQ18" s="24" t="inlineStr">
        <is>
          <t>Nemiga Gaming</t>
        </is>
      </c>
      <c r="AR18" s="24" t="inlineStr">
        <is>
          <t>Nemiga Gaming</t>
        </is>
      </c>
      <c r="AS18" s="24" t="inlineStr">
        <is>
          <t>HULIGANI</t>
        </is>
      </c>
      <c r="AT18" s="24" t="inlineStr">
        <is>
          <t>HULIGANI</t>
        </is>
      </c>
      <c r="AU18" s="24" t="inlineStr">
        <is>
          <t>HULIGANI</t>
        </is>
      </c>
      <c r="AV18" s="24" t="n"/>
      <c r="AW18" s="24" t="n"/>
      <c r="AX18" s="24" t="inlineStr">
        <is>
          <t>statistical_model</t>
        </is>
      </c>
      <c r="AY18" s="24" t="n"/>
      <c r="AZ18" s="24" t="inlineStr">
        <is>
          <t>shadow_qualified</t>
        </is>
      </c>
      <c r="BA18" s="24" t="inlineStr">
        <is>
          <t>498068cbee0b727d651d5d989f095e8a43ce7662aad212f07b645d438261f98f</t>
        </is>
      </c>
      <c r="BB18" s="24" t="inlineStr">
        <is>
          <t>neutral_elo</t>
        </is>
      </c>
      <c r="BC18" s="24" t="inlineStr">
        <is>
          <t>dota2-tiered-elo-v6</t>
        </is>
      </c>
      <c r="BD18" s="24" t="inlineStr">
        <is>
          <t>498068cbee0b727d651d5d989f095e8a43ce7662aad212f07b645d438261f98f</t>
        </is>
      </c>
      <c r="BE18" s="24" t="inlineStr">
        <is>
          <t>1</t>
        </is>
      </c>
      <c r="BF18" s="24" t="inlineStr">
        <is>
          <t>1</t>
        </is>
      </c>
      <c r="BG18" s="24" t="inlineStr">
        <is>
          <t>dota2-tiered-elo-v6</t>
        </is>
      </c>
      <c r="BH18" s="24" t="inlineStr">
        <is>
          <t>2026-10-13T05:52:36.540751Z</t>
        </is>
      </c>
      <c r="BI18" s="24" t="inlineStr">
        <is>
          <t>["same_event","same_team_same_day","same_league_same_day"]</t>
        </is>
      </c>
      <c r="BJ18" s="25" t="n"/>
      <c r="BK18" s="26" t="n">
        <v>-127</v>
      </c>
      <c r="BL18" s="27" t="n">
        <v>1.787402</v>
      </c>
      <c r="BM18" s="28" t="n">
        <v>0.5594710000000001</v>
      </c>
      <c r="BN18" s="28" t="n"/>
      <c r="BO18" s="28" t="n"/>
      <c r="BP18" s="25" t="n"/>
      <c r="BQ18" s="27" t="n">
        <v>1.787402</v>
      </c>
      <c r="BR18" s="28" t="n">
        <v>0.5600000000000001</v>
      </c>
      <c r="BS18" s="28" t="n"/>
      <c r="BT18" s="28" t="n"/>
      <c r="BU18" s="25" t="n"/>
      <c r="BV18" s="29" t="n"/>
      <c r="BW18" s="24" t="n"/>
      <c r="BX18" s="30" t="n"/>
      <c r="BY18" s="27" t="n"/>
      <c r="BZ18" s="24" t="n"/>
      <c r="CA18" s="31" t="n"/>
      <c r="CB18" s="24" t="n"/>
      <c r="CC18" s="24" t="n"/>
      <c r="CD18" s="24" t="n"/>
      <c r="CE18" s="24" t="n"/>
      <c r="CF18" s="24" t="n"/>
      <c r="CG18" s="24" t="n"/>
      <c r="CH18" s="24" t="n"/>
      <c r="CI18" s="24" t="n"/>
      <c r="CJ18" s="24" t="n"/>
      <c r="CK18" s="24" t="n"/>
      <c r="CL18" s="24" t="n"/>
      <c r="CM18" s="24" t="n"/>
      <c r="CN18" s="24" t="n"/>
      <c r="CO18" s="24" t="n"/>
      <c r="CP18" s="24" t="n"/>
      <c r="CQ18" s="24" t="n"/>
      <c r="CR18" s="24" t="n"/>
      <c r="CS18" s="24" t="inlineStr">
        <is>
          <t>True</t>
        </is>
      </c>
      <c r="CT18" s="24" t="n"/>
      <c r="CU18" s="24" t="n"/>
      <c r="CV18" s="24" t="n"/>
      <c r="CW18" s="24" t="n"/>
      <c r="CX18" s="24" t="n"/>
      <c r="CY18" s="24" t="n"/>
      <c r="CZ18" s="24" t="n"/>
      <c r="DA18" s="24" t="n"/>
      <c r="DB18" s="24" t="n"/>
      <c r="DC18" s="24" t="n"/>
      <c r="DD18" s="24" t="n"/>
      <c r="DE18" s="24" t="n"/>
      <c r="DF18" s="24" t="n"/>
      <c r="DG18" s="24" t="n"/>
      <c r="DH18" s="24" t="n"/>
      <c r="DI18" s="24" t="n"/>
      <c r="DJ18" s="24" t="n"/>
      <c r="DK18" s="24" t="n"/>
      <c r="DL18" s="24" t="n"/>
      <c r="DM18" s="24" t="n"/>
      <c r="DN18" s="24" t="n"/>
      <c r="DO18" s="24" t="n"/>
      <c r="DP18" s="24" t="n"/>
      <c r="DQ18" s="24" t="inlineStr">
        <is>
          <t>{"artifact_hash": "498068cbee0b727d651d5d989f095e8a43ce7662aad212f07b645d438261f98f", "away_team": "Nemiga Gaming", "event_id": "156670", "event_start_utc": "2026-10-13T09:00:00Z", "features": {"away_elo": 1464.093003, "away_history_count": 295, "home_elo": 1544.327209, "home_history_count": 337}, "historical_source_observation_times_verified": false, "home_team": "HULIGANI", "inference_inputs": {"book_state": {"games_played": {"bo3:4:15098": 337, "bo3:4:16398": 295}, "inactivity_half_life_days": null, "inactivity_max_pull": null, "k": 48.0, "last_match_utc": {"bo3:4:15098": "2026-10-06T08:10:00Z", "bo3:4:16398": "2026-10-12T13:10:00Z"}, "minimum_reliable_games": null, "platt_intercept": 0.06660293057110224, "platt_slope": 0.8502014663873206, "ratings": {"bo3:4:15098": 1544.327209, "bo3:4:16398": 1464.093003},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"2026-10-13T05:50:34.431410+00:00", "team_ids": ["bo3:4:15098", "bo3:4:16398"]}, "market_type": "moneyline", "model_version": "dota2-tiered-elo-v6", "observed_at_utc": "2026-10-13T05:50:34.431410+00:00", "probabilities": {"away": 0.406816, "home": 0.593184}, "replay_scope": "Exact serving book state, calibration, temperature, inactivity reference and thin-history adjustments; training provenance not certified.", "schema": "esports-elo-replay-v1", "snapshot_hash": "1c8708fb5bbab32b607675cd051cb93a5e3de4c59fc3ccadd6eb3977bd7ceba2", "sport": "DOTA2"}</t>
        </is>
      </c>
    </row>
    <row r="19" ht="36" customHeight="1">
      <c r="A19" s="24" t="inlineStr">
        <is>
          <t>2d6fba2da9b94259</t>
        </is>
      </c>
      <c r="B19" s="24" t="inlineStr">
        <is>
          <t>2026-10-13T11:23:20.635144Z</t>
        </is>
      </c>
      <c r="C19" s="24" t="inlineStr">
        <is>
          <t>2026-10-13T12:00:00Z</t>
        </is>
      </c>
      <c r="D19" s="24" t="inlineStr">
        <is>
          <t>158060</t>
        </is>
      </c>
      <c r="E19" s="24" t="inlineStr">
        <is>
          <t>DOTA2</t>
        </is>
      </c>
      <c r="F19" s="24" t="inlineStr">
        <is>
          <t>Yakult Brothers</t>
        </is>
      </c>
      <c r="G19" s="24" t="inlineStr">
        <is>
          <t>Team Resilience</t>
        </is>
      </c>
      <c r="H19" s="24" t="inlineStr">
        <is>
          <t>moneyline</t>
        </is>
      </c>
      <c r="I19" s="24" t="inlineStr">
        <is>
          <t>home</t>
        </is>
      </c>
      <c r="J19" s="25" t="n"/>
      <c r="K19" s="24" t="inlineStr">
        <is>
          <t>polymarket_us</t>
        </is>
      </c>
      <c r="L19" s="26" t="n">
        <v>-233</v>
      </c>
      <c r="M19" s="27" t="n">
        <v>1.429185</v>
      </c>
      <c r="N19" s="28" t="n">
        <v>0.6997</v>
      </c>
      <c r="O19" s="28" t="n">
        <v>0.585585</v>
      </c>
      <c r="P19" s="28" t="n"/>
      <c r="Q19" s="28" t="n">
        <v>-0.114115</v>
      </c>
      <c r="R19" s="26" t="n">
        <v>0</v>
      </c>
      <c r="S19" s="29" t="n">
        <v>1</v>
      </c>
      <c r="T19" s="24" t="inlineStr">
        <is>
          <t>dota2-tiered-elo-v6</t>
        </is>
      </c>
      <c r="U19" s="24" t="inlineStr">
        <is>
          <t>settled</t>
        </is>
      </c>
      <c r="V19" s="24" t="inlineStr">
        <is>
          <t>push</t>
        </is>
      </c>
      <c r="W19" s="26" t="n"/>
      <c r="X19" s="26" t="n"/>
      <c r="Y19" s="25" t="n"/>
      <c r="Z19" s="26" t="n"/>
      <c r="AA19" s="28" t="n"/>
      <c r="AB19" s="28" t="n"/>
      <c r="AC19" s="30" t="n">
        <v>0</v>
      </c>
      <c r="AD19" s="24" t="inlineStr">
        <is>
          <t>2026-10-13T16:16:33.837041Z</t>
        </is>
      </c>
      <c r="AE19" s="31" t="inlineStr">
        <is>
          <t>Neutral Elo baseline; executable ask 0.7000 (market_slug=aec-dota2-tr-yb-2026-10-13).</t>
        </is>
      </c>
      <c r="AF19" s="31" t="inlineStr">
        <is>
          <t>Config-promoted esports baseline; gates enforced at log time.</t>
        </is>
      </c>
      <c r="AG19" s="24" t="inlineStr">
        <is>
          <t>not_applicable</t>
        </is>
      </c>
      <c r="AH19" s="24" t="n"/>
      <c r="AI19" s="31" t="n"/>
      <c r="AJ19" s="31" t="n"/>
      <c r="AK19" s="24" t="inlineStr">
        <is>
          <t>paper_call</t>
        </is>
      </c>
      <c r="AL19" s="26" t="n">
        <v>4</v>
      </c>
      <c r="AM19" s="24" t="inlineStr">
        <is>
          <t>RESEARCH_OBSERVATION</t>
        </is>
      </c>
      <c r="AN19" s="24" t="inlineStr">
        <is>
          <t>CALL</t>
        </is>
      </c>
      <c r="AO19" s="24" t="inlineStr">
        <is>
          <t>PAPER_CALL_LOW_EDGE</t>
        </is>
      </c>
      <c r="AP19" s="24" t="inlineStr">
        <is>
          <t>Yakult Brothers</t>
        </is>
      </c>
      <c r="AQ19" s="24" t="inlineStr">
        <is>
          <t>Yakult Brothers</t>
        </is>
      </c>
      <c r="AR19" s="24" t="inlineStr">
        <is>
          <t>Yakult Brothers</t>
        </is>
      </c>
      <c r="AS19" s="24" t="inlineStr">
        <is>
          <t>Team Resilience</t>
        </is>
      </c>
      <c r="AT19" s="24" t="inlineStr">
        <is>
          <t>Team Resilience</t>
        </is>
      </c>
      <c r="AU19" s="24" t="inlineStr">
        <is>
          <t>Team Resilience</t>
        </is>
      </c>
      <c r="AV19" s="24" t="n"/>
      <c r="AW19" s="24" t="n"/>
      <c r="AX19" s="24" t="inlineStr">
        <is>
          <t>statistical_model</t>
        </is>
      </c>
      <c r="AY19" s="24" t="n"/>
      <c r="AZ19" s="24" t="inlineStr">
        <is>
          <t>shadow_qualified</t>
        </is>
      </c>
      <c r="BA19" s="24" t="inlineStr">
        <is>
          <t>82eaf6866c5f8a33c82bd6297df9b8c17cc34456cc7a74fdcb602fb4705d7601</t>
        </is>
      </c>
      <c r="BB19" s="24" t="inlineStr">
        <is>
          <t>neutral_elo</t>
        </is>
      </c>
      <c r="BC19" s="24" t="inlineStr">
        <is>
          <t>dota2-tiered-elo-v6</t>
        </is>
      </c>
      <c r="BD19" s="24" t="inlineStr">
        <is>
          <t>82eaf6866c5f8a33c82bd6297df9b8c17cc34456cc7a74fdcb602fb4705d7601</t>
        </is>
      </c>
      <c r="BE19" s="24" t="inlineStr">
        <is>
          <t>1</t>
        </is>
      </c>
      <c r="BF19" s="24" t="inlineStr">
        <is>
          <t>1</t>
        </is>
      </c>
      <c r="BG19" s="24" t="inlineStr">
        <is>
          <t>dota2-tiered-elo-v6</t>
        </is>
      </c>
      <c r="BH19" s="24" t="inlineStr">
        <is>
          <t>2026-10-13T11:18:19.188548Z</t>
        </is>
      </c>
      <c r="BI19" s="24" t="inlineStr">
        <is>
          <t>["same_event","same_team_same_day","same_league_same_day"]</t>
        </is>
      </c>
      <c r="BJ19" s="25" t="n"/>
      <c r="BK19" s="26" t="n">
        <v>-233</v>
      </c>
      <c r="BL19" s="27" t="n">
        <v>1.429185</v>
      </c>
      <c r="BM19" s="28" t="n">
        <v>0.6997</v>
      </c>
      <c r="BN19" s="28" t="n"/>
      <c r="BO19" s="28" t="n"/>
      <c r="BP19" s="25" t="n"/>
      <c r="BQ19" s="27" t="n"/>
      <c r="BR19" s="28" t="n"/>
      <c r="BS19" s="28" t="n"/>
      <c r="BT19" s="28" t="n"/>
      <c r="BU19" s="25" t="n"/>
      <c r="BV19" s="29" t="n"/>
      <c r="BW19" s="24" t="inlineStr">
        <is>
          <t>esports market terminal (MARKET_STATE_EXPIRED) with prices {'Team Resilience': 0.66, 'Yakult Brothers': 0.34}; BO3 has no confirming finished-match result either</t>
        </is>
      </c>
      <c r="BX19" s="30" t="n"/>
      <c r="BY19" s="27" t="n"/>
      <c r="BZ19" s="24" t="n"/>
      <c r="CA19" s="31" t="n"/>
      <c r="CB19" s="24" t="n"/>
      <c r="CC19" s="24" t="n"/>
      <c r="CD19" s="24" t="n"/>
      <c r="CE19" s="24" t="n"/>
      <c r="CF19" s="24" t="n"/>
      <c r="CG19" s="24" t="n"/>
      <c r="CH19" s="24" t="n"/>
      <c r="CI19" s="24" t="n"/>
      <c r="CJ19" s="24" t="n"/>
      <c r="CK19" s="24" t="n"/>
      <c r="CL19" s="24" t="n"/>
      <c r="CM19" s="24" t="n"/>
      <c r="CN19" s="24" t="n"/>
      <c r="CO19" s="24" t="n"/>
      <c r="CP19" s="24" t="n"/>
      <c r="CQ19" s="24" t="n"/>
      <c r="CR19" s="24" t="n"/>
      <c r="CS19" s="24" t="inlineStr">
        <is>
          <t>False</t>
        </is>
      </c>
      <c r="CT19" s="24" t="n"/>
      <c r="CU19" s="24" t="n"/>
      <c r="CV19" s="24" t="n"/>
      <c r="CW19" s="24" t="n"/>
      <c r="CX19" s="24" t="n"/>
      <c r="CY19" s="24" t="n"/>
      <c r="CZ19" s="24" t="n"/>
      <c r="DA19" s="24" t="n"/>
      <c r="DB19" s="24" t="n"/>
      <c r="DC19" s="24" t="n"/>
      <c r="DD19" s="24" t="n"/>
      <c r="DE19" s="24" t="n"/>
      <c r="DF19" s="24" t="n"/>
      <c r="DG19" s="24" t="n"/>
      <c r="DH19" s="24" t="n"/>
      <c r="DI19" s="24" t="n"/>
      <c r="DJ19" s="24" t="n"/>
      <c r="DK19" s="24" t="n"/>
      <c r="DL19" s="24" t="n"/>
      <c r="DM19" s="24" t="n"/>
      <c r="DN19" s="24" t="n"/>
      <c r="DO19" s="24" t="n"/>
      <c r="DP19" s="24" t="n"/>
      <c r="DQ19" s="24" t="inlineStr">
        <is>
          <t>{"artifact_hash": "82eaf6866c5f8a33c82bd6297df9b8c17cc34456cc7a74fdcb602fb4705d7601", "away_team": "Yakult Brothers", "event_id": "158060", "event_start_utc": "2026-10-13T12:00:00Z", "features": {"away_elo": 1669.762098, "away_history_count": 187, "home_elo": 1740.091782, "home_history_count": 22}, "historical_source_observation_times_verified": false, "home_team": "Team Resilience", "inference_inputs": {"book_state": {"games_played": {"bo3:4:18586": 187, "bo3:4:23196": 22}, "inactivity_half_life_days": null, "inactivity_max_pull": null, "k": 48.0, "last_match_utc": {"bo3:4:18586": "2026-10-13T04:00:00Z", "bo3:4:23196": "2026-10-13T04:00:00Z"}, "minimum_reliable_games": null, "platt_intercept": 0.06516991331836251, "platt_slope": 0.8491312027850109, "ratings": {"bo3:4:18586": 1669.762098, "bo3:4:23196": 1740.091782},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"2026-10-13T11:18:19.094097+00:00", "team_ids": ["bo3:4:23196", "bo3:4:18586"]}, "market_type": "moneyline", "model_version": "dota2-tiered-elo-v6", "observed_at_utc": "2026-10-13T11:18:19.094097+00:00", "probabilities": {"away": 0.414415, "home": 0.585585}, "replay_scope": "Exact serving book state, calibration, temperature, inactivity reference and thin-history adjustments; training provenance not certified.", "schema": "esports-elo-replay-v1", "snapshot_hash": "30fb7e04208f443731ef0e51cde435c290820fa84f88e1026fadf40a9b4bf015", "sport": "DOTA2"}</t>
        </is>
      </c>
    </row>
    <row r="20" ht="36" customHeight="1">
      <c r="A20" s="24" t="inlineStr">
        <is>
          <t>78ebde929d414a89</t>
        </is>
      </c>
      <c r="B20" s="24" t="inlineStr">
        <is>
          <t>2026-10-13T11:23:20.635144Z</t>
        </is>
      </c>
      <c r="C20" s="24" t="inlineStr">
        <is>
          <t>2026-10-13T13:00:00Z</t>
        </is>
      </c>
      <c r="D20" s="24" t="inlineStr">
        <is>
          <t>155060</t>
        </is>
      </c>
      <c r="E20" s="24" t="inlineStr">
        <is>
          <t>DOTA2</t>
        </is>
      </c>
      <c r="F20" s="24" t="inlineStr">
        <is>
          <t>The Warriors</t>
        </is>
      </c>
      <c r="G20" s="24" t="inlineStr">
        <is>
          <t>Power Rangers</t>
        </is>
      </c>
      <c r="H20" s="24" t="inlineStr">
        <is>
          <t>moneyline</t>
        </is>
      </c>
      <c r="I20" s="24" t="inlineStr">
        <is>
          <t>home</t>
        </is>
      </c>
      <c r="J20" s="25" t="n"/>
      <c r="K20" s="24" t="inlineStr">
        <is>
          <t>polymarket_us</t>
        </is>
      </c>
      <c r="L20" s="26" t="n">
        <v>-213</v>
      </c>
      <c r="M20" s="27" t="n">
        <v>1.469484</v>
      </c>
      <c r="N20" s="28" t="n">
        <v>0.680511</v>
      </c>
      <c r="O20" s="28" t="n">
        <v>0.531826</v>
      </c>
      <c r="P20" s="28" t="n"/>
      <c r="Q20" s="28" t="n">
        <v>-0.148685</v>
      </c>
      <c r="R20" s="26" t="n">
        <v>0</v>
      </c>
      <c r="S20" s="29" t="n">
        <v>1</v>
      </c>
      <c r="T20" s="24" t="inlineStr">
        <is>
          <t>dota2-tiered-elo-v6</t>
        </is>
      </c>
      <c r="U20" s="24" t="inlineStr">
        <is>
          <t>settled</t>
        </is>
      </c>
      <c r="V20" s="24" t="inlineStr">
        <is>
          <t>win</t>
        </is>
      </c>
      <c r="W20" s="26" t="n">
        <v>0</v>
      </c>
      <c r="X20" s="26" t="n">
        <v>1</v>
      </c>
      <c r="Y20" s="25" t="n"/>
      <c r="Z20" s="26" t="n">
        <v>-213</v>
      </c>
      <c r="AA20" s="28" t="n">
        <v>0.68</v>
      </c>
      <c r="AB20" s="28" t="n">
        <v>-0.000511</v>
      </c>
      <c r="AC20" s="30" t="n">
        <v>0.4695</v>
      </c>
      <c r="AD20" s="24" t="inlineStr">
        <is>
          <t>2026-10-13T22:05:36.292881Z</t>
        </is>
      </c>
      <c r="AE20" s="31" t="inlineStr">
        <is>
          <t>Neutral Elo baseline; executable ask 0.6800 (market_slug=aec-dota2-pr-twh-2026-10-13).</t>
        </is>
      </c>
      <c r="AF20" s="31" t="inlineStr">
        <is>
          <t>Config-promoted esports baseline; gates enforced at log time.</t>
        </is>
      </c>
      <c r="AG20" s="24" t="inlineStr">
        <is>
          <t>not_applicable</t>
        </is>
      </c>
      <c r="AH20" s="24" t="n"/>
      <c r="AI20" s="31" t="n"/>
      <c r="AJ20" s="31" t="n"/>
      <c r="AK20" s="24" t="inlineStr">
        <is>
          <t>paper_call</t>
        </is>
      </c>
      <c r="AL20" s="26" t="n">
        <v>4</v>
      </c>
      <c r="AM20" s="24" t="inlineStr">
        <is>
          <t>RESEARCH_OBSERVATION</t>
        </is>
      </c>
      <c r="AN20" s="24" t="inlineStr">
        <is>
          <t>CALL</t>
        </is>
      </c>
      <c r="AO20" s="24" t="inlineStr">
        <is>
          <t>PAPER_CALL_LOW_EDGE</t>
        </is>
      </c>
      <c r="AP20" s="24" t="inlineStr">
        <is>
          <t>The Warriors</t>
        </is>
      </c>
      <c r="AQ20" s="24" t="inlineStr">
        <is>
          <t>The Warriors</t>
        </is>
      </c>
      <c r="AR20" s="24" t="inlineStr">
        <is>
          <t>The Warriors</t>
        </is>
      </c>
      <c r="AS20" s="24" t="inlineStr">
        <is>
          <t>Power Rangers</t>
        </is>
      </c>
      <c r="AT20" s="24" t="inlineStr">
        <is>
          <t>Power Rangers</t>
        </is>
      </c>
      <c r="AU20" s="24" t="inlineStr">
        <is>
          <t>Power Rangers</t>
        </is>
      </c>
      <c r="AV20" s="24" t="n"/>
      <c r="AW20" s="24" t="n"/>
      <c r="AX20" s="24" t="inlineStr">
        <is>
          <t>statistical_model</t>
        </is>
      </c>
      <c r="AY20" s="24" t="n"/>
      <c r="AZ20" s="24" t="inlineStr">
        <is>
          <t>shadow_qualified</t>
        </is>
      </c>
      <c r="BA20" s="24" t="inlineStr">
        <is>
          <t>82eaf6866c5f8a33c82bd6297df9b8c17cc34456cc7a74fdcb602fb4705d7601</t>
        </is>
      </c>
      <c r="BB20" s="24" t="inlineStr">
        <is>
          <t>neutral_elo</t>
        </is>
      </c>
      <c r="BC20" s="24" t="inlineStr">
        <is>
          <t>dota2-tiered-elo-v6</t>
        </is>
      </c>
      <c r="BD20" s="24" t="inlineStr">
        <is>
          <t>82eaf6866c5f8a33c82bd6297df9b8c17cc34456cc7a74fdcb602fb4705d7601</t>
        </is>
      </c>
      <c r="BE20" s="24" t="inlineStr">
        <is>
          <t>1</t>
        </is>
      </c>
      <c r="BF20" s="24" t="inlineStr">
        <is>
          <t>1</t>
        </is>
      </c>
      <c r="BG20" s="24" t="inlineStr">
        <is>
          <t>dota2-tiered-elo-v6</t>
        </is>
      </c>
      <c r="BH20" s="24" t="inlineStr">
        <is>
          <t>2026-10-13T11:20:23.851640Z</t>
        </is>
      </c>
      <c r="BI20" s="24" t="inlineStr">
        <is>
          <t>["same_event","same_team_same_day","same_league_same_day"]</t>
        </is>
      </c>
      <c r="BJ20" s="25" t="n"/>
      <c r="BK20" s="26" t="n">
        <v>-213</v>
      </c>
      <c r="BL20" s="27" t="n">
        <v>1.469484</v>
      </c>
      <c r="BM20" s="28" t="n">
        <v>0.680511</v>
      </c>
      <c r="BN20" s="28" t="n"/>
      <c r="BO20" s="28" t="n"/>
      <c r="BP20" s="25" t="n"/>
      <c r="BQ20" s="27" t="n">
        <v>1.469484</v>
      </c>
      <c r="BR20" s="28" t="n">
        <v>0.68</v>
      </c>
      <c r="BS20" s="28" t="n"/>
      <c r="BT20" s="28" t="n"/>
      <c r="BU20" s="25" t="n"/>
      <c r="BV20" s="29" t="n"/>
      <c r="BW20" s="24" t="n"/>
      <c r="BX20" s="30" t="n"/>
      <c r="BY20" s="27" t="n"/>
      <c r="BZ20" s="24" t="n"/>
      <c r="CA20" s="31" t="n"/>
      <c r="CB20" s="24" t="n"/>
      <c r="CC20" s="24" t="n"/>
      <c r="CD20" s="24" t="n"/>
      <c r="CE20" s="24" t="n"/>
      <c r="CF20" s="24" t="n"/>
      <c r="CG20" s="24" t="n"/>
      <c r="CH20" s="24" t="n"/>
      <c r="CI20" s="24" t="n"/>
      <c r="CJ20" s="24" t="n"/>
      <c r="CK20" s="24" t="n"/>
      <c r="CL20" s="24" t="n"/>
      <c r="CM20" s="24" t="n"/>
      <c r="CN20" s="24" t="n"/>
      <c r="CO20" s="24" t="n"/>
      <c r="CP20" s="24" t="n"/>
      <c r="CQ20" s="24" t="n"/>
      <c r="CR20" s="24" t="n"/>
      <c r="CS20" s="24" t="inlineStr">
        <is>
          <t>False</t>
        </is>
      </c>
      <c r="CT20" s="24" t="n"/>
      <c r="CU20" s="24" t="n"/>
      <c r="CV20" s="24" t="n"/>
      <c r="CW20" s="24" t="n"/>
      <c r="CX20" s="24" t="n"/>
      <c r="CY20" s="24" t="n"/>
      <c r="CZ20" s="24" t="n"/>
      <c r="DA20" s="24" t="n"/>
      <c r="DB20" s="24" t="n"/>
      <c r="DC20" s="24" t="n"/>
      <c r="DD20" s="24" t="n"/>
      <c r="DE20" s="24" t="n"/>
      <c r="DF20" s="24" t="n"/>
      <c r="DG20" s="24" t="n"/>
      <c r="DH20" s="24" t="n"/>
      <c r="DI20" s="24" t="n"/>
      <c r="DJ20" s="24" t="n"/>
      <c r="DK20" s="24" t="n"/>
      <c r="DL20" s="24" t="n"/>
      <c r="DM20" s="24" t="n"/>
      <c r="DN20" s="24" t="n"/>
      <c r="DO20" s="24" t="n"/>
      <c r="DP20" s="24" t="n"/>
      <c r="DQ20" s="24" t="inlineStr">
        <is>
          <t>{"artifact_hash": "82eaf6866c5f8a33c82bd6297df9b8c17cc34456cc7a74fdcb602fb4705d7601", "away_team": "The Warriors", "event_id": "155060", "event_start_utc": "2026-10-13T13:00:00Z", "features": {"away_elo": 1573.452002, "away_history_count": 4, "home_elo": 1638.365225, "home_history_count": 93}, "historical_source_observation_times_verified": false, "home_team": "Power Rangers", "inference_inputs": {"book_state": {"games_played": {"bo3:4:16653": 93, "bo3:4:25465": 4}, "inactivity_half_life_days": null, "inactivity_max_pull": null, "k": 48.0, "last_match_utc": {"bo3:4:16653": "2026-09-08T09:00:00Z", "bo3:4:25465": "2026-10-12T19:25:00Z"}, "minimum_reliable_games": null, "platt_intercept": 0.06516991331836251, "platt_slope": 0.8491312027850109, "ratings": {"bo3:4:16653": 1638.365225, "bo3:4:25465": 1573.452002},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"2026-10-13T11:18:19.094097+00:00", "team_ids": ["bo3:4:16653", "bo3:4:25465"]}, "market_type": "moneyline", "model_version": "dota2-tiered-elo-v6", "observed_at_utc": "2026-10-13T11:18:19.094097+00:00", "probabilities": {"away": 0.468174, "home": 0.531826}, "replay_scope": "Exact serving book state, calibration, temperature, inactivity reference and thin-history adjustments; training provenance not certified.", "schema": "esports-elo-replay-v1", "snapshot_hash": "750d1ac2c44427d0341e3eb3cc2b85cb66e4553a14c56abf9b250e3ae4683337", "sport": "DOTA2"}</t>
        </is>
      </c>
    </row>
    <row r="21" ht="36" customHeight="1">
      <c r="A21" s="24" t="inlineStr">
        <is>
          <t>1f8d48b6d4734327</t>
        </is>
      </c>
      <c r="B21" s="24" t="inlineStr">
        <is>
          <t>2026-10-13T11:23:20.635144Z</t>
        </is>
      </c>
      <c r="C21" s="24" t="inlineStr">
        <is>
          <t>2026-10-13T13:00:00Z</t>
        </is>
      </c>
      <c r="D21" s="24" t="inlineStr">
        <is>
          <t>155060</t>
        </is>
      </c>
      <c r="E21" s="24" t="inlineStr">
        <is>
          <t>DOTA2</t>
        </is>
      </c>
      <c r="F21" s="24" t="inlineStr">
        <is>
          <t>The Warriors</t>
        </is>
      </c>
      <c r="G21" s="24" t="inlineStr">
        <is>
          <t>Power Rangers</t>
        </is>
      </c>
      <c r="H21" s="24" t="inlineStr">
        <is>
          <t>total</t>
        </is>
      </c>
      <c r="I21" s="24" t="inlineStr">
        <is>
          <t>under</t>
        </is>
      </c>
      <c r="J21" s="25" t="n">
        <v>2.5</v>
      </c>
      <c r="K21" s="24" t="inlineStr">
        <is>
          <t>polymarket_us</t>
        </is>
      </c>
      <c r="L21" s="26" t="n">
        <v>-138</v>
      </c>
      <c r="M21" s="27" t="n">
        <v>1.724638</v>
      </c>
      <c r="N21" s="28" t="n">
        <v>0.579832</v>
      </c>
      <c r="O21" s="28" t="n">
        <v>0.500901</v>
      </c>
      <c r="P21" s="28" t="n"/>
      <c r="Q21" s="28" t="n">
        <v>-0.078931</v>
      </c>
      <c r="R21" s="26" t="n">
        <v>0</v>
      </c>
      <c r="S21" s="29" t="n">
        <v>1</v>
      </c>
      <c r="T21" s="24" t="inlineStr">
        <is>
          <t>dota2-total-tiered-elo-v6</t>
        </is>
      </c>
      <c r="U21" s="24" t="inlineStr">
        <is>
          <t>settled</t>
        </is>
      </c>
      <c r="V21" s="24" t="inlineStr">
        <is>
          <t>loss</t>
        </is>
      </c>
      <c r="W21" s="26" t="n">
        <v>1</v>
      </c>
      <c r="X21" s="26" t="n">
        <v>2</v>
      </c>
      <c r="Y21" s="25" t="n"/>
      <c r="Z21" s="26" t="n"/>
      <c r="AA21" s="28" t="n"/>
      <c r="AB21" s="28" t="n"/>
      <c r="AC21" s="30" t="n">
        <v>-1</v>
      </c>
      <c r="AD21" s="24" t="inlineStr">
        <is>
          <t>2026-10-13T16:16:35.052840Z</t>
        </is>
      </c>
      <c r="AE21" s="31" t="inlineStr">
        <is>
          <t>Neutral Elo baseline; executable ask 0.5800 (market_slug=tsc-dota2-pr-twh-2026-10-13-tot-2pt5).</t>
        </is>
      </c>
      <c r="AF21" s="31" t="inlineStr">
        <is>
          <t>Config-promoted esports baseline; gates enforced at log time.</t>
        </is>
      </c>
      <c r="AG21" s="24" t="inlineStr">
        <is>
          <t>review_required</t>
        </is>
      </c>
      <c r="AH21" s="24" t="n"/>
      <c r="AI21" s="31" t="n"/>
      <c r="AJ21" s="31" t="n"/>
      <c r="AK21" s="24" t="inlineStr">
        <is>
          <t>paper_call</t>
        </is>
      </c>
      <c r="AL21" s="26" t="n">
        <v>4</v>
      </c>
      <c r="AM21" s="24" t="inlineStr">
        <is>
          <t>RESEARCH_OBSERVATION</t>
        </is>
      </c>
      <c r="AN21" s="24" t="inlineStr">
        <is>
          <t>CALL</t>
        </is>
      </c>
      <c r="AO21" s="24" t="inlineStr">
        <is>
          <t>PAPER_CALL_LOW_EDGE</t>
        </is>
      </c>
      <c r="AP21" s="24" t="inlineStr">
        <is>
          <t>The Warriors</t>
        </is>
      </c>
      <c r="AQ21" s="24" t="inlineStr">
        <is>
          <t>The Warriors</t>
        </is>
      </c>
      <c r="AR21" s="24" t="inlineStr">
        <is>
          <t>The Warriors</t>
        </is>
      </c>
      <c r="AS21" s="24" t="inlineStr">
        <is>
          <t>Power Rangers</t>
        </is>
      </c>
      <c r="AT21" s="24" t="inlineStr">
        <is>
          <t>Power Rangers</t>
        </is>
      </c>
      <c r="AU21" s="24" t="inlineStr">
        <is>
          <t>Power Rangers</t>
        </is>
      </c>
      <c r="AV21" s="24" t="n"/>
      <c r="AW21" s="24" t="n"/>
      <c r="AX21" s="24" t="inlineStr">
        <is>
          <t>statistical_model</t>
        </is>
      </c>
      <c r="AY21" s="24" t="n"/>
      <c r="AZ21" s="24" t="inlineStr">
        <is>
          <t>shadow_qualified</t>
        </is>
      </c>
      <c r="BA21" s="24" t="inlineStr">
        <is>
          <t>82eaf6866c5f8a33c82bd6297df9b8c17cc34456cc7a74fdcb602fb4705d7601</t>
        </is>
      </c>
      <c r="BB21" s="24" t="inlineStr">
        <is>
          <t>neutral_elo</t>
        </is>
      </c>
      <c r="BC21" s="24" t="inlineStr">
        <is>
          <t>dota2-total-tiered-elo-v6</t>
        </is>
      </c>
      <c r="BD21" s="24" t="inlineStr">
        <is>
          <t>82eaf6866c5f8a33c82bd6297df9b8c17cc34456cc7a74fdcb602fb4705d7601</t>
        </is>
      </c>
      <c r="BE21" s="24" t="inlineStr">
        <is>
          <t>1</t>
        </is>
      </c>
      <c r="BF21" s="24" t="inlineStr">
        <is>
          <t>1</t>
        </is>
      </c>
      <c r="BG21" s="24" t="inlineStr">
        <is>
          <t>dota2-total-tiered-elo-v6</t>
        </is>
      </c>
      <c r="BH21" s="24" t="inlineStr">
        <is>
          <t>2026-10-13T11:20:23.925214Z</t>
        </is>
      </c>
      <c r="BI21" s="24" t="inlineStr">
        <is>
          <t>["same_event","same_team_same_day","same_league_same_day"]</t>
        </is>
      </c>
      <c r="BJ21" s="25" t="n">
        <v>2.5</v>
      </c>
      <c r="BK21" s="26" t="n">
        <v>-138</v>
      </c>
      <c r="BL21" s="27" t="n">
        <v>1.724638</v>
      </c>
      <c r="BM21" s="28" t="n">
        <v>0.579832</v>
      </c>
      <c r="BN21" s="28" t="n"/>
      <c r="BO21" s="28" t="n"/>
      <c r="BP21" s="25" t="n"/>
      <c r="BQ21" s="27" t="n"/>
      <c r="BR21" s="28" t="n"/>
      <c r="BS21" s="28" t="n"/>
      <c r="BT21" s="28" t="n"/>
      <c r="BU21" s="25" t="n"/>
      <c r="BV21" s="29" t="n"/>
      <c r="BW21" s="24" t="n"/>
      <c r="BX21" s="30" t="n"/>
      <c r="BY21" s="27" t="n"/>
      <c r="BZ21" s="24" t="n"/>
      <c r="CA21" s="31" t="n"/>
      <c r="CB21" s="24" t="n"/>
      <c r="CC21" s="24" t="n"/>
      <c r="CD21" s="24" t="n"/>
      <c r="CE21" s="24" t="n"/>
      <c r="CF21" s="24" t="n"/>
      <c r="CG21" s="24" t="n"/>
      <c r="CH21" s="24" t="n"/>
      <c r="CI21" s="24" t="n"/>
      <c r="CJ21" s="24" t="n"/>
      <c r="CK21" s="24" t="n"/>
      <c r="CL21" s="24" t="n"/>
      <c r="CM21" s="24" t="n"/>
      <c r="CN21" s="24" t="n"/>
      <c r="CO21" s="24" t="n"/>
      <c r="CP21" s="24" t="n"/>
      <c r="CQ21" s="24" t="n"/>
      <c r="CR21" s="24" t="n"/>
      <c r="CS21" s="24" t="inlineStr">
        <is>
          <t>False</t>
        </is>
      </c>
      <c r="CT21" s="24" t="n"/>
      <c r="CU21" s="24" t="n"/>
      <c r="CV21" s="24" t="n"/>
      <c r="CW21" s="24" t="n"/>
      <c r="CX21" s="24" t="n"/>
      <c r="CY21" s="24" t="n"/>
      <c r="CZ21" s="24" t="n"/>
      <c r="DA21" s="24" t="n"/>
      <c r="DB21" s="24" t="n"/>
      <c r="DC21" s="24" t="n"/>
      <c r="DD21" s="24" t="n"/>
      <c r="DE21" s="24" t="n"/>
      <c r="DF21" s="24" t="n"/>
      <c r="DG21" s="24" t="n"/>
      <c r="DH21" s="24" t="n"/>
      <c r="DI21" s="24" t="n"/>
      <c r="DJ21" s="24" t="n"/>
      <c r="DK21" s="24" t="n"/>
      <c r="DL21" s="24" t="n"/>
      <c r="DM21" s="24" t="n"/>
      <c r="DN21" s="24" t="n"/>
      <c r="DO21" s="24" t="n"/>
      <c r="DP21" s="24" t="n"/>
      <c r="DQ21" s="24" t="n"/>
    </row>
    <row r="22" ht="36" customHeight="1">
      <c r="A22" s="24" t="inlineStr">
        <is>
          <t>d1f35b4ff9b847dd</t>
        </is>
      </c>
      <c r="B22" s="24" t="inlineStr">
        <is>
          <t>2026-10-13T17:03:07.936006Z</t>
        </is>
      </c>
      <c r="C22" s="24" t="inlineStr">
        <is>
          <t>2026-10-13T19:00:00Z</t>
        </is>
      </c>
      <c r="D22" s="24" t="inlineStr">
        <is>
          <t>156711</t>
        </is>
      </c>
      <c r="E22" s="24" t="inlineStr">
        <is>
          <t>DOTA2</t>
        </is>
      </c>
      <c r="F22" s="24" t="inlineStr">
        <is>
          <t>salamit</t>
        </is>
      </c>
      <c r="G22" s="24" t="inlineStr">
        <is>
          <t>The Warriors</t>
        </is>
      </c>
      <c r="H22" s="24" t="inlineStr">
        <is>
          <t>total</t>
        </is>
      </c>
      <c r="I22" s="24" t="inlineStr">
        <is>
          <t>under</t>
        </is>
      </c>
      <c r="J22" s="25" t="n">
        <v>2.5</v>
      </c>
      <c r="K22" s="24" t="inlineStr">
        <is>
          <t>polymarket_us</t>
        </is>
      </c>
      <c r="L22" s="26" t="n">
        <v>-133</v>
      </c>
      <c r="M22" s="27" t="n">
        <v>1.75188</v>
      </c>
      <c r="N22" s="28" t="n">
        <v>0.570815</v>
      </c>
      <c r="O22" s="28" t="n">
        <v>0.50279</v>
      </c>
      <c r="P22" s="28" t="n"/>
      <c r="Q22" s="28" t="n">
        <v>-0.068025</v>
      </c>
      <c r="R22" s="26" t="n">
        <v>0</v>
      </c>
      <c r="S22" s="29" t="n">
        <v>1</v>
      </c>
      <c r="T22" s="24" t="inlineStr">
        <is>
          <t>dota2-total-tiered-elo-v6</t>
        </is>
      </c>
      <c r="U22" s="24" t="inlineStr">
        <is>
          <t>settled</t>
        </is>
      </c>
      <c r="V22" s="24" t="inlineStr">
        <is>
          <t>push</t>
        </is>
      </c>
      <c r="W22" s="26" t="n"/>
      <c r="X22" s="26" t="n"/>
      <c r="Y22" s="25" t="n"/>
      <c r="Z22" s="26" t="n"/>
      <c r="AA22" s="28" t="n"/>
      <c r="AB22" s="28" t="n"/>
      <c r="AC22" s="30" t="n">
        <v>0</v>
      </c>
      <c r="AD22" s="24" t="inlineStr">
        <is>
          <t>2026-10-13T22:05:42.159954Z</t>
        </is>
      </c>
      <c r="AE22" s="31" t="inlineStr">
        <is>
          <t>Neutral Elo baseline; executable ask 0.5700 (market_slug=tsc-dota2-twh-sala-2026-10-13-tot-2pt5).</t>
        </is>
      </c>
      <c r="AF22" s="31" t="inlineStr">
        <is>
          <t>Config-promoted esports baseline; gates enforced at log time.</t>
        </is>
      </c>
      <c r="AG22" s="24" t="inlineStr">
        <is>
          <t>not_applicable</t>
        </is>
      </c>
      <c r="AH22" s="24" t="n"/>
      <c r="AI22" s="31" t="n"/>
      <c r="AJ22" s="31" t="n"/>
      <c r="AK22" s="24" t="inlineStr">
        <is>
          <t>paper_call</t>
        </is>
      </c>
      <c r="AL22" s="26" t="n">
        <v>4</v>
      </c>
      <c r="AM22" s="24" t="inlineStr">
        <is>
          <t>RESEARCH_OBSERVATION</t>
        </is>
      </c>
      <c r="AN22" s="24" t="inlineStr">
        <is>
          <t>CALL</t>
        </is>
      </c>
      <c r="AO22" s="24" t="inlineStr">
        <is>
          <t>PAPER_CALL_LOW_EDGE</t>
        </is>
      </c>
      <c r="AP22" s="24" t="inlineStr">
        <is>
          <t>salamit</t>
        </is>
      </c>
      <c r="AQ22" s="24" t="inlineStr">
        <is>
          <t>salamit</t>
        </is>
      </c>
      <c r="AR22" s="24" t="inlineStr">
        <is>
          <t>salamit</t>
        </is>
      </c>
      <c r="AS22" s="24" t="inlineStr">
        <is>
          <t>The Warriors</t>
        </is>
      </c>
      <c r="AT22" s="24" t="inlineStr">
        <is>
          <t>The Warriors</t>
        </is>
      </c>
      <c r="AU22" s="24" t="inlineStr">
        <is>
          <t>The Warriors</t>
        </is>
      </c>
      <c r="AV22" s="24" t="n"/>
      <c r="AW22" s="24" t="n"/>
      <c r="AX22" s="24" t="inlineStr">
        <is>
          <t>statistical_model</t>
        </is>
      </c>
      <c r="AY22" s="24" t="n"/>
      <c r="AZ22" s="24" t="inlineStr">
        <is>
          <t>shadow_qualified</t>
        </is>
      </c>
      <c r="BA22" s="24" t="inlineStr">
        <is>
          <t>dbdf8c3e3bd3daca22666c2f38605f226d67625f4460aace1c5df263d8fc71b3</t>
        </is>
      </c>
      <c r="BB22" s="24" t="inlineStr">
        <is>
          <t>neutral_elo</t>
        </is>
      </c>
      <c r="BC22" s="24" t="inlineStr">
        <is>
          <t>dota2-total-tiered-elo-v6</t>
        </is>
      </c>
      <c r="BD22" s="24" t="inlineStr">
        <is>
          <t>dbdf8c3e3bd3daca22666c2f38605f226d67625f4460aace1c5df263d8fc71b3</t>
        </is>
      </c>
      <c r="BE22" s="24" t="inlineStr">
        <is>
          <t>1</t>
        </is>
      </c>
      <c r="BF22" s="24" t="inlineStr">
        <is>
          <t>1</t>
        </is>
      </c>
      <c r="BG22" s="24" t="inlineStr">
        <is>
          <t>dota2-total-tiered-elo-v6</t>
        </is>
      </c>
      <c r="BH22" s="24" t="inlineStr">
        <is>
          <t>2026-10-13T17:00:10.303927Z</t>
        </is>
      </c>
      <c r="BI22" s="24" t="inlineStr">
        <is>
          <t>["same_event","same_team_same_day","same_league_same_day"]</t>
        </is>
      </c>
      <c r="BJ22" s="25" t="n">
        <v>2.5</v>
      </c>
      <c r="BK22" s="26" t="n">
        <v>-133</v>
      </c>
      <c r="BL22" s="27" t="n">
        <v>1.75188</v>
      </c>
      <c r="BM22" s="28" t="n">
        <v>0.570815</v>
      </c>
      <c r="BN22" s="28" t="n"/>
      <c r="BO22" s="28" t="n"/>
      <c r="BP22" s="25" t="n"/>
      <c r="BQ22" s="27" t="n"/>
      <c r="BR22" s="28" t="n"/>
      <c r="BS22" s="28" t="n"/>
      <c r="BT22" s="28" t="n"/>
      <c r="BU22" s="25" t="n"/>
      <c r="BV22" s="29" t="n"/>
      <c r="BW22" s="24" t="inlineStr">
        <is>
          <t>esports market terminal (MARKET_STATE_EXPIRED) with prices {}; BO3 has no confirming finished-match result either</t>
        </is>
      </c>
      <c r="BX22" s="30" t="n"/>
      <c r="BY22" s="27" t="n"/>
      <c r="BZ22" s="24" t="n"/>
      <c r="CA22" s="31" t="n"/>
      <c r="CB22" s="24" t="n"/>
      <c r="CC22" s="24" t="n"/>
      <c r="CD22" s="24" t="n"/>
      <c r="CE22" s="24" t="n"/>
      <c r="CF22" s="24" t="n"/>
      <c r="CG22" s="24" t="n"/>
      <c r="CH22" s="24" t="n"/>
      <c r="CI22" s="24" t="n"/>
      <c r="CJ22" s="24" t="n"/>
      <c r="CK22" s="24" t="n"/>
      <c r="CL22" s="24" t="n"/>
      <c r="CM22" s="24" t="n"/>
      <c r="CN22" s="24" t="n"/>
      <c r="CO22" s="24" t="n"/>
      <c r="CP22" s="24" t="n"/>
      <c r="CQ22" s="24" t="n"/>
      <c r="CR22" s="24" t="n"/>
      <c r="CS22" s="24" t="inlineStr">
        <is>
          <t>False</t>
        </is>
      </c>
      <c r="CT22" s="24" t="n"/>
      <c r="CU22" s="24" t="n"/>
      <c r="CV22" s="24" t="n"/>
      <c r="CW22" s="24" t="n"/>
      <c r="CX22" s="24" t="n"/>
      <c r="CY22" s="24" t="n"/>
      <c r="CZ22" s="24" t="n"/>
      <c r="DA22" s="24" t="n"/>
      <c r="DB22" s="24" t="n"/>
      <c r="DC22" s="24" t="n"/>
      <c r="DD22" s="24" t="n"/>
      <c r="DE22" s="24" t="n"/>
      <c r="DF22" s="24" t="n"/>
      <c r="DG22" s="24" t="n"/>
      <c r="DH22" s="24" t="n"/>
      <c r="DI22" s="24" t="n"/>
      <c r="DJ22" s="24" t="n"/>
      <c r="DK22" s="24" t="n"/>
      <c r="DL22" s="24" t="n"/>
      <c r="DM22" s="24" t="n"/>
      <c r="DN22" s="24" t="n"/>
      <c r="DO22" s="24" t="n"/>
      <c r="DP22" s="24" t="n"/>
      <c r="DQ22" s="24" t="n"/>
    </row>
    <row r="23" ht="36" customHeight="1">
      <c r="A23" s="24" t="inlineStr">
        <is>
          <t>68cf9b6a21394e92</t>
        </is>
      </c>
      <c r="B23" s="24" t="inlineStr">
        <is>
          <t>2026-10-13T17:03:07.936006Z</t>
        </is>
      </c>
      <c r="C23" s="24" t="inlineStr">
        <is>
          <t>2026-10-13T19:00:00Z</t>
        </is>
      </c>
      <c r="D23" s="24" t="inlineStr">
        <is>
          <t>156711</t>
        </is>
      </c>
      <c r="E23" s="24" t="inlineStr">
        <is>
          <t>DOTA2</t>
        </is>
      </c>
      <c r="F23" s="24" t="inlineStr">
        <is>
          <t>salamit</t>
        </is>
      </c>
      <c r="G23" s="24" t="inlineStr">
        <is>
          <t>The Warriors</t>
        </is>
      </c>
      <c r="H23" s="24" t="inlineStr">
        <is>
          <t>moneyline</t>
        </is>
      </c>
      <c r="I23" s="24" t="inlineStr">
        <is>
          <t>home</t>
        </is>
      </c>
      <c r="J23" s="25" t="n"/>
      <c r="K23" s="24" t="inlineStr">
        <is>
          <t>polymarket_us</t>
        </is>
      </c>
      <c r="L23" s="26" t="n">
        <v>194</v>
      </c>
      <c r="M23" s="27" t="n">
        <v>2.94</v>
      </c>
      <c r="N23" s="28" t="n">
        <v>0.340136</v>
      </c>
      <c r="O23" s="28" t="n">
        <v>0.555922</v>
      </c>
      <c r="P23" s="28" t="n"/>
      <c r="Q23" s="28" t="n">
        <v>0.215786</v>
      </c>
      <c r="R23" s="26" t="n">
        <v>100</v>
      </c>
      <c r="S23" s="29" t="n">
        <v>2</v>
      </c>
      <c r="T23" s="24" t="inlineStr">
        <is>
          <t>dota2-tiered-elo-v6</t>
        </is>
      </c>
      <c r="U23" s="24" t="inlineStr">
        <is>
          <t>settled</t>
        </is>
      </c>
      <c r="V23" s="24" t="inlineStr">
        <is>
          <t>push</t>
        </is>
      </c>
      <c r="W23" s="26" t="n"/>
      <c r="X23" s="26" t="n"/>
      <c r="Y23" s="25" t="n"/>
      <c r="Z23" s="26" t="n"/>
      <c r="AA23" s="28" t="n"/>
      <c r="AB23" s="28" t="n"/>
      <c r="AC23" s="30" t="n">
        <v>0</v>
      </c>
      <c r="AD23" s="24" t="inlineStr">
        <is>
          <t>2026-10-13T22:05:47.150088Z</t>
        </is>
      </c>
      <c r="AE23" s="31" t="inlineStr">
        <is>
          <t>Neutral Elo baseline; executable ask 0.3400 (market_slug=aec-dota2-twh-sala-2026-10-13).</t>
        </is>
      </c>
      <c r="AF23" s="31" t="inlineStr">
        <is>
          <t>Config-promoted esports baseline; gates enforced at log time.</t>
        </is>
      </c>
      <c r="AG23" s="24" t="inlineStr">
        <is>
          <t>not_applicable</t>
        </is>
      </c>
      <c r="AH23" s="24" t="n"/>
      <c r="AI23" s="31" t="n"/>
      <c r="AJ23" s="31" t="n"/>
      <c r="AK23" s="24" t="inlineStr">
        <is>
          <t>model_qualified</t>
        </is>
      </c>
      <c r="AL23" s="26" t="n">
        <v>4</v>
      </c>
      <c r="AM23" s="24" t="inlineStr">
        <is>
          <t>QUALIFIED_SHADOW_CALL</t>
        </is>
      </c>
      <c r="AN23" s="24" t="inlineStr">
        <is>
          <t>CALL</t>
        </is>
      </c>
      <c r="AO23" s="24" t="inlineStr">
        <is>
          <t>QUALIFIED</t>
        </is>
      </c>
      <c r="AP23" s="24" t="inlineStr">
        <is>
          <t>salamit</t>
        </is>
      </c>
      <c r="AQ23" s="24" t="inlineStr">
        <is>
          <t>salamit</t>
        </is>
      </c>
      <c r="AR23" s="24" t="inlineStr">
        <is>
          <t>salamit</t>
        </is>
      </c>
      <c r="AS23" s="24" t="inlineStr">
        <is>
          <t>The Warriors</t>
        </is>
      </c>
      <c r="AT23" s="24" t="inlineStr">
        <is>
          <t>The Warriors</t>
        </is>
      </c>
      <c r="AU23" s="24" t="inlineStr">
        <is>
          <t>The Warriors</t>
        </is>
      </c>
      <c r="AV23" s="24" t="n"/>
      <c r="AW23" s="24" t="n"/>
      <c r="AX23" s="24" t="inlineStr">
        <is>
          <t>statistical_model</t>
        </is>
      </c>
      <c r="AY23" s="24" t="n"/>
      <c r="AZ23" s="24" t="inlineStr">
        <is>
          <t>shadow_qualified</t>
        </is>
      </c>
      <c r="BA23" s="24" t="inlineStr">
        <is>
          <t>dbdf8c3e3bd3daca22666c2f38605f226d67625f4460aace1c5df263d8fc71b3</t>
        </is>
      </c>
      <c r="BB23" s="24" t="inlineStr">
        <is>
          <t>neutral_elo</t>
        </is>
      </c>
      <c r="BC23" s="24" t="inlineStr">
        <is>
          <t>dota2-tiered-elo-v6</t>
        </is>
      </c>
      <c r="BD23" s="24" t="inlineStr">
        <is>
          <t>dbdf8c3e3bd3daca22666c2f38605f226d67625f4460aace1c5df263d8fc71b3</t>
        </is>
      </c>
      <c r="BE23" s="24" t="inlineStr">
        <is>
          <t>1</t>
        </is>
      </c>
      <c r="BF23" s="24" t="inlineStr">
        <is>
          <t>1</t>
        </is>
      </c>
      <c r="BG23" s="24" t="inlineStr">
        <is>
          <t>dota2-tiered-elo-v6</t>
        </is>
      </c>
      <c r="BH23" s="24" t="inlineStr">
        <is>
          <t>2026-10-13T17:00:20.578625Z</t>
        </is>
      </c>
      <c r="BI23" s="24" t="inlineStr">
        <is>
          <t>["same_event","same_team_same_day","same_league_same_day"]</t>
        </is>
      </c>
      <c r="BJ23" s="25" t="n"/>
      <c r="BK23" s="26" t="n">
        <v>194</v>
      </c>
      <c r="BL23" s="27" t="n">
        <v>2.94</v>
      </c>
      <c r="BM23" s="28" t="n">
        <v>0.340136</v>
      </c>
      <c r="BN23" s="28" t="n"/>
      <c r="BO23" s="28" t="n"/>
      <c r="BP23" s="25" t="n"/>
      <c r="BQ23" s="27" t="n"/>
      <c r="BR23" s="28" t="n"/>
      <c r="BS23" s="28" t="n"/>
      <c r="BT23" s="28" t="n"/>
      <c r="BU23" s="25" t="n"/>
      <c r="BV23" s="29" t="n"/>
      <c r="BW23" s="24" t="inlineStr">
        <is>
          <t>esports market terminal (MARKET_STATE_EXPIRED) with prices {}; BO3 has no confirming finished-match result either</t>
        </is>
      </c>
      <c r="BX23" s="30" t="n"/>
      <c r="BY23" s="27" t="n"/>
      <c r="BZ23" s="24" t="n"/>
      <c r="CA23" s="31" t="n"/>
      <c r="CB23" s="24" t="n"/>
      <c r="CC23" s="24" t="n"/>
      <c r="CD23" s="24" t="n"/>
      <c r="CE23" s="24" t="n"/>
      <c r="CF23" s="24" t="n"/>
      <c r="CG23" s="24" t="n"/>
      <c r="CH23" s="24" t="n"/>
      <c r="CI23" s="24" t="n"/>
      <c r="CJ23" s="24" t="n"/>
      <c r="CK23" s="24" t="n"/>
      <c r="CL23" s="24" t="n"/>
      <c r="CM23" s="24" t="n"/>
      <c r="CN23" s="24" t="n"/>
      <c r="CO23" s="24" t="n"/>
      <c r="CP23" s="24" t="n"/>
      <c r="CQ23" s="24" t="n"/>
      <c r="CR23" s="24" t="n"/>
      <c r="CS23" s="24" t="inlineStr">
        <is>
          <t>True</t>
        </is>
      </c>
      <c r="CT23" s="24" t="n"/>
      <c r="CU23" s="24" t="n"/>
      <c r="CV23" s="24" t="n"/>
      <c r="CW23" s="24" t="n"/>
      <c r="CX23" s="24" t="n"/>
      <c r="CY23" s="24" t="n"/>
      <c r="CZ23" s="24" t="n"/>
      <c r="DA23" s="24" t="n"/>
      <c r="DB23" s="24" t="n"/>
      <c r="DC23" s="24" t="n"/>
      <c r="DD23" s="24" t="n"/>
      <c r="DE23" s="24" t="n"/>
      <c r="DF23" s="24" t="n"/>
      <c r="DG23" s="24" t="n"/>
      <c r="DH23" s="24" t="n"/>
      <c r="DI23" s="24" t="n"/>
      <c r="DJ23" s="24" t="n"/>
      <c r="DK23" s="24" t="n"/>
      <c r="DL23" s="24" t="n"/>
      <c r="DM23" s="24" t="n"/>
      <c r="DN23" s="24" t="n"/>
      <c r="DO23" s="24" t="n"/>
      <c r="DP23" s="24" t="n"/>
      <c r="DQ23" s="24" t="inlineStr">
        <is>
          <t>{"artifact_hash": "dbdf8c3e3bd3daca22666c2f38605f226d67625f4460aace1c5df263d8fc71b3", "away_team": "salamit", "event_id": "156711", "event_start_utc": "2026-10-13T19:00:00Z", "features": {"away_elo": 1460.291035, "away_history_count": 1, "home_elo": 1546.705133, "home_history_count": 5}, "historical_source_observation_times_verified": false, "home_team": "The Warriors", "inference_inputs": {"book_state": {"games_played": {"bo3:4:25465": 5, "bo3:4:25478": 1}, "inactivity_half_life_days": null, "inactivity_max_pull": null, "k": 48.0, "last_match_utc": {"bo3:4:25465": "2026-10-13T13:15:00Z", "bo3:4:25478": "2026-10-12T13:10:00Z"}, "minimum_reliable_games": null, "platt_intercept": 0.0660951180882821, "platt_slope": 0.8503469876096356, "ratings": {"bo3:4:25465": 1546.705133, "bo3:4:25478": 1460.291035},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"2026-10-13T16:58:36.903465+00:00", "team_ids": ["bo3:4:25465", "bo3:4:25478"]}, "market_type": "moneyline", "model_version": "dota2-tiered-elo-v6", "observed_at_utc": "2026-10-13T16:58:36.903465+00:00", "probabilities": {"away": 0.444078, "home": 0.555922}, "replay_scope": "Exact serving book state, calibration, temperature, inactivity reference and thin-history adjustments; training provenance not certified.", "schema": "esports-elo-replay-v1", "snapshot_hash": "2f2a234e6a44119421ca10c14d5f4e4e09831bd4f160550721c7e4aaf1a169d4", "sport": "DOTA2"}</t>
        </is>
      </c>
    </row>
    <row r="24" ht="36" customHeight="1">
      <c r="A24" s="24" t="inlineStr">
        <is>
          <t>4e6adcfa016f48e5</t>
        </is>
      </c>
      <c r="B24" s="24" t="inlineStr">
        <is>
          <t>2026-10-13T17:03:07.936006Z</t>
        </is>
      </c>
      <c r="C24" s="24" t="inlineStr">
        <is>
          <t>2026-10-13T21:00:00Z</t>
        </is>
      </c>
      <c r="D24" s="24" t="inlineStr">
        <is>
          <t>156778</t>
        </is>
      </c>
      <c r="E24" s="24" t="inlineStr">
        <is>
          <t>DOTA2</t>
        </is>
      </c>
      <c r="F24" s="24" t="inlineStr">
        <is>
          <t>Rottweilas Latam</t>
        </is>
      </c>
      <c r="G24" s="24" t="inlineStr">
        <is>
          <t>Amaru Gaming</t>
        </is>
      </c>
      <c r="H24" s="24" t="inlineStr">
        <is>
          <t>moneyline</t>
        </is>
      </c>
      <c r="I24" s="24" t="inlineStr">
        <is>
          <t>away</t>
        </is>
      </c>
      <c r="J24" s="25" t="n"/>
      <c r="K24" s="24" t="inlineStr">
        <is>
          <t>polymarket_us</t>
        </is>
      </c>
      <c r="L24" s="26" t="n">
        <v>133</v>
      </c>
      <c r="M24" s="27" t="n">
        <v>2.33</v>
      </c>
      <c r="N24" s="28" t="n">
        <v>0.429185</v>
      </c>
      <c r="O24" s="28" t="n">
        <v>0.522778</v>
      </c>
      <c r="P24" s="28" t="n"/>
      <c r="Q24" s="28" t="n">
        <v>0.093593</v>
      </c>
      <c r="R24" s="26" t="n">
        <v>67</v>
      </c>
      <c r="S24" s="29" t="n">
        <v>1.25</v>
      </c>
      <c r="T24" s="24" t="inlineStr">
        <is>
          <t>dota2-tiered-elo-v6</t>
        </is>
      </c>
      <c r="U24" s="24" t="inlineStr">
        <is>
          <t>settled</t>
        </is>
      </c>
      <c r="V24" s="24" t="inlineStr">
        <is>
          <t>loss</t>
        </is>
      </c>
      <c r="W24" s="26" t="n">
        <v>0</v>
      </c>
      <c r="X24" s="26" t="n">
        <v>1</v>
      </c>
      <c r="Y24" s="25" t="n"/>
      <c r="Z24" s="26" t="n">
        <v>133</v>
      </c>
      <c r="AA24" s="28" t="n">
        <v>0.43</v>
      </c>
      <c r="AB24" s="28" t="n">
        <v>0.000815</v>
      </c>
      <c r="AC24" s="30" t="n">
        <v>-1.25</v>
      </c>
      <c r="AD24" s="24" t="inlineStr">
        <is>
          <t>2026-10-14T04:32:49.741971Z</t>
        </is>
      </c>
      <c r="AE24" s="31" t="inlineStr">
        <is>
          <t>Neutral Elo baseline; executable ask 0.4300 (market_slug=aec-dota2-agm-rl-2026-10-13).</t>
        </is>
      </c>
      <c r="AF24" s="31" t="inlineStr">
        <is>
          <t>Config-promoted esports baseline; gates enforced at log time.</t>
        </is>
      </c>
      <c r="AG24" s="24" t="inlineStr">
        <is>
          <t>review_required</t>
        </is>
      </c>
      <c r="AH24" s="24" t="n"/>
      <c r="AI24" s="31" t="n"/>
      <c r="AJ24" s="31" t="n"/>
      <c r="AK24" s="24" t="inlineStr">
        <is>
          <t>model_qualified</t>
        </is>
      </c>
      <c r="AL24" s="26" t="n">
        <v>4</v>
      </c>
      <c r="AM24" s="24" t="inlineStr">
        <is>
          <t>QUALIFIED_SHADOW_CALL</t>
        </is>
      </c>
      <c r="AN24" s="24" t="inlineStr">
        <is>
          <t>CALL</t>
        </is>
      </c>
      <c r="AO24" s="24" t="inlineStr">
        <is>
          <t>QUALIFIED</t>
        </is>
      </c>
      <c r="AP24" s="24" t="inlineStr">
        <is>
          <t>Rottweilas Latam</t>
        </is>
      </c>
      <c r="AQ24" s="24" t="inlineStr">
        <is>
          <t>Rottweilas Latam</t>
        </is>
      </c>
      <c r="AR24" s="24" t="inlineStr">
        <is>
          <t>Rottweilas Latam</t>
        </is>
      </c>
      <c r="AS24" s="24" t="inlineStr">
        <is>
          <t>Amaru Gaming</t>
        </is>
      </c>
      <c r="AT24" s="24" t="inlineStr">
        <is>
          <t>Amaru Gaming</t>
        </is>
      </c>
      <c r="AU24" s="24" t="inlineStr">
        <is>
          <t>Amaru Gaming</t>
        </is>
      </c>
      <c r="AV24" s="24" t="n"/>
      <c r="AW24" s="24" t="n"/>
      <c r="AX24" s="24" t="inlineStr">
        <is>
          <t>statistical_model</t>
        </is>
      </c>
      <c r="AY24" s="24" t="n"/>
      <c r="AZ24" s="24" t="inlineStr">
        <is>
          <t>shadow_qualified</t>
        </is>
      </c>
      <c r="BA24" s="24" t="inlineStr">
        <is>
          <t>dbdf8c3e3bd3daca22666c2f38605f226d67625f4460aace1c5df263d8fc71b3</t>
        </is>
      </c>
      <c r="BB24" s="24" t="inlineStr">
        <is>
          <t>neutral_elo</t>
        </is>
      </c>
      <c r="BC24" s="24" t="inlineStr">
        <is>
          <t>dota2-tiered-elo-v6</t>
        </is>
      </c>
      <c r="BD24" s="24" t="inlineStr">
        <is>
          <t>dbdf8c3e3bd3daca22666c2f38605f226d67625f4460aace1c5df263d8fc71b3</t>
        </is>
      </c>
      <c r="BE24" s="24" t="inlineStr">
        <is>
          <t>1</t>
        </is>
      </c>
      <c r="BF24" s="24" t="inlineStr">
        <is>
          <t>1</t>
        </is>
      </c>
      <c r="BG24" s="24" t="inlineStr">
        <is>
          <t>dota2-tiered-elo-v6</t>
        </is>
      </c>
      <c r="BH24" s="24" t="inlineStr">
        <is>
          <t>2026-10-13T17:00:20.655668Z</t>
        </is>
      </c>
      <c r="BI24" s="24" t="inlineStr">
        <is>
          <t>["same_event","same_team_same_day","same_league_same_day"]</t>
        </is>
      </c>
      <c r="BJ24" s="25" t="n"/>
      <c r="BK24" s="26" t="n">
        <v>133</v>
      </c>
      <c r="BL24" s="27" t="n">
        <v>2.33</v>
      </c>
      <c r="BM24" s="28" t="n">
        <v>0.429185</v>
      </c>
      <c r="BN24" s="28" t="n"/>
      <c r="BO24" s="28" t="n"/>
      <c r="BP24" s="25" t="n"/>
      <c r="BQ24" s="27" t="n">
        <v>2.33</v>
      </c>
      <c r="BR24" s="28" t="n">
        <v>0.43</v>
      </c>
      <c r="BS24" s="28" t="n"/>
      <c r="BT24" s="28" t="n"/>
      <c r="BU24" s="25" t="n"/>
      <c r="BV24" s="29" t="n"/>
      <c r="BW24" s="24" t="n"/>
      <c r="BX24" s="30" t="n"/>
      <c r="BY24" s="27" t="n"/>
      <c r="BZ24" s="24" t="n"/>
      <c r="CA24" s="31" t="n"/>
      <c r="CB24" s="24" t="n"/>
      <c r="CC24" s="24" t="n"/>
      <c r="CD24" s="24" t="n"/>
      <c r="CE24" s="24" t="n"/>
      <c r="CF24" s="24" t="n"/>
      <c r="CG24" s="24" t="n"/>
      <c r="CH24" s="24" t="n"/>
      <c r="CI24" s="24" t="n"/>
      <c r="CJ24" s="24" t="n"/>
      <c r="CK24" s="24" t="n"/>
      <c r="CL24" s="24" t="n"/>
      <c r="CM24" s="24" t="n"/>
      <c r="CN24" s="24" t="n"/>
      <c r="CO24" s="24" t="n"/>
      <c r="CP24" s="24" t="n"/>
      <c r="CQ24" s="24" t="n"/>
      <c r="CR24" s="24" t="n"/>
      <c r="CS24" s="24" t="inlineStr">
        <is>
          <t>True</t>
        </is>
      </c>
      <c r="CT24" s="24" t="n"/>
      <c r="CU24" s="24" t="n"/>
      <c r="CV24" s="24" t="n"/>
      <c r="CW24" s="24" t="n"/>
      <c r="CX24" s="24" t="n"/>
      <c r="CY24" s="24" t="n"/>
      <c r="CZ24" s="24" t="n"/>
      <c r="DA24" s="24" t="n"/>
      <c r="DB24" s="24" t="n"/>
      <c r="DC24" s="24" t="n"/>
      <c r="DD24" s="24" t="n"/>
      <c r="DE24" s="24" t="n"/>
      <c r="DF24" s="24" t="n"/>
      <c r="DG24" s="24" t="n"/>
      <c r="DH24" s="24" t="n"/>
      <c r="DI24" s="24" t="n"/>
      <c r="DJ24" s="24" t="n"/>
      <c r="DK24" s="24" t="n"/>
      <c r="DL24" s="24" t="n"/>
      <c r="DM24" s="24" t="n"/>
      <c r="DN24" s="24" t="n"/>
      <c r="DO24" s="24" t="n"/>
      <c r="DP24" s="24" t="n"/>
      <c r="DQ24" s="24" t="inlineStr">
        <is>
          <t>{"artifact_hash": "dbdf8c3e3bd3daca22666c2f38605f226d67625f4460aace1c5df263d8fc71b3", "away_team": "Rottweilas Latam", "event_id": "156778", "event_start_utc": "2026-10-13T21:00:00Z", "features": {"away_elo": 1589.161828, "away_history_count": 14, "home_elo": 1583.277818, "home_history_count": 40}, "historical_source_observation_times_verified": false, "home_team": "Amaru Gaming", "inference_inputs": {"book_state": {"games_played": {"bo3:4:22157": 40, "bo3:4:22288": 14}, "inactivity_half_life_days": null, "inactivity_max_pull": null, "k": 48.0, "last_match_utc": {"bo3:4:22157": "2026-08-08T18:00:00Z", "bo3:4:22288": "2026-10-10T21:10:00Z"}, "minimum_reliable_games": null, "platt_intercept": 0.0660951180882821, "platt_slope": 0.8503469876096356, "ratings": {"bo3:4:22157": 1583.277818, "bo3:4:22288": 1589.161828},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"2026-10-13T16:58:36.903465+00:00", "team_ids": ["bo3:4:22157", "bo3:4:22288"]}, "market_type": "moneyline", "model_version": "dota2-tiered-elo-v6", "observed_at_utc": "2026-10-13T16:58:36.903465+00:00", "probabilities": {"away": 0.522778, "home": 0.477222}, "replay_scope": "Exact serving book state, calibration, temperature, inactivity reference and thin-history adjustments; training provenance not certified.", "schema": "esports-elo-replay-v1", "snapshot_hash": "1a7c59420f60a97593d4329efa8097f5c696c3d97857d7a28977af1a5fb919e0", "sport": "DOTA2"}</t>
        </is>
      </c>
    </row>
    <row r="25" ht="36" customHeight="1">
      <c r="A25" s="24" t="inlineStr">
        <is>
          <t>e71ff76ddfc649ca</t>
        </is>
      </c>
      <c r="B25" s="24" t="inlineStr">
        <is>
          <t>2026-10-13T22:33:54.449023Z</t>
        </is>
      </c>
      <c r="C25" s="24" t="inlineStr">
        <is>
          <t>2026-10-14T04:00:00Z</t>
        </is>
      </c>
      <c r="D25" s="24" t="inlineStr">
        <is>
          <t>158262</t>
        </is>
      </c>
      <c r="E25" s="24" t="inlineStr">
        <is>
          <t>DOTA2</t>
        </is>
      </c>
      <c r="F25" s="24" t="inlineStr">
        <is>
          <t>Cloud Dawning</t>
        </is>
      </c>
      <c r="G25" s="24" t="inlineStr">
        <is>
          <t>Imperial Power</t>
        </is>
      </c>
      <c r="H25" s="24" t="inlineStr">
        <is>
          <t>moneyline</t>
        </is>
      </c>
      <c r="I25" s="24" t="inlineStr">
        <is>
          <t>home</t>
        </is>
      </c>
      <c r="J25" s="25" t="n"/>
      <c r="K25" s="24" t="inlineStr">
        <is>
          <t>polymarket_us</t>
        </is>
      </c>
      <c r="L25" s="26" t="n">
        <v>156</v>
      </c>
      <c r="M25" s="27" t="n">
        <v>2.56</v>
      </c>
      <c r="N25" s="28" t="n">
        <v>0.390625</v>
      </c>
      <c r="O25" s="28" t="n">
        <v>0.574536</v>
      </c>
      <c r="P25" s="28" t="n"/>
      <c r="Q25" s="28" t="n">
        <v>0.183911</v>
      </c>
      <c r="R25" s="26" t="n">
        <v>100</v>
      </c>
      <c r="S25" s="29" t="n">
        <v>2</v>
      </c>
      <c r="T25" s="24" t="inlineStr">
        <is>
          <t>dota2-tiered-elo-v6</t>
        </is>
      </c>
      <c r="U25" s="24" t="inlineStr">
        <is>
          <t>settled</t>
        </is>
      </c>
      <c r="V25" s="24" t="inlineStr">
        <is>
          <t>push</t>
        </is>
      </c>
      <c r="W25" s="26" t="n"/>
      <c r="X25" s="26" t="n"/>
      <c r="Y25" s="25" t="n"/>
      <c r="Z25" s="26" t="n"/>
      <c r="AA25" s="28" t="n"/>
      <c r="AB25" s="28" t="n"/>
      <c r="AC25" s="30" t="n">
        <v>0</v>
      </c>
      <c r="AD25" s="24" t="inlineStr">
        <is>
          <t>2026-10-14T04:32:55.433119Z</t>
        </is>
      </c>
      <c r="AE25" s="31" t="inlineStr">
        <is>
          <t>Neutral Elo baseline; executable ask 0.3900 (market_slug=aec-dota2-ip-cd-2026-10-14).</t>
        </is>
      </c>
      <c r="AF25" s="31" t="inlineStr">
        <is>
          <t>Config-promoted esports baseline; gates enforced at log time.</t>
        </is>
      </c>
      <c r="AG25" s="24" t="inlineStr">
        <is>
          <t>not_applicable</t>
        </is>
      </c>
      <c r="AH25" s="24" t="n"/>
      <c r="AI25" s="31" t="n"/>
      <c r="AJ25" s="31" t="n"/>
      <c r="AK25" s="24" t="inlineStr">
        <is>
          <t>model_qualified</t>
        </is>
      </c>
      <c r="AL25" s="26" t="n">
        <v>4</v>
      </c>
      <c r="AM25" s="24" t="inlineStr">
        <is>
          <t>QUALIFIED_SHADOW_CALL</t>
        </is>
      </c>
      <c r="AN25" s="24" t="inlineStr">
        <is>
          <t>CALL</t>
        </is>
      </c>
      <c r="AO25" s="24" t="inlineStr">
        <is>
          <t>QUALIFIED</t>
        </is>
      </c>
      <c r="AP25" s="24" t="inlineStr">
        <is>
          <t>Cloud Dawning</t>
        </is>
      </c>
      <c r="AQ25" s="24" t="inlineStr">
        <is>
          <t>Cloud Dawning</t>
        </is>
      </c>
      <c r="AR25" s="24" t="inlineStr">
        <is>
          <t>Cloud Dawning</t>
        </is>
      </c>
      <c r="AS25" s="24" t="inlineStr">
        <is>
          <t>Imperial Power</t>
        </is>
      </c>
      <c r="AT25" s="24" t="inlineStr">
        <is>
          <t>Imperial Power</t>
        </is>
      </c>
      <c r="AU25" s="24" t="inlineStr">
        <is>
          <t>Imperial Power</t>
        </is>
      </c>
      <c r="AV25" s="24" t="n"/>
      <c r="AW25" s="24" t="n"/>
      <c r="AX25" s="24" t="inlineStr">
        <is>
          <t>statistical_model</t>
        </is>
      </c>
      <c r="AY25" s="24" t="n"/>
      <c r="AZ25" s="24" t="inlineStr">
        <is>
          <t>shadow_qualified</t>
        </is>
      </c>
      <c r="BA25" s="24" t="inlineStr">
        <is>
          <t>dc027529e76ab16bef8ea31225ca11d3fdf6385e7d78b957d3e380f789668697</t>
        </is>
      </c>
      <c r="BB25" s="24" t="inlineStr">
        <is>
          <t>neutral_elo</t>
        </is>
      </c>
      <c r="BC25" s="24" t="inlineStr">
        <is>
          <t>dota2-tiered-elo-v6</t>
        </is>
      </c>
      <c r="BD25" s="24" t="inlineStr">
        <is>
          <t>dc027529e76ab16bef8ea31225ca11d3fdf6385e7d78b957d3e380f789668697</t>
        </is>
      </c>
      <c r="BE25" s="24" t="inlineStr">
        <is>
          <t>1</t>
        </is>
      </c>
      <c r="BF25" s="24" t="inlineStr">
        <is>
          <t>1</t>
        </is>
      </c>
      <c r="BG25" s="24" t="inlineStr">
        <is>
          <t>dota2-tiered-elo-v6</t>
        </is>
      </c>
      <c r="BH25" s="24" t="inlineStr">
        <is>
          <t>2026-10-13T22:29:18.434519Z</t>
        </is>
      </c>
      <c r="BI25" s="24" t="inlineStr">
        <is>
          <t>["same_event","same_team_same_day","same_league_same_day"]</t>
        </is>
      </c>
      <c r="BJ25" s="25" t="n"/>
      <c r="BK25" s="26" t="n">
        <v>156</v>
      </c>
      <c r="BL25" s="27" t="n">
        <v>2.56</v>
      </c>
      <c r="BM25" s="28" t="n">
        <v>0.390625</v>
      </c>
      <c r="BN25" s="28" t="n"/>
      <c r="BO25" s="28" t="n"/>
      <c r="BP25" s="25" t="n"/>
      <c r="BQ25" s="27" t="n"/>
      <c r="BR25" s="28" t="n"/>
      <c r="BS25" s="28" t="n"/>
      <c r="BT25" s="28" t="n"/>
      <c r="BU25" s="25" t="n"/>
      <c r="BV25" s="29" t="n"/>
      <c r="BW25" s="24" t="inlineStr">
        <is>
          <t>esports market terminal (MARKET_STATE_EXPIRED) with prices {}; BO3 has no confirming finished-match result either</t>
        </is>
      </c>
      <c r="BX25" s="30" t="n"/>
      <c r="BY25" s="27" t="n"/>
      <c r="BZ25" s="24" t="n"/>
      <c r="CA25" s="31" t="n"/>
      <c r="CB25" s="24" t="n"/>
      <c r="CC25" s="24" t="n"/>
      <c r="CD25" s="24" t="n"/>
      <c r="CE25" s="24" t="n"/>
      <c r="CF25" s="24" t="n"/>
      <c r="CG25" s="24" t="n"/>
      <c r="CH25" s="24" t="n"/>
      <c r="CI25" s="24" t="n"/>
      <c r="CJ25" s="24" t="n"/>
      <c r="CK25" s="24" t="n"/>
      <c r="CL25" s="24" t="n"/>
      <c r="CM25" s="24" t="n"/>
      <c r="CN25" s="24" t="n"/>
      <c r="CO25" s="24" t="n"/>
      <c r="CP25" s="24" t="n"/>
      <c r="CQ25" s="24" t="n"/>
      <c r="CR25" s="24" t="n"/>
      <c r="CS25" s="24" t="inlineStr">
        <is>
          <t>True</t>
        </is>
      </c>
      <c r="CT25" s="24" t="n"/>
      <c r="CU25" s="24" t="n"/>
      <c r="CV25" s="24" t="n"/>
      <c r="CW25" s="24" t="n"/>
      <c r="CX25" s="24" t="n"/>
      <c r="CY25" s="24" t="n"/>
      <c r="CZ25" s="24" t="n"/>
      <c r="DA25" s="24" t="n"/>
      <c r="DB25" s="24" t="n"/>
      <c r="DC25" s="24" t="n"/>
      <c r="DD25" s="24" t="n"/>
      <c r="DE25" s="24" t="n"/>
      <c r="DF25" s="24" t="n"/>
      <c r="DG25" s="24" t="n"/>
      <c r="DH25" s="24" t="n"/>
      <c r="DI25" s="24" t="n"/>
      <c r="DJ25" s="24" t="n"/>
      <c r="DK25" s="24" t="n"/>
      <c r="DL25" s="24" t="n"/>
      <c r="DM25" s="24" t="n"/>
      <c r="DN25" s="24" t="n"/>
      <c r="DO25" s="24" t="n"/>
      <c r="DP25" s="24" t="n"/>
      <c r="DQ25" s="24" t="inlineStr">
        <is>
          <t>{"artifact_hash": "dc027529e76ab16bef8ea31225ca11d3fdf6385e7d78b957d3e380f789668697", "away_team": "Cloud Dawning", "event_id": "158262", "event_start_utc": "2026-10-14T04:00:00Z", "features": {"away_elo": 1365.355637, "away_history_count": 37, "home_elo": 1485.9812, "home_history_count": 1}, "historical_source_observation_times_verified": false, "home_team": "Imperial Power", "inference_inputs": {"book_state": {"games_played": {"bo3:4:21875": 37, "bo3:4:25484": 1}, "inactivity_half_life_days": null, "inactivity_max_pull": null, "k": 48.0, "last_match_utc": {"bo3:4:21875": "2026-10-13T08:10:00Z", "bo3:4:25484": "2026-10-13T04:00:00Z"}, "minimum_reliable_games": null, "platt_intercept": 0.07002877626643239, "platt_slope": 0.8484442429825593, "ratings": {"bo3:4:21875": 1365.355637, "bo3:4:25484": 1485.9812},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"2026-10-13T22:29:07.791212+00:00", "team_ids": ["bo3:4:25484", "bo3:4:21875"]}, "market_type": "moneyline", "model_version": "dota2-tiered-elo-v6", "observed_at_utc": "2026-10-13T22:29:07.791212+00:00", "probabilities": {"away": 0.425464, "home": 0.574536}, "replay_scope": "Exact serving book state, calibration, temperature, inactivity reference and thin-history adjustments; training provenance not certified.", "schema": "esports-elo-replay-v1", "snapshot_hash": "4ef0cf261aa1b84820c96fdd8c3f5ce33af807e3f098383a4fd68626aa144876", "sport": "DOTA2"}</t>
        </is>
      </c>
    </row>
    <row r="26" ht="36" customHeight="1">
      <c r="A26" s="24" t="inlineStr">
        <is>
          <t>6feed3de3f9b4f25</t>
        </is>
      </c>
      <c r="B26" s="24" t="inlineStr">
        <is>
          <t>2026-10-14T05:58:58.433878Z</t>
        </is>
      </c>
      <c r="C26" s="24" t="inlineStr">
        <is>
          <t>2026-10-14T09:00:00Z</t>
        </is>
      </c>
      <c r="D26" s="24" t="inlineStr">
        <is>
          <t>158214</t>
        </is>
      </c>
      <c r="E26" s="24" t="inlineStr">
        <is>
          <t>DOTA2</t>
        </is>
      </c>
      <c r="F26" s="24" t="inlineStr">
        <is>
          <t>Kalmychata</t>
        </is>
      </c>
      <c r="G26" s="24" t="inlineStr">
        <is>
          <t>Nemiga Gaming</t>
        </is>
      </c>
      <c r="H26" s="24" t="inlineStr">
        <is>
          <t>total</t>
        </is>
      </c>
      <c r="I26" s="24" t="inlineStr">
        <is>
          <t>under</t>
        </is>
      </c>
      <c r="J26" s="25" t="n">
        <v>2.5</v>
      </c>
      <c r="K26" s="24" t="inlineStr">
        <is>
          <t>polymarket_us</t>
        </is>
      </c>
      <c r="L26" s="26" t="n">
        <v>-133</v>
      </c>
      <c r="M26" s="27" t="n">
        <v>1.75188</v>
      </c>
      <c r="N26" s="28" t="n">
        <v>0.570815</v>
      </c>
      <c r="O26" s="28" t="n">
        <v>0.507493</v>
      </c>
      <c r="P26" s="28" t="n"/>
      <c r="Q26" s="28" t="n">
        <v>-0.063322</v>
      </c>
      <c r="R26" s="26" t="n">
        <v>0</v>
      </c>
      <c r="S26" s="29" t="n">
        <v>1</v>
      </c>
      <c r="T26" s="24" t="inlineStr">
        <is>
          <t>dota2-total-tiered-elo-v6</t>
        </is>
      </c>
      <c r="U26" s="24" t="inlineStr">
        <is>
          <t>open</t>
        </is>
      </c>
      <c r="V26" s="24" t="n"/>
      <c r="W26" s="26" t="n"/>
      <c r="X26" s="26" t="n"/>
      <c r="Y26" s="25" t="n"/>
      <c r="Z26" s="26" t="n"/>
      <c r="AA26" s="28" t="n"/>
      <c r="AB26" s="28" t="n"/>
      <c r="AC26" s="30" t="n"/>
      <c r="AD26" s="24" t="n"/>
      <c r="AE26" s="31" t="inlineStr">
        <is>
          <t>Neutral Elo baseline; executable ask 0.5700 (market_slug=tsc-dota2-nemiga-kalmy-2026-10-14-tot-2pt5).</t>
        </is>
      </c>
      <c r="AF26" s="31" t="inlineStr">
        <is>
          <t>Config-promoted esports baseline; gates enforced at log time.</t>
        </is>
      </c>
      <c r="AG26" s="24" t="inlineStr">
        <is>
          <t>not_applicable</t>
        </is>
      </c>
      <c r="AH26" s="24" t="n"/>
      <c r="AI26" s="31" t="n"/>
      <c r="AJ26" s="31" t="n"/>
      <c r="AK26" s="24" t="inlineStr">
        <is>
          <t>paper_call</t>
        </is>
      </c>
      <c r="AL26" s="26" t="n">
        <v>4</v>
      </c>
      <c r="AM26" s="24" t="inlineStr">
        <is>
          <t>RESEARCH_OBSERVATION</t>
        </is>
      </c>
      <c r="AN26" s="24" t="inlineStr">
        <is>
          <t>CALL</t>
        </is>
      </c>
      <c r="AO26" s="24" t="inlineStr">
        <is>
          <t>PAPER_CALL_LOW_EDGE</t>
        </is>
      </c>
      <c r="AP26" s="24" t="inlineStr">
        <is>
          <t>Kalmychata</t>
        </is>
      </c>
      <c r="AQ26" s="24" t="inlineStr">
        <is>
          <t>Kalmychata</t>
        </is>
      </c>
      <c r="AR26" s="24" t="inlineStr">
        <is>
          <t>Kalmychata</t>
        </is>
      </c>
      <c r="AS26" s="24" t="inlineStr">
        <is>
          <t>Nemiga Gaming</t>
        </is>
      </c>
      <c r="AT26" s="24" t="inlineStr">
        <is>
          <t>Nemiga Gaming</t>
        </is>
      </c>
      <c r="AU26" s="24" t="inlineStr">
        <is>
          <t>Nemiga Gaming</t>
        </is>
      </c>
      <c r="AV26" s="24" t="n"/>
      <c r="AW26" s="24" t="n"/>
      <c r="AX26" s="24" t="inlineStr">
        <is>
          <t>statistical_model</t>
        </is>
      </c>
      <c r="AY26" s="24" t="n"/>
      <c r="AZ26" s="24" t="inlineStr">
        <is>
          <t>shadow_qualified</t>
        </is>
      </c>
      <c r="BA26" s="24" t="inlineStr">
        <is>
          <t>fc46e0136357aa43869ef4ced7c0aa68d9788a5409ce876dbdac1283872f80fd</t>
        </is>
      </c>
      <c r="BB26" s="24" t="inlineStr">
        <is>
          <t>neutral_elo</t>
        </is>
      </c>
      <c r="BC26" s="24" t="inlineStr">
        <is>
          <t>dota2-total-tiered-elo-v6</t>
        </is>
      </c>
      <c r="BD26" s="24" t="inlineStr">
        <is>
          <t>fc46e0136357aa43869ef4ced7c0aa68d9788a5409ce876dbdac1283872f80fd</t>
        </is>
      </c>
      <c r="BE26" s="24" t="inlineStr">
        <is>
          <t>1</t>
        </is>
      </c>
      <c r="BF26" s="24" t="inlineStr">
        <is>
          <t>1</t>
        </is>
      </c>
      <c r="BG26" s="24" t="inlineStr">
        <is>
          <t>dota2-total-tiered-elo-v6</t>
        </is>
      </c>
      <c r="BH26" s="24" t="inlineStr">
        <is>
          <t>2026-10-14T05:52:44.375366Z</t>
        </is>
      </c>
      <c r="BI26" s="24" t="inlineStr">
        <is>
          <t>["same_event","same_team_same_day","same_league_same_day"]</t>
        </is>
      </c>
      <c r="BJ26" s="25" t="n">
        <v>2.5</v>
      </c>
      <c r="BK26" s="26" t="n">
        <v>-133</v>
      </c>
      <c r="BL26" s="27" t="n">
        <v>1.75188</v>
      </c>
      <c r="BM26" s="28" t="n">
        <v>0.570815</v>
      </c>
      <c r="BN26" s="28" t="n"/>
      <c r="BO26" s="28" t="n"/>
      <c r="BP26" s="25" t="n"/>
      <c r="BQ26" s="27" t="n"/>
      <c r="BR26" s="28" t="n"/>
      <c r="BS26" s="28" t="n"/>
      <c r="BT26" s="28" t="n"/>
      <c r="BU26" s="25" t="n"/>
      <c r="BV26" s="29" t="n"/>
      <c r="BW26" s="24" t="n"/>
      <c r="BX26" s="30" t="n"/>
      <c r="BY26" s="27" t="n"/>
      <c r="BZ26" s="24" t="n"/>
      <c r="CA26" s="31" t="n"/>
      <c r="CB26" s="24" t="n"/>
      <c r="CC26" s="24" t="n"/>
      <c r="CD26" s="24" t="n"/>
      <c r="CE26" s="24" t="n"/>
      <c r="CF26" s="24" t="n"/>
      <c r="CG26" s="24" t="n"/>
      <c r="CH26" s="24" t="n"/>
      <c r="CI26" s="24" t="n"/>
      <c r="CJ26" s="24" t="n"/>
      <c r="CK26" s="24" t="n"/>
      <c r="CL26" s="24" t="n"/>
      <c r="CM26" s="24" t="n"/>
      <c r="CN26" s="24" t="n"/>
      <c r="CO26" s="24" t="n"/>
      <c r="CP26" s="24" t="n"/>
      <c r="CQ26" s="24" t="n"/>
      <c r="CR26" s="24" t="n"/>
      <c r="CS26" s="24" t="inlineStr">
        <is>
          <t>False</t>
        </is>
      </c>
      <c r="CT26" s="24" t="n"/>
      <c r="CU26" s="24" t="n"/>
      <c r="CV26" s="24" t="n"/>
      <c r="CW26" s="24" t="n"/>
      <c r="CX26" s="24" t="n"/>
      <c r="CY26" s="24" t="n"/>
      <c r="CZ26" s="24" t="n"/>
      <c r="DA26" s="24" t="n"/>
      <c r="DB26" s="24" t="n"/>
      <c r="DC26" s="24" t="n"/>
      <c r="DD26" s="24" t="n"/>
      <c r="DE26" s="24" t="n"/>
      <c r="DF26" s="24" t="n"/>
      <c r="DG26" s="24" t="n"/>
      <c r="DH26" s="24" t="n"/>
      <c r="DI26" s="24" t="n"/>
      <c r="DJ26" s="24" t="n"/>
      <c r="DK26" s="24" t="n"/>
      <c r="DL26" s="24" t="n"/>
      <c r="DM26" s="24" t="n"/>
      <c r="DN26" s="24" t="n"/>
      <c r="DO26" s="24" t="n"/>
      <c r="DP26" s="24" t="n"/>
      <c r="DQ26" s="24" t="n"/>
    </row>
    <row r="27" ht="36" customHeight="1">
      <c r="A27" s="24" t="inlineStr">
        <is>
          <t>c097f2631c054985</t>
        </is>
      </c>
      <c r="B27" s="24" t="inlineStr">
        <is>
          <t>2026-10-14T05:58:58.433878Z</t>
        </is>
      </c>
      <c r="C27" s="24" t="inlineStr">
        <is>
          <t>2026-10-14T09:00:00Z</t>
        </is>
      </c>
      <c r="D27" s="24" t="inlineStr">
        <is>
          <t>158214</t>
        </is>
      </c>
      <c r="E27" s="24" t="inlineStr">
        <is>
          <t>DOTA2</t>
        </is>
      </c>
      <c r="F27" s="24" t="inlineStr">
        <is>
          <t>Kalmychata</t>
        </is>
      </c>
      <c r="G27" s="24" t="inlineStr">
        <is>
          <t>Nemiga Gaming</t>
        </is>
      </c>
      <c r="H27" s="24" t="inlineStr">
        <is>
          <t>moneyline</t>
        </is>
      </c>
      <c r="I27" s="24" t="inlineStr">
        <is>
          <t>away</t>
        </is>
      </c>
      <c r="J27" s="25" t="n"/>
      <c r="K27" s="24" t="inlineStr">
        <is>
          <t>polymarket_us</t>
        </is>
      </c>
      <c r="L27" s="26" t="n">
        <v>-170</v>
      </c>
      <c r="M27" s="27" t="n">
        <v>1.588235</v>
      </c>
      <c r="N27" s="28" t="n">
        <v>0.62963</v>
      </c>
      <c r="O27" s="28" t="n">
        <v>0.591355</v>
      </c>
      <c r="P27" s="28" t="n"/>
      <c r="Q27" s="28" t="n">
        <v>-0.038275</v>
      </c>
      <c r="R27" s="26" t="n">
        <v>1</v>
      </c>
      <c r="S27" s="29" t="n">
        <v>1</v>
      </c>
      <c r="T27" s="24" t="inlineStr">
        <is>
          <t>dota2-tiered-elo-v6</t>
        </is>
      </c>
      <c r="U27" s="24" t="inlineStr">
        <is>
          <t>open</t>
        </is>
      </c>
      <c r="V27" s="24" t="n"/>
      <c r="W27" s="26" t="n"/>
      <c r="X27" s="26" t="n"/>
      <c r="Y27" s="25" t="n"/>
      <c r="Z27" s="26" t="n"/>
      <c r="AA27" s="28" t="n"/>
      <c r="AB27" s="28" t="n"/>
      <c r="AC27" s="30" t="n"/>
      <c r="AD27" s="24" t="n"/>
      <c r="AE27" s="31" t="inlineStr">
        <is>
          <t>Neutral Elo baseline; executable ask 0.6300 (market_slug=aec-dota2-nemiga-kalmy-2026-10-14).</t>
        </is>
      </c>
      <c r="AF27" s="31" t="inlineStr">
        <is>
          <t>Config-promoted esports baseline; gates enforced at log time.</t>
        </is>
      </c>
      <c r="AG27" s="24" t="inlineStr">
        <is>
          <t>not_applicable</t>
        </is>
      </c>
      <c r="AH27" s="24" t="n"/>
      <c r="AI27" s="31" t="n"/>
      <c r="AJ27" s="31" t="n"/>
      <c r="AK27" s="24" t="inlineStr">
        <is>
          <t>paper_call</t>
        </is>
      </c>
      <c r="AL27" s="26" t="n">
        <v>4</v>
      </c>
      <c r="AM27" s="24" t="inlineStr">
        <is>
          <t>RESEARCH_OBSERVATION</t>
        </is>
      </c>
      <c r="AN27" s="24" t="inlineStr">
        <is>
          <t>CALL</t>
        </is>
      </c>
      <c r="AO27" s="24" t="inlineStr">
        <is>
          <t>PAPER_CALL_LOW_EDGE</t>
        </is>
      </c>
      <c r="AP27" s="24" t="inlineStr">
        <is>
          <t>Kalmychata</t>
        </is>
      </c>
      <c r="AQ27" s="24" t="inlineStr">
        <is>
          <t>Kalmychata</t>
        </is>
      </c>
      <c r="AR27" s="24" t="inlineStr">
        <is>
          <t>Kalmychata</t>
        </is>
      </c>
      <c r="AS27" s="24" t="inlineStr">
        <is>
          <t>Nemiga Gaming</t>
        </is>
      </c>
      <c r="AT27" s="24" t="inlineStr">
        <is>
          <t>Nemiga Gaming</t>
        </is>
      </c>
      <c r="AU27" s="24" t="inlineStr">
        <is>
          <t>Nemiga Gaming</t>
        </is>
      </c>
      <c r="AV27" s="24" t="n"/>
      <c r="AW27" s="24" t="n"/>
      <c r="AX27" s="24" t="inlineStr">
        <is>
          <t>statistical_model</t>
        </is>
      </c>
      <c r="AY27" s="24" t="n"/>
      <c r="AZ27" s="24" t="inlineStr">
        <is>
          <t>shadow_qualified</t>
        </is>
      </c>
      <c r="BA27" s="24" t="inlineStr">
        <is>
          <t>fc46e0136357aa43869ef4ced7c0aa68d9788a5409ce876dbdac1283872f80fd</t>
        </is>
      </c>
      <c r="BB27" s="24" t="inlineStr">
        <is>
          <t>neutral_elo</t>
        </is>
      </c>
      <c r="BC27" s="24" t="inlineStr">
        <is>
          <t>dota2-tiered-elo-v6</t>
        </is>
      </c>
      <c r="BD27" s="24" t="inlineStr">
        <is>
          <t>fc46e0136357aa43869ef4ced7c0aa68d9788a5409ce876dbdac1283872f80fd</t>
        </is>
      </c>
      <c r="BE27" s="24" t="inlineStr">
        <is>
          <t>1</t>
        </is>
      </c>
      <c r="BF27" s="24" t="inlineStr">
        <is>
          <t>1</t>
        </is>
      </c>
      <c r="BG27" s="24" t="inlineStr">
        <is>
          <t>dota2-tiered-elo-v6</t>
        </is>
      </c>
      <c r="BH27" s="24" t="inlineStr">
        <is>
          <t>2026-10-14T05:53:14.998361Z</t>
        </is>
      </c>
      <c r="BI27" s="24" t="inlineStr">
        <is>
          <t>["same_event","same_team_same_day","same_league_same_day"]</t>
        </is>
      </c>
      <c r="BJ27" s="25" t="n"/>
      <c r="BK27" s="26" t="n">
        <v>-170</v>
      </c>
      <c r="BL27" s="27" t="n">
        <v>1.588235</v>
      </c>
      <c r="BM27" s="28" t="n">
        <v>0.62963</v>
      </c>
      <c r="BN27" s="28" t="n"/>
      <c r="BO27" s="28" t="n"/>
      <c r="BP27" s="25" t="n"/>
      <c r="BQ27" s="27" t="n"/>
      <c r="BR27" s="28" t="n"/>
      <c r="BS27" s="28" t="n"/>
      <c r="BT27" s="28" t="n"/>
      <c r="BU27" s="25" t="n"/>
      <c r="BV27" s="29" t="n"/>
      <c r="BW27" s="24" t="n"/>
      <c r="BX27" s="30" t="n"/>
      <c r="BY27" s="27" t="n"/>
      <c r="BZ27" s="24" t="n"/>
      <c r="CA27" s="31" t="n"/>
      <c r="CB27" s="24" t="n"/>
      <c r="CC27" s="24" t="n"/>
      <c r="CD27" s="24" t="n"/>
      <c r="CE27" s="24" t="n"/>
      <c r="CF27" s="24" t="n"/>
      <c r="CG27" s="24" t="n"/>
      <c r="CH27" s="24" t="n"/>
      <c r="CI27" s="24" t="n"/>
      <c r="CJ27" s="24" t="n"/>
      <c r="CK27" s="24" t="n"/>
      <c r="CL27" s="24" t="n"/>
      <c r="CM27" s="24" t="n"/>
      <c r="CN27" s="24" t="n"/>
      <c r="CO27" s="24" t="n"/>
      <c r="CP27" s="24" t="n"/>
      <c r="CQ27" s="24" t="n"/>
      <c r="CR27" s="24" t="n"/>
      <c r="CS27" s="24" t="inlineStr">
        <is>
          <t>False</t>
        </is>
      </c>
      <c r="CT27" s="24" t="n"/>
      <c r="CU27" s="24" t="n"/>
      <c r="CV27" s="24" t="n"/>
      <c r="CW27" s="24" t="n"/>
      <c r="CX27" s="24" t="n"/>
      <c r="CY27" s="24" t="n"/>
      <c r="CZ27" s="24" t="n"/>
      <c r="DA27" s="24" t="n"/>
      <c r="DB27" s="24" t="n"/>
      <c r="DC27" s="24" t="n"/>
      <c r="DD27" s="24" t="n"/>
      <c r="DE27" s="24" t="n"/>
      <c r="DF27" s="24" t="n"/>
      <c r="DG27" s="24" t="n"/>
      <c r="DH27" s="24" t="n"/>
      <c r="DI27" s="24" t="n"/>
      <c r="DJ27" s="24" t="n"/>
      <c r="DK27" s="24" t="n"/>
      <c r="DL27" s="24" t="n"/>
      <c r="DM27" s="24" t="n"/>
      <c r="DN27" s="24" t="n"/>
      <c r="DO27" s="24" t="n"/>
      <c r="DP27" s="24" t="n"/>
      <c r="DQ27" s="24" t="inlineStr">
        <is>
          <t>{"artifact_hash": "fc46e0136357aa43869ef4ced7c0aa68d9788a5409ce876dbdac1283872f80fd", "away_team": "Kalmychata", "event_id": "158214", "event_start_utc": "2026-10-14T09:00:00Z", "features": {"away_elo": 1592.507792, "away_history_count": 168, "home_elo": 1488.080158, "home_history_count": 297}, "historical_source_observation_times_verified": false, "home_team": "Nemiga Gaming", "inference_inputs": {"book_state": {"games_played": {"bo3:4:15089": 168, "bo3:4:16398": 297}, "inactivity_half_life_days": null, "inactivity_max_pull": null, "k": 48.0, "last_match_utc": {"bo3:4:15089": "2026-10-13T09:00:00Z", "bo3:4:16398": "2026-10-13T16:00:00Z"}, "minimum_reliable_games": null, "platt_intercept": 0.07036763852883177, "platt_slope": 0.8490234145215234, "ratings": {"bo3:4:15089": 1592.507792, "bo3:4:16398": 1488.080158}, "recency_half_life_days": null, "recency_max_boost": null, "temperature": 1.18, "thin_data_max_shrink": null, "tier_weights": null}, "code_sha256": {"esports.py": "3abbfc5d7124cc94603dada2e4c996da231a679d437c5a066d994a2a7d428f61", "features/elo_ratings.py": "d6513e79d65448c06cc0f9b9eed0eaa091567835128e1f6647a310da8d78a872"}, "reference_date": "2026-10-14T05:52:14.083136+00:00", "team_ids": ["bo3:4:16398", "bo3:4:15089"]}, "market_type": "moneyline", "model_version": "dota2-tiered-elo-v6", "observed_at_utc": "2026-10-14T05:52:14.083136+00:00", "probabilities": {"away": 0.591355, "home": 0.408645}, "replay_scope": "Exact serving book state, calibration, temperature, inactivity reference and thin-history adjustments; training provenance not certified.", "schema": "esports-elo-replay-v1", "snapshot_hash": "792be9ee076e5b22288cb5df758d4692b44c36a8a412c06212346b571186bdfc", "sport": "DOTA2"}</t>
        </is>
      </c>
    </row>
    <row r="28" ht="36" customHeight="1">
      <c r="A28" s="24" t="inlineStr">
        <is>
          <t>a8e6152fb6d3415e</t>
        </is>
      </c>
      <c r="B28" s="24" t="inlineStr">
        <is>
          <t>2026-10-14T05:58:58.433878Z</t>
        </is>
      </c>
      <c r="C28" s="24" t="inlineStr">
        <is>
          <t>2026-10-14T12:00:00Z</t>
        </is>
      </c>
      <c r="D28" s="24" t="inlineStr">
        <is>
          <t>158541</t>
        </is>
      </c>
      <c r="E28" s="24" t="inlineStr">
        <is>
          <t>DOTA2</t>
        </is>
      </c>
      <c r="F28" s="24" t="inlineStr">
        <is>
          <t>Team Resilience</t>
        </is>
      </c>
      <c r="G28" s="24" t="inlineStr">
        <is>
          <t>Yakult Brothers</t>
        </is>
      </c>
      <c r="H28" s="24" t="inlineStr">
        <is>
          <t>moneyline</t>
        </is>
      </c>
      <c r="I28" s="24" t="inlineStr">
        <is>
          <t>away</t>
        </is>
      </c>
      <c r="J28" s="25" t="n"/>
      <c r="K28" s="24" t="inlineStr">
        <is>
          <t>polymarket_us</t>
        </is>
      </c>
      <c r="L28" s="26" t="n">
        <v>-156</v>
      </c>
      <c r="M28" s="27" t="n">
        <v>1.641026</v>
      </c>
      <c r="N28" s="28" t="n">
        <v>0.609375</v>
      </c>
      <c r="O28" s="28" t="n">
        <v>0.549683</v>
      </c>
      <c r="P28" s="28" t="n"/>
      <c r="Q28" s="28" t="n">
        <v>-0.059692</v>
      </c>
      <c r="R28" s="26" t="n">
        <v>0</v>
      </c>
      <c r="S28" s="29" t="n">
        <v>1</v>
      </c>
      <c r="T28" s="24" t="inlineStr">
        <is>
          <t>dota2-tiered-elo-v6</t>
        </is>
      </c>
      <c r="U28" s="24" t="inlineStr">
        <is>
          <t>open</t>
        </is>
      </c>
      <c r="V28" s="24" t="n"/>
      <c r="W28" s="26" t="n"/>
      <c r="X28" s="26" t="n"/>
      <c r="Y28" s="25" t="n"/>
      <c r="Z28" s="26" t="n"/>
      <c r="AA28" s="28" t="n"/>
      <c r="AB28" s="28" t="n"/>
      <c r="AC28" s="30" t="n"/>
      <c r="AD28" s="24" t="n"/>
      <c r="AE28" s="31" t="inlineStr">
        <is>
          <t>Neutral Elo baseline; executable ask 0.6100 (market_slug=aec-dota2-yb-tr-2026-10-14).</t>
        </is>
      </c>
      <c r="AF28" s="31" t="inlineStr">
        <is>
          <t>Config-promoted esports baseline; gates enforced at log time.</t>
        </is>
      </c>
      <c r="AG28" s="24" t="inlineStr">
        <is>
          <t>not_applicable</t>
        </is>
      </c>
      <c r="AH28" s="24" t="n"/>
      <c r="AI28" s="31" t="n"/>
      <c r="AJ28" s="31" t="n"/>
      <c r="AK28" s="24" t="inlineStr">
        <is>
          <t>paper_call</t>
        </is>
      </c>
      <c r="AL28" s="26" t="n">
        <v>4</v>
      </c>
      <c r="AM28" s="24" t="inlineStr">
        <is>
          <t>RESEARCH_OBSERVATION</t>
        </is>
      </c>
      <c r="AN28" s="24" t="inlineStr">
        <is>
          <t>CALL</t>
        </is>
      </c>
      <c r="AO28" s="24" t="inlineStr">
        <is>
          <t>PAPER_CALL_LOW_EDGE</t>
        </is>
      </c>
      <c r="AP28" s="24" t="inlineStr">
        <is>
          <t>Team Resilience</t>
        </is>
      </c>
      <c r="AQ28" s="24" t="inlineStr">
        <is>
          <t>Team Resilience</t>
        </is>
      </c>
      <c r="AR28" s="24" t="inlineStr">
        <is>
          <t>Team Resilience</t>
        </is>
      </c>
      <c r="AS28" s="24" t="inlineStr">
        <is>
          <t>Yakult Brothers</t>
        </is>
      </c>
      <c r="AT28" s="24" t="inlineStr">
        <is>
          <t>Yakult Brothers</t>
        </is>
      </c>
      <c r="AU28" s="24" t="inlineStr">
        <is>
          <t>Yakult Brothers</t>
        </is>
      </c>
      <c r="AV28" s="24" t="n"/>
      <c r="AW28" s="24" t="n"/>
      <c r="AX28" s="24" t="inlineStr">
        <is>
          <t>statistical_model</t>
        </is>
      </c>
      <c r="AY28" s="24" t="n"/>
      <c r="AZ28" s="24" t="inlineStr">
        <is>
          <t>shadow_qualified</t>
        </is>
      </c>
      <c r="BA28" s="24" t="inlineStr">
        <is>
          <t>fc46e0136357aa43869ef4ced7c0aa68d9788a5409ce876dbdac1283872f80fd</t>
        </is>
      </c>
      <c r="BB28" s="24" t="inlineStr">
        <is>
          <t>neutral_elo</t>
        </is>
      </c>
      <c r="BC28" s="24" t="inlineStr">
        <is>
          <t>dota2-tiered-elo-v6</t>
        </is>
      </c>
      <c r="BD28" s="24" t="inlineStr">
        <is>
          <t>fc46e0136357aa43869ef4ced7c0aa68d9788a5409ce876dbdac1283872f80fd</t>
        </is>
      </c>
      <c r="BE28" s="24" t="inlineStr">
        <is>
          <t>1</t>
        </is>
      </c>
      <c r="BF28" s="24" t="inlineStr">
        <is>
          <t>1</t>
        </is>
      </c>
      <c r="BG28" s="24" t="inlineStr">
        <is>
          <t>dota2-tiered-elo-v6</t>
        </is>
      </c>
      <c r="BH28" s="24" t="inlineStr">
        <is>
          <t>2026-10-14T05:55:09.636207Z</t>
        </is>
      </c>
      <c r="BI28" s="24" t="inlineStr">
        <is>
          <t>["same_event","same_team_same_day","same_league_same_day"]</t>
        </is>
      </c>
      <c r="BJ28" s="25" t="n"/>
      <c r="BK28" s="26" t="n">
        <v>-156</v>
      </c>
      <c r="BL28" s="27" t="n">
        <v>1.641026</v>
      </c>
      <c r="BM28" s="28" t="n">
        <v>0.609375</v>
      </c>
      <c r="BN28" s="28" t="n"/>
      <c r="BO28" s="28" t="n"/>
      <c r="BP28" s="25" t="n"/>
      <c r="BQ28" s="27" t="n"/>
      <c r="BR28" s="28" t="n"/>
      <c r="BS28" s="28" t="n"/>
      <c r="BT28" s="28" t="n"/>
      <c r="BU28" s="25" t="n"/>
      <c r="BV28" s="29" t="n"/>
      <c r="BW28" s="24" t="n"/>
      <c r="BX28" s="30" t="n"/>
      <c r="BY28" s="27" t="n"/>
      <c r="BZ28" s="24" t="n"/>
      <c r="CA28" s="31" t="n"/>
      <c r="CB28" s="24" t="n"/>
      <c r="CC28" s="24" t="n"/>
      <c r="CD28" s="24" t="n"/>
      <c r="CE28" s="24" t="n"/>
      <c r="CF28" s="24" t="n"/>
      <c r="CG28" s="24" t="n"/>
      <c r="CH28" s="24" t="n"/>
      <c r="CI28" s="24" t="n"/>
      <c r="CJ28" s="24" t="n"/>
      <c r="CK28" s="24" t="n"/>
      <c r="CL28" s="24" t="n"/>
      <c r="CM28" s="24" t="n"/>
      <c r="CN28" s="24" t="n"/>
      <c r="CO28" s="24" t="n"/>
      <c r="CP28" s="24" t="n"/>
      <c r="CQ28" s="24" t="n"/>
      <c r="CR28" s="24" t="n"/>
      <c r="CS28" s="24" t="inlineStr">
        <is>
          <t>False</t>
        </is>
      </c>
      <c r="CT28" s="24" t="n"/>
      <c r="CU28" s="24" t="n"/>
      <c r="CV28" s="24" t="n"/>
      <c r="CW28" s="24" t="n"/>
      <c r="CX28" s="24" t="n"/>
      <c r="CY28" s="24" t="n"/>
      <c r="CZ28" s="24" t="n"/>
      <c r="DA28" s="24" t="n"/>
      <c r="DB28" s="24" t="n"/>
      <c r="DC28" s="24" t="n"/>
      <c r="DD28" s="24" t="n"/>
      <c r="DE28" s="24" t="n"/>
      <c r="DF28" s="24" t="n"/>
      <c r="DG28" s="24" t="n"/>
      <c r="DH28" s="24" t="n"/>
      <c r="DI28" s="24" t="n"/>
      <c r="DJ28" s="24" t="n"/>
      <c r="DK28" s="24" t="n"/>
      <c r="DL28" s="24" t="n"/>
      <c r="DM28" s="24" t="n"/>
      <c r="DN28" s="24" t="n"/>
      <c r="DO28" s="24" t="n"/>
      <c r="DP28" s="24" t="n"/>
      <c r="DQ28" s="24" t="inlineStr">
        <is>
          <t>{"artifact_hash": "fc46e0136357aa43869ef4ced7c0aa68d9788a5409ce876dbdac1283872f80fd", "away_team": "Team Resilience", "event_id": "158541", "event_start_utc": "2026-10-14T12:00:00Z", "features": {"away_elo": 1752.912205, "away_history_count": 23, "home_elo": 1689.95539, "home_history_count": 188}, "historical_source_observation_times_verified": false, "home_team": "Yakult Brothers", "inference_inputs": {"book_state": {"games_played": {"bo3:4:18586": 188, "bo3:4:23196": 23}, "inactivity_half_life_days": null, "inactivity_max_pull": null, "k": 48.0, "last_match_utc": {"bo3:4:18586": "2026-10-13T12:30:00Z", "bo3:4:23196": "2026-10-13T12:30:00Z"}, "minimum_reliable_games": null, "platt_intercept": 0.07036763852883177, "platt_slope": 0.8490234145215234, "ratings": {"bo3:4:18586": 1689.95539, "bo3:4:23196": 1752.912205}, "recency_half_life_days": null, "recency_max_boost": null, "temperature": 1.18, "thin_data_max_shrink": null, "tier_weights": null}, "code_sha256": {"esports.py": "3abbfc5d7124cc94603dada2e4c996da231a679d437c5a066d994a2a7d428f61", "features/elo_ratings.py": "d6513e79d65448c06cc0f9b9eed0eaa091567835128e1f6647a310da8d78a872"}, "reference_date": "2026-10-14T05:52:14.083136+00:00", "team_ids": ["bo3:4:18586", "bo3:4:23196"]}, "market_type": "moneyline", "model_version": "dota2-tiered-elo-v6", "observed_at_utc": "2026-10-14T05:52:14.083136+00:00", "probabilities": {"away": 0.549683, "home": 0.450317}, "replay_scope": "Exact serving book state, calibration, temperature, inactivity reference and thin-history adjustments; training provenance not certified.", "schema": "esports-elo-replay-v1", "snapshot_hash": "b0e53c870d4a1380eb6f96e8b29b1badd097645f699610f6eb160a9e1dda942b", "sport": "DOTA2"}</t>
        </is>
      </c>
    </row>
    <row r="29" ht="36" customHeight="1">
      <c r="A29" s="24" t="inlineStr">
        <is>
          <t>83ce9365f1c8486b</t>
        </is>
      </c>
      <c r="B29" s="24" t="inlineStr">
        <is>
          <t>2026-10-14T05:58:58.433878Z</t>
        </is>
      </c>
      <c r="C29" s="24" t="inlineStr">
        <is>
          <t>2026-10-14T16:00:00Z</t>
        </is>
      </c>
      <c r="D29" s="24" t="inlineStr">
        <is>
          <t>156718</t>
        </is>
      </c>
      <c r="E29" s="24" t="inlineStr">
        <is>
          <t>DOTA2</t>
        </is>
      </c>
      <c r="F29" s="24" t="inlineStr">
        <is>
          <t>salamit</t>
        </is>
      </c>
      <c r="G29" s="24" t="inlineStr">
        <is>
          <t>Nemiga Gaming</t>
        </is>
      </c>
      <c r="H29" s="24" t="inlineStr">
        <is>
          <t>moneyline</t>
        </is>
      </c>
      <c r="I29" s="24" t="inlineStr">
        <is>
          <t>home</t>
        </is>
      </c>
      <c r="J29" s="25" t="n"/>
      <c r="K29" s="24" t="inlineStr">
        <is>
          <t>polymarket_us</t>
        </is>
      </c>
      <c r="L29" s="26" t="n">
        <v>150</v>
      </c>
      <c r="M29" s="27" t="n">
        <v>2.5</v>
      </c>
      <c r="N29" s="28" t="n">
        <v>0.4</v>
      </c>
      <c r="O29" s="28" t="n">
        <v>0.523655</v>
      </c>
      <c r="P29" s="28" t="n"/>
      <c r="Q29" s="28" t="n">
        <v>0.123655</v>
      </c>
      <c r="R29" s="26" t="n">
        <v>82</v>
      </c>
      <c r="S29" s="29" t="n">
        <v>1.5</v>
      </c>
      <c r="T29" s="24" t="inlineStr">
        <is>
          <t>dota2-tiered-elo-v6</t>
        </is>
      </c>
      <c r="U29" s="24" t="inlineStr">
        <is>
          <t>open</t>
        </is>
      </c>
      <c r="V29" s="24" t="n"/>
      <c r="W29" s="26" t="n"/>
      <c r="X29" s="26" t="n"/>
      <c r="Y29" s="25" t="n"/>
      <c r="Z29" s="26" t="n"/>
      <c r="AA29" s="28" t="n"/>
      <c r="AB29" s="28" t="n"/>
      <c r="AC29" s="30" t="n"/>
      <c r="AD29" s="24" t="n"/>
      <c r="AE29" s="31" t="inlineStr">
        <is>
          <t>Neutral Elo baseline; executable ask 0.4000 (market_slug=aec-dota2-nemiga-sala-2026-10-14).</t>
        </is>
      </c>
      <c r="AF29" s="31" t="inlineStr">
        <is>
          <t>Config-promoted esports baseline; gates enforced at log time.</t>
        </is>
      </c>
      <c r="AG29" s="24" t="inlineStr">
        <is>
          <t>not_applicable</t>
        </is>
      </c>
      <c r="AH29" s="24" t="n"/>
      <c r="AI29" s="31" t="n"/>
      <c r="AJ29" s="31" t="n"/>
      <c r="AK29" s="24" t="inlineStr">
        <is>
          <t>model_qualified</t>
        </is>
      </c>
      <c r="AL29" s="26" t="n">
        <v>4</v>
      </c>
      <c r="AM29" s="24" t="inlineStr">
        <is>
          <t>QUALIFIED_SHADOW_CALL</t>
        </is>
      </c>
      <c r="AN29" s="24" t="inlineStr">
        <is>
          <t>CALL</t>
        </is>
      </c>
      <c r="AO29" s="24" t="inlineStr">
        <is>
          <t>QUALIFIED</t>
        </is>
      </c>
      <c r="AP29" s="24" t="inlineStr">
        <is>
          <t>salamit</t>
        </is>
      </c>
      <c r="AQ29" s="24" t="inlineStr">
        <is>
          <t>salamit</t>
        </is>
      </c>
      <c r="AR29" s="24" t="inlineStr">
        <is>
          <t>salamit</t>
        </is>
      </c>
      <c r="AS29" s="24" t="inlineStr">
        <is>
          <t>Nemiga Gaming</t>
        </is>
      </c>
      <c r="AT29" s="24" t="inlineStr">
        <is>
          <t>Nemiga Gaming</t>
        </is>
      </c>
      <c r="AU29" s="24" t="inlineStr">
        <is>
          <t>Nemiga Gaming</t>
        </is>
      </c>
      <c r="AV29" s="24" t="n"/>
      <c r="AW29" s="24" t="n"/>
      <c r="AX29" s="24" t="inlineStr">
        <is>
          <t>statistical_model</t>
        </is>
      </c>
      <c r="AY29" s="24" t="n"/>
      <c r="AZ29" s="24" t="inlineStr">
        <is>
          <t>shadow_qualified</t>
        </is>
      </c>
      <c r="BA29" s="24" t="inlineStr">
        <is>
          <t>fc46e0136357aa43869ef4ced7c0aa68d9788a5409ce876dbdac1283872f80fd</t>
        </is>
      </c>
      <c r="BB29" s="24" t="inlineStr">
        <is>
          <t>neutral_elo</t>
        </is>
      </c>
      <c r="BC29" s="24" t="inlineStr">
        <is>
          <t>dota2-tiered-elo-v6</t>
        </is>
      </c>
      <c r="BD29" s="24" t="inlineStr">
        <is>
          <t>fc46e0136357aa43869ef4ced7c0aa68d9788a5409ce876dbdac1283872f80fd</t>
        </is>
      </c>
      <c r="BE29" s="24" t="inlineStr">
        <is>
          <t>1</t>
        </is>
      </c>
      <c r="BF29" s="24" t="inlineStr">
        <is>
          <t>1</t>
        </is>
      </c>
      <c r="BG29" s="24" t="inlineStr">
        <is>
          <t>dota2-tiered-elo-v6</t>
        </is>
      </c>
      <c r="BH29" s="24" t="inlineStr">
        <is>
          <t>2026-10-14T05:56:02.908549Z</t>
        </is>
      </c>
      <c r="BI29" s="24" t="inlineStr">
        <is>
          <t>["same_event","same_team_same_day","same_league_same_day"]</t>
        </is>
      </c>
      <c r="BJ29" s="25" t="n"/>
      <c r="BK29" s="26" t="n">
        <v>150</v>
      </c>
      <c r="BL29" s="27" t="n">
        <v>2.5</v>
      </c>
      <c r="BM29" s="28" t="n">
        <v>0.4</v>
      </c>
      <c r="BN29" s="28" t="n"/>
      <c r="BO29" s="28" t="n"/>
      <c r="BP29" s="25" t="n"/>
      <c r="BQ29" s="27" t="n"/>
      <c r="BR29" s="28" t="n"/>
      <c r="BS29" s="28" t="n"/>
      <c r="BT29" s="28" t="n"/>
      <c r="BU29" s="25" t="n"/>
      <c r="BV29" s="29" t="n"/>
      <c r="BW29" s="24" t="n"/>
      <c r="BX29" s="30" t="n"/>
      <c r="BY29" s="27" t="n"/>
      <c r="BZ29" s="24" t="n"/>
      <c r="CA29" s="31" t="n"/>
      <c r="CB29" s="24" t="n"/>
      <c r="CC29" s="24" t="n"/>
      <c r="CD29" s="24" t="n"/>
      <c r="CE29" s="24" t="n"/>
      <c r="CF29" s="24" t="n"/>
      <c r="CG29" s="24" t="n"/>
      <c r="CH29" s="24" t="n"/>
      <c r="CI29" s="24" t="n"/>
      <c r="CJ29" s="24" t="n"/>
      <c r="CK29" s="24" t="n"/>
      <c r="CL29" s="24" t="n"/>
      <c r="CM29" s="24" t="n"/>
      <c r="CN29" s="24" t="n"/>
      <c r="CO29" s="24" t="n"/>
      <c r="CP29" s="24" t="n"/>
      <c r="CQ29" s="24" t="n"/>
      <c r="CR29" s="24" t="n"/>
      <c r="CS29" s="24" t="inlineStr">
        <is>
          <t>True</t>
        </is>
      </c>
      <c r="CT29" s="24" t="n"/>
      <c r="CU29" s="24" t="n"/>
      <c r="CV29" s="24" t="n"/>
      <c r="CW29" s="24" t="n"/>
      <c r="CX29" s="24" t="n"/>
      <c r="CY29" s="24" t="n"/>
      <c r="CZ29" s="24" t="n"/>
      <c r="DA29" s="24" t="n"/>
      <c r="DB29" s="24" t="n"/>
      <c r="DC29" s="24" t="n"/>
      <c r="DD29" s="24" t="n"/>
      <c r="DE29" s="24" t="n"/>
      <c r="DF29" s="24" t="n"/>
      <c r="DG29" s="24" t="n"/>
      <c r="DH29" s="24" t="n"/>
      <c r="DI29" s="24" t="n"/>
      <c r="DJ29" s="24" t="n"/>
      <c r="DK29" s="24" t="n"/>
      <c r="DL29" s="24" t="n"/>
      <c r="DM29" s="24" t="n"/>
      <c r="DN29" s="24" t="n"/>
      <c r="DO29" s="24" t="n"/>
      <c r="DP29" s="24" t="n"/>
      <c r="DQ29" s="24" t="inlineStr">
        <is>
          <t>{"artifact_hash": "fc46e0136357aa43869ef4ced7c0aa68d9788a5409ce876dbdac1283872f80fd", "away_team": "salamit", "event_id": "156718", "event_start_utc": "2026-10-14T16:00:00Z", "features": {"away_elo": 1460.288501, "away_history_count": 1, "home_elo": 1488.080158, "home_history_count": 297}, "historical_source_observation_times_verified": false, "home_team": "Nemiga Gaming", "inference_inputs": {"book_state": {"games_played": {"bo3:4:16398": 297, "bo3:4:25478": 1}, "inactivity_half_life_days": null, "inactivity_max_pull": null, "k": 48.0, "last_match_utc": {"bo3:4:16398": "2026-10-13T16:00:00Z", "bo3:4:25478": "2026-10-12T13:10:00Z"}, "minimum_reliable_games": null, "platt_intercept": 0.07036763852883177, "platt_slope": 0.8490234145215234, "ratings": {"bo3:4:16398": 1488.080158, "bo3:4:25478": 1460.288501}, "recency_half_life_days": null, "recency_max_boost": null, "temperature": 1.18, "thin_data_max_shrink": null, "tier_weights": null}, "code_sha256": {"esports.py": "3abbfc5d7124cc94603dada2e4c996da231a679d437c5a066d994a2a7d428f61", "features/elo_ratings.py": "d6513e79d65448c06cc0f9b9eed0eaa091567835128e1f6647a310da8d78a872"}, "reference_date": "2026-10-14T05:52:14.083136+00:00", "team_ids": ["bo3:4:16398", "bo3:4:25478"]}, "market_type": "moneyline", "model_version": "dota2-tiered-elo-v6", "observed_at_utc": "2026-10-14T05:52:14.083136+00:00", "probabilities": {"away": 0.476345, "home": 0.523655}, "replay_scope": "Exact serving book state, calibration, temperature, inactivity reference and thin-history adjustments; training provenance not certified.", "schema": "esports-elo-replay-v1", "snapshot_hash": "24a5e4b74578f47f77b530c4eb469cecd5efa6c30b455019c70d475f291f4144", "sport": "DOTA2"}</t>
        </is>
      </c>
    </row>
    <row r="30" ht="36" customHeight="1">
      <c r="A30" s="24" t="inlineStr">
        <is>
          <t>ea4910037203439f</t>
        </is>
      </c>
      <c r="B30" s="24" t="inlineStr">
        <is>
          <t>2026-10-14T05:58:58.433878Z</t>
        </is>
      </c>
      <c r="C30" s="24" t="inlineStr">
        <is>
          <t>2026-10-14T19:00:00Z</t>
        </is>
      </c>
      <c r="D30" s="24" t="inlineStr">
        <is>
          <t>156716</t>
        </is>
      </c>
      <c r="E30" s="24" t="inlineStr">
        <is>
          <t>DOTA2</t>
        </is>
      </c>
      <c r="F30" s="24" t="inlineStr">
        <is>
          <t>salamit</t>
        </is>
      </c>
      <c r="G30" s="24" t="inlineStr">
        <is>
          <t>Dawn Bulls</t>
        </is>
      </c>
      <c r="H30" s="24" t="inlineStr">
        <is>
          <t>moneyline</t>
        </is>
      </c>
      <c r="I30" s="24" t="inlineStr">
        <is>
          <t>home</t>
        </is>
      </c>
      <c r="J30" s="25" t="n"/>
      <c r="K30" s="24" t="inlineStr">
        <is>
          <t>polymarket_us</t>
        </is>
      </c>
      <c r="L30" s="26" t="n">
        <v>-223</v>
      </c>
      <c r="M30" s="27" t="n">
        <v>1.44843</v>
      </c>
      <c r="N30" s="28" t="n">
        <v>0.690402</v>
      </c>
      <c r="O30" s="28" t="n">
        <v>0.59448</v>
      </c>
      <c r="P30" s="28" t="n"/>
      <c r="Q30" s="28" t="n">
        <v>-0.09592199999999999</v>
      </c>
      <c r="R30" s="26" t="n">
        <v>0</v>
      </c>
      <c r="S30" s="29" t="n">
        <v>1</v>
      </c>
      <c r="T30" s="24" t="inlineStr">
        <is>
          <t>dota2-tiered-elo-v6</t>
        </is>
      </c>
      <c r="U30" s="24" t="inlineStr">
        <is>
          <t>open</t>
        </is>
      </c>
      <c r="V30" s="24" t="n"/>
      <c r="W30" s="26" t="n"/>
      <c r="X30" s="26" t="n"/>
      <c r="Y30" s="25" t="n"/>
      <c r="Z30" s="26" t="n"/>
      <c r="AA30" s="28" t="n"/>
      <c r="AB30" s="28" t="n"/>
      <c r="AC30" s="30" t="n"/>
      <c r="AD30" s="24" t="n"/>
      <c r="AE30" s="31" t="inlineStr">
        <is>
          <t>Neutral Elo baseline; executable ask 0.6900 (market_slug=aec-dota2-dba-sala-2026-10-14).</t>
        </is>
      </c>
      <c r="AF30" s="31" t="inlineStr">
        <is>
          <t>Config-promoted esports baseline; gates enforced at log time.</t>
        </is>
      </c>
      <c r="AG30" s="24" t="inlineStr">
        <is>
          <t>not_applicable</t>
        </is>
      </c>
      <c r="AH30" s="24" t="n"/>
      <c r="AI30" s="31" t="n"/>
      <c r="AJ30" s="31" t="n"/>
      <c r="AK30" s="24" t="inlineStr">
        <is>
          <t>paper_call</t>
        </is>
      </c>
      <c r="AL30" s="26" t="n">
        <v>4</v>
      </c>
      <c r="AM30" s="24" t="inlineStr">
        <is>
          <t>RESEARCH_OBSERVATION</t>
        </is>
      </c>
      <c r="AN30" s="24" t="inlineStr">
        <is>
          <t>CALL</t>
        </is>
      </c>
      <c r="AO30" s="24" t="inlineStr">
        <is>
          <t>PAPER_CALL_LOW_EDGE</t>
        </is>
      </c>
      <c r="AP30" s="24" t="inlineStr">
        <is>
          <t>salamit</t>
        </is>
      </c>
      <c r="AQ30" s="24" t="inlineStr">
        <is>
          <t>salamit</t>
        </is>
      </c>
      <c r="AR30" s="24" t="inlineStr">
        <is>
          <t>salamit</t>
        </is>
      </c>
      <c r="AS30" s="24" t="inlineStr">
        <is>
          <t>Dawn Bulls</t>
        </is>
      </c>
      <c r="AT30" s="24" t="inlineStr">
        <is>
          <t>Dawn Bulls</t>
        </is>
      </c>
      <c r="AU30" s="24" t="inlineStr">
        <is>
          <t>Dawn Bulls</t>
        </is>
      </c>
      <c r="AV30" s="24" t="n"/>
      <c r="AW30" s="24" t="n"/>
      <c r="AX30" s="24" t="inlineStr">
        <is>
          <t>statistical_model</t>
        </is>
      </c>
      <c r="AY30" s="24" t="n"/>
      <c r="AZ30" s="24" t="inlineStr">
        <is>
          <t>shadow_qualified</t>
        </is>
      </c>
      <c r="BA30" s="24" t="inlineStr">
        <is>
          <t>fc46e0136357aa43869ef4ced7c0aa68d9788a5409ce876dbdac1283872f80fd</t>
        </is>
      </c>
      <c r="BB30" s="24" t="inlineStr">
        <is>
          <t>neutral_elo</t>
        </is>
      </c>
      <c r="BC30" s="24" t="inlineStr">
        <is>
          <t>dota2-tiered-elo-v6</t>
        </is>
      </c>
      <c r="BD30" s="24" t="inlineStr">
        <is>
          <t>fc46e0136357aa43869ef4ced7c0aa68d9788a5409ce876dbdac1283872f80fd</t>
        </is>
      </c>
      <c r="BE30" s="24" t="inlineStr">
        <is>
          <t>1</t>
        </is>
      </c>
      <c r="BF30" s="24" t="inlineStr">
        <is>
          <t>1</t>
        </is>
      </c>
      <c r="BG30" s="24" t="inlineStr">
        <is>
          <t>dota2-tiered-elo-v6</t>
        </is>
      </c>
      <c r="BH30" s="24" t="inlineStr">
        <is>
          <t>2026-10-14T05:56:54.523031Z</t>
        </is>
      </c>
      <c r="BI30" s="24" t="inlineStr">
        <is>
          <t>["same_event","same_team_same_day","same_league_same_day"]</t>
        </is>
      </c>
      <c r="BJ30" s="25" t="n"/>
      <c r="BK30" s="26" t="n">
        <v>-223</v>
      </c>
      <c r="BL30" s="27" t="n">
        <v>1.44843</v>
      </c>
      <c r="BM30" s="28" t="n">
        <v>0.690402</v>
      </c>
      <c r="BN30" s="28" t="n"/>
      <c r="BO30" s="28" t="n"/>
      <c r="BP30" s="25" t="n"/>
      <c r="BQ30" s="27" t="n"/>
      <c r="BR30" s="28" t="n"/>
      <c r="BS30" s="28" t="n"/>
      <c r="BT30" s="28" t="n"/>
      <c r="BU30" s="25" t="n"/>
      <c r="BV30" s="29" t="n"/>
      <c r="BW30" s="24" t="n"/>
      <c r="BX30" s="30" t="n"/>
      <c r="BY30" s="27" t="n"/>
      <c r="BZ30" s="24" t="n"/>
      <c r="CA30" s="31" t="n"/>
      <c r="CB30" s="24" t="n"/>
      <c r="CC30" s="24" t="n"/>
      <c r="CD30" s="24" t="n"/>
      <c r="CE30" s="24" t="n"/>
      <c r="CF30" s="24" t="n"/>
      <c r="CG30" s="24" t="n"/>
      <c r="CH30" s="24" t="n"/>
      <c r="CI30" s="24" t="n"/>
      <c r="CJ30" s="24" t="n"/>
      <c r="CK30" s="24" t="n"/>
      <c r="CL30" s="24" t="n"/>
      <c r="CM30" s="24" t="n"/>
      <c r="CN30" s="24" t="n"/>
      <c r="CO30" s="24" t="n"/>
      <c r="CP30" s="24" t="n"/>
      <c r="CQ30" s="24" t="n"/>
      <c r="CR30" s="24" t="n"/>
      <c r="CS30" s="24" t="inlineStr">
        <is>
          <t>False</t>
        </is>
      </c>
      <c r="CT30" s="24" t="n"/>
      <c r="CU30" s="24" t="n"/>
      <c r="CV30" s="24" t="n"/>
      <c r="CW30" s="24" t="n"/>
      <c r="CX30" s="24" t="n"/>
      <c r="CY30" s="24" t="n"/>
      <c r="CZ30" s="24" t="n"/>
      <c r="DA30" s="24" t="n"/>
      <c r="DB30" s="24" t="n"/>
      <c r="DC30" s="24" t="n"/>
      <c r="DD30" s="24" t="n"/>
      <c r="DE30" s="24" t="n"/>
      <c r="DF30" s="24" t="n"/>
      <c r="DG30" s="24" t="n"/>
      <c r="DH30" s="24" t="n"/>
      <c r="DI30" s="24" t="n"/>
      <c r="DJ30" s="24" t="n"/>
      <c r="DK30" s="24" t="n"/>
      <c r="DL30" s="24" t="n"/>
      <c r="DM30" s="24" t="n"/>
      <c r="DN30" s="24" t="n"/>
      <c r="DO30" s="24" t="n"/>
      <c r="DP30" s="24" t="n"/>
      <c r="DQ30" s="24" t="inlineStr">
        <is>
          <t>{"artifact_hash": "fc46e0136357aa43869ef4ced7c0aa68d9788a5409ce876dbdac1283872f80fd", "away_team": "salamit", "event_id": "156716", "event_start_utc": "2026-10-14T19:00:00Z", "features": {"away_elo": 1460.288501, "away_history_count": 1, "home_elo": 1620.074907, "home_history_count": 6}, "historical_source_observation_times_verified": false, "home_team": "Dawn Bulls", "inference_inputs": {"book_state": {"games_played": {"bo3:4:25301": 6, "bo3:4:25478": 1}, "inactivity_half_life_days": null, "inactivity_max_pull": null, "k": 48.0, "last_match_utc": {"bo3:4:25301": "2026-10-13T16:00:00Z", "bo3:4:25478": "2026-10-12T13:10:00Z"}, "minimum_reliable_games": null, "platt_intercept": 0.07036763852883177, "platt_slope": 0.8490234145215234, "ratings": {"bo3:4:25301": 1620.074907, "bo3:4:25478": 1460.288501}, "recency_half_life_days": null, "recency_max_boost": null, "temperature": 1.18, "thin_data_max_shrink": null, "tier_weights": null}, "code_sha256": {"esports.py": "3abbfc5d7124cc94603dada2e4c996da231a679d437c5a066d994a2a7d428f61", "features/elo_ratings.py": "d6513e79d65448c06cc0f9b9eed0eaa091567835128e1f6647a310da8d78a872"}, "reference_date": "2026-10-14T05:52:14.083136+00:00", "team_ids": ["bo3:4:25301", "bo3:4:25478"]}, "market_type": "moneyline", "model_version": "dota2-tiered-elo-v6", "observed_at_utc": "2026-10-14T05:52:14.083136+00:00", "probabilities": {"away": 0.40552, "home": 0.59448}, "replay_scope": "Exact serving book state, calibration, temperature, inactivity reference and thin-history adjustments; training provenance not certified.", "schema": "esports-elo-replay-v1", "snapshot_hash": "9f63e7ddcb28fd5faf9bb7922cf0be61109ee48b76f676b6e8273dbe0a0179db", "sport": "DOTA2"}</t>
        </is>
      </c>
    </row>
    <row r="31" ht="36" customHeight="1">
      <c r="A31" s="24" t="inlineStr">
        <is>
          <t>20af05f473b34ae2</t>
        </is>
      </c>
      <c r="B31" s="24" t="inlineStr">
        <is>
          <t>2026-10-14T05:58:58.433878Z</t>
        </is>
      </c>
      <c r="C31" s="24" t="inlineStr">
        <is>
          <t>2026-10-15T10:00:00Z</t>
        </is>
      </c>
      <c r="D31" s="24" t="inlineStr">
        <is>
          <t>156803</t>
        </is>
      </c>
      <c r="E31" s="24" t="inlineStr">
        <is>
          <t>DOTA2</t>
        </is>
      </c>
      <c r="F31" s="24" t="inlineStr">
        <is>
          <t>Dawn Bulls</t>
        </is>
      </c>
      <c r="G31" s="24" t="inlineStr">
        <is>
          <t>Team Lynx</t>
        </is>
      </c>
      <c r="H31" s="24" t="inlineStr">
        <is>
          <t>moneyline</t>
        </is>
      </c>
      <c r="I31" s="24" t="inlineStr">
        <is>
          <t>home</t>
        </is>
      </c>
      <c r="J31" s="25" t="n"/>
      <c r="K31" s="24" t="inlineStr">
        <is>
          <t>polymarket_us</t>
        </is>
      </c>
      <c r="L31" s="26" t="n">
        <v>122</v>
      </c>
      <c r="M31" s="27" t="n">
        <v>2.22</v>
      </c>
      <c r="N31" s="28" t="n">
        <v>0.45045</v>
      </c>
      <c r="O31" s="28" t="n">
        <v>0.607537</v>
      </c>
      <c r="P31" s="28" t="n"/>
      <c r="Q31" s="28" t="n">
        <v>0.157087</v>
      </c>
      <c r="R31" s="26" t="n">
        <v>99</v>
      </c>
      <c r="S31" s="29" t="n">
        <v>1.75</v>
      </c>
      <c r="T31" s="24" t="inlineStr">
        <is>
          <t>dota2-tiered-elo-v6</t>
        </is>
      </c>
      <c r="U31" s="24" t="inlineStr">
        <is>
          <t>open</t>
        </is>
      </c>
      <c r="V31" s="24" t="n"/>
      <c r="W31" s="26" t="n"/>
      <c r="X31" s="26" t="n"/>
      <c r="Y31" s="25" t="n"/>
      <c r="Z31" s="26" t="n"/>
      <c r="AA31" s="28" t="n"/>
      <c r="AB31" s="28" t="n"/>
      <c r="AC31" s="30" t="n"/>
      <c r="AD31" s="24" t="n"/>
      <c r="AE31" s="31" t="inlineStr">
        <is>
          <t>Neutral Elo baseline; executable ask 0.4500 (market_slug=aec-dota2-lynx-dba-2026-10-15).</t>
        </is>
      </c>
      <c r="AF31" s="31" t="inlineStr">
        <is>
          <t>Config-promoted esports baseline; gates enforced at log time.</t>
        </is>
      </c>
      <c r="AG31" s="24" t="inlineStr">
        <is>
          <t>not_applicable</t>
        </is>
      </c>
      <c r="AH31" s="24" t="n"/>
      <c r="AI31" s="31" t="n"/>
      <c r="AJ31" s="31" t="n"/>
      <c r="AK31" s="24" t="inlineStr">
        <is>
          <t>model_qualified</t>
        </is>
      </c>
      <c r="AL31" s="26" t="n">
        <v>4</v>
      </c>
      <c r="AM31" s="24" t="inlineStr">
        <is>
          <t>QUALIFIED_SHADOW_CALL</t>
        </is>
      </c>
      <c r="AN31" s="24" t="inlineStr">
        <is>
          <t>CALL</t>
        </is>
      </c>
      <c r="AO31" s="24" t="inlineStr">
        <is>
          <t>QUALIFIED</t>
        </is>
      </c>
      <c r="AP31" s="24" t="inlineStr">
        <is>
          <t>Dawn Bulls</t>
        </is>
      </c>
      <c r="AQ31" s="24" t="inlineStr">
        <is>
          <t>Dawn Bulls</t>
        </is>
      </c>
      <c r="AR31" s="24" t="inlineStr">
        <is>
          <t>Dawn Bulls</t>
        </is>
      </c>
      <c r="AS31" s="24" t="inlineStr">
        <is>
          <t>Team Lynx</t>
        </is>
      </c>
      <c r="AT31" s="24" t="inlineStr">
        <is>
          <t>Team Lynx</t>
        </is>
      </c>
      <c r="AU31" s="24" t="inlineStr">
        <is>
          <t>Team Lynx</t>
        </is>
      </c>
      <c r="AV31" s="24" t="n"/>
      <c r="AW31" s="24" t="n"/>
      <c r="AX31" s="24" t="inlineStr">
        <is>
          <t>statistical_model</t>
        </is>
      </c>
      <c r="AY31" s="24" t="n"/>
      <c r="AZ31" s="24" t="inlineStr">
        <is>
          <t>shadow_qualified</t>
        </is>
      </c>
      <c r="BA31" s="24" t="inlineStr">
        <is>
          <t>fc46e0136357aa43869ef4ced7c0aa68d9788a5409ce876dbdac1283872f80fd</t>
        </is>
      </c>
      <c r="BB31" s="24" t="inlineStr">
        <is>
          <t>neutral_elo</t>
        </is>
      </c>
      <c r="BC31" s="24" t="inlineStr">
        <is>
          <t>dota2-tiered-elo-v6</t>
        </is>
      </c>
      <c r="BD31" s="24" t="inlineStr">
        <is>
          <t>fc46e0136357aa43869ef4ced7c0aa68d9788a5409ce876dbdac1283872f80fd</t>
        </is>
      </c>
      <c r="BE31" s="24" t="inlineStr">
        <is>
          <t>1</t>
        </is>
      </c>
      <c r="BF31" s="24" t="inlineStr">
        <is>
          <t>1</t>
        </is>
      </c>
      <c r="BG31" s="24" t="inlineStr">
        <is>
          <t>dota2-tiered-elo-v6</t>
        </is>
      </c>
      <c r="BH31" s="24" t="inlineStr">
        <is>
          <t>2026-10-14T05:58:16.995855Z</t>
        </is>
      </c>
      <c r="BI31" s="24" t="inlineStr">
        <is>
          <t>["same_event","same_team_same_day","same_league_same_day"]</t>
        </is>
      </c>
      <c r="BJ31" s="25" t="n"/>
      <c r="BK31" s="26" t="n">
        <v>122</v>
      </c>
      <c r="BL31" s="27" t="n">
        <v>2.22</v>
      </c>
      <c r="BM31" s="28" t="n">
        <v>0.45045</v>
      </c>
      <c r="BN31" s="28" t="n"/>
      <c r="BO31" s="28" t="n"/>
      <c r="BP31" s="25" t="n"/>
      <c r="BQ31" s="27" t="n"/>
      <c r="BR31" s="28" t="n"/>
      <c r="BS31" s="28" t="n"/>
      <c r="BT31" s="28" t="n"/>
      <c r="BU31" s="25" t="n"/>
      <c r="BV31" s="29" t="n"/>
      <c r="BW31" s="24" t="n"/>
      <c r="BX31" s="30" t="n"/>
      <c r="BY31" s="27" t="n"/>
      <c r="BZ31" s="24" t="n"/>
      <c r="CA31" s="31" t="n"/>
      <c r="CB31" s="24" t="n"/>
      <c r="CC31" s="24" t="n"/>
      <c r="CD31" s="24" t="n"/>
      <c r="CE31" s="24" t="n"/>
      <c r="CF31" s="24" t="n"/>
      <c r="CG31" s="24" t="n"/>
      <c r="CH31" s="24" t="n"/>
      <c r="CI31" s="24" t="n"/>
      <c r="CJ31" s="24" t="n"/>
      <c r="CK31" s="24" t="n"/>
      <c r="CL31" s="24" t="n"/>
      <c r="CM31" s="24" t="n"/>
      <c r="CN31" s="24" t="n"/>
      <c r="CO31" s="24" t="n"/>
      <c r="CP31" s="24" t="n"/>
      <c r="CQ31" s="24" t="n"/>
      <c r="CR31" s="24" t="n"/>
      <c r="CS31" s="24" t="inlineStr">
        <is>
          <t>True</t>
        </is>
      </c>
      <c r="CT31" s="24" t="n"/>
      <c r="CU31" s="24" t="n"/>
      <c r="CV31" s="24" t="n"/>
      <c r="CW31" s="24" t="n"/>
      <c r="CX31" s="24" t="n"/>
      <c r="CY31" s="24" t="n"/>
      <c r="CZ31" s="24" t="n"/>
      <c r="DA31" s="24" t="n"/>
      <c r="DB31" s="24" t="n"/>
      <c r="DC31" s="24" t="n"/>
      <c r="DD31" s="24" t="n"/>
      <c r="DE31" s="24" t="n"/>
      <c r="DF31" s="24" t="n"/>
      <c r="DG31" s="24" t="n"/>
      <c r="DH31" s="24" t="n"/>
      <c r="DI31" s="24" t="n"/>
      <c r="DJ31" s="24" t="n"/>
      <c r="DK31" s="24" t="n"/>
      <c r="DL31" s="24" t="n"/>
      <c r="DM31" s="24" t="n"/>
      <c r="DN31" s="24" t="n"/>
      <c r="DO31" s="24" t="n"/>
      <c r="DP31" s="24" t="n"/>
      <c r="DQ31" s="24" t="inlineStr">
        <is>
          <t>{"artifact_hash": "fc46e0136357aa43869ef4ced7c0aa68d9788a5409ce876dbdac1283872f80fd", "away_team": "Dawn Bulls", "event_id": "156803", "event_start_utc": "2026-10-15T10:00:00Z", "features": {"away_elo": 1620.074907, "away_history_count": 6, "home_elo": 1740.227749, "home_history_count": 186}, "historical_source_observation_times_verified": false, "home_team": "Team Lynx", "inference_inputs": {"book_state": {"games_played": {"bo3:4:19913": 186, "bo3:4:25301": 6}, "inactivity_half_life_days": null, "inactivity_max_pull": null, "k": 48.0, "last_match_utc": {"bo3:4:19913": "2026-10-13T07:00:00Z", "bo3:4:25301": "2026-10-13T16:00:00Z"}, "minimum_reliable_games": null, "platt_intercept": 0.07036763852883177, "platt_slope": 0.8490234145215234, "ratings": {"bo3:4:19913": 1740.227749, "bo3:4:25301": 1620.074907}, "recency_half_life_days": null, "recency_max_boost": null, "temperature": 1.18, "thin_data_max_shrink": null, "tier_weights": null}, "code_sha256": {"esports.py": "3abbfc5d7124cc94603dada2e4c996da231a679d437c5a066d994a2a7d428f61", "features/elo_ratings.py": "d6513e79d65448c06cc0f9b9eed0eaa091567835128e1f6647a310da8d78a872"}, "reference_date": "2026-10-14T05:52:14.083136+00:00", "team_ids": ["bo3:4:19913", "bo3:4:25301"]}, "market_type": "moneyline", "model_version": "dota2-tiered-elo-v6", "observed_at_utc": "2026-10-14T05:52:14.083136+00:00", "probabilities": {"away": 0.392463, "home": 0.607537}, "replay_scope": "Exact serving book state, calibration, temperature, inactivity reference and thin-history adjustments; training provenance not certified.", "schema": "esports-elo-replay-v1", "snapshot_hash": "9f91224b5f1040bd11c25b0422ef87b0b2899559b8a5d935ff122f45428a9806", "sport": "DOTA2"}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Model Prediction</dc:creator>
  <dc:title xmlns:dc="http://purl.org/dc/elements/1.1/">Model Prediction Picks Ledger</dc:title>
  <dc:subject xmlns:dc="http://purl.org/dc/elements/1.1/">Shadow-only sports forecasting research ledger</dc:subject>
  <dcterms:created xmlns:dcterms="http://purl.org/dc/terms/" xmlns:xsi="http://www.w3.org/2001/XMLSchema-instance" xsi:type="dcterms:W3CDTF">2026-10-14T06:00:38Z</dcterms:created>
  <dcterms:modified xmlns:dcterms="http://purl.org/dc/terms/" xmlns:xsi="http://www.w3.org/2001/XMLSchema-instance" xsi:type="dcterms:W3CDTF">2026-10-14T06:00:39Z</dcterms:modified>
</cp:coreProperties>
</file>