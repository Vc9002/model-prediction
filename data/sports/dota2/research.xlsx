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48" headerRowCount="1">
  <autoFilter ref="A1:DQ14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COUNTA('Picks'!$A$2:$A$148)</f>
        <v/>
      </c>
      <c r="C4" s="6">
        <f>COUNTIF('Picks'!$U$2:$U$148,"open")</f>
        <v/>
      </c>
      <c r="E4" s="6">
        <f>COUNTIF('Picks'!$U$2:$U$148,"settled")</f>
        <v/>
      </c>
      <c r="G4" s="6">
        <f>IF(COUNTIFS('Picks'!$U$2:$U$148,"settled",'Picks'!$V$2:$V$148,"win")+COUNTIFS('Picks'!$U$2:$U$148,"settled",'Picks'!$V$2:$V$148,"loss")&gt;=$L$2,"Ready","Insufficient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COUNTIF('Picks'!$BX$2:$BX$148,"&gt;0")</f>
        <v/>
      </c>
      <c r="C7" s="6">
        <f>COUNTIFS('Picks'!$BX$2:$BX$148,"&gt;0",'Picks'!$V$2:$V$148,"win")&amp;"-"&amp;COUNTIFS('Picks'!$BX$2:$BX$148,"&gt;0",'Picks'!$V$2:$V$148,"loss")</f>
        <v/>
      </c>
      <c r="E7" s="7">
        <f>IFERROR(COUNTIFS('Picks'!$BX$2:$BX$148,"&gt;0",'Picks'!$V$2:$V$148,"win")/(COUNTIFS('Picks'!$BX$2:$BX$148,"&gt;0",'Picks'!$V$2:$V$148,"win")+COUNTIFS('Picks'!$BX$2:$BX$148,"&gt;0",'Picks'!$V$2:$V$148,"loss")),0)</f>
        <v/>
      </c>
      <c r="G7" s="7">
        <f>IFERROR(SUM('Picks'!$BY$2:$BY$148)/SUM('Picks'!$BX$2:$BX$148),0)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SUM('Picks'!$BY$2:$BY$148)</f>
        <v/>
      </c>
      <c r="C10" s="9">
        <f>IFERROR(AVERAGEIF('Picks'!$AB$2:$AB$148,"&lt;&gt;",'Picks'!$AB$2:$AB$148),0)</f>
        <v/>
      </c>
      <c r="E10" s="6">
        <f>COUNTIFS('Picks'!$AM$2:$AM$148,"QUALIFIED_SHADOW_CALL",'Picks'!$U$2:$U$148,"settled")</f>
        <v/>
      </c>
      <c r="G10" s="8">
        <f>SUMIFS('Picks'!$AC$2:$AC$148,'Picks'!$AM$2:$AM$148,"QUALIFIED_SHADOW_CALL")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COUNTIFS('Picks'!$H$2:$H$148,$A14,'Picks'!$U$2:$U$148,"settled")</f>
        <v/>
      </c>
      <c r="C14" s="13">
        <f>COUNTIFS('Picks'!$H$2:$H$148,$A14,'Picks'!$U$2:$U$148,"settled",'Picks'!$V$2:$V$148,"win")</f>
        <v/>
      </c>
      <c r="D14" s="13">
        <f>COUNTIFS('Picks'!$H$2:$H$148,$A14,'Picks'!$U$2:$U$148,"settled",'Picks'!$V$2:$V$148,"loss")</f>
        <v/>
      </c>
      <c r="E14" s="14">
        <f>IFERROR(C14/(C14+D14),0)</f>
        <v/>
      </c>
      <c r="F14" s="15">
        <f>SUMIFS('Picks'!$BY$2:$BY$148,'Picks'!$H$2:$H$148,$A14)</f>
        <v/>
      </c>
      <c r="G14" s="16">
        <f>IFERROR(AVERAGEIFS('Picks'!$AB$2:$AB$148,'Picks'!$H$2:$H$148,$A14,'Picks'!$U$2:$U$148,"settled"),0)</f>
        <v/>
      </c>
    </row>
    <row r="15">
      <c r="A15" s="17" t="inlineStr">
        <is>
          <t>spread</t>
        </is>
      </c>
      <c r="B15" s="18">
        <f>COUNTIFS('Picks'!$H$2:$H$148,$A15,'Picks'!$U$2:$U$148,"settled")</f>
        <v/>
      </c>
      <c r="C15" s="18">
        <f>COUNTIFS('Picks'!$H$2:$H$148,$A15,'Picks'!$U$2:$U$148,"settled",'Picks'!$V$2:$V$148,"win")</f>
        <v/>
      </c>
      <c r="D15" s="18">
        <f>COUNTIFS('Picks'!$H$2:$H$148,$A15,'Picks'!$U$2:$U$148,"settled",'Picks'!$V$2:$V$148,"loss")</f>
        <v/>
      </c>
      <c r="E15" s="19">
        <f>IFERROR(C15/(C15+D15),0)</f>
        <v/>
      </c>
      <c r="F15" s="20">
        <f>SUMIFS('Picks'!$BY$2:$BY$148,'Picks'!$H$2:$H$148,$A15)</f>
        <v/>
      </c>
      <c r="G15" s="21">
        <f>IFERROR(AVERAGEIFS('Picks'!$AB$2:$AB$148,'Picks'!$H$2:$H$148,$A15,'Picks'!$U$2:$U$148,"settled"),0)</f>
        <v/>
      </c>
    </row>
    <row r="16">
      <c r="A16" s="12" t="inlineStr">
        <is>
          <t>total</t>
        </is>
      </c>
      <c r="B16" s="13">
        <f>COUNTIFS('Picks'!$H$2:$H$148,$A16,'Picks'!$U$2:$U$148,"settled")</f>
        <v/>
      </c>
      <c r="C16" s="13">
        <f>COUNTIFS('Picks'!$H$2:$H$148,$A16,'Picks'!$U$2:$U$148,"settled",'Picks'!$V$2:$V$148,"win")</f>
        <v/>
      </c>
      <c r="D16" s="13">
        <f>COUNTIFS('Picks'!$H$2:$H$148,$A16,'Picks'!$U$2:$U$148,"settled",'Picks'!$V$2:$V$148,"loss")</f>
        <v/>
      </c>
      <c r="E16" s="14">
        <f>IFERROR(C16/(C16+D16),0)</f>
        <v/>
      </c>
      <c r="F16" s="15">
        <f>SUMIFS('Picks'!$BY$2:$BY$148,'Picks'!$H$2:$H$148,$A16)</f>
        <v/>
      </c>
      <c r="G16" s="16">
        <f>IFERROR(AVERAGEIFS('Picks'!$AB$2:$AB$148,'Picks'!$H$2:$H$148,$A16,'Picks'!$U$2:$U$148,"settled"),0)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8804b09f2e484069</t>
        </is>
      </c>
      <c r="B2" s="24" t="inlineStr">
        <is>
          <t>2026-08-05T04:38:12.341207Z</t>
        </is>
      </c>
      <c r="C2" s="24" t="inlineStr">
        <is>
          <t>2026-08-05T08:00:00Z</t>
        </is>
      </c>
      <c r="D2" s="24" t="inlineStr">
        <is>
          <t>72079</t>
        </is>
      </c>
      <c r="E2" s="24" t="inlineStr">
        <is>
          <t>DOTA2</t>
        </is>
      </c>
      <c r="F2" s="24" t="inlineStr">
        <is>
          <t>Rune Eaters</t>
        </is>
      </c>
      <c r="G2" s="24" t="inlineStr">
        <is>
          <t>Team Resilience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122</v>
      </c>
      <c r="M2" s="27" t="n">
        <v>2.22</v>
      </c>
      <c r="N2" s="28" t="n">
        <v>0.45045</v>
      </c>
      <c r="O2" s="28" t="n">
        <v>0.500216</v>
      </c>
      <c r="P2" s="28" t="n"/>
      <c r="Q2" s="28" t="n">
        <v>0.049766</v>
      </c>
      <c r="R2" s="26" t="n">
        <v>45</v>
      </c>
      <c r="S2" s="29" t="n">
        <v>1</v>
      </c>
      <c r="T2" s="24" t="inlineStr">
        <is>
          <t>dota2-tiered-elo-v6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122</v>
      </c>
      <c r="AA2" s="28" t="n">
        <v>0.45</v>
      </c>
      <c r="AB2" s="28" t="n">
        <v>-0.00045</v>
      </c>
      <c r="AC2" s="30" t="n">
        <v>1.22</v>
      </c>
      <c r="AD2" s="24" t="inlineStr">
        <is>
          <t>2026-08-05T10:17:02.060126Z</t>
        </is>
      </c>
      <c r="AE2" s="31" t="inlineStr">
        <is>
          <t>Neutral Elo baseline; executable ask 0.4500 (market_slug=aec-dota2-tr-re-2026-08-05).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Rune Eaters</t>
        </is>
      </c>
      <c r="AQ2" s="24" t="inlineStr">
        <is>
          <t>Rune Eaters</t>
        </is>
      </c>
      <c r="AR2" s="24" t="inlineStr">
        <is>
          <t>Rune Eaters</t>
        </is>
      </c>
      <c r="AS2" s="24" t="inlineStr">
        <is>
          <t>Team Resilience</t>
        </is>
      </c>
      <c r="AT2" s="24" t="inlineStr">
        <is>
          <t>Team Resilience</t>
        </is>
      </c>
      <c r="AU2" s="24" t="inlineStr">
        <is>
          <t>Team Resilience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2375429151111a3cb0937a48db93b740727ff54a7bd88a5e4f97e0362efce045</t>
        </is>
      </c>
      <c r="BB2" s="24" t="inlineStr">
        <is>
          <t>neutral_elo</t>
        </is>
      </c>
      <c r="BC2" s="24" t="inlineStr">
        <is>
          <t>dota2-tiered-elo-v6</t>
        </is>
      </c>
      <c r="BD2" s="24" t="inlineStr">
        <is>
          <t>2375429151111a3cb0937a48db93b740727ff54a7bd88a5e4f97e0362efce045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dota2-tiered-elo-v6</t>
        </is>
      </c>
      <c r="BH2" s="24" t="inlineStr">
        <is>
          <t>2026-08-05T04:38:08.611098Z</t>
        </is>
      </c>
      <c r="BI2" s="24" t="inlineStr">
        <is>
          <t>["same_event","same_team_same_day","same_league_same_day"]</t>
        </is>
      </c>
      <c r="BJ2" s="25" t="n"/>
      <c r="BK2" s="26" t="n">
        <v>122</v>
      </c>
      <c r="BL2" s="27" t="n">
        <v>2.22</v>
      </c>
      <c r="BM2" s="28" t="n">
        <v>0.45045</v>
      </c>
      <c r="BN2" s="28" t="n"/>
      <c r="BO2" s="28" t="n"/>
      <c r="BP2" s="25" t="n"/>
      <c r="BQ2" s="27" t="n">
        <v>2.22</v>
      </c>
      <c r="BR2" s="28" t="n">
        <v>0.45</v>
      </c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0.45045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38b2b0d956f84f99</t>
        </is>
      </c>
      <c r="B3" s="24" t="inlineStr">
        <is>
          <t>2026-08-05T04:38:12.341207Z</t>
        </is>
      </c>
      <c r="C3" s="24" t="inlineStr">
        <is>
          <t>2026-08-05T09:00:00Z</t>
        </is>
      </c>
      <c r="D3" s="24" t="inlineStr">
        <is>
          <t>71970</t>
        </is>
      </c>
      <c r="E3" s="24" t="inlineStr">
        <is>
          <t>DOTA2</t>
        </is>
      </c>
      <c r="F3" s="24" t="inlineStr">
        <is>
          <t>BetBoom Team</t>
        </is>
      </c>
      <c r="G3" s="24" t="inlineStr">
        <is>
          <t>1win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0.658681</v>
      </c>
      <c r="P3" s="28" t="n"/>
      <c r="Q3" s="28" t="n">
        <v>0.128165</v>
      </c>
      <c r="R3" s="26" t="n">
        <v>84</v>
      </c>
      <c r="S3" s="29" t="n">
        <v>1.75</v>
      </c>
      <c r="T3" s="24" t="inlineStr">
        <is>
          <t>dota2-tiered-elo-v6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-113</v>
      </c>
      <c r="AA3" s="28" t="n">
        <v>0.53</v>
      </c>
      <c r="AB3" s="28" t="n">
        <v>-0.000516</v>
      </c>
      <c r="AC3" s="30" t="n">
        <v>-1.75</v>
      </c>
      <c r="AD3" s="24" t="inlineStr">
        <is>
          <t>2026-08-05T13:50:43.202468Z</t>
        </is>
      </c>
      <c r="AE3" s="31" t="inlineStr">
        <is>
          <t>Neutral Elo baseline; executable ask 0.5300 (market_slug=aec-dota2-1win-bb-2026-08-05).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BetBoom Team</t>
        </is>
      </c>
      <c r="AQ3" s="24" t="inlineStr">
        <is>
          <t>BetBoom Team</t>
        </is>
      </c>
      <c r="AR3" s="24" t="inlineStr">
        <is>
          <t>BetBoom Team</t>
        </is>
      </c>
      <c r="AS3" s="24" t="inlineStr">
        <is>
          <t>1win</t>
        </is>
      </c>
      <c r="AT3" s="24" t="inlineStr">
        <is>
          <t>1win</t>
        </is>
      </c>
      <c r="AU3" s="24" t="inlineStr">
        <is>
          <t>1win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2375429151111a3cb0937a48db93b740727ff54a7bd88a5e4f97e0362efce045</t>
        </is>
      </c>
      <c r="BB3" s="24" t="inlineStr">
        <is>
          <t>neutral_elo</t>
        </is>
      </c>
      <c r="BC3" s="24" t="inlineStr">
        <is>
          <t>dota2-tiered-elo-v6</t>
        </is>
      </c>
      <c r="BD3" s="24" t="inlineStr">
        <is>
          <t>2375429151111a3cb0937a48db93b740727ff54a7bd88a5e4f97e0362efce045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dota2-tiered-elo-v6</t>
        </is>
      </c>
      <c r="BH3" s="24" t="inlineStr">
        <is>
          <t>2026-08-05T04:38:09.196950Z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>
        <v>1.884956</v>
      </c>
      <c r="BR3" s="28" t="n">
        <v>0.53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0.530516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8300edfe97dd4fab</t>
        </is>
      </c>
      <c r="B4" s="24" t="inlineStr">
        <is>
          <t>2026-08-05T10:46:31.198892Z</t>
        </is>
      </c>
      <c r="C4" s="24" t="inlineStr">
        <is>
          <t>2026-08-05T12:00:00Z</t>
        </is>
      </c>
      <c r="D4" s="24" t="inlineStr">
        <is>
          <t>72080</t>
        </is>
      </c>
      <c r="E4" s="24" t="inlineStr">
        <is>
          <t>DOTA2</t>
        </is>
      </c>
      <c r="F4" s="24" t="inlineStr">
        <is>
          <t>Yakult Brothers</t>
        </is>
      </c>
      <c r="G4" s="24" t="inlineStr">
        <is>
          <t>PlayTime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0.805779</v>
      </c>
      <c r="P4" s="28" t="n"/>
      <c r="Q4" s="28" t="n">
        <v>0.135812</v>
      </c>
      <c r="R4" s="26" t="n">
        <v>88</v>
      </c>
      <c r="S4" s="29" t="n">
        <v>2</v>
      </c>
      <c r="T4" s="24" t="inlineStr">
        <is>
          <t>dota2-tiered-elo-v6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-203</v>
      </c>
      <c r="AA4" s="28" t="n">
        <v>0.67</v>
      </c>
      <c r="AB4" s="28" t="n">
        <v>3.3e-05</v>
      </c>
      <c r="AC4" s="30" t="n">
        <v>0.9852</v>
      </c>
      <c r="AD4" s="24" t="inlineStr">
        <is>
          <t>2026-08-05T17:00:04.537577Z</t>
        </is>
      </c>
      <c r="AE4" s="31" t="inlineStr">
        <is>
          <t>Neutral Elo baseline; executable ask 0.6700 (market_slug=aec-dota2-pla-yb-2026-08-05).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Yakult Brothers</t>
        </is>
      </c>
      <c r="AQ4" s="24" t="inlineStr">
        <is>
          <t>Yakult Brothers</t>
        </is>
      </c>
      <c r="AR4" s="24" t="inlineStr">
        <is>
          <t>Yakult Brothers</t>
        </is>
      </c>
      <c r="AS4" s="24" t="inlineStr">
        <is>
          <t>PlayTime</t>
        </is>
      </c>
      <c r="AT4" s="24" t="inlineStr">
        <is>
          <t>PlayTime</t>
        </is>
      </c>
      <c r="AU4" s="24" t="inlineStr">
        <is>
          <t>PlayTime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dc641a33858ba89d589d026590c359ae9cf892296ca087b95549769d488c4494</t>
        </is>
      </c>
      <c r="BB4" s="24" t="inlineStr">
        <is>
          <t>neutral_elo</t>
        </is>
      </c>
      <c r="BC4" s="24" t="inlineStr">
        <is>
          <t>dota2-tiered-elo-v6</t>
        </is>
      </c>
      <c r="BD4" s="24" t="inlineStr">
        <is>
          <t>dc641a33858ba89d589d026590c359ae9cf892296ca087b95549769d488c4494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dota2-tiered-elo-v6</t>
        </is>
      </c>
      <c r="BH4" s="24" t="inlineStr">
        <is>
          <t>2026-08-05T10:46:27.725458Z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>
        <v>1.492611</v>
      </c>
      <c r="BR4" s="28" t="n">
        <v>0.67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0.669967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6c2da34bbed748a7</t>
        </is>
      </c>
      <c r="B5" s="24" t="inlineStr">
        <is>
          <t>2026-08-06T00:24:36.791267Z</t>
        </is>
      </c>
      <c r="C5" s="24" t="inlineStr">
        <is>
          <t>2026-08-06T09:00:00Z</t>
        </is>
      </c>
      <c r="D5" s="24" t="inlineStr">
        <is>
          <t>70575</t>
        </is>
      </c>
      <c r="E5" s="24" t="inlineStr">
        <is>
          <t>DOTA2</t>
        </is>
      </c>
      <c r="F5" s="24" t="inlineStr">
        <is>
          <t>RE.Arise</t>
        </is>
      </c>
      <c r="G5" s="24" t="inlineStr">
        <is>
          <t>Level UP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127</v>
      </c>
      <c r="M5" s="27" t="n">
        <v>2.27</v>
      </c>
      <c r="N5" s="28" t="n">
        <v>0.440529</v>
      </c>
      <c r="O5" s="28" t="n">
        <v>0.527212</v>
      </c>
      <c r="P5" s="28" t="n"/>
      <c r="Q5" s="28" t="n">
        <v>0.086683</v>
      </c>
      <c r="R5" s="26" t="n">
        <v>63</v>
      </c>
      <c r="S5" s="29" t="n">
        <v>1</v>
      </c>
      <c r="T5" s="24" t="inlineStr">
        <is>
          <t>dota2-tiered-elo-v6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2026-08-06T18:55:16.797850Z</t>
        </is>
      </c>
      <c r="AE5" s="31" t="inlineStr">
        <is>
          <t>Neutral Elo baseline; executable ask 0.4400 (market_slug=aec-dota2-lvlup-rae-2026-08-06).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RE.Arise</t>
        </is>
      </c>
      <c r="AQ5" s="24" t="inlineStr">
        <is>
          <t>RE.Arise</t>
        </is>
      </c>
      <c r="AR5" s="24" t="inlineStr">
        <is>
          <t>RE.Arise</t>
        </is>
      </c>
      <c r="AS5" s="24" t="inlineStr">
        <is>
          <t>Level UP</t>
        </is>
      </c>
      <c r="AT5" s="24" t="inlineStr">
        <is>
          <t>Level UP</t>
        </is>
      </c>
      <c r="AU5" s="24" t="inlineStr">
        <is>
          <t>Level UP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4b65e86ec6027f3de08417af250975d63d7eb48ed52a953720074a1ff26360df</t>
        </is>
      </c>
      <c r="BB5" s="24" t="inlineStr">
        <is>
          <t>neutral_elo</t>
        </is>
      </c>
      <c r="BC5" s="24" t="inlineStr">
        <is>
          <t>dota2-tiered-elo-v6</t>
        </is>
      </c>
      <c r="BD5" s="24" t="inlineStr">
        <is>
          <t>4b65e86ec6027f3de08417af250975d63d7eb48ed52a953720074a1ff26360df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dota2-tiered-elo-v6</t>
        </is>
      </c>
      <c r="BH5" s="24" t="inlineStr">
        <is>
          <t>2026-08-06T00:24:35.411288Z</t>
        </is>
      </c>
      <c r="BI5" s="24" t="inlineStr">
        <is>
          <t>["same_event","same_team_same_day","same_league_same_day"]</t>
        </is>
      </c>
      <c r="BJ5" s="25" t="n"/>
      <c r="BK5" s="26" t="n">
        <v>127</v>
      </c>
      <c r="BL5" s="27" t="n">
        <v>2.27</v>
      </c>
      <c r="BM5" s="28" t="n">
        <v>0.440529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0.440529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dc2f368de06048d4</t>
        </is>
      </c>
      <c r="B6" s="24" t="inlineStr">
        <is>
          <t>2026-08-06T00:24:36.791267Z</t>
        </is>
      </c>
      <c r="C6" s="24" t="inlineStr">
        <is>
          <t>2026-08-06T12:00:00Z</t>
        </is>
      </c>
      <c r="D6" s="24" t="inlineStr">
        <is>
          <t>70648</t>
        </is>
      </c>
      <c r="E6" s="24" t="inlineStr">
        <is>
          <t>DOTA2</t>
        </is>
      </c>
      <c r="F6" s="24" t="inlineStr">
        <is>
          <t>No Hoodwink</t>
        </is>
      </c>
      <c r="G6" s="24" t="inlineStr">
        <is>
          <t>RE.Arise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133</v>
      </c>
      <c r="M6" s="27" t="n">
        <v>2.33</v>
      </c>
      <c r="N6" s="28" t="n">
        <v>0.429185</v>
      </c>
      <c r="O6" s="28" t="n">
        <v>0.61125</v>
      </c>
      <c r="P6" s="28" t="n"/>
      <c r="Q6" s="28" t="n">
        <v>0.182065</v>
      </c>
      <c r="R6" s="26" t="n">
        <v>100</v>
      </c>
      <c r="S6" s="29" t="n">
        <v>1.5</v>
      </c>
      <c r="T6" s="24" t="inlineStr">
        <is>
          <t>dota2-tiered-elo-v6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1.995</v>
      </c>
      <c r="AD6" s="24" t="inlineStr">
        <is>
          <t>2026-08-06T18:55:18.434522Z</t>
        </is>
      </c>
      <c r="AE6" s="31" t="inlineStr">
        <is>
          <t>Neutral Elo baseline; executable ask 0.4300 (market_slug=aec-dota2-rae-nh-2026-08-06).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No Hoodwink</t>
        </is>
      </c>
      <c r="AQ6" s="24" t="inlineStr">
        <is>
          <t>No Hoodwink</t>
        </is>
      </c>
      <c r="AR6" s="24" t="inlineStr">
        <is>
          <t>No Hoodwink</t>
        </is>
      </c>
      <c r="AS6" s="24" t="inlineStr">
        <is>
          <t>RE.Arise</t>
        </is>
      </c>
      <c r="AT6" s="24" t="inlineStr">
        <is>
          <t>RE.Arise</t>
        </is>
      </c>
      <c r="AU6" s="24" t="inlineStr">
        <is>
          <t>RE.Arise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4b65e86ec6027f3de08417af250975d63d7eb48ed52a953720074a1ff26360df</t>
        </is>
      </c>
      <c r="BB6" s="24" t="inlineStr">
        <is>
          <t>neutral_elo</t>
        </is>
      </c>
      <c r="BC6" s="24" t="inlineStr">
        <is>
          <t>dota2-tiered-elo-v6</t>
        </is>
      </c>
      <c r="BD6" s="24" t="inlineStr">
        <is>
          <t>4b65e86ec6027f3de08417af250975d63d7eb48ed52a953720074a1ff26360df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dota2-tiered-elo-v6</t>
        </is>
      </c>
      <c r="BH6" s="24" t="inlineStr">
        <is>
          <t>2026-08-06T00:24:35.868255Z</t>
        </is>
      </c>
      <c r="BI6" s="24" t="inlineStr">
        <is>
          <t>["same_event","same_team_same_day","same_league_same_day"]</t>
        </is>
      </c>
      <c r="BJ6" s="25" t="n"/>
      <c r="BK6" s="26" t="n">
        <v>133</v>
      </c>
      <c r="BL6" s="27" t="n">
        <v>2.33</v>
      </c>
      <c r="BM6" s="28" t="n">
        <v>0.429185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0.429185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6d583ae5811d479e</t>
        </is>
      </c>
      <c r="B7" s="24" t="inlineStr">
        <is>
          <t>2026-08-06T00:24:36.791267Z</t>
        </is>
      </c>
      <c r="C7" s="24" t="inlineStr">
        <is>
          <t>2026-08-06T15:00:00Z</t>
        </is>
      </c>
      <c r="D7" s="24" t="inlineStr">
        <is>
          <t>70732</t>
        </is>
      </c>
      <c r="E7" s="24" t="inlineStr">
        <is>
          <t>DOTA2</t>
        </is>
      </c>
      <c r="F7" s="24" t="inlineStr">
        <is>
          <t>Level UP</t>
        </is>
      </c>
      <c r="G7" s="24" t="inlineStr">
        <is>
          <t>No Hoodwink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0.55707</v>
      </c>
      <c r="P7" s="28" t="n"/>
      <c r="Q7" s="28" t="n">
        <v>-0.022762</v>
      </c>
      <c r="R7" s="26" t="n">
        <v>9</v>
      </c>
      <c r="S7" s="29" t="n">
        <v>1</v>
      </c>
      <c r="T7" s="24" t="inlineStr">
        <is>
          <t>dota2-tiered-elo-v6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0.7246</v>
      </c>
      <c r="AD7" s="24" t="inlineStr">
        <is>
          <t>2026-08-07T06:00:37.794982Z</t>
        </is>
      </c>
      <c r="AE7" s="31" t="inlineStr">
        <is>
          <t>Neutral Elo baseline; executable ask 0.5800 (market_slug=aec-dota2-nh-lvlup-2026-08-06).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PAPER_CALL_WINNER_OVERVALUED</t>
        </is>
      </c>
      <c r="AP7" s="24" t="inlineStr">
        <is>
          <t>Level UP</t>
        </is>
      </c>
      <c r="AQ7" s="24" t="inlineStr">
        <is>
          <t>Level UP</t>
        </is>
      </c>
      <c r="AR7" s="24" t="inlineStr">
        <is>
          <t>Level UP</t>
        </is>
      </c>
      <c r="AS7" s="24" t="inlineStr">
        <is>
          <t>No Hoodwink</t>
        </is>
      </c>
      <c r="AT7" s="24" t="inlineStr">
        <is>
          <t>No Hoodwink</t>
        </is>
      </c>
      <c r="AU7" s="24" t="inlineStr">
        <is>
          <t>No Hoodwink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4b65e86ec6027f3de08417af250975d63d7eb48ed52a953720074a1ff26360df</t>
        </is>
      </c>
      <c r="BB7" s="24" t="inlineStr">
        <is>
          <t>neutral_elo</t>
        </is>
      </c>
      <c r="BC7" s="24" t="inlineStr">
        <is>
          <t>dota2-tiered-elo-v6</t>
        </is>
      </c>
      <c r="BD7" s="24" t="inlineStr">
        <is>
          <t>4b65e86ec6027f3de08417af250975d63d7eb48ed52a953720074a1ff26360df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dota2-tiered-elo-v6</t>
        </is>
      </c>
      <c r="BH7" s="24" t="inlineStr">
        <is>
          <t>2026-08-06T00:24:36.336119Z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0.579832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f9b4255a13754545</t>
        </is>
      </c>
      <c r="B8" s="24" t="inlineStr">
        <is>
          <t>2026-08-07T06:05:31.608591Z</t>
        </is>
      </c>
      <c r="C8" s="24" t="inlineStr">
        <is>
          <t>2026-08-07T09:00:00Z</t>
        </is>
      </c>
      <c r="D8" s="24" t="inlineStr">
        <is>
          <t>71682</t>
        </is>
      </c>
      <c r="E8" s="24" t="inlineStr">
        <is>
          <t>DOTA2</t>
        </is>
      </c>
      <c r="F8" s="24" t="inlineStr">
        <is>
          <t>Zero Tenacity</t>
        </is>
      </c>
      <c r="G8" s="24" t="inlineStr">
        <is>
          <t>No Hoodwink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-133</v>
      </c>
      <c r="M8" s="27" t="n">
        <v>1.75188</v>
      </c>
      <c r="N8" s="28" t="n">
        <v>0.570815</v>
      </c>
      <c r="O8" s="28" t="n">
        <v>0.655357</v>
      </c>
      <c r="P8" s="28" t="n"/>
      <c r="Q8" s="28" t="n">
        <v>0.08454200000000001</v>
      </c>
      <c r="R8" s="26" t="n">
        <v>62</v>
      </c>
      <c r="S8" s="29" t="n">
        <v>1.75</v>
      </c>
      <c r="T8" s="24" t="inlineStr">
        <is>
          <t>dota2-tiered-elo-v6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-133</v>
      </c>
      <c r="AA8" s="28" t="n">
        <v>0.57</v>
      </c>
      <c r="AB8" s="28" t="n">
        <v>-0.000815</v>
      </c>
      <c r="AC8" s="30" t="n">
        <v>1.3158</v>
      </c>
      <c r="AD8" s="24" t="inlineStr">
        <is>
          <t>2026-08-07T12:13:02.922338Z</t>
        </is>
      </c>
      <c r="AE8" s="31" t="inlineStr">
        <is>
          <t>Neutral Elo baseline; executable ask 0.5700 (market_slug=aec-dota2-nh-z10-2026-08-07).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Zero Tenacity</t>
        </is>
      </c>
      <c r="AQ8" s="24" t="inlineStr">
        <is>
          <t>Zero Tenacity</t>
        </is>
      </c>
      <c r="AR8" s="24" t="inlineStr">
        <is>
          <t>Zero Tenacity</t>
        </is>
      </c>
      <c r="AS8" s="24" t="inlineStr">
        <is>
          <t>No Hoodwink</t>
        </is>
      </c>
      <c r="AT8" s="24" t="inlineStr">
        <is>
          <t>No Hoodwink</t>
        </is>
      </c>
      <c r="AU8" s="24" t="inlineStr">
        <is>
          <t>No Hoodwink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b5735afe41509d1bfa8df2510b921846426862fa58936449e65c5e162a34c4c8</t>
        </is>
      </c>
      <c r="BB8" s="24" t="inlineStr">
        <is>
          <t>neutral_elo</t>
        </is>
      </c>
      <c r="BC8" s="24" t="inlineStr">
        <is>
          <t>dota2-tiered-elo-v6</t>
        </is>
      </c>
      <c r="BD8" s="24" t="inlineStr">
        <is>
          <t>b5735afe41509d1bfa8df2510b921846426862fa58936449e65c5e162a34c4c8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dota2-tiered-elo-v6</t>
        </is>
      </c>
      <c r="BH8" s="24" t="inlineStr">
        <is>
          <t>2026-08-07T06:05:28.583196Z</t>
        </is>
      </c>
      <c r="BI8" s="24" t="inlineStr">
        <is>
          <t>["same_event","same_team_same_day","same_league_same_day"]</t>
        </is>
      </c>
      <c r="BJ8" s="25" t="n"/>
      <c r="BK8" s="26" t="n">
        <v>-133</v>
      </c>
      <c r="BL8" s="27" t="n">
        <v>1.75188</v>
      </c>
      <c r="BM8" s="28" t="n">
        <v>0.570815</v>
      </c>
      <c r="BN8" s="28" t="n"/>
      <c r="BO8" s="28" t="n"/>
      <c r="BP8" s="25" t="n"/>
      <c r="BQ8" s="27" t="n">
        <v>1.75188</v>
      </c>
      <c r="BR8" s="28" t="n">
        <v>0.57</v>
      </c>
      <c r="BS8" s="28" t="n"/>
      <c r="BT8" s="28" t="n"/>
      <c r="BU8" s="25" t="n"/>
      <c r="BV8" s="29" t="n"/>
      <c r="BW8" s="24" t="n"/>
      <c r="BX8" s="30" t="n">
        <v>1</v>
      </c>
      <c r="BY8" s="27" t="n">
        <v>0.91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0.570815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8f3474fb76404d02</t>
        </is>
      </c>
      <c r="B9" s="24" t="inlineStr">
        <is>
          <t>2026-08-07T09:11:24.357961Z</t>
        </is>
      </c>
      <c r="C9" s="24" t="inlineStr">
        <is>
          <t>2026-08-07T12:00:00Z</t>
        </is>
      </c>
      <c r="D9" s="24" t="inlineStr">
        <is>
          <t>71775</t>
        </is>
      </c>
      <c r="E9" s="24" t="inlineStr">
        <is>
          <t>DOTA2</t>
        </is>
      </c>
      <c r="F9" s="24" t="inlineStr">
        <is>
          <t>Team Syntax</t>
        </is>
      </c>
      <c r="G9" s="24" t="inlineStr">
        <is>
          <t>Ilbirs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0.534269</v>
      </c>
      <c r="P9" s="28" t="n"/>
      <c r="Q9" s="28" t="n">
        <v>0.134269</v>
      </c>
      <c r="R9" s="26" t="n">
        <v>87</v>
      </c>
      <c r="S9" s="29" t="n">
        <v>1</v>
      </c>
      <c r="T9" s="24" t="inlineStr">
        <is>
          <t>dota2-tiered-elo-v6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150</v>
      </c>
      <c r="AA9" s="28" t="n">
        <v>0.4</v>
      </c>
      <c r="AB9" s="28" t="n">
        <v>0</v>
      </c>
      <c r="AC9" s="30" t="n">
        <v>-1</v>
      </c>
      <c r="AD9" s="24" t="inlineStr">
        <is>
          <t>2026-08-07T15:18:45.404133Z</t>
        </is>
      </c>
      <c r="AE9" s="31" t="inlineStr">
        <is>
          <t>Neutral Elo baseline; executable ask 0.4000 (market_slug=aec-dota2-ill-stx-2026-08-07).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Team Syntax</t>
        </is>
      </c>
      <c r="AQ9" s="24" t="inlineStr">
        <is>
          <t>Team Syntax</t>
        </is>
      </c>
      <c r="AR9" s="24" t="inlineStr">
        <is>
          <t>Team Syntax</t>
        </is>
      </c>
      <c r="AS9" s="24" t="inlineStr">
        <is>
          <t>Ilbirs eSports</t>
        </is>
      </c>
      <c r="AT9" s="24" t="inlineStr">
        <is>
          <t>Ilbirs eSports</t>
        </is>
      </c>
      <c r="AU9" s="24" t="inlineStr">
        <is>
          <t>Ilbirs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f9dedaeb469ef593cde46debd4929efce40f56a153d988595b6823ce5dad05ca</t>
        </is>
      </c>
      <c r="BB9" s="24" t="inlineStr">
        <is>
          <t>neutral_elo</t>
        </is>
      </c>
      <c r="BC9" s="24" t="inlineStr">
        <is>
          <t>dota2-tiered-elo-v6</t>
        </is>
      </c>
      <c r="BD9" s="24" t="inlineStr">
        <is>
          <t>f9dedaeb469ef593cde46debd4929efce40f56a153d988595b6823ce5dad05ca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dota2-tiered-elo-v6</t>
        </is>
      </c>
      <c r="BH9" s="24" t="inlineStr">
        <is>
          <t>2026-08-07T09:11:20.860338Z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>
        <v>2.5</v>
      </c>
      <c r="BR9" s="28" t="n">
        <v>0.4</v>
      </c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2c074976bc35472a</t>
        </is>
      </c>
      <c r="B10" s="24" t="inlineStr">
        <is>
          <t>2026-08-07T12:17:12.940920Z</t>
        </is>
      </c>
      <c r="C10" s="24" t="inlineStr">
        <is>
          <t>2026-08-07T15:00:00Z</t>
        </is>
      </c>
      <c r="D10" s="24" t="inlineStr">
        <is>
          <t>71907</t>
        </is>
      </c>
      <c r="E10" s="24" t="inlineStr">
        <is>
          <t>DOTA2</t>
        </is>
      </c>
      <c r="F10" s="24" t="inlineStr">
        <is>
          <t>Team Jenz</t>
        </is>
      </c>
      <c r="G10" s="24" t="inlineStr">
        <is>
          <t>Power Rangers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-213</v>
      </c>
      <c r="M10" s="27" t="n">
        <v>1.469484</v>
      </c>
      <c r="N10" s="28" t="n">
        <v>0.680511</v>
      </c>
      <c r="O10" s="28" t="n">
        <v>0.659257</v>
      </c>
      <c r="P10" s="28" t="n"/>
      <c r="Q10" s="28" t="n">
        <v>-0.021254</v>
      </c>
      <c r="R10" s="26" t="n">
        <v>9</v>
      </c>
      <c r="S10" s="29" t="n">
        <v>1.75</v>
      </c>
      <c r="T10" s="24" t="inlineStr">
        <is>
          <t>dota2-tiered-elo-v6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-213</v>
      </c>
      <c r="AA10" s="28" t="n">
        <v>0.68</v>
      </c>
      <c r="AB10" s="28" t="n">
        <v>-0.000511</v>
      </c>
      <c r="AC10" s="30" t="n">
        <v>0.8216</v>
      </c>
      <c r="AD10" s="24" t="inlineStr">
        <is>
          <t>2026-08-07T18:26:23.598929Z</t>
        </is>
      </c>
      <c r="AE10" s="31" t="inlineStr">
        <is>
          <t>Neutral Elo baseline; executable ask 0.6800 (market_slug=aec-dota2-pr-tje-2026-08-07).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PAPER_CALL_WINNER_OVERVALUED</t>
        </is>
      </c>
      <c r="AP10" s="24" t="inlineStr">
        <is>
          <t>Team Jenz</t>
        </is>
      </c>
      <c r="AQ10" s="24" t="inlineStr">
        <is>
          <t>Team Jenz</t>
        </is>
      </c>
      <c r="AR10" s="24" t="inlineStr">
        <is>
          <t>Team Jenz</t>
        </is>
      </c>
      <c r="AS10" s="24" t="inlineStr">
        <is>
          <t>Power Rangers</t>
        </is>
      </c>
      <c r="AT10" s="24" t="inlineStr">
        <is>
          <t>Power Rangers</t>
        </is>
      </c>
      <c r="AU10" s="24" t="inlineStr">
        <is>
          <t>Power Rangers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007188172239d3dfb1106fac54f73170318b23e441cc93d6e8e709844ef5fc38</t>
        </is>
      </c>
      <c r="BB10" s="24" t="inlineStr">
        <is>
          <t>neutral_elo</t>
        </is>
      </c>
      <c r="BC10" s="24" t="inlineStr">
        <is>
          <t>dota2-tiered-elo-v6</t>
        </is>
      </c>
      <c r="BD10" s="24" t="inlineStr">
        <is>
          <t>007188172239d3dfb1106fac54f73170318b23e441cc93d6e8e709844ef5fc38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dota2-tiered-elo-v6</t>
        </is>
      </c>
      <c r="BH10" s="24" t="inlineStr">
        <is>
          <t>2026-08-07T12:17:10.694583Z</t>
        </is>
      </c>
      <c r="BI10" s="24" t="inlineStr">
        <is>
          <t>["same_event","same_team_same_day","same_league_same_day"]</t>
        </is>
      </c>
      <c r="BJ10" s="25" t="n"/>
      <c r="BK10" s="26" t="n">
        <v>-213</v>
      </c>
      <c r="BL10" s="27" t="n">
        <v>1.469484</v>
      </c>
      <c r="BM10" s="28" t="n">
        <v>0.680511</v>
      </c>
      <c r="BN10" s="28" t="n"/>
      <c r="BO10" s="28" t="n"/>
      <c r="BP10" s="25" t="n"/>
      <c r="BQ10" s="27" t="n">
        <v>1.469484</v>
      </c>
      <c r="BR10" s="28" t="n">
        <v>0.68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0.680511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9ca73c7d5d2943e8</t>
        </is>
      </c>
      <c r="B11" s="24" t="inlineStr">
        <is>
          <t>2026-08-07T15:23:55.158135Z</t>
        </is>
      </c>
      <c r="C11" s="24" t="inlineStr">
        <is>
          <t>2026-08-07T18:00:00Z</t>
        </is>
      </c>
      <c r="D11" s="24" t="inlineStr">
        <is>
          <t>72081</t>
        </is>
      </c>
      <c r="E11" s="24" t="inlineStr">
        <is>
          <t>DOTA2</t>
        </is>
      </c>
      <c r="F11" s="24" t="inlineStr">
        <is>
          <t>Nemiga Gaming</t>
        </is>
      </c>
      <c r="G11" s="24" t="inlineStr">
        <is>
          <t>Team Jenz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-150</v>
      </c>
      <c r="M11" s="27" t="n">
        <v>1.666667</v>
      </c>
      <c r="N11" s="28" t="n">
        <v>0.6</v>
      </c>
      <c r="O11" s="28" t="n">
        <v>0.602486</v>
      </c>
      <c r="P11" s="28" t="n"/>
      <c r="Q11" s="28" t="n">
        <v>0.002486</v>
      </c>
      <c r="R11" s="26" t="n">
        <v>21</v>
      </c>
      <c r="S11" s="29" t="n">
        <v>1.25</v>
      </c>
      <c r="T11" s="24" t="inlineStr">
        <is>
          <t>dota2-tiered-elo-v6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-150</v>
      </c>
      <c r="AA11" s="28" t="n">
        <v>0.6</v>
      </c>
      <c r="AB11" s="28" t="n">
        <v>0</v>
      </c>
      <c r="AC11" s="30" t="n">
        <v>-1.25</v>
      </c>
      <c r="AD11" s="24" t="inlineStr">
        <is>
          <t>2026-08-07T21:54:41.451613Z</t>
        </is>
      </c>
      <c r="AE11" s="31" t="inlineStr">
        <is>
          <t>Neutral Elo baseline; executable ask 0.6000 (market_slug=aec-dota2-tje-nemiga-2026-08-07).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PAPER_CALL_WINNER_OVERVALUED</t>
        </is>
      </c>
      <c r="AP11" s="24" t="inlineStr">
        <is>
          <t>Nemiga Gaming</t>
        </is>
      </c>
      <c r="AQ11" s="24" t="inlineStr">
        <is>
          <t>Nemiga Gaming</t>
        </is>
      </c>
      <c r="AR11" s="24" t="inlineStr">
        <is>
          <t>Nemiga Gaming</t>
        </is>
      </c>
      <c r="AS11" s="24" t="inlineStr">
        <is>
          <t>Team Jenz</t>
        </is>
      </c>
      <c r="AT11" s="24" t="inlineStr">
        <is>
          <t>Team Jenz</t>
        </is>
      </c>
      <c r="AU11" s="24" t="inlineStr">
        <is>
          <t>Team Jenz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c3ccf6a5a853bf09f9c7ad7a3e7bb20f0df6d66be999c1fcc3b13debd13b244b</t>
        </is>
      </c>
      <c r="BB11" s="24" t="inlineStr">
        <is>
          <t>neutral_elo</t>
        </is>
      </c>
      <c r="BC11" s="24" t="inlineStr">
        <is>
          <t>dota2-tiered-elo-v6</t>
        </is>
      </c>
      <c r="BD11" s="24" t="inlineStr">
        <is>
          <t>c3ccf6a5a853bf09f9c7ad7a3e7bb20f0df6d66be999c1fcc3b13debd13b244b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dota2-tiered-elo-v6</t>
        </is>
      </c>
      <c r="BH11" s="24" t="inlineStr">
        <is>
          <t>2026-08-07T15:23:53.673514Z</t>
        </is>
      </c>
      <c r="BI11" s="24" t="inlineStr">
        <is>
          <t>["same_event","same_team_same_day","same_league_same_day"]</t>
        </is>
      </c>
      <c r="BJ11" s="25" t="n"/>
      <c r="BK11" s="26" t="n">
        <v>-150</v>
      </c>
      <c r="BL11" s="27" t="n">
        <v>1.666667</v>
      </c>
      <c r="BM11" s="28" t="n">
        <v>0.6</v>
      </c>
      <c r="BN11" s="28" t="n"/>
      <c r="BO11" s="28" t="n"/>
      <c r="BP11" s="25" t="n"/>
      <c r="BQ11" s="27" t="n">
        <v>1.666667</v>
      </c>
      <c r="BR11" s="28" t="n">
        <v>0.6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374baf4ba0594e7d</t>
        </is>
      </c>
      <c r="B12" s="24" t="inlineStr">
        <is>
          <t>2026-08-07T15:23:55.158135Z</t>
        </is>
      </c>
      <c r="C12" s="24" t="inlineStr">
        <is>
          <t>2026-08-07T18:00:00Z</t>
        </is>
      </c>
      <c r="D12" s="24" t="inlineStr">
        <is>
          <t>74328</t>
        </is>
      </c>
      <c r="E12" s="24" t="inlineStr">
        <is>
          <t>DOTA2</t>
        </is>
      </c>
      <c r="F12" s="24" t="inlineStr">
        <is>
          <t>Team Lynx</t>
        </is>
      </c>
      <c r="G12" s="24" t="inlineStr">
        <is>
          <t>PuckChamp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0.535813</v>
      </c>
      <c r="P12" s="28" t="n"/>
      <c r="Q12" s="28" t="n">
        <v>-0.013737</v>
      </c>
      <c r="R12" s="26" t="n">
        <v>13</v>
      </c>
      <c r="S12" s="29" t="n">
        <v>1</v>
      </c>
      <c r="T12" s="24" t="inlineStr">
        <is>
          <t>dota2-tiered-elo-v6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>
        <v>-122</v>
      </c>
      <c r="AA12" s="28" t="n">
        <v>0.55</v>
      </c>
      <c r="AB12" s="28" t="n">
        <v>0.00045</v>
      </c>
      <c r="AC12" s="30" t="n">
        <v>0.8197</v>
      </c>
      <c r="AD12" s="24" t="inlineStr">
        <is>
          <t>2026-08-08T00:59:28.831999Z</t>
        </is>
      </c>
      <c r="AE12" s="31" t="inlineStr">
        <is>
          <t>Neutral Elo baseline; executable ask 0.5500 (market_slug=aec-dota2-pckcp-lynx-2026-08-07).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PAPER_CALL_WINNER_OVERVALUED</t>
        </is>
      </c>
      <c r="AP12" s="24" t="inlineStr">
        <is>
          <t>Team Lynx</t>
        </is>
      </c>
      <c r="AQ12" s="24" t="inlineStr">
        <is>
          <t>Team Lynx</t>
        </is>
      </c>
      <c r="AR12" s="24" t="inlineStr">
        <is>
          <t>Team Lynx</t>
        </is>
      </c>
      <c r="AS12" s="24" t="inlineStr">
        <is>
          <t>PuckChamp</t>
        </is>
      </c>
      <c r="AT12" s="24" t="inlineStr">
        <is>
          <t>PuckChamp</t>
        </is>
      </c>
      <c r="AU12" s="24" t="inlineStr">
        <is>
          <t>PuckChamp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c3ccf6a5a853bf09f9c7ad7a3e7bb20f0df6d66be999c1fcc3b13debd13b244b</t>
        </is>
      </c>
      <c r="BB12" s="24" t="inlineStr">
        <is>
          <t>neutral_elo</t>
        </is>
      </c>
      <c r="BC12" s="24" t="inlineStr">
        <is>
          <t>dota2-tiered-elo-v6</t>
        </is>
      </c>
      <c r="BD12" s="24" t="inlineStr">
        <is>
          <t>c3ccf6a5a853bf09f9c7ad7a3e7bb20f0df6d66be999c1fcc3b13debd13b244b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dota2-tiered-elo-v6</t>
        </is>
      </c>
      <c r="BH12" s="24" t="inlineStr">
        <is>
          <t>2026-08-07T15:23:54.153981Z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>
        <v>1.819672</v>
      </c>
      <c r="BR12" s="28" t="n">
        <v>0.55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0.54955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b89b6694dfff4234</t>
        </is>
      </c>
      <c r="B13" s="24" t="inlineStr">
        <is>
          <t>2026-08-08T04:07:53.607771Z</t>
        </is>
      </c>
      <c r="C13" s="24" t="inlineStr">
        <is>
          <t>2026-08-08T09:00:00Z</t>
        </is>
      </c>
      <c r="D13" s="24" t="inlineStr">
        <is>
          <t>74329</t>
        </is>
      </c>
      <c r="E13" s="24" t="inlineStr">
        <is>
          <t>DOTA2</t>
        </is>
      </c>
      <c r="F13" s="24" t="inlineStr">
        <is>
          <t>No Hoodwink</t>
        </is>
      </c>
      <c r="G13" s="24" t="inlineStr">
        <is>
          <t>Ilbirs eSports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0.694921</v>
      </c>
      <c r="P13" s="28" t="n"/>
      <c r="Q13" s="28" t="n">
        <v>0.274753</v>
      </c>
      <c r="R13" s="26" t="n">
        <v>100</v>
      </c>
      <c r="S13" s="29" t="n">
        <v>2</v>
      </c>
      <c r="T13" s="24" t="inlineStr">
        <is>
          <t>dota2-tiered-elo-v6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-2</v>
      </c>
      <c r="AD13" s="24" t="inlineStr">
        <is>
          <t>2026-08-08T18:34:03.559160Z</t>
        </is>
      </c>
      <c r="AE13" s="31" t="inlineStr">
        <is>
          <t>Neutral Elo baseline; executable ask 0.4200 (market_slug=aec-dota2-ill-nh-2026-08-08).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No Hoodwink</t>
        </is>
      </c>
      <c r="AQ13" s="24" t="inlineStr">
        <is>
          <t>No Hoodwink</t>
        </is>
      </c>
      <c r="AR13" s="24" t="inlineStr">
        <is>
          <t>No Hoodwink</t>
        </is>
      </c>
      <c r="AS13" s="24" t="inlineStr">
        <is>
          <t>Ilbirs eSports</t>
        </is>
      </c>
      <c r="AT13" s="24" t="inlineStr">
        <is>
          <t>Ilbirs eSports</t>
        </is>
      </c>
      <c r="AU13" s="24" t="inlineStr">
        <is>
          <t>Ilbirs eSports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0cf8a886b6f638698c8273f1686e63957340d124b26747939ba7748e5424e52f</t>
        </is>
      </c>
      <c r="BB13" s="24" t="inlineStr">
        <is>
          <t>neutral_elo</t>
        </is>
      </c>
      <c r="BC13" s="24" t="inlineStr">
        <is>
          <t>dota2-tiered-elo-v6</t>
        </is>
      </c>
      <c r="BD13" s="24" t="inlineStr">
        <is>
          <t>0cf8a886b6f638698c8273f1686e63957340d124b26747939ba7748e5424e52f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dota2-tiered-elo-v6</t>
        </is>
      </c>
      <c r="BH13" s="24" t="inlineStr">
        <is>
          <t>2026-08-08T04:07:52.173653Z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0.420168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31194c9091464e31</t>
        </is>
      </c>
      <c r="B14" s="24" t="inlineStr">
        <is>
          <t>2026-08-08T04:07:53.607771Z</t>
        </is>
      </c>
      <c r="C14" s="24" t="inlineStr">
        <is>
          <t>2026-08-08T12:00:00Z</t>
        </is>
      </c>
      <c r="D14" s="24" t="inlineStr">
        <is>
          <t>74944</t>
        </is>
      </c>
      <c r="E14" s="24" t="inlineStr">
        <is>
          <t>DOTA2</t>
        </is>
      </c>
      <c r="F14" s="24" t="inlineStr">
        <is>
          <t>PuckChamp</t>
        </is>
      </c>
      <c r="G14" s="24" t="inlineStr">
        <is>
          <t>FTS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156</v>
      </c>
      <c r="M14" s="27" t="n">
        <v>2.56</v>
      </c>
      <c r="N14" s="28" t="n">
        <v>0.390625</v>
      </c>
      <c r="O14" s="28" t="n">
        <v>0.533843</v>
      </c>
      <c r="P14" s="28" t="n"/>
      <c r="Q14" s="28" t="n">
        <v>0.143218</v>
      </c>
      <c r="R14" s="26" t="n">
        <v>92</v>
      </c>
      <c r="S14" s="29" t="n">
        <v>1</v>
      </c>
      <c r="T14" s="24" t="inlineStr">
        <is>
          <t>dota2-tiered-elo-v6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150</v>
      </c>
      <c r="AA14" s="28" t="n">
        <v>0.4</v>
      </c>
      <c r="AB14" s="28" t="n">
        <v>0.009375</v>
      </c>
      <c r="AC14" s="30" t="n">
        <v>1.56</v>
      </c>
      <c r="AD14" s="24" t="inlineStr">
        <is>
          <t>2026-08-08T18:34:05.005944Z</t>
        </is>
      </c>
      <c r="AE14" s="31" t="inlineStr">
        <is>
          <t>Neutral Elo baseline; executable ask 0.3900 (market_slug=aec-dota2-fts-pckcp-2026-08-08).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PuckChamp</t>
        </is>
      </c>
      <c r="AQ14" s="24" t="inlineStr">
        <is>
          <t>PuckChamp</t>
        </is>
      </c>
      <c r="AR14" s="24" t="inlineStr">
        <is>
          <t>PuckChamp</t>
        </is>
      </c>
      <c r="AS14" s="24" t="inlineStr">
        <is>
          <t>FTS</t>
        </is>
      </c>
      <c r="AT14" s="24" t="inlineStr">
        <is>
          <t>FTS</t>
        </is>
      </c>
      <c r="AU14" s="24" t="inlineStr">
        <is>
          <t>FTS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0cf8a886b6f638698c8273f1686e63957340d124b26747939ba7748e5424e52f</t>
        </is>
      </c>
      <c r="BB14" s="24" t="inlineStr">
        <is>
          <t>neutral_elo</t>
        </is>
      </c>
      <c r="BC14" s="24" t="inlineStr">
        <is>
          <t>dota2-tiered-elo-v6</t>
        </is>
      </c>
      <c r="BD14" s="24" t="inlineStr">
        <is>
          <t>0cf8a886b6f638698c8273f1686e63957340d124b26747939ba7748e5424e52f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dota2-tiered-elo-v6</t>
        </is>
      </c>
      <c r="BH14" s="24" t="inlineStr">
        <is>
          <t>2026-08-08T04:07:52.761230Z</t>
        </is>
      </c>
      <c r="BI14" s="24" t="inlineStr">
        <is>
          <t>["same_event","same_team_same_day","same_league_same_day"]</t>
        </is>
      </c>
      <c r="BJ14" s="25" t="n"/>
      <c r="BK14" s="26" t="n">
        <v>156</v>
      </c>
      <c r="BL14" s="27" t="n">
        <v>2.56</v>
      </c>
      <c r="BM14" s="28" t="n">
        <v>0.390625</v>
      </c>
      <c r="BN14" s="28" t="n"/>
      <c r="BO14" s="28" t="n"/>
      <c r="BP14" s="25" t="n"/>
      <c r="BQ14" s="27" t="n">
        <v>2.5</v>
      </c>
      <c r="BR14" s="28" t="n">
        <v>0.4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0.390625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498cd253705a4950</t>
        </is>
      </c>
      <c r="B15" s="24" t="inlineStr">
        <is>
          <t>2026-08-09T05:18:31.005738Z</t>
        </is>
      </c>
      <c r="C15" s="24" t="inlineStr">
        <is>
          <t>2026-08-09T09:00:00Z</t>
        </is>
      </c>
      <c r="D15" s="24" t="inlineStr">
        <is>
          <t>75946</t>
        </is>
      </c>
      <c r="E15" s="24" t="inlineStr">
        <is>
          <t>DOTA2</t>
        </is>
      </c>
      <c r="F15" s="24" t="inlineStr">
        <is>
          <t>Yellow Submarine</t>
        </is>
      </c>
      <c r="G15" s="24" t="inlineStr">
        <is>
          <t>Power Rangers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-122</v>
      </c>
      <c r="M15" s="27" t="n">
        <v>1.819672</v>
      </c>
      <c r="N15" s="28" t="n">
        <v>0.54955</v>
      </c>
      <c r="O15" s="28" t="n">
        <v>0.564048</v>
      </c>
      <c r="P15" s="28" t="n"/>
      <c r="Q15" s="28" t="n">
        <v>0.014498</v>
      </c>
      <c r="R15" s="26" t="n">
        <v>27</v>
      </c>
      <c r="S15" s="29" t="n">
        <v>1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-122</v>
      </c>
      <c r="AA15" s="28" t="n">
        <v>0.55</v>
      </c>
      <c r="AB15" s="28" t="n">
        <v>0.00045</v>
      </c>
      <c r="AC15" s="30" t="n">
        <v>-1</v>
      </c>
      <c r="AD15" s="24" t="inlineStr">
        <is>
          <t>2026-08-09T13:55:56.963082Z</t>
        </is>
      </c>
      <c r="AE15" s="31" t="inlineStr">
        <is>
          <t>Neutral Elo baseline; executable ask 0.5500 (market_slug=aec-dota2-pr-yes-2026-08-09).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PAPER_CALL_WINNER_OVERVALUED</t>
        </is>
      </c>
      <c r="AP15" s="24" t="inlineStr">
        <is>
          <t>Yellow Submarine</t>
        </is>
      </c>
      <c r="AQ15" s="24" t="inlineStr">
        <is>
          <t>Yellow Submarine</t>
        </is>
      </c>
      <c r="AR15" s="24" t="inlineStr">
        <is>
          <t>Yellow Submarine</t>
        </is>
      </c>
      <c r="AS15" s="24" t="inlineStr">
        <is>
          <t>Power Rangers</t>
        </is>
      </c>
      <c r="AT15" s="24" t="inlineStr">
        <is>
          <t>Power Rangers</t>
        </is>
      </c>
      <c r="AU15" s="24" t="inlineStr">
        <is>
          <t>Power Rangers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f61d33108d741f882603707769cb7ff07bbf39b21ddf16b7bc925dd926d15ddb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f61d33108d741f882603707769cb7ff07bbf39b21ddf16b7bc925dd926d15ddb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2026-08-09T05:18:27.012322Z</t>
        </is>
      </c>
      <c r="BI15" s="24" t="inlineStr">
        <is>
          <t>["same_event","same_team_same_day","same_league_same_day"]</t>
        </is>
      </c>
      <c r="BJ15" s="25" t="n"/>
      <c r="BK15" s="26" t="n">
        <v>-122</v>
      </c>
      <c r="BL15" s="27" t="n">
        <v>1.819672</v>
      </c>
      <c r="BM15" s="28" t="n">
        <v>0.54955</v>
      </c>
      <c r="BN15" s="28" t="n"/>
      <c r="BO15" s="28" t="n"/>
      <c r="BP15" s="25" t="n"/>
      <c r="BQ15" s="27" t="n">
        <v>1.819672</v>
      </c>
      <c r="BR15" s="28" t="n">
        <v>0.55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0.54955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17945d149d364c4a</t>
        </is>
      </c>
      <c r="B16" s="24" t="inlineStr">
        <is>
          <t>2026-08-09T05:18:31.005738Z</t>
        </is>
      </c>
      <c r="C16" s="24" t="inlineStr">
        <is>
          <t>2026-08-09T12:00:00Z</t>
        </is>
      </c>
      <c r="D16" s="24" t="inlineStr">
        <is>
          <t>75947</t>
        </is>
      </c>
      <c r="E16" s="24" t="inlineStr">
        <is>
          <t>DOTA2</t>
        </is>
      </c>
      <c r="F16" s="24" t="inlineStr">
        <is>
          <t>FTS</t>
        </is>
      </c>
      <c r="G16" s="24" t="inlineStr">
        <is>
          <t>No Hoodwink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0.527271</v>
      </c>
      <c r="P16" s="28" t="n"/>
      <c r="Q16" s="28" t="n">
        <v>-0.003245</v>
      </c>
      <c r="R16" s="26" t="n">
        <v>18</v>
      </c>
      <c r="S16" s="29" t="n">
        <v>1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-1</v>
      </c>
      <c r="AD16" s="24" t="inlineStr">
        <is>
          <t>2026-08-09T17:04:09.445721Z</t>
        </is>
      </c>
      <c r="AE16" s="31" t="inlineStr">
        <is>
          <t>Neutral Elo baseline; executable ask 0.5300 (market_slug=aec-dota2-nh-fts-2026-08-09).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PAPER_CALL_WINNER_OVERVALUED</t>
        </is>
      </c>
      <c r="AP16" s="24" t="inlineStr">
        <is>
          <t>FTS</t>
        </is>
      </c>
      <c r="AQ16" s="24" t="inlineStr">
        <is>
          <t>FTS</t>
        </is>
      </c>
      <c r="AR16" s="24" t="inlineStr">
        <is>
          <t>FTS</t>
        </is>
      </c>
      <c r="AS16" s="24" t="inlineStr">
        <is>
          <t>No Hoodwink</t>
        </is>
      </c>
      <c r="AT16" s="24" t="inlineStr">
        <is>
          <t>No Hoodwink</t>
        </is>
      </c>
      <c r="AU16" s="24" t="inlineStr">
        <is>
          <t>No Hoodwink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f61d33108d741f882603707769cb7ff07bbf39b21ddf16b7bc925dd926d15ddb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f61d33108d741f882603707769cb7ff07bbf39b21ddf16b7bc925dd926d15ddb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2026-08-09T05:18:27.708910Z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0.530516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4a1e3c7d1c9b4155</t>
        </is>
      </c>
      <c r="B17" s="24" t="inlineStr">
        <is>
          <t>2026-08-09T17:08:12.247912Z</t>
        </is>
      </c>
      <c r="C17" s="24" t="inlineStr">
        <is>
          <t>2026-08-09T18:00:00Z</t>
        </is>
      </c>
      <c r="D17" s="24" t="inlineStr">
        <is>
          <t>75151</t>
        </is>
      </c>
      <c r="E17" s="24" t="inlineStr">
        <is>
          <t>DOTA2</t>
        </is>
      </c>
      <c r="F17" s="24" t="inlineStr">
        <is>
          <t>Ilbirs eSports</t>
        </is>
      </c>
      <c r="G17" s="24" t="inlineStr">
        <is>
          <t>RE.Arise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-203</v>
      </c>
      <c r="M17" s="27" t="n">
        <v>1.492611</v>
      </c>
      <c r="N17" s="28" t="n">
        <v>0.669967</v>
      </c>
      <c r="O17" s="28" t="n">
        <v>0.504538</v>
      </c>
      <c r="P17" s="28" t="n"/>
      <c r="Q17" s="28" t="n">
        <v>-0.165429</v>
      </c>
      <c r="R17" s="26" t="n">
        <v>0</v>
      </c>
      <c r="S17" s="29" t="n">
        <v>1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-203</v>
      </c>
      <c r="AA17" s="28" t="n">
        <v>0.67</v>
      </c>
      <c r="AB17" s="28" t="n">
        <v>3.3e-05</v>
      </c>
      <c r="AC17" s="30" t="n">
        <v>0.4926</v>
      </c>
      <c r="AD17" s="24" t="inlineStr">
        <is>
          <t>2026-08-09T23:30:28.508007Z</t>
        </is>
      </c>
      <c r="AE17" s="31" t="inlineStr">
        <is>
          <t>Neutral Elo baseline; executable ask 0.6700 (market_slug=aec-dota2-rae-ill-2026-08-09).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PAPER_CALL_WINNER_OVERVALUED</t>
        </is>
      </c>
      <c r="AP17" s="24" t="inlineStr">
        <is>
          <t>Ilbirs eSports</t>
        </is>
      </c>
      <c r="AQ17" s="24" t="inlineStr">
        <is>
          <t>Ilbirs eSports</t>
        </is>
      </c>
      <c r="AR17" s="24" t="inlineStr">
        <is>
          <t>Ilbirs eSports</t>
        </is>
      </c>
      <c r="AS17" s="24" t="inlineStr">
        <is>
          <t>RE.Arise</t>
        </is>
      </c>
      <c r="AT17" s="24" t="inlineStr">
        <is>
          <t>RE.Arise</t>
        </is>
      </c>
      <c r="AU17" s="24" t="inlineStr">
        <is>
          <t>RE.Arise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b3e966da2714bd7fcf36794fa00bf8ff367c9e7acb64b21fcab64e7b7cbb4474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b3e966da2714bd7fcf36794fa00bf8ff367c9e7acb64b21fcab64e7b7cbb4474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2026-08-09T17:08:10.205915Z</t>
        </is>
      </c>
      <c r="BI17" s="24" t="inlineStr">
        <is>
          <t>["same_event","same_team_same_day","same_league_same_day"]</t>
        </is>
      </c>
      <c r="BJ17" s="25" t="n"/>
      <c r="BK17" s="26" t="n">
        <v>-203</v>
      </c>
      <c r="BL17" s="27" t="n">
        <v>1.492611</v>
      </c>
      <c r="BM17" s="28" t="n">
        <v>0.669967</v>
      </c>
      <c r="BN17" s="28" t="n"/>
      <c r="BO17" s="28" t="n"/>
      <c r="BP17" s="25" t="n"/>
      <c r="BQ17" s="27" t="n">
        <v>1.492611</v>
      </c>
      <c r="BR17" s="28" t="n">
        <v>0.67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0.91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0.669967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3aa260f4b4544e6b</t>
        </is>
      </c>
      <c r="B18" s="24" t="inlineStr">
        <is>
          <t>2026-08-10T05:41:14.399564Z</t>
        </is>
      </c>
      <c r="C18" s="24" t="inlineStr">
        <is>
          <t>2026-08-10T09:00:00Z</t>
        </is>
      </c>
      <c r="D18" s="24" t="inlineStr">
        <is>
          <t>76395</t>
        </is>
      </c>
      <c r="E18" s="24" t="inlineStr">
        <is>
          <t>DOTA2</t>
        </is>
      </c>
      <c r="F18" s="24" t="inlineStr">
        <is>
          <t>MOUZ</t>
        </is>
      </c>
      <c r="G18" s="24" t="inlineStr">
        <is>
          <t>Power Rangers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0.617196</v>
      </c>
      <c r="P18" s="28" t="n"/>
      <c r="Q18" s="28" t="n">
        <v>0.166746</v>
      </c>
      <c r="R18" s="26" t="n">
        <v>100</v>
      </c>
      <c r="S18" s="29" t="n">
        <v>1.5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2026-08-10T16:32:31.697144Z</t>
        </is>
      </c>
      <c r="AE18" s="31" t="inlineStr">
        <is>
          <t>Neutral Elo baseline; executable ask 0.4500 (market_slug=aec-dota2-pr-mouz-2026-08-10).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MOUZ</t>
        </is>
      </c>
      <c r="AQ18" s="24" t="inlineStr">
        <is>
          <t>MOUZ</t>
        </is>
      </c>
      <c r="AR18" s="24" t="inlineStr">
        <is>
          <t>MOUZ</t>
        </is>
      </c>
      <c r="AS18" s="24" t="inlineStr">
        <is>
          <t>Power Rangers</t>
        </is>
      </c>
      <c r="AT18" s="24" t="inlineStr">
        <is>
          <t>Power Rangers</t>
        </is>
      </c>
      <c r="AU18" s="24" t="inlineStr">
        <is>
          <t>Power Rangers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2e4ae6cde129603fa72e772e36ee857b52e2bf4f4d2d82d428622477e46d2626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2e4ae6cde129603fa72e772e36ee857b52e2bf4f4d2d82d428622477e46d2626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2026-08-10T05:41:11.396742Z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0.45045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10b350a8956c47aa</t>
        </is>
      </c>
      <c r="B19" s="24" t="inlineStr">
        <is>
          <t>2026-08-10T05:41:14.399564Z</t>
        </is>
      </c>
      <c r="C19" s="24" t="inlineStr">
        <is>
          <t>2026-08-10T12:00:00Z</t>
        </is>
      </c>
      <c r="D19" s="24" t="inlineStr">
        <is>
          <t>76906</t>
        </is>
      </c>
      <c r="E19" s="24" t="inlineStr">
        <is>
          <t>DOTA2</t>
        </is>
      </c>
      <c r="F19" s="24" t="inlineStr">
        <is>
          <t>Zero Tenacity</t>
        </is>
      </c>
      <c r="G19" s="24" t="inlineStr">
        <is>
          <t>Ilbirs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0.602651</v>
      </c>
      <c r="P19" s="28" t="n"/>
      <c r="Q19" s="28" t="n">
        <v>0.012487</v>
      </c>
      <c r="R19" s="26" t="n">
        <v>26</v>
      </c>
      <c r="S19" s="29" t="n">
        <v>1.25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-144</v>
      </c>
      <c r="AA19" s="28" t="n">
        <v>0.59</v>
      </c>
      <c r="AB19" s="28" t="n">
        <v>-0.000164</v>
      </c>
      <c r="AC19" s="30" t="n">
        <v>0.8681</v>
      </c>
      <c r="AD19" s="24" t="inlineStr">
        <is>
          <t>2026-08-10T16:32:33.207622Z</t>
        </is>
      </c>
      <c r="AE19" s="31" t="inlineStr">
        <is>
          <t>Neutral Elo baseline; executable ask 0.5900 (market_slug=aec-dota2-ill-z10-2026-08-10).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Zero Tenacity</t>
        </is>
      </c>
      <c r="AQ19" s="24" t="inlineStr">
        <is>
          <t>Zero Tenacity</t>
        </is>
      </c>
      <c r="AR19" s="24" t="inlineStr">
        <is>
          <t>Zero Tenacity</t>
        </is>
      </c>
      <c r="AS19" s="24" t="inlineStr">
        <is>
          <t>Ilbirs eSports</t>
        </is>
      </c>
      <c r="AT19" s="24" t="inlineStr">
        <is>
          <t>Ilbirs eSports</t>
        </is>
      </c>
      <c r="AU19" s="24" t="inlineStr">
        <is>
          <t>Ilbirs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2e4ae6cde129603fa72e772e36ee857b52e2bf4f4d2d82d428622477e46d2626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2e4ae6cde129603fa72e772e36ee857b52e2bf4f4d2d82d428622477e46d2626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2026-08-10T05:41:12.161251Z</t>
        </is>
      </c>
      <c r="BI19" s="24" t="inlineStr">
        <is>
          <t>["same_event","same_team_same_day","same_league_same_day"]</t>
        </is>
      </c>
      <c r="BJ19" s="25" t="n"/>
      <c r="BK19" s="26" t="n">
        <v>-144</v>
      </c>
      <c r="BL19" s="27" t="n">
        <v>1.694444</v>
      </c>
      <c r="BM19" s="28" t="n">
        <v>0.590164</v>
      </c>
      <c r="BN19" s="28" t="n"/>
      <c r="BO19" s="28" t="n"/>
      <c r="BP19" s="25" t="n"/>
      <c r="BQ19" s="27" t="n">
        <v>1.694444</v>
      </c>
      <c r="BR19" s="28" t="n">
        <v>0.59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0.91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0.590164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cb6d9e8e41754df2</t>
        </is>
      </c>
      <c r="B20" s="24" t="inlineStr">
        <is>
          <t>2026-08-10T05:41:14.399564Z</t>
        </is>
      </c>
      <c r="C20" s="24" t="inlineStr">
        <is>
          <t>2026-08-10T12:00:00Z</t>
        </is>
      </c>
      <c r="D20" s="24" t="inlineStr">
        <is>
          <t>76981</t>
        </is>
      </c>
      <c r="E20" s="24" t="inlineStr">
        <is>
          <t>DOTA2</t>
        </is>
      </c>
      <c r="F20" s="24" t="inlineStr">
        <is>
          <t>RE.Arise</t>
        </is>
      </c>
      <c r="G20" s="24" t="inlineStr">
        <is>
          <t>Team Lynx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0.561717</v>
      </c>
      <c r="P20" s="28" t="n"/>
      <c r="Q20" s="28" t="n">
        <v>-0.067913</v>
      </c>
      <c r="R20" s="26" t="n">
        <v>0</v>
      </c>
      <c r="S20" s="29" t="n">
        <v>1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2026-08-10T16:32:34.639724Z</t>
        </is>
      </c>
      <c r="AE20" s="31" t="inlineStr">
        <is>
          <t>Neutral Elo baseline; executable ask 0.6300 (market_slug=aec-dota2-lynx-rae-2026-08-10).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RE.Arise</t>
        </is>
      </c>
      <c r="AQ20" s="24" t="inlineStr">
        <is>
          <t>RE.Arise</t>
        </is>
      </c>
      <c r="AR20" s="24" t="inlineStr">
        <is>
          <t>RE.Arise</t>
        </is>
      </c>
      <c r="AS20" s="24" t="inlineStr">
        <is>
          <t>Team Lynx</t>
        </is>
      </c>
      <c r="AT20" s="24" t="inlineStr">
        <is>
          <t>Team Lynx</t>
        </is>
      </c>
      <c r="AU20" s="24" t="inlineStr">
        <is>
          <t>Team Lynx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2e4ae6cde129603fa72e772e36ee857b52e2bf4f4d2d82d428622477e46d2626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2e4ae6cde129603fa72e772e36ee857b52e2bf4f4d2d82d428622477e46d2626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2026-08-10T05:41:12.712148Z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/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0.62963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e01c6da8c9ba4085</t>
        </is>
      </c>
      <c r="B21" s="24" t="inlineStr">
        <is>
          <t>2026-08-10T05:41:14.399564Z</t>
        </is>
      </c>
      <c r="C21" s="24" t="inlineStr">
        <is>
          <t>2026-08-10T15:00:00Z</t>
        </is>
      </c>
      <c r="D21" s="24" t="inlineStr">
        <is>
          <t>76396</t>
        </is>
      </c>
      <c r="E21" s="24" t="inlineStr">
        <is>
          <t>DOTA2</t>
        </is>
      </c>
      <c r="F21" s="24" t="inlineStr">
        <is>
          <t>Level UP</t>
        </is>
      </c>
      <c r="G21" s="24" t="inlineStr">
        <is>
          <t>Yellow Submarine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100</v>
      </c>
      <c r="M21" s="27" t="n">
        <v>2</v>
      </c>
      <c r="N21" s="28" t="n">
        <v>0.5</v>
      </c>
      <c r="O21" s="28" t="n">
        <v>0.5843469999999999</v>
      </c>
      <c r="P21" s="28" t="n"/>
      <c r="Q21" s="28" t="n">
        <v>0.08434700000000001</v>
      </c>
      <c r="R21" s="26" t="n">
        <v>62</v>
      </c>
      <c r="S21" s="29" t="n">
        <v>1.25</v>
      </c>
      <c r="T21" s="24" t="inlineStr">
        <is>
          <t>dota2-tiered-elo-v6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100</v>
      </c>
      <c r="AA21" s="28" t="n">
        <v>0.5</v>
      </c>
      <c r="AB21" s="28" t="n">
        <v>0</v>
      </c>
      <c r="AC21" s="30" t="n">
        <v>-1.25</v>
      </c>
      <c r="AD21" s="24" t="inlineStr">
        <is>
          <t>2026-08-11T13:07:44.660021Z</t>
        </is>
      </c>
      <c r="AE21" s="31" t="inlineStr">
        <is>
          <t>Neutral Elo baseline; executable ask 0.5000 (market_slug=aec-dota2-yes-lvlup-2026-08-10).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Level UP</t>
        </is>
      </c>
      <c r="AQ21" s="24" t="inlineStr">
        <is>
          <t>Level UP</t>
        </is>
      </c>
      <c r="AR21" s="24" t="inlineStr">
        <is>
          <t>Level UP</t>
        </is>
      </c>
      <c r="AS21" s="24" t="inlineStr">
        <is>
          <t>Yellow Submarine</t>
        </is>
      </c>
      <c r="AT21" s="24" t="inlineStr">
        <is>
          <t>Yellow Submarine</t>
        </is>
      </c>
      <c r="AU21" s="24" t="inlineStr">
        <is>
          <t>Yellow Submarine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2e4ae6cde129603fa72e772e36ee857b52e2bf4f4d2d82d428622477e46d2626</t>
        </is>
      </c>
      <c r="BB21" s="24" t="inlineStr">
        <is>
          <t>neutral_elo</t>
        </is>
      </c>
      <c r="BC21" s="24" t="inlineStr">
        <is>
          <t>dota2-tiered-elo-v6</t>
        </is>
      </c>
      <c r="BD21" s="24" t="inlineStr">
        <is>
          <t>2e4ae6cde129603fa72e772e36ee857b52e2bf4f4d2d82d428622477e46d2626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dota2-tiered-elo-v6</t>
        </is>
      </c>
      <c r="BH21" s="24" t="inlineStr">
        <is>
          <t>2026-08-10T05:41:13.718619Z</t>
        </is>
      </c>
      <c r="BI21" s="24" t="inlineStr">
        <is>
          <t>["same_event","same_team_same_day","same_league_same_day"]</t>
        </is>
      </c>
      <c r="BJ21" s="25" t="n"/>
      <c r="BK21" s="26" t="n">
        <v>100</v>
      </c>
      <c r="BL21" s="27" t="n">
        <v>2</v>
      </c>
      <c r="BM21" s="28" t="n">
        <v>0.5</v>
      </c>
      <c r="BN21" s="28" t="n"/>
      <c r="BO21" s="28" t="n"/>
      <c r="BP21" s="25" t="n"/>
      <c r="BQ21" s="27" t="n">
        <v>2</v>
      </c>
      <c r="BR21" s="28" t="n">
        <v>0.5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-1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a8268eb2d82d4dec</t>
        </is>
      </c>
      <c r="B22" s="24" t="inlineStr">
        <is>
          <t>2026-08-10T16:36:30.771344Z</t>
        </is>
      </c>
      <c r="C22" s="24" t="inlineStr">
        <is>
          <t>2026-08-10T18:00:00Z</t>
        </is>
      </c>
      <c r="D22" s="24" t="inlineStr">
        <is>
          <t>76907</t>
        </is>
      </c>
      <c r="E22" s="24" t="inlineStr">
        <is>
          <t>DOTA2</t>
        </is>
      </c>
      <c r="F22" s="24" t="inlineStr">
        <is>
          <t>Natus Vincere</t>
        </is>
      </c>
      <c r="G22" s="24" t="inlineStr">
        <is>
          <t>Rune Eaters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-233</v>
      </c>
      <c r="M22" s="27" t="n">
        <v>1.429185</v>
      </c>
      <c r="N22" s="28" t="n">
        <v>0.6997</v>
      </c>
      <c r="O22" s="28" t="n">
        <v>0.691469</v>
      </c>
      <c r="P22" s="28" t="n"/>
      <c r="Q22" s="28" t="n">
        <v>-0.008231</v>
      </c>
      <c r="R22" s="26" t="n">
        <v>16</v>
      </c>
      <c r="S22" s="29" t="n">
        <v>2</v>
      </c>
      <c r="T22" s="24" t="inlineStr">
        <is>
          <t>dota2-tiered-elo-v6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-233</v>
      </c>
      <c r="AA22" s="28" t="n">
        <v>0.7</v>
      </c>
      <c r="AB22" s="28" t="n">
        <v>0.0003</v>
      </c>
      <c r="AC22" s="30" t="n">
        <v>0.8584000000000001</v>
      </c>
      <c r="AD22" s="24" t="inlineStr">
        <is>
          <t>2026-08-11T13:07:46.086827Z</t>
        </is>
      </c>
      <c r="AE22" s="31" t="inlineStr">
        <is>
          <t>Neutral Elo baseline; executable ask 0.7000 (market_slug=aec-dota2-re-navi-2026-08-10).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Natus Vincere</t>
        </is>
      </c>
      <c r="AQ22" s="24" t="inlineStr">
        <is>
          <t>Natus Vincere</t>
        </is>
      </c>
      <c r="AR22" s="24" t="inlineStr">
        <is>
          <t>Natus Vincere</t>
        </is>
      </c>
      <c r="AS22" s="24" t="inlineStr">
        <is>
          <t>Rune Eaters</t>
        </is>
      </c>
      <c r="AT22" s="24" t="inlineStr">
        <is>
          <t>Rune Eaters</t>
        </is>
      </c>
      <c r="AU22" s="24" t="inlineStr">
        <is>
          <t>Rune Eaters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b55bd0eb25b8db13b26b84033d5d815ee06f77aac1fa364d04f301723e69eb8f</t>
        </is>
      </c>
      <c r="BB22" s="24" t="inlineStr">
        <is>
          <t>neutral_elo</t>
        </is>
      </c>
      <c r="BC22" s="24" t="inlineStr">
        <is>
          <t>dota2-tiered-elo-v6</t>
        </is>
      </c>
      <c r="BD22" s="24" t="inlineStr">
        <is>
          <t>b55bd0eb25b8db13b26b84033d5d815ee06f77aac1fa364d04f301723e69eb8f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dota2-tiered-elo-v6</t>
        </is>
      </c>
      <c r="BH22" s="24" t="inlineStr">
        <is>
          <t>2026-08-10T16:36:30.771106Z</t>
        </is>
      </c>
      <c r="BI22" s="24" t="inlineStr">
        <is>
          <t>["same_event","same_team_same_day","same_league_same_day"]</t>
        </is>
      </c>
      <c r="BJ22" s="25" t="n"/>
      <c r="BK22" s="26" t="n">
        <v>-233</v>
      </c>
      <c r="BL22" s="27" t="n">
        <v>1.429185</v>
      </c>
      <c r="BM22" s="28" t="n">
        <v>0.6997</v>
      </c>
      <c r="BN22" s="28" t="n"/>
      <c r="BO22" s="28" t="n"/>
      <c r="BP22" s="25" t="n"/>
      <c r="BQ22" s="27" t="n">
        <v>1.429185</v>
      </c>
      <c r="BR22" s="28" t="n">
        <v>0.7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0.91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0.6997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3c9edd2587e84ba4</t>
        </is>
      </c>
      <c r="B23" s="24" t="inlineStr">
        <is>
          <t>2026-08-12T08:22:28.832657Z</t>
        </is>
      </c>
      <c r="C23" s="24" t="inlineStr">
        <is>
          <t>2026-08-12T09:00:00Z</t>
        </is>
      </c>
      <c r="D23" s="24" t="inlineStr">
        <is>
          <t>79381</t>
        </is>
      </c>
      <c r="E23" s="24" t="inlineStr">
        <is>
          <t>DOTA2</t>
        </is>
      </c>
      <c r="F23" s="24" t="inlineStr">
        <is>
          <t>Rune Eaters</t>
        </is>
      </c>
      <c r="G23" s="24" t="inlineStr">
        <is>
          <t>Level UP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122</v>
      </c>
      <c r="M23" s="27" t="n">
        <v>2.22</v>
      </c>
      <c r="N23" s="28" t="n">
        <v>0.45045</v>
      </c>
      <c r="O23" s="28" t="n">
        <v>0.5450159999999999</v>
      </c>
      <c r="P23" s="28" t="n"/>
      <c r="Q23" s="28" t="n">
        <v>0.094566</v>
      </c>
      <c r="R23" s="26" t="n">
        <v>67</v>
      </c>
      <c r="S23" s="29" t="n">
        <v>1</v>
      </c>
      <c r="T23" s="24" t="inlineStr">
        <is>
          <t>dota2-tiered-elo-v6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122</v>
      </c>
      <c r="AA23" s="28" t="n">
        <v>0.45</v>
      </c>
      <c r="AB23" s="28" t="n">
        <v>-0.00045</v>
      </c>
      <c r="AC23" s="30" t="n">
        <v>1.22</v>
      </c>
      <c r="AD23" s="24" t="inlineStr">
        <is>
          <t>2026-08-12T14:32:25.172024Z</t>
        </is>
      </c>
      <c r="AE23" s="31" t="inlineStr">
        <is>
          <t>Neutral Elo baseline; executable ask 0.4500 (market_slug=aec-dota2-lvlup-re-2026-08-12).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Rune Eaters</t>
        </is>
      </c>
      <c r="AQ23" s="24" t="inlineStr">
        <is>
          <t>Rune Eaters</t>
        </is>
      </c>
      <c r="AR23" s="24" t="inlineStr">
        <is>
          <t>Rune Eaters</t>
        </is>
      </c>
      <c r="AS23" s="24" t="inlineStr">
        <is>
          <t>Level UP</t>
        </is>
      </c>
      <c r="AT23" s="24" t="inlineStr">
        <is>
          <t>Level UP</t>
        </is>
      </c>
      <c r="AU23" s="24" t="inlineStr">
        <is>
          <t>Level UP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4806051748ca0e0e71f7a78cdec3088c19d0b8147cff09cd9e9a8b19e8dc6791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4806051748ca0e0e71f7a78cdec3088c19d0b8147cff09cd9e9a8b19e8dc6791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2026-08-12T08:22:23.388322Z</t>
        </is>
      </c>
      <c r="BI23" s="24" t="inlineStr">
        <is>
          <t>["same_event","same_team_same_day","same_league_same_day"]</t>
        </is>
      </c>
      <c r="BJ23" s="25" t="n"/>
      <c r="BK23" s="26" t="n">
        <v>122</v>
      </c>
      <c r="BL23" s="27" t="n">
        <v>2.22</v>
      </c>
      <c r="BM23" s="28" t="n">
        <v>0.45045</v>
      </c>
      <c r="BN23" s="28" t="n"/>
      <c r="BO23" s="28" t="n"/>
      <c r="BP23" s="25" t="n"/>
      <c r="BQ23" s="27" t="n">
        <v>2.22</v>
      </c>
      <c r="BR23" s="28" t="n">
        <v>0.45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0.45045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2b180c6ea30645f3</t>
        </is>
      </c>
      <c r="B24" s="24" t="inlineStr">
        <is>
          <t>2026-08-12T21:33:42.422268Z</t>
        </is>
      </c>
      <c r="C24" s="24" t="inlineStr">
        <is>
          <t>2026-08-13T05:00:00Z</t>
        </is>
      </c>
      <c r="D24" s="24" t="inlineStr">
        <is>
          <t>77167</t>
        </is>
      </c>
      <c r="E24" s="24" t="inlineStr">
        <is>
          <t>DOTA2</t>
        </is>
      </c>
      <c r="F24" s="24" t="inlineStr">
        <is>
          <t>Xtreme Gaming</t>
        </is>
      </c>
      <c r="G24" s="24" t="inlineStr">
        <is>
          <t>Team Spirit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-233</v>
      </c>
      <c r="M24" s="27" t="n">
        <v>1.429185</v>
      </c>
      <c r="N24" s="28" t="n">
        <v>0.6997</v>
      </c>
      <c r="O24" s="28" t="n">
        <v>0.738336</v>
      </c>
      <c r="P24" s="28" t="n"/>
      <c r="Q24" s="28" t="n">
        <v>0.038636</v>
      </c>
      <c r="R24" s="26" t="n">
        <v>39</v>
      </c>
      <c r="S24" s="29" t="n">
        <v>2</v>
      </c>
      <c r="T24" s="24" t="inlineStr">
        <is>
          <t>dota2-tiered-elo-v6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0.8584000000000001</v>
      </c>
      <c r="AD24" s="24" t="inlineStr">
        <is>
          <t>2026-08-13T10:05:42.006322Z</t>
        </is>
      </c>
      <c r="AE24" s="31" t="inlineStr">
        <is>
          <t>Neutral Elo baseline; executable ask 0.7000 (market_slug=aec-dota2-ts-xtreme-2026-08-13).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Xtreme Gaming</t>
        </is>
      </c>
      <c r="AQ24" s="24" t="inlineStr">
        <is>
          <t>Xtreme Gaming</t>
        </is>
      </c>
      <c r="AR24" s="24" t="inlineStr">
        <is>
          <t>Xtreme Gaming</t>
        </is>
      </c>
      <c r="AS24" s="24" t="inlineStr">
        <is>
          <t>Team Spirit</t>
        </is>
      </c>
      <c r="AT24" s="24" t="inlineStr">
        <is>
          <t>Team Spirit</t>
        </is>
      </c>
      <c r="AU24" s="24" t="inlineStr">
        <is>
          <t>Team Spirit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3a1a2b913a7c526741b38a48f0957f5889bc186a2bd05c8fa45d935778de3be1</t>
        </is>
      </c>
      <c r="BB24" s="24" t="inlineStr">
        <is>
          <t>neutral_elo</t>
        </is>
      </c>
      <c r="BC24" s="24" t="inlineStr">
        <is>
          <t>dota2-tiered-elo-v6</t>
        </is>
      </c>
      <c r="BD24" s="24" t="inlineStr">
        <is>
          <t>3a1a2b913a7c526741b38a48f0957f5889bc186a2bd05c8fa45d935778de3be1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dota2-tiered-elo-v6</t>
        </is>
      </c>
      <c r="BH24" s="24" t="inlineStr">
        <is>
          <t>2026-08-12T21:33:41.354194Z</t>
        </is>
      </c>
      <c r="BI24" s="24" t="inlineStr">
        <is>
          <t>["same_event","same_team_same_day","same_league_same_day"]</t>
        </is>
      </c>
      <c r="BJ24" s="25" t="n"/>
      <c r="BK24" s="26" t="n">
        <v>-233</v>
      </c>
      <c r="BL24" s="27" t="n">
        <v>1.429185</v>
      </c>
      <c r="BM24" s="28" t="n">
        <v>0.6997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0.6997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edc2e2c9e04342ae</t>
        </is>
      </c>
      <c r="B25" s="24" t="inlineStr">
        <is>
          <t>2026-08-13T23:20:14.873483Z</t>
        </is>
      </c>
      <c r="C25" s="24" t="inlineStr">
        <is>
          <t>2026-08-14T02:00:00Z</t>
        </is>
      </c>
      <c r="D25" s="24" t="inlineStr">
        <is>
          <t>80486</t>
        </is>
      </c>
      <c r="E25" s="24" t="inlineStr">
        <is>
          <t>DOTA2</t>
        </is>
      </c>
      <c r="F25" s="24" t="inlineStr">
        <is>
          <t>Team Liquid</t>
        </is>
      </c>
      <c r="G25" s="24" t="inlineStr">
        <is>
          <t>Team Yandex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-178</v>
      </c>
      <c r="M25" s="27" t="n">
        <v>1.561798</v>
      </c>
      <c r="N25" s="28" t="n">
        <v>0.640288</v>
      </c>
      <c r="O25" s="28" t="n">
        <v>0.671279</v>
      </c>
      <c r="P25" s="28" t="n"/>
      <c r="Q25" s="28" t="n">
        <v>0.030991</v>
      </c>
      <c r="R25" s="26" t="n">
        <v>35</v>
      </c>
      <c r="S25" s="29" t="n">
        <v>1.75</v>
      </c>
      <c r="T25" s="24" t="inlineStr">
        <is>
          <t>dota2-tiered-elo-v6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-178</v>
      </c>
      <c r="AA25" s="28" t="n">
        <v>0.64</v>
      </c>
      <c r="AB25" s="28" t="n">
        <v>-0.000288</v>
      </c>
      <c r="AC25" s="30" t="n">
        <v>-1.75</v>
      </c>
      <c r="AD25" s="24" t="inlineStr">
        <is>
          <t>2026-08-14T07:32:17.112640Z</t>
        </is>
      </c>
      <c r="AE25" s="31" t="inlineStr">
        <is>
          <t>Neutral Elo baseline; executable ask 0.6400 (market_slug=aec-dota2-ty-liquid-2026-08-14).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Team Liquid</t>
        </is>
      </c>
      <c r="AQ25" s="24" t="inlineStr">
        <is>
          <t>Team Liquid</t>
        </is>
      </c>
      <c r="AR25" s="24" t="inlineStr">
        <is>
          <t>Team Liquid</t>
        </is>
      </c>
      <c r="AS25" s="24" t="inlineStr">
        <is>
          <t>Team Yandex</t>
        </is>
      </c>
      <c r="AT25" s="24" t="inlineStr">
        <is>
          <t>Team Yandex</t>
        </is>
      </c>
      <c r="AU25" s="24" t="inlineStr">
        <is>
          <t>Team Yandex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f5cee5af74832c737d4489a5fef3ea0a01806681613c8dee5777f95d985f002b</t>
        </is>
      </c>
      <c r="BB25" s="24" t="inlineStr">
        <is>
          <t>neutral_elo</t>
        </is>
      </c>
      <c r="BC25" s="24" t="inlineStr">
        <is>
          <t>dota2-tiered-elo-v6</t>
        </is>
      </c>
      <c r="BD25" s="24" t="inlineStr">
        <is>
          <t>f5cee5af74832c737d4489a5fef3ea0a01806681613c8dee5777f95d985f002b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dota2-tiered-elo-v6</t>
        </is>
      </c>
      <c r="BH25" s="24" t="inlineStr">
        <is>
          <t>2026-08-13T23:20:11.556216Z</t>
        </is>
      </c>
      <c r="BI25" s="24" t="inlineStr">
        <is>
          <t>["same_event","same_team_same_day","same_league_same_day"]</t>
        </is>
      </c>
      <c r="BJ25" s="25" t="n"/>
      <c r="BK25" s="26" t="n">
        <v>-178</v>
      </c>
      <c r="BL25" s="27" t="n">
        <v>1.561798</v>
      </c>
      <c r="BM25" s="28" t="n">
        <v>0.640288</v>
      </c>
      <c r="BN25" s="28" t="n"/>
      <c r="BO25" s="28" t="n"/>
      <c r="BP25" s="25" t="n"/>
      <c r="BQ25" s="27" t="n">
        <v>1.561798</v>
      </c>
      <c r="BR25" s="28" t="n">
        <v>0.64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0.640288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aec3b818dd9a4f73</t>
        </is>
      </c>
      <c r="B26" s="24" t="inlineStr">
        <is>
          <t>2026-08-13T23:20:14.873483Z</t>
        </is>
      </c>
      <c r="C26" s="24" t="inlineStr">
        <is>
          <t>2026-08-14T02:00:00Z</t>
        </is>
      </c>
      <c r="D26" s="24" t="inlineStr">
        <is>
          <t>80487</t>
        </is>
      </c>
      <c r="E26" s="24" t="inlineStr">
        <is>
          <t>DOTA2</t>
        </is>
      </c>
      <c r="F26" s="24" t="inlineStr">
        <is>
          <t>Xtreme Gaming</t>
        </is>
      </c>
      <c r="G26" s="24" t="inlineStr">
        <is>
          <t>Team Spirit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-163</v>
      </c>
      <c r="M26" s="27" t="n">
        <v>1.613497</v>
      </c>
      <c r="N26" s="28" t="n">
        <v>0.619772</v>
      </c>
      <c r="O26" s="28" t="n">
        <v>0.798889</v>
      </c>
      <c r="P26" s="28" t="n"/>
      <c r="Q26" s="28" t="n">
        <v>0.179117</v>
      </c>
      <c r="R26" s="26" t="n">
        <v>100</v>
      </c>
      <c r="S26" s="29" t="n">
        <v>2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-163</v>
      </c>
      <c r="AA26" s="28" t="n">
        <v>0.62</v>
      </c>
      <c r="AB26" s="28" t="n">
        <v>0.000228</v>
      </c>
      <c r="AC26" s="30" t="n">
        <v>1.227</v>
      </c>
      <c r="AD26" s="24" t="inlineStr">
        <is>
          <t>2026-08-14T16:59:51.622011Z</t>
        </is>
      </c>
      <c r="AE26" s="31" t="inlineStr">
        <is>
          <t>Neutral Elo baseline; executable ask 0.6200 (market_slug=aec-dota2-ts-xtreme-2026-08-14).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Xtreme Gaming</t>
        </is>
      </c>
      <c r="AQ26" s="24" t="inlineStr">
        <is>
          <t>Xtreme Gaming</t>
        </is>
      </c>
      <c r="AR26" s="24" t="inlineStr">
        <is>
          <t>Xtreme Gaming</t>
        </is>
      </c>
      <c r="AS26" s="24" t="inlineStr">
        <is>
          <t>Team Spirit</t>
        </is>
      </c>
      <c r="AT26" s="24" t="inlineStr">
        <is>
          <t>Team Spirit</t>
        </is>
      </c>
      <c r="AU26" s="24" t="inlineStr">
        <is>
          <t>Team Spirit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f5cee5af74832c737d4489a5fef3ea0a01806681613c8dee5777f95d985f002b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f5cee5af74832c737d4489a5fef3ea0a01806681613c8dee5777f95d985f002b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2026-08-13T23:20:12.049029Z</t>
        </is>
      </c>
      <c r="BI26" s="24" t="inlineStr">
        <is>
          <t>["same_event","same_team_same_day","same_league_same_day"]</t>
        </is>
      </c>
      <c r="BJ26" s="25" t="n"/>
      <c r="BK26" s="26" t="n">
        <v>-163</v>
      </c>
      <c r="BL26" s="27" t="n">
        <v>1.613497</v>
      </c>
      <c r="BM26" s="28" t="n">
        <v>0.619772</v>
      </c>
      <c r="BN26" s="28" t="n"/>
      <c r="BO26" s="28" t="n"/>
      <c r="BP26" s="25" t="n"/>
      <c r="BQ26" s="27" t="n">
        <v>1.613497</v>
      </c>
      <c r="BR26" s="28" t="n">
        <v>0.62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0.619772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b3158c2d93d64a32</t>
        </is>
      </c>
      <c r="B27" s="24" t="inlineStr">
        <is>
          <t>2026-08-13T23:20:14.873483Z</t>
        </is>
      </c>
      <c r="C27" s="24" t="inlineStr">
        <is>
          <t>2026-08-14T02:00:00Z</t>
        </is>
      </c>
      <c r="D27" s="24" t="inlineStr">
        <is>
          <t>80488</t>
        </is>
      </c>
      <c r="E27" s="24" t="inlineStr">
        <is>
          <t>DOTA2</t>
        </is>
      </c>
      <c r="F27" s="24" t="inlineStr">
        <is>
          <t>Aurora</t>
        </is>
      </c>
      <c r="G27" s="24" t="inlineStr">
        <is>
          <t>Team Spirit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-144</v>
      </c>
      <c r="M27" s="27" t="n">
        <v>1.694444</v>
      </c>
      <c r="N27" s="28" t="n">
        <v>0.590164</v>
      </c>
      <c r="O27" s="28" t="n">
        <v>0.523702</v>
      </c>
      <c r="P27" s="28" t="n"/>
      <c r="Q27" s="28" t="n">
        <v>-0.06646199999999999</v>
      </c>
      <c r="R27" s="26" t="n">
        <v>0</v>
      </c>
      <c r="S27" s="29" t="n">
        <v>1</v>
      </c>
      <c r="T27" s="24" t="inlineStr">
        <is>
          <t>dota2-tiered-elo-v6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-144</v>
      </c>
      <c r="AA27" s="28" t="n">
        <v>0.59</v>
      </c>
      <c r="AB27" s="28" t="n">
        <v>-0.000164</v>
      </c>
      <c r="AC27" s="30" t="n">
        <v>0.6944</v>
      </c>
      <c r="AD27" s="24" t="inlineStr">
        <is>
          <t>2026-08-14T05:26:25.503728Z</t>
        </is>
      </c>
      <c r="AE27" s="31" t="inlineStr">
        <is>
          <t>Neutral Elo baseline; executable ask 0.5900 (market_slug=aec-dota2-ts-aur-2026-08-14).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Aurora</t>
        </is>
      </c>
      <c r="AQ27" s="24" t="inlineStr">
        <is>
          <t>Aurora</t>
        </is>
      </c>
      <c r="AR27" s="24" t="inlineStr">
        <is>
          <t>Aurora</t>
        </is>
      </c>
      <c r="AS27" s="24" t="inlineStr">
        <is>
          <t>Team Spirit</t>
        </is>
      </c>
      <c r="AT27" s="24" t="inlineStr">
        <is>
          <t>Team Spirit</t>
        </is>
      </c>
      <c r="AU27" s="24" t="inlineStr">
        <is>
          <t>Team Spirit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f5cee5af74832c737d4489a5fef3ea0a01806681613c8dee5777f95d985f002b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f5cee5af74832c737d4489a5fef3ea0a01806681613c8dee5777f95d985f002b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2026-08-13T23:20:12.628074Z</t>
        </is>
      </c>
      <c r="BI27" s="24" t="inlineStr">
        <is>
          <t>["same_event","same_team_same_day","same_league_same_day"]</t>
        </is>
      </c>
      <c r="BJ27" s="25" t="n"/>
      <c r="BK27" s="26" t="n">
        <v>-144</v>
      </c>
      <c r="BL27" s="27" t="n">
        <v>1.694444</v>
      </c>
      <c r="BM27" s="28" t="n">
        <v>0.590164</v>
      </c>
      <c r="BN27" s="28" t="n"/>
      <c r="BO27" s="28" t="n"/>
      <c r="BP27" s="25" t="n"/>
      <c r="BQ27" s="27" t="n">
        <v>1.694444</v>
      </c>
      <c r="BR27" s="28" t="n">
        <v>0.59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0.590164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0ca5f6bf546c4b92</t>
        </is>
      </c>
      <c r="B28" s="24" t="inlineStr">
        <is>
          <t>2026-08-14T04:12:40.191254Z</t>
        </is>
      </c>
      <c r="C28" s="24" t="inlineStr">
        <is>
          <t>2026-08-14T05:00:00Z</t>
        </is>
      </c>
      <c r="D28" s="24" t="inlineStr">
        <is>
          <t>80587</t>
        </is>
      </c>
      <c r="E28" s="24" t="inlineStr">
        <is>
          <t>DOTA2</t>
        </is>
      </c>
      <c r="F28" s="24" t="inlineStr">
        <is>
          <t>OG</t>
        </is>
      </c>
      <c r="G28" s="24" t="inlineStr">
        <is>
          <t>Team Resilience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-113</v>
      </c>
      <c r="M28" s="27" t="n">
        <v>1.884956</v>
      </c>
      <c r="N28" s="28" t="n">
        <v>0.530516</v>
      </c>
      <c r="O28" s="28" t="n">
        <v>0.62947</v>
      </c>
      <c r="P28" s="28" t="n"/>
      <c r="Q28" s="28" t="n">
        <v>0.098954</v>
      </c>
      <c r="R28" s="26" t="n">
        <v>69</v>
      </c>
      <c r="S28" s="29" t="n">
        <v>1.5</v>
      </c>
      <c r="T28" s="24" t="inlineStr">
        <is>
          <t>dota2-tiered-elo-v6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0</v>
      </c>
      <c r="X28" s="26" t="n">
        <v>1</v>
      </c>
      <c r="Y28" s="25" t="n"/>
      <c r="Z28" s="26" t="n">
        <v>-113</v>
      </c>
      <c r="AA28" s="28" t="n">
        <v>0.53</v>
      </c>
      <c r="AB28" s="28" t="n">
        <v>-0.000516</v>
      </c>
      <c r="AC28" s="30" t="n">
        <v>-1.5</v>
      </c>
      <c r="AD28" s="24" t="inlineStr">
        <is>
          <t>2026-08-14T10:43:48.788127Z</t>
        </is>
      </c>
      <c r="AE28" s="31" t="inlineStr">
        <is>
          <t>Neutral Elo baseline; executable ask 0.5300 (market_slug=aec-dota2-tr-og-2026-08-14).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OG</t>
        </is>
      </c>
      <c r="AQ28" s="24" t="inlineStr">
        <is>
          <t>OG</t>
        </is>
      </c>
      <c r="AR28" s="24" t="inlineStr">
        <is>
          <t>OG</t>
        </is>
      </c>
      <c r="AS28" s="24" t="inlineStr">
        <is>
          <t>Team Resilience</t>
        </is>
      </c>
      <c r="AT28" s="24" t="inlineStr">
        <is>
          <t>Team Resilience</t>
        </is>
      </c>
      <c r="AU28" s="24" t="inlineStr">
        <is>
          <t>Team Resilience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c82bd443c08a5d524185078b867c39fa2f757aa43550ce68ebdca921c51338f9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c82bd443c08a5d524185078b867c39fa2f757aa43550ce68ebdca921c51338f9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2026-08-14T04:12:38.461882Z</t>
        </is>
      </c>
      <c r="BI28" s="24" t="inlineStr">
        <is>
          <t>["same_event","same_team_same_day","same_league_same_day"]</t>
        </is>
      </c>
      <c r="BJ28" s="25" t="n"/>
      <c r="BK28" s="26" t="n">
        <v>-113</v>
      </c>
      <c r="BL28" s="27" t="n">
        <v>1.884956</v>
      </c>
      <c r="BM28" s="28" t="n">
        <v>0.530516</v>
      </c>
      <c r="BN28" s="28" t="n"/>
      <c r="BO28" s="28" t="n"/>
      <c r="BP28" s="25" t="n"/>
      <c r="BQ28" s="27" t="n">
        <v>1.884956</v>
      </c>
      <c r="BR28" s="28" t="n">
        <v>0.53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0.530516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22876f75747d45e2</t>
        </is>
      </c>
      <c r="B29" s="24" t="inlineStr">
        <is>
          <t>2026-08-14T04:12:40.191254Z</t>
        </is>
      </c>
      <c r="C29" s="24" t="inlineStr">
        <is>
          <t>2026-08-14T05:00:00Z</t>
        </is>
      </c>
      <c r="D29" s="24" t="inlineStr">
        <is>
          <t>80588</t>
        </is>
      </c>
      <c r="E29" s="24" t="inlineStr">
        <is>
          <t>DOTA2</t>
        </is>
      </c>
      <c r="F29" s="24" t="inlineStr">
        <is>
          <t>Nigma Galaxy</t>
        </is>
      </c>
      <c r="G29" s="24" t="inlineStr">
        <is>
          <t>LGD Gaming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0.57834</v>
      </c>
      <c r="P29" s="28" t="n"/>
      <c r="Q29" s="28" t="n">
        <v>0.068536</v>
      </c>
      <c r="R29" s="26" t="n">
        <v>54</v>
      </c>
      <c r="S29" s="29" t="n">
        <v>1.25</v>
      </c>
      <c r="T29" s="24" t="inlineStr">
        <is>
          <t>dota2-tiered-elo-v6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2026-08-14T07:32:22.030889Z</t>
        </is>
      </c>
      <c r="AE29" s="31" t="inlineStr">
        <is>
          <t>Neutral Elo baseline; executable ask 0.5100 (market_slug=aec-dota2-lgd-ngx-2026-08-14).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Nigma Galaxy</t>
        </is>
      </c>
      <c r="AQ29" s="24" t="inlineStr">
        <is>
          <t>Nigma Galaxy</t>
        </is>
      </c>
      <c r="AR29" s="24" t="inlineStr">
        <is>
          <t>Nigma Galaxy</t>
        </is>
      </c>
      <c r="AS29" s="24" t="inlineStr">
        <is>
          <t>LGD Gaming</t>
        </is>
      </c>
      <c r="AT29" s="24" t="inlineStr">
        <is>
          <t>LGD Gaming</t>
        </is>
      </c>
      <c r="AU29" s="24" t="inlineStr">
        <is>
          <t>LGD Gaming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c82bd443c08a5d524185078b867c39fa2f757aa43550ce68ebdca921c51338f9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c82bd443c08a5d524185078b867c39fa2f757aa43550ce68ebdca921c51338f9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2026-08-14T04:12:38.965098Z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0.509804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076dd7a40ca14832</t>
        </is>
      </c>
      <c r="B30" s="24" t="inlineStr">
        <is>
          <t>2026-08-14T04:12:40.191254Z</t>
        </is>
      </c>
      <c r="C30" s="24" t="inlineStr">
        <is>
          <t>2026-08-14T05:00:00Z</t>
        </is>
      </c>
      <c r="D30" s="24" t="inlineStr">
        <is>
          <t>80589</t>
        </is>
      </c>
      <c r="E30" s="24" t="inlineStr">
        <is>
          <t>DOTA2</t>
        </is>
      </c>
      <c r="F30" s="24" t="inlineStr">
        <is>
          <t>Team Falcons</t>
        </is>
      </c>
      <c r="G30" s="24" t="inlineStr">
        <is>
          <t>Iron Wing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-170</v>
      </c>
      <c r="M30" s="27" t="n">
        <v>1.588235</v>
      </c>
      <c r="N30" s="28" t="n">
        <v>0.62963</v>
      </c>
      <c r="O30" s="28" t="n">
        <v>0.607699</v>
      </c>
      <c r="P30" s="28" t="n"/>
      <c r="Q30" s="28" t="n">
        <v>-0.021931</v>
      </c>
      <c r="R30" s="26" t="n">
        <v>9</v>
      </c>
      <c r="S30" s="29" t="n">
        <v>1.5</v>
      </c>
      <c r="T30" s="24" t="inlineStr">
        <is>
          <t>dota2-tiered-elo-v6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>
        <v>-170</v>
      </c>
      <c r="AA30" s="28" t="n">
        <v>0.63</v>
      </c>
      <c r="AB30" s="28" t="n">
        <v>0.00037</v>
      </c>
      <c r="AC30" s="30" t="n">
        <v>-1.5</v>
      </c>
      <c r="AD30" s="24" t="inlineStr">
        <is>
          <t>2026-08-14T10:43:50.076039Z</t>
        </is>
      </c>
      <c r="AE30" s="31" t="inlineStr">
        <is>
          <t>Neutral Elo baseline; executable ask 0.6300 (market_slug=aec-dota2-iwr-flc-2026-08-14).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Team Falcons</t>
        </is>
      </c>
      <c r="AQ30" s="24" t="inlineStr">
        <is>
          <t>Team Falcons</t>
        </is>
      </c>
      <c r="AR30" s="24" t="inlineStr">
        <is>
          <t>Team Falcons</t>
        </is>
      </c>
      <c r="AS30" s="24" t="inlineStr">
        <is>
          <t>Iron Wing</t>
        </is>
      </c>
      <c r="AT30" s="24" t="inlineStr">
        <is>
          <t>Iron Wing</t>
        </is>
      </c>
      <c r="AU30" s="24" t="inlineStr">
        <is>
          <t>Iron Wing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c82bd443c08a5d524185078b867c39fa2f757aa43550ce68ebdca921c51338f9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c82bd443c08a5d524185078b867c39fa2f757aa43550ce68ebdca921c51338f9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2026-08-14T04:12:39.587214Z</t>
        </is>
      </c>
      <c r="BI30" s="24" t="inlineStr">
        <is>
          <t>["same_event","same_team_same_day","same_league_same_day"]</t>
        </is>
      </c>
      <c r="BJ30" s="25" t="n"/>
      <c r="BK30" s="26" t="n">
        <v>-170</v>
      </c>
      <c r="BL30" s="27" t="n">
        <v>1.588235</v>
      </c>
      <c r="BM30" s="28" t="n">
        <v>0.62963</v>
      </c>
      <c r="BN30" s="28" t="n"/>
      <c r="BO30" s="28" t="n"/>
      <c r="BP30" s="25" t="n"/>
      <c r="BQ30" s="27" t="n">
        <v>1.588235</v>
      </c>
      <c r="BR30" s="28" t="n">
        <v>0.63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0.62963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845871171b89491e</t>
        </is>
      </c>
      <c r="B31" s="24" t="inlineStr">
        <is>
          <t>2026-08-14T04:12:40.191254Z</t>
        </is>
      </c>
      <c r="C31" s="24" t="inlineStr">
        <is>
          <t>2026-08-14T05:00:00Z</t>
        </is>
      </c>
      <c r="D31" s="24" t="inlineStr">
        <is>
          <t>80590</t>
        </is>
      </c>
      <c r="E31" s="24" t="inlineStr">
        <is>
          <t>DOTA2</t>
        </is>
      </c>
      <c r="F31" s="24" t="inlineStr">
        <is>
          <t>TEAM VISION</t>
        </is>
      </c>
      <c r="G31" s="24" t="inlineStr">
        <is>
          <t>BoomBoys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-223</v>
      </c>
      <c r="M31" s="27" t="n">
        <v>1.44843</v>
      </c>
      <c r="N31" s="28" t="n">
        <v>0.690402</v>
      </c>
      <c r="O31" s="28" t="n">
        <v>0.691324</v>
      </c>
      <c r="P31" s="28" t="n"/>
      <c r="Q31" s="28" t="n">
        <v>0.000922</v>
      </c>
      <c r="R31" s="26" t="n">
        <v>20</v>
      </c>
      <c r="S31" s="29" t="n">
        <v>2</v>
      </c>
      <c r="T31" s="24" t="inlineStr">
        <is>
          <t>dota2-tiered-elo-v6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-223</v>
      </c>
      <c r="AA31" s="28" t="n">
        <v>0.6899999999999999</v>
      </c>
      <c r="AB31" s="28" t="n">
        <v>-0.000402</v>
      </c>
      <c r="AC31" s="30" t="n">
        <v>0.8969</v>
      </c>
      <c r="AD31" s="24" t="inlineStr">
        <is>
          <t>2026-08-14T07:32:24.458949Z</t>
        </is>
      </c>
      <c r="AE31" s="31" t="inlineStr">
        <is>
          <t>Neutral Elo baseline; executable ask 0.6900 (market_slug=aec-dota2-boo-tve-2026-08-14).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TEAM VISION</t>
        </is>
      </c>
      <c r="AQ31" s="24" t="inlineStr">
        <is>
          <t>TEAM VISION</t>
        </is>
      </c>
      <c r="AR31" s="24" t="inlineStr">
        <is>
          <t>TEAM VISION</t>
        </is>
      </c>
      <c r="AS31" s="24" t="inlineStr">
        <is>
          <t>BoomBoys</t>
        </is>
      </c>
      <c r="AT31" s="24" t="inlineStr">
        <is>
          <t>BoomBoys</t>
        </is>
      </c>
      <c r="AU31" s="24" t="inlineStr">
        <is>
          <t>BoomBoys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c82bd443c08a5d524185078b867c39fa2f757aa43550ce68ebdca921c51338f9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c82bd443c08a5d524185078b867c39fa2f757aa43550ce68ebdca921c51338f9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2026-08-14T04:12:40.191001Z</t>
        </is>
      </c>
      <c r="BI31" s="24" t="inlineStr">
        <is>
          <t>["same_event","same_team_same_day","same_league_same_day"]</t>
        </is>
      </c>
      <c r="BJ31" s="25" t="n"/>
      <c r="BK31" s="26" t="n">
        <v>-223</v>
      </c>
      <c r="BL31" s="27" t="n">
        <v>1.44843</v>
      </c>
      <c r="BM31" s="28" t="n">
        <v>0.690402</v>
      </c>
      <c r="BN31" s="28" t="n"/>
      <c r="BO31" s="28" t="n"/>
      <c r="BP31" s="25" t="n"/>
      <c r="BQ31" s="27" t="n">
        <v>1.44843</v>
      </c>
      <c r="BR31" s="28" t="n">
        <v>0.6899999999999999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0.690402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2997149076374906</t>
        </is>
      </c>
      <c r="B32" s="24" t="inlineStr">
        <is>
          <t>2026-08-14T07:41:49.380151Z</t>
        </is>
      </c>
      <c r="C32" s="24" t="inlineStr">
        <is>
          <t>2026-08-14T08:00:00Z</t>
        </is>
      </c>
      <c r="D32" s="24" t="inlineStr">
        <is>
          <t>81220</t>
        </is>
      </c>
      <c r="E32" s="24" t="inlineStr">
        <is>
          <t>DOTA2</t>
        </is>
      </c>
      <c r="F32" s="24" t="inlineStr">
        <is>
          <t>HULIGANI</t>
        </is>
      </c>
      <c r="G32" s="24" t="inlineStr">
        <is>
          <t>Xtreme Gaming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0.57725</v>
      </c>
      <c r="P32" s="28" t="n"/>
      <c r="Q32" s="28" t="n">
        <v>-0.113152</v>
      </c>
      <c r="R32" s="26" t="n">
        <v>0</v>
      </c>
      <c r="S32" s="29" t="n">
        <v>1.25</v>
      </c>
      <c r="T32" s="24" t="inlineStr">
        <is>
          <t>dota2-tiered-elo-v6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-245</v>
      </c>
      <c r="AA32" s="28" t="n">
        <v>0.71</v>
      </c>
      <c r="AB32" s="28" t="n">
        <v>0.019598</v>
      </c>
      <c r="AC32" s="30" t="n">
        <v>0.5605</v>
      </c>
      <c r="AD32" s="24" t="inlineStr">
        <is>
          <t>2026-08-14T13:51:42.570330Z</t>
        </is>
      </c>
      <c r="AE32" s="31" t="inlineStr">
        <is>
          <t>Neutral Elo baseline; executable ask 0.6900 (market_slug=aec-dota2-xtreme-hul-2026-08-14).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HULIGANI</t>
        </is>
      </c>
      <c r="AQ32" s="24" t="inlineStr">
        <is>
          <t>HULIGANI</t>
        </is>
      </c>
      <c r="AR32" s="24" t="inlineStr">
        <is>
          <t>HULIGANI</t>
        </is>
      </c>
      <c r="AS32" s="24" t="inlineStr">
        <is>
          <t>Xtreme Gaming</t>
        </is>
      </c>
      <c r="AT32" s="24" t="inlineStr">
        <is>
          <t>Xtreme Gaming</t>
        </is>
      </c>
      <c r="AU32" s="24" t="inlineStr">
        <is>
          <t>Xtreme Gaming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5efcb95516fc94c0130a104841cebea442c1a87bac72927a073540843ab13bf1</t>
        </is>
      </c>
      <c r="BB32" s="24" t="inlineStr">
        <is>
          <t>neutral_elo</t>
        </is>
      </c>
      <c r="BC32" s="24" t="inlineStr">
        <is>
          <t>dota2-tiered-elo-v6</t>
        </is>
      </c>
      <c r="BD32" s="24" t="inlineStr">
        <is>
          <t>5efcb95516fc94c0130a104841cebea442c1a87bac72927a073540843ab13bf1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dota2-tiered-elo-v6</t>
        </is>
      </c>
      <c r="BH32" s="24" t="inlineStr">
        <is>
          <t>2026-08-14T07:41:47.944610Z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1.408163</v>
      </c>
      <c r="BR32" s="28" t="n">
        <v>0.71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0.690402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208e4b69da2143b7</t>
        </is>
      </c>
      <c r="B33" s="24" t="inlineStr">
        <is>
          <t>2026-08-14T07:41:49.380151Z</t>
        </is>
      </c>
      <c r="C33" s="24" t="inlineStr">
        <is>
          <t>2026-08-14T08:00:00Z</t>
        </is>
      </c>
      <c r="D33" s="24" t="inlineStr">
        <is>
          <t>81221</t>
        </is>
      </c>
      <c r="E33" s="24" t="inlineStr">
        <is>
          <t>DOTA2</t>
        </is>
      </c>
      <c r="F33" s="24" t="inlineStr">
        <is>
          <t>Team Yandex</t>
        </is>
      </c>
      <c r="G33" s="24" t="inlineStr">
        <is>
          <t>Aurora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-178</v>
      </c>
      <c r="M33" s="27" t="n">
        <v>1.561798</v>
      </c>
      <c r="N33" s="28" t="n">
        <v>0.640288</v>
      </c>
      <c r="O33" s="28" t="n">
        <v>0.627992</v>
      </c>
      <c r="P33" s="28" t="n"/>
      <c r="Q33" s="28" t="n">
        <v>-0.012296</v>
      </c>
      <c r="R33" s="26" t="n">
        <v>14</v>
      </c>
      <c r="S33" s="29" t="n">
        <v>1.5</v>
      </c>
      <c r="T33" s="24" t="inlineStr">
        <is>
          <t>dota2-tiered-elo-v6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/>
      <c r="Z33" s="26" t="n">
        <v>-178</v>
      </c>
      <c r="AA33" s="28" t="n">
        <v>0.64</v>
      </c>
      <c r="AB33" s="28" t="n">
        <v>-0.000288</v>
      </c>
      <c r="AC33" s="30" t="n">
        <v>-1.5</v>
      </c>
      <c r="AD33" s="24" t="inlineStr">
        <is>
          <t>2026-08-14T13:51:44.117305Z</t>
        </is>
      </c>
      <c r="AE33" s="31" t="inlineStr">
        <is>
          <t>Neutral Elo baseline; executable ask 0.6400 (market_slug=aec-dota2-aur-ty-2026-08-14).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Team Yandex</t>
        </is>
      </c>
      <c r="AQ33" s="24" t="inlineStr">
        <is>
          <t>Team Yandex</t>
        </is>
      </c>
      <c r="AR33" s="24" t="inlineStr">
        <is>
          <t>Team Yandex</t>
        </is>
      </c>
      <c r="AS33" s="24" t="inlineStr">
        <is>
          <t>Aurora</t>
        </is>
      </c>
      <c r="AT33" s="24" t="inlineStr">
        <is>
          <t>Aurora</t>
        </is>
      </c>
      <c r="AU33" s="24" t="inlineStr">
        <is>
          <t>Aurora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5efcb95516fc94c0130a104841cebea442c1a87bac72927a073540843ab13bf1</t>
        </is>
      </c>
      <c r="BB33" s="24" t="inlineStr">
        <is>
          <t>neutral_elo</t>
        </is>
      </c>
      <c r="BC33" s="24" t="inlineStr">
        <is>
          <t>dota2-tiered-elo-v6</t>
        </is>
      </c>
      <c r="BD33" s="24" t="inlineStr">
        <is>
          <t>5efcb95516fc94c0130a104841cebea442c1a87bac72927a073540843ab13bf1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dota2-tiered-elo-v6</t>
        </is>
      </c>
      <c r="BH33" s="24" t="inlineStr">
        <is>
          <t>2026-08-14T07:41:48.877928Z</t>
        </is>
      </c>
      <c r="BI33" s="24" t="inlineStr">
        <is>
          <t>["same_event","same_team_same_day","same_league_same_day"]</t>
        </is>
      </c>
      <c r="BJ33" s="25" t="n"/>
      <c r="BK33" s="26" t="n">
        <v>-178</v>
      </c>
      <c r="BL33" s="27" t="n">
        <v>1.561798</v>
      </c>
      <c r="BM33" s="28" t="n">
        <v>0.640288</v>
      </c>
      <c r="BN33" s="28" t="n"/>
      <c r="BO33" s="28" t="n"/>
      <c r="BP33" s="25" t="n"/>
      <c r="BQ33" s="27" t="n">
        <v>1.561798</v>
      </c>
      <c r="BR33" s="28" t="n">
        <v>0.64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0.640288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966177c2e2dc4d10</t>
        </is>
      </c>
      <c r="B34" s="24" t="inlineStr">
        <is>
          <t>2026-08-14T07:41:49.380151Z</t>
        </is>
      </c>
      <c r="C34" s="24" t="inlineStr">
        <is>
          <t>2026-08-14T08:00:00Z</t>
        </is>
      </c>
      <c r="D34" s="24" t="inlineStr">
        <is>
          <t>81223</t>
        </is>
      </c>
      <c r="E34" s="24" t="inlineStr">
        <is>
          <t>DOTA2</t>
        </is>
      </c>
      <c r="F34" s="24" t="inlineStr">
        <is>
          <t>Team Spirit</t>
        </is>
      </c>
      <c r="G34" s="24" t="inlineStr">
        <is>
          <t>Team Liquid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0.548936</v>
      </c>
      <c r="P34" s="28" t="n"/>
      <c r="Q34" s="28" t="n">
        <v>0.05874</v>
      </c>
      <c r="R34" s="26" t="n">
        <v>49</v>
      </c>
      <c r="S34" s="29" t="n">
        <v>1</v>
      </c>
      <c r="T34" s="24" t="inlineStr">
        <is>
          <t>dota2-tiered-elo-v6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>
        <v>0</v>
      </c>
      <c r="Y34" s="25" t="n"/>
      <c r="Z34" s="26" t="n">
        <v>104</v>
      </c>
      <c r="AA34" s="28" t="n">
        <v>0.49</v>
      </c>
      <c r="AB34" s="28" t="n">
        <v>-0.000196</v>
      </c>
      <c r="AC34" s="30" t="n">
        <v>-1</v>
      </c>
      <c r="AD34" s="24" t="inlineStr">
        <is>
          <t>2026-08-14T13:51:46.018945Z</t>
        </is>
      </c>
      <c r="AE34" s="31" t="inlineStr">
        <is>
          <t>Neutral Elo baseline; executable ask 0.4900 (market_slug=aec-dota2-liquid-ts-2026-08-14).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Team Spirit</t>
        </is>
      </c>
      <c r="AQ34" s="24" t="inlineStr">
        <is>
          <t>Team Spirit</t>
        </is>
      </c>
      <c r="AR34" s="24" t="inlineStr">
        <is>
          <t>Team Spirit</t>
        </is>
      </c>
      <c r="AS34" s="24" t="inlineStr">
        <is>
          <t>Team Liquid</t>
        </is>
      </c>
      <c r="AT34" s="24" t="inlineStr">
        <is>
          <t>Team Liquid</t>
        </is>
      </c>
      <c r="AU34" s="24" t="inlineStr">
        <is>
          <t>Team Liquid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5efcb95516fc94c0130a104841cebea442c1a87bac72927a073540843ab13bf1</t>
        </is>
      </c>
      <c r="BB34" s="24" t="inlineStr">
        <is>
          <t>neutral_elo</t>
        </is>
      </c>
      <c r="BC34" s="24" t="inlineStr">
        <is>
          <t>dota2-tiered-elo-v6</t>
        </is>
      </c>
      <c r="BD34" s="24" t="inlineStr">
        <is>
          <t>5efcb95516fc94c0130a104841cebea442c1a87bac72927a073540843ab13bf1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dota2-tiered-elo-v6</t>
        </is>
      </c>
      <c r="BH34" s="24" t="inlineStr">
        <is>
          <t>2026-08-14T07:41:49.379913Z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/>
      <c r="BO34" s="28" t="n"/>
      <c r="BP34" s="25" t="n"/>
      <c r="BQ34" s="27" t="n">
        <v>2.04</v>
      </c>
      <c r="BR34" s="28" t="n">
        <v>0.49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0.490196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f9859a1d07f14947</t>
        </is>
      </c>
      <c r="B35" s="24" t="inlineStr">
        <is>
          <t>2026-08-14T23:10:03.447989Z</t>
        </is>
      </c>
      <c r="C35" s="24" t="inlineStr">
        <is>
          <t>2026-08-15T02:00:00Z</t>
        </is>
      </c>
      <c r="D35" s="24" t="inlineStr">
        <is>
          <t>81269</t>
        </is>
      </c>
      <c r="E35" s="24" t="inlineStr">
        <is>
          <t>DOTA2</t>
        </is>
      </c>
      <c r="F35" s="24" t="inlineStr">
        <is>
          <t>HULIGANI</t>
        </is>
      </c>
      <c r="G35" s="24" t="inlineStr">
        <is>
          <t>OG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-203</v>
      </c>
      <c r="M35" s="27" t="n">
        <v>1.492611</v>
      </c>
      <c r="N35" s="28" t="n">
        <v>0.669967</v>
      </c>
      <c r="O35" s="28" t="n">
        <v>0.62295</v>
      </c>
      <c r="P35" s="28" t="n"/>
      <c r="Q35" s="28" t="n">
        <v>-0.047017</v>
      </c>
      <c r="R35" s="26" t="n">
        <v>0</v>
      </c>
      <c r="S35" s="29" t="n">
        <v>1.5</v>
      </c>
      <c r="T35" s="24" t="inlineStr">
        <is>
          <t>dota2-tiered-elo-v6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-203</v>
      </c>
      <c r="AA35" s="28" t="n">
        <v>0.67</v>
      </c>
      <c r="AB35" s="28" t="n">
        <v>3.3e-05</v>
      </c>
      <c r="AC35" s="30" t="n">
        <v>0.7389</v>
      </c>
      <c r="AD35" s="24" t="inlineStr">
        <is>
          <t>2026-08-15T08:23:02.349147Z</t>
        </is>
      </c>
      <c r="AE35" s="31" t="inlineStr">
        <is>
          <t>Neutral Elo baseline; executable ask 0.6700 (market_slug=aec-dota2-og-hul-2026-08-15).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HULIGANI</t>
        </is>
      </c>
      <c r="AQ35" s="24" t="inlineStr">
        <is>
          <t>HULIGANI</t>
        </is>
      </c>
      <c r="AR35" s="24" t="inlineStr">
        <is>
          <t>HULIGANI</t>
        </is>
      </c>
      <c r="AS35" s="24" t="inlineStr">
        <is>
          <t>OG</t>
        </is>
      </c>
      <c r="AT35" s="24" t="inlineStr">
        <is>
          <t>OG</t>
        </is>
      </c>
      <c r="AU35" s="24" t="inlineStr">
        <is>
          <t>OG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a2940b8a9d26c2ba52a73e607aff4edcf40edd1fc7ced87ccaf4d34f2344dd04</t>
        </is>
      </c>
      <c r="BB35" s="24" t="inlineStr">
        <is>
          <t>neutral_elo</t>
        </is>
      </c>
      <c r="BC35" s="24" t="inlineStr">
        <is>
          <t>dota2-tiered-elo-v6</t>
        </is>
      </c>
      <c r="BD35" s="24" t="inlineStr">
        <is>
          <t>a2940b8a9d26c2ba52a73e607aff4edcf40edd1fc7ced87ccaf4d34f2344dd04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dota2-tiered-elo-v6</t>
        </is>
      </c>
      <c r="BH35" s="24" t="inlineStr">
        <is>
          <t>2026-08-14T23:09:59.591026Z</t>
        </is>
      </c>
      <c r="BI35" s="24" t="inlineStr">
        <is>
          <t>["same_event","same_team_same_day","same_league_same_day"]</t>
        </is>
      </c>
      <c r="BJ35" s="25" t="n"/>
      <c r="BK35" s="26" t="n">
        <v>-203</v>
      </c>
      <c r="BL35" s="27" t="n">
        <v>1.492611</v>
      </c>
      <c r="BM35" s="28" t="n">
        <v>0.669967</v>
      </c>
      <c r="BN35" s="28" t="n"/>
      <c r="BO35" s="28" t="n"/>
      <c r="BP35" s="25" t="n"/>
      <c r="BQ35" s="27" t="n">
        <v>1.492611</v>
      </c>
      <c r="BR35" s="28" t="n">
        <v>0.67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0.669967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cb041a8a765c462a</t>
        </is>
      </c>
      <c r="B36" s="24" t="inlineStr">
        <is>
          <t>2026-08-14T23:10:03.447989Z</t>
        </is>
      </c>
      <c r="C36" s="24" t="inlineStr">
        <is>
          <t>2026-08-15T02:00:00Z</t>
        </is>
      </c>
      <c r="D36" s="24" t="inlineStr">
        <is>
          <t>81303</t>
        </is>
      </c>
      <c r="E36" s="24" t="inlineStr">
        <is>
          <t>DOTA2</t>
        </is>
      </c>
      <c r="F36" s="24" t="inlineStr">
        <is>
          <t>Xtreme Gaming</t>
        </is>
      </c>
      <c r="G36" s="24" t="inlineStr">
        <is>
          <t>LGD Gaming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127</v>
      </c>
      <c r="M36" s="27" t="n">
        <v>2.27</v>
      </c>
      <c r="N36" s="28" t="n">
        <v>0.440529</v>
      </c>
      <c r="O36" s="28" t="n">
        <v>0.666751</v>
      </c>
      <c r="P36" s="28" t="n"/>
      <c r="Q36" s="28" t="n">
        <v>0.226222</v>
      </c>
      <c r="R36" s="26" t="n">
        <v>100</v>
      </c>
      <c r="S36" s="29" t="n">
        <v>1.75</v>
      </c>
      <c r="T36" s="24" t="inlineStr">
        <is>
          <t>dota2-tiered-elo-v6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>
        <v>127</v>
      </c>
      <c r="AA36" s="28" t="n">
        <v>0.44</v>
      </c>
      <c r="AB36" s="28" t="n">
        <v>-0.000529</v>
      </c>
      <c r="AC36" s="30" t="n">
        <v>2.2225</v>
      </c>
      <c r="AD36" s="24" t="inlineStr">
        <is>
          <t>2026-08-15T08:23:03.926683Z</t>
        </is>
      </c>
      <c r="AE36" s="31" t="inlineStr">
        <is>
          <t>Neutral Elo baseline; executable ask 0.4400 (market_slug=aec-dota2-lgd-xtreme-2026-08-15).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Xtreme Gaming</t>
        </is>
      </c>
      <c r="AQ36" s="24" t="inlineStr">
        <is>
          <t>Xtreme Gaming</t>
        </is>
      </c>
      <c r="AR36" s="24" t="inlineStr">
        <is>
          <t>Xtreme Gaming</t>
        </is>
      </c>
      <c r="AS36" s="24" t="inlineStr">
        <is>
          <t>LGD Gaming</t>
        </is>
      </c>
      <c r="AT36" s="24" t="inlineStr">
        <is>
          <t>LGD Gaming</t>
        </is>
      </c>
      <c r="AU36" s="24" t="inlineStr">
        <is>
          <t>LGD Gaming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a2940b8a9d26c2ba52a73e607aff4edcf40edd1fc7ced87ccaf4d34f2344dd04</t>
        </is>
      </c>
      <c r="BB36" s="24" t="inlineStr">
        <is>
          <t>neutral_elo</t>
        </is>
      </c>
      <c r="BC36" s="24" t="inlineStr">
        <is>
          <t>dota2-tiered-elo-v6</t>
        </is>
      </c>
      <c r="BD36" s="24" t="inlineStr">
        <is>
          <t>a2940b8a9d26c2ba52a73e607aff4edcf40edd1fc7ced87ccaf4d34f2344dd04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dota2-tiered-elo-v6</t>
        </is>
      </c>
      <c r="BH36" s="24" t="inlineStr">
        <is>
          <t>2026-08-14T23:10:00.790731Z</t>
        </is>
      </c>
      <c r="BI36" s="24" t="inlineStr">
        <is>
          <t>["same_event","same_team_same_day","same_league_same_day"]</t>
        </is>
      </c>
      <c r="BJ36" s="25" t="n"/>
      <c r="BK36" s="26" t="n">
        <v>127</v>
      </c>
      <c r="BL36" s="27" t="n">
        <v>2.27</v>
      </c>
      <c r="BM36" s="28" t="n">
        <v>0.440529</v>
      </c>
      <c r="BN36" s="28" t="n"/>
      <c r="BO36" s="28" t="n"/>
      <c r="BP36" s="25" t="n"/>
      <c r="BQ36" s="27" t="n">
        <v>2.27</v>
      </c>
      <c r="BR36" s="28" t="n">
        <v>0.44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0.440529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2494060eefd14286</t>
        </is>
      </c>
      <c r="B37" s="24" t="inlineStr">
        <is>
          <t>2026-08-15T02:13:59.522134Z</t>
        </is>
      </c>
      <c r="C37" s="24" t="inlineStr">
        <is>
          <t>2026-08-15T05:00:00Z</t>
        </is>
      </c>
      <c r="D37" s="24" t="inlineStr">
        <is>
          <t>81307</t>
        </is>
      </c>
      <c r="E37" s="24" t="inlineStr">
        <is>
          <t>DOTA2</t>
        </is>
      </c>
      <c r="F37" s="24" t="inlineStr">
        <is>
          <t>Vici Gaming</t>
        </is>
      </c>
      <c r="G37" s="24" t="inlineStr">
        <is>
          <t>Nigma Galaxy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-117</v>
      </c>
      <c r="M37" s="27" t="n">
        <v>1.854701</v>
      </c>
      <c r="N37" s="28" t="n">
        <v>0.539171</v>
      </c>
      <c r="O37" s="28" t="n">
        <v>0.551176</v>
      </c>
      <c r="P37" s="28" t="n"/>
      <c r="Q37" s="28" t="n">
        <v>0.012005</v>
      </c>
      <c r="R37" s="26" t="n">
        <v>26</v>
      </c>
      <c r="S37" s="29" t="n">
        <v>1</v>
      </c>
      <c r="T37" s="24" t="inlineStr">
        <is>
          <t>dota2-tiered-elo-v6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/>
      <c r="AA37" s="28" t="n"/>
      <c r="AB37" s="28" t="n"/>
      <c r="AC37" s="30" t="n">
        <v>0.8547</v>
      </c>
      <c r="AD37" s="24" t="inlineStr">
        <is>
          <t>2026-08-15T08:23:05.360453Z</t>
        </is>
      </c>
      <c r="AE37" s="31" t="inlineStr">
        <is>
          <t>Neutral Elo baseline; executable ask 0.5400 (market_slug=aec-dota2-ngx-vg-2026-08-15).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Vici Gaming</t>
        </is>
      </c>
      <c r="AQ37" s="24" t="inlineStr">
        <is>
          <t>Vici Gaming</t>
        </is>
      </c>
      <c r="AR37" s="24" t="inlineStr">
        <is>
          <t>Vici Gaming</t>
        </is>
      </c>
      <c r="AS37" s="24" t="inlineStr">
        <is>
          <t>Nigma Galaxy</t>
        </is>
      </c>
      <c r="AT37" s="24" t="inlineStr">
        <is>
          <t>Nigma Galaxy</t>
        </is>
      </c>
      <c r="AU37" s="24" t="inlineStr">
        <is>
          <t>Nigma Galaxy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94d14c84f816218cc9d6aeb8149a9c84f9e17bbb7eb1c49b504e5d925b9f3d83</t>
        </is>
      </c>
      <c r="BB37" s="24" t="inlineStr">
        <is>
          <t>neutral_elo</t>
        </is>
      </c>
      <c r="BC37" s="24" t="inlineStr">
        <is>
          <t>dota2-tiered-elo-v6</t>
        </is>
      </c>
      <c r="BD37" s="24" t="inlineStr">
        <is>
          <t>94d14c84f816218cc9d6aeb8149a9c84f9e17bbb7eb1c49b504e5d925b9f3d83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dota2-tiered-elo-v6</t>
        </is>
      </c>
      <c r="BH37" s="24" t="inlineStr">
        <is>
          <t>2026-08-15T02:13:57.782507Z</t>
        </is>
      </c>
      <c r="BI37" s="24" t="inlineStr">
        <is>
          <t>["same_event","same_team_same_day","same_league_same_day"]</t>
        </is>
      </c>
      <c r="BJ37" s="25" t="n"/>
      <c r="BK37" s="26" t="n">
        <v>-117</v>
      </c>
      <c r="BL37" s="27" t="n">
        <v>1.854701</v>
      </c>
      <c r="BM37" s="28" t="n">
        <v>0.539171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0.539171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7444189c89b94534</t>
        </is>
      </c>
      <c r="B38" s="24" t="inlineStr">
        <is>
          <t>2026-08-15T02:13:59.522134Z</t>
        </is>
      </c>
      <c r="C38" s="24" t="inlineStr">
        <is>
          <t>2026-08-15T05:00:00Z</t>
        </is>
      </c>
      <c r="D38" s="24" t="inlineStr">
        <is>
          <t>81270</t>
        </is>
      </c>
      <c r="E38" s="24" t="inlineStr">
        <is>
          <t>DOTA2</t>
        </is>
      </c>
      <c r="F38" s="24" t="inlineStr">
        <is>
          <t>Team Spirit</t>
        </is>
      </c>
      <c r="G38" s="24" t="inlineStr">
        <is>
          <t>TEAM VISION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-163</v>
      </c>
      <c r="M38" s="27" t="n">
        <v>1.613497</v>
      </c>
      <c r="N38" s="28" t="n">
        <v>0.619772</v>
      </c>
      <c r="O38" s="28" t="n">
        <v>0.729198</v>
      </c>
      <c r="P38" s="28" t="n"/>
      <c r="Q38" s="28" t="n">
        <v>0.109426</v>
      </c>
      <c r="R38" s="26" t="n">
        <v>75</v>
      </c>
      <c r="S38" s="29" t="n">
        <v>2</v>
      </c>
      <c r="T38" s="24" t="inlineStr">
        <is>
          <t>dota2-tiered-elo-v6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1.227</v>
      </c>
      <c r="AD38" s="24" t="inlineStr">
        <is>
          <t>2026-08-15T11:30:20.021519Z</t>
        </is>
      </c>
      <c r="AE38" s="31" t="inlineStr">
        <is>
          <t>Neutral Elo baseline; executable ask 0.6200 (market_slug=aec-dota2-tve-ts-2026-08-15).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Team Spirit</t>
        </is>
      </c>
      <c r="AQ38" s="24" t="inlineStr">
        <is>
          <t>Team Spirit</t>
        </is>
      </c>
      <c r="AR38" s="24" t="inlineStr">
        <is>
          <t>Team Spirit</t>
        </is>
      </c>
      <c r="AS38" s="24" t="inlineStr">
        <is>
          <t>TEAM VISION</t>
        </is>
      </c>
      <c r="AT38" s="24" t="inlineStr">
        <is>
          <t>TEAM VISION</t>
        </is>
      </c>
      <c r="AU38" s="24" t="inlineStr">
        <is>
          <t>TEAM VISION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94d14c84f816218cc9d6aeb8149a9c84f9e17bbb7eb1c49b504e5d925b9f3d83</t>
        </is>
      </c>
      <c r="BB38" s="24" t="inlineStr">
        <is>
          <t>neutral_elo</t>
        </is>
      </c>
      <c r="BC38" s="24" t="inlineStr">
        <is>
          <t>dota2-tiered-elo-v6</t>
        </is>
      </c>
      <c r="BD38" s="24" t="inlineStr">
        <is>
          <t>94d14c84f816218cc9d6aeb8149a9c84f9e17bbb7eb1c49b504e5d925b9f3d83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dota2-tiered-elo-v6</t>
        </is>
      </c>
      <c r="BH38" s="24" t="inlineStr">
        <is>
          <t>2026-08-15T02:13:58.371188Z</t>
        </is>
      </c>
      <c r="BI38" s="24" t="inlineStr">
        <is>
          <t>["same_event","same_team_same_day","same_league_same_day"]</t>
        </is>
      </c>
      <c r="BJ38" s="25" t="n"/>
      <c r="BK38" s="26" t="n">
        <v>-163</v>
      </c>
      <c r="BL38" s="27" t="n">
        <v>1.613497</v>
      </c>
      <c r="BM38" s="28" t="n">
        <v>0.619772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0.619772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4c7db55ca42a4313</t>
        </is>
      </c>
      <c r="B39" s="24" t="inlineStr">
        <is>
          <t>2026-08-15T02:13:59.522134Z</t>
        </is>
      </c>
      <c r="C39" s="24" t="inlineStr">
        <is>
          <t>2026-08-15T05:00:00Z</t>
        </is>
      </c>
      <c r="D39" s="24" t="inlineStr">
        <is>
          <t>81305</t>
        </is>
      </c>
      <c r="E39" s="24" t="inlineStr">
        <is>
          <t>DOTA2</t>
        </is>
      </c>
      <c r="F39" s="24" t="inlineStr">
        <is>
          <t>Team Liquid</t>
        </is>
      </c>
      <c r="G39" s="24" t="inlineStr">
        <is>
          <t>Iron Wing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0.5602819999999999</v>
      </c>
      <c r="P39" s="28" t="n"/>
      <c r="Q39" s="28" t="n">
        <v>0.010732</v>
      </c>
      <c r="R39" s="26" t="n">
        <v>25</v>
      </c>
      <c r="S39" s="29" t="n">
        <v>1</v>
      </c>
      <c r="T39" s="24" t="inlineStr">
        <is>
          <t>dota2-tiered-elo-v6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0.8197</v>
      </c>
      <c r="AD39" s="24" t="inlineStr">
        <is>
          <t>2026-08-15T11:30:21.310128Z</t>
        </is>
      </c>
      <c r="AE39" s="31" t="inlineStr">
        <is>
          <t>Neutral Elo baseline; executable ask 0.5500 (market_slug=aec-dota2-iwr-liquid-2026-08-15).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Team Liquid</t>
        </is>
      </c>
      <c r="AQ39" s="24" t="inlineStr">
        <is>
          <t>Team Liquid</t>
        </is>
      </c>
      <c r="AR39" s="24" t="inlineStr">
        <is>
          <t>Team Liquid</t>
        </is>
      </c>
      <c r="AS39" s="24" t="inlineStr">
        <is>
          <t>Iron Wing</t>
        </is>
      </c>
      <c r="AT39" s="24" t="inlineStr">
        <is>
          <t>Iron Wing</t>
        </is>
      </c>
      <c r="AU39" s="24" t="inlineStr">
        <is>
          <t>Iron Wing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94d14c84f816218cc9d6aeb8149a9c84f9e17bbb7eb1c49b504e5d925b9f3d83</t>
        </is>
      </c>
      <c r="BB39" s="24" t="inlineStr">
        <is>
          <t>neutral_elo</t>
        </is>
      </c>
      <c r="BC39" s="24" t="inlineStr">
        <is>
          <t>dota2-tiered-elo-v6</t>
        </is>
      </c>
      <c r="BD39" s="24" t="inlineStr">
        <is>
          <t>94d14c84f816218cc9d6aeb8149a9c84f9e17bbb7eb1c49b504e5d925b9f3d83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dota2-tiered-elo-v6</t>
        </is>
      </c>
      <c r="BH39" s="24" t="inlineStr">
        <is>
          <t>2026-08-15T02:13:59.002565Z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0.54955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9f564e414376404e</t>
        </is>
      </c>
      <c r="B40" s="24" t="inlineStr">
        <is>
          <t>2026-08-15T02:13:59.522134Z</t>
        </is>
      </c>
      <c r="C40" s="24" t="inlineStr">
        <is>
          <t>2026-08-15T05:00:00Z</t>
        </is>
      </c>
      <c r="D40" s="24" t="inlineStr">
        <is>
          <t>81306</t>
        </is>
      </c>
      <c r="E40" s="24" t="inlineStr">
        <is>
          <t>DOTA2</t>
        </is>
      </c>
      <c r="F40" s="24" t="inlineStr">
        <is>
          <t>Aurora</t>
        </is>
      </c>
      <c r="G40" s="24" t="inlineStr">
        <is>
          <t>BoomBoys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-127</v>
      </c>
      <c r="M40" s="27" t="n">
        <v>1.787402</v>
      </c>
      <c r="N40" s="28" t="n">
        <v>0.5594710000000001</v>
      </c>
      <c r="O40" s="28" t="n">
        <v>0.548525</v>
      </c>
      <c r="P40" s="28" t="n"/>
      <c r="Q40" s="28" t="n">
        <v>-0.010946</v>
      </c>
      <c r="R40" s="26" t="n">
        <v>15</v>
      </c>
      <c r="S40" s="29" t="n">
        <v>1</v>
      </c>
      <c r="T40" s="24" t="inlineStr">
        <is>
          <t>dota2-tiered-elo-v6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-1</v>
      </c>
      <c r="AD40" s="24" t="inlineStr">
        <is>
          <t>2026-08-15T08:23:08.834254Z</t>
        </is>
      </c>
      <c r="AE40" s="31" t="inlineStr">
        <is>
          <t>Neutral Elo baseline; executable ask 0.5600 (market_slug=aec-dota2-boo-aur-2026-08-15).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Aurora</t>
        </is>
      </c>
      <c r="AQ40" s="24" t="inlineStr">
        <is>
          <t>Aurora</t>
        </is>
      </c>
      <c r="AR40" s="24" t="inlineStr">
        <is>
          <t>Aurora</t>
        </is>
      </c>
      <c r="AS40" s="24" t="inlineStr">
        <is>
          <t>BoomBoys</t>
        </is>
      </c>
      <c r="AT40" s="24" t="inlineStr">
        <is>
          <t>BoomBoys</t>
        </is>
      </c>
      <c r="AU40" s="24" t="inlineStr">
        <is>
          <t>BoomBoys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94d14c84f816218cc9d6aeb8149a9c84f9e17bbb7eb1c49b504e5d925b9f3d83</t>
        </is>
      </c>
      <c r="BB40" s="24" t="inlineStr">
        <is>
          <t>neutral_elo</t>
        </is>
      </c>
      <c r="BC40" s="24" t="inlineStr">
        <is>
          <t>dota2-tiered-elo-v6</t>
        </is>
      </c>
      <c r="BD40" s="24" t="inlineStr">
        <is>
          <t>94d14c84f816218cc9d6aeb8149a9c84f9e17bbb7eb1c49b504e5d925b9f3d83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dota2-tiered-elo-v6</t>
        </is>
      </c>
      <c r="BH40" s="24" t="inlineStr">
        <is>
          <t>2026-08-15T02:13:59.516681Z</t>
        </is>
      </c>
      <c r="BI40" s="24" t="inlineStr">
        <is>
          <t>["same_event","same_team_same_day","same_league_same_day"]</t>
        </is>
      </c>
      <c r="BJ40" s="25" t="n"/>
      <c r="BK40" s="26" t="n">
        <v>-127</v>
      </c>
      <c r="BL40" s="27" t="n">
        <v>1.787402</v>
      </c>
      <c r="BM40" s="28" t="n">
        <v>0.5594710000000001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0.559471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fefa98e6cf484632</t>
        </is>
      </c>
      <c r="B41" s="24" t="inlineStr">
        <is>
          <t>2026-08-15T11:36:17.023556Z</t>
        </is>
      </c>
      <c r="C41" s="24" t="inlineStr">
        <is>
          <t>2026-08-15T12:00:00Z</t>
        </is>
      </c>
      <c r="D41" s="24" t="inlineStr">
        <is>
          <t>81989</t>
        </is>
      </c>
      <c r="E41" s="24" t="inlineStr">
        <is>
          <t>DOTA2</t>
        </is>
      </c>
      <c r="F41" s="24" t="inlineStr">
        <is>
          <t>Aurora</t>
        </is>
      </c>
      <c r="G41" s="24" t="inlineStr">
        <is>
          <t>Team Liquid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-108</v>
      </c>
      <c r="M41" s="27" t="n">
        <v>1.925926</v>
      </c>
      <c r="N41" s="28" t="n">
        <v>0.519231</v>
      </c>
      <c r="O41" s="28" t="n">
        <v>0.523749</v>
      </c>
      <c r="P41" s="28" t="n"/>
      <c r="Q41" s="28" t="n">
        <v>0.004518</v>
      </c>
      <c r="R41" s="26" t="n">
        <v>22</v>
      </c>
      <c r="S41" s="29" t="n">
        <v>1</v>
      </c>
      <c r="T41" s="24" t="inlineStr">
        <is>
          <t>dota2-tiered-elo-v6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-108</v>
      </c>
      <c r="AA41" s="28" t="n">
        <v>0.52</v>
      </c>
      <c r="AB41" s="28" t="n">
        <v>0.000769</v>
      </c>
      <c r="AC41" s="30" t="n">
        <v>0.9258999999999999</v>
      </c>
      <c r="AD41" s="24" t="inlineStr">
        <is>
          <t>2026-08-15T17:46:21.018225Z</t>
        </is>
      </c>
      <c r="AE41" s="31" t="inlineStr">
        <is>
          <t>Neutral Elo baseline; executable ask 0.5200 (market_slug=aec-dota2-liquid-aur-2026-08-15).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Aurora</t>
        </is>
      </c>
      <c r="AQ41" s="24" t="inlineStr">
        <is>
          <t>Aurora</t>
        </is>
      </c>
      <c r="AR41" s="24" t="inlineStr">
        <is>
          <t>Aurora</t>
        </is>
      </c>
      <c r="AS41" s="24" t="inlineStr">
        <is>
          <t>Team Liquid</t>
        </is>
      </c>
      <c r="AT41" s="24" t="inlineStr">
        <is>
          <t>Team Liquid</t>
        </is>
      </c>
      <c r="AU41" s="24" t="inlineStr">
        <is>
          <t>Team Liquid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70001fc4ec3afbcfc66227c4226dcc2accbaf17f20e7734c209024c5f520b70e</t>
        </is>
      </c>
      <c r="BB41" s="24" t="inlineStr">
        <is>
          <t>neutral_elo</t>
        </is>
      </c>
      <c r="BC41" s="24" t="inlineStr">
        <is>
          <t>dota2-tiered-elo-v6</t>
        </is>
      </c>
      <c r="BD41" s="24" t="inlineStr">
        <is>
          <t>70001fc4ec3afbcfc66227c4226dcc2accbaf17f20e7734c209024c5f520b70e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dota2-tiered-elo-v6</t>
        </is>
      </c>
      <c r="BH41" s="24" t="inlineStr">
        <is>
          <t>2026-08-15T11:36:16.067033Z</t>
        </is>
      </c>
      <c r="BI41" s="24" t="inlineStr">
        <is>
          <t>["same_event","same_team_same_day","same_league_same_day"]</t>
        </is>
      </c>
      <c r="BJ41" s="25" t="n"/>
      <c r="BK41" s="26" t="n">
        <v>-108</v>
      </c>
      <c r="BL41" s="27" t="n">
        <v>1.925926</v>
      </c>
      <c r="BM41" s="28" t="n">
        <v>0.519231</v>
      </c>
      <c r="BN41" s="28" t="n"/>
      <c r="BO41" s="28" t="n"/>
      <c r="BP41" s="25" t="n"/>
      <c r="BQ41" s="27" t="n">
        <v>1.925926</v>
      </c>
      <c r="BR41" s="28" t="n">
        <v>0.52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0.519231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152ff5ab7a3e4dbb</t>
        </is>
      </c>
      <c r="B42" s="24" t="inlineStr">
        <is>
          <t>2026-08-15T11:36:17.023556Z</t>
        </is>
      </c>
      <c r="C42" s="24" t="inlineStr">
        <is>
          <t>2026-08-15T13:00:00Z</t>
        </is>
      </c>
      <c r="D42" s="24" t="inlineStr">
        <is>
          <t>81991</t>
        </is>
      </c>
      <c r="E42" s="24" t="inlineStr">
        <is>
          <t>DOTA2</t>
        </is>
      </c>
      <c r="F42" s="24" t="inlineStr">
        <is>
          <t>Team Yandex</t>
        </is>
      </c>
      <c r="G42" s="24" t="inlineStr">
        <is>
          <t>Iron Wing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0.639425</v>
      </c>
      <c r="P42" s="28" t="n"/>
      <c r="Q42" s="28" t="n">
        <v>0.059593</v>
      </c>
      <c r="R42" s="26" t="n">
        <v>50</v>
      </c>
      <c r="S42" s="29" t="n">
        <v>1.5</v>
      </c>
      <c r="T42" s="24" t="inlineStr">
        <is>
          <t>dota2-tiered-elo-v6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-1.5</v>
      </c>
      <c r="AD42" s="24" t="inlineStr">
        <is>
          <t>2026-08-15T17:46:22.447182Z</t>
        </is>
      </c>
      <c r="AE42" s="31" t="inlineStr">
        <is>
          <t>Neutral Elo baseline; executable ask 0.5800 (market_slug=aec-dota2-iwr-ty-2026-08-15).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Team Yandex</t>
        </is>
      </c>
      <c r="AQ42" s="24" t="inlineStr">
        <is>
          <t>Team Yandex</t>
        </is>
      </c>
      <c r="AR42" s="24" t="inlineStr">
        <is>
          <t>Team Yandex</t>
        </is>
      </c>
      <c r="AS42" s="24" t="inlineStr">
        <is>
          <t>Iron Wing</t>
        </is>
      </c>
      <c r="AT42" s="24" t="inlineStr">
        <is>
          <t>Iron Wing</t>
        </is>
      </c>
      <c r="AU42" s="24" t="inlineStr">
        <is>
          <t>Iron Wing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70001fc4ec3afbcfc66227c4226dcc2accbaf17f20e7734c209024c5f520b70e</t>
        </is>
      </c>
      <c r="BB42" s="24" t="inlineStr">
        <is>
          <t>neutral_elo</t>
        </is>
      </c>
      <c r="BC42" s="24" t="inlineStr">
        <is>
          <t>dota2-tiered-elo-v6</t>
        </is>
      </c>
      <c r="BD42" s="24" t="inlineStr">
        <is>
          <t>70001fc4ec3afbcfc66227c4226dcc2accbaf17f20e7734c209024c5f520b70e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dota2-tiered-elo-v6</t>
        </is>
      </c>
      <c r="BH42" s="24" t="inlineStr">
        <is>
          <t>2026-08-15T11:36:17.020583Z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/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0.579832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7760f5137b3042ac</t>
        </is>
      </c>
      <c r="B43" s="24" t="inlineStr">
        <is>
          <t>2026-08-16T00:12:41.303967Z</t>
        </is>
      </c>
      <c r="C43" s="24" t="inlineStr">
        <is>
          <t>2026-08-16T02:00:00Z</t>
        </is>
      </c>
      <c r="D43" s="24" t="inlineStr">
        <is>
          <t>82146</t>
        </is>
      </c>
      <c r="E43" s="24" t="inlineStr">
        <is>
          <t>DOTA2</t>
        </is>
      </c>
      <c r="F43" s="24" t="inlineStr">
        <is>
          <t>BoomBoys</t>
        </is>
      </c>
      <c r="G43" s="24" t="inlineStr">
        <is>
          <t>Aurora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-138</v>
      </c>
      <c r="M43" s="27" t="n">
        <v>1.724638</v>
      </c>
      <c r="N43" s="28" t="n">
        <v>0.579832</v>
      </c>
      <c r="O43" s="28" t="n">
        <v>0.578138</v>
      </c>
      <c r="P43" s="28" t="n"/>
      <c r="Q43" s="28" t="n">
        <v>-0.001694</v>
      </c>
      <c r="R43" s="26" t="n">
        <v>19</v>
      </c>
      <c r="S43" s="29" t="n">
        <v>1.25</v>
      </c>
      <c r="T43" s="24" t="inlineStr">
        <is>
          <t>dota2-tiered-elo-v6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>
        <v>-138</v>
      </c>
      <c r="AA43" s="28" t="n">
        <v>0.58</v>
      </c>
      <c r="AB43" s="28" t="n">
        <v>0.000168</v>
      </c>
      <c r="AC43" s="30" t="n">
        <v>-1.25</v>
      </c>
      <c r="AD43" s="24" t="inlineStr">
        <is>
          <t>2026-08-16T06:20:13.064976Z</t>
        </is>
      </c>
      <c r="AE43" s="31" t="inlineStr">
        <is>
          <t>Neutral Elo baseline; executable ask 0.5800 (market_slug=aec-dota2-aur-boo-2026-08-16).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BoomBoys</t>
        </is>
      </c>
      <c r="AQ43" s="24" t="inlineStr">
        <is>
          <t>BoomBoys</t>
        </is>
      </c>
      <c r="AR43" s="24" t="inlineStr">
        <is>
          <t>BoomBoys</t>
        </is>
      </c>
      <c r="AS43" s="24" t="inlineStr">
        <is>
          <t>Aurora</t>
        </is>
      </c>
      <c r="AT43" s="24" t="inlineStr">
        <is>
          <t>Aurora</t>
        </is>
      </c>
      <c r="AU43" s="24" t="inlineStr">
        <is>
          <t>Aurora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9d6b42ac7f4954c093e5df95878c6def0250ec9bae59945a4330ec2a31c120cb</t>
        </is>
      </c>
      <c r="BB43" s="24" t="inlineStr">
        <is>
          <t>neutral_elo</t>
        </is>
      </c>
      <c r="BC43" s="24" t="inlineStr">
        <is>
          <t>dota2-tiered-elo-v6</t>
        </is>
      </c>
      <c r="BD43" s="24" t="inlineStr">
        <is>
          <t>9d6b42ac7f4954c093e5df95878c6def0250ec9bae59945a4330ec2a31c120cb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dota2-tiered-elo-v6</t>
        </is>
      </c>
      <c r="BH43" s="24" t="inlineStr">
        <is>
          <t>2026-08-16T00:12:39.109396Z</t>
        </is>
      </c>
      <c r="BI43" s="24" t="inlineStr">
        <is>
          <t>["same_event","same_team_same_day","same_league_same_day"]</t>
        </is>
      </c>
      <c r="BJ43" s="25" t="n"/>
      <c r="BK43" s="26" t="n">
        <v>-138</v>
      </c>
      <c r="BL43" s="27" t="n">
        <v>1.724638</v>
      </c>
      <c r="BM43" s="28" t="n">
        <v>0.579832</v>
      </c>
      <c r="BN43" s="28" t="n"/>
      <c r="BO43" s="28" t="n"/>
      <c r="BP43" s="25" t="n"/>
      <c r="BQ43" s="27" t="n">
        <v>1.724638</v>
      </c>
      <c r="BR43" s="28" t="n">
        <v>0.58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0.579832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d55bfcc39f354b95</t>
        </is>
      </c>
      <c r="B44" s="24" t="inlineStr">
        <is>
          <t>2026-08-19T23:08:17.010649Z</t>
        </is>
      </c>
      <c r="C44" s="24" t="inlineStr">
        <is>
          <t>2026-08-20T02:00:00Z</t>
        </is>
      </c>
      <c r="D44" s="24" t="inlineStr">
        <is>
          <t>83971</t>
        </is>
      </c>
      <c r="E44" s="24" t="inlineStr">
        <is>
          <t>DOTA2</t>
        </is>
      </c>
      <c r="F44" s="24" t="inlineStr">
        <is>
          <t>Team Spirit</t>
        </is>
      </c>
      <c r="G44" s="24" t="inlineStr">
        <is>
          <t>Iron Wing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108</v>
      </c>
      <c r="M44" s="27" t="n">
        <v>2.08</v>
      </c>
      <c r="N44" s="28" t="n">
        <v>0.480769</v>
      </c>
      <c r="O44" s="28" t="n">
        <v>0.516973</v>
      </c>
      <c r="P44" s="28" t="n"/>
      <c r="Q44" s="28" t="n">
        <v>0.036204</v>
      </c>
      <c r="R44" s="26" t="n">
        <v>38</v>
      </c>
      <c r="S44" s="29" t="n">
        <v>1</v>
      </c>
      <c r="T44" s="24" t="inlineStr">
        <is>
          <t>dota2-tiered-elo-v6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>
        <v>108</v>
      </c>
      <c r="AA44" s="28" t="n">
        <v>0.48</v>
      </c>
      <c r="AB44" s="28" t="n">
        <v>-0.000769</v>
      </c>
      <c r="AC44" s="30" t="n">
        <v>1.08</v>
      </c>
      <c r="AD44" s="24" t="inlineStr">
        <is>
          <t>2026-08-20T05:34:14.527660Z</t>
        </is>
      </c>
      <c r="AE44" s="31" t="inlineStr">
        <is>
          <t>Neutral Elo baseline; executable ask 0.4800 (market_slug=aec-dota2-iwr-ts-2026-08-20).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Team Spirit</t>
        </is>
      </c>
      <c r="AQ44" s="24" t="inlineStr">
        <is>
          <t>Team Spirit</t>
        </is>
      </c>
      <c r="AR44" s="24" t="inlineStr">
        <is>
          <t>Team Spirit</t>
        </is>
      </c>
      <c r="AS44" s="24" t="inlineStr">
        <is>
          <t>Iron Wing</t>
        </is>
      </c>
      <c r="AT44" s="24" t="inlineStr">
        <is>
          <t>Iron Wing</t>
        </is>
      </c>
      <c r="AU44" s="24" t="inlineStr">
        <is>
          <t>Iron Wing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bfdbd7e25b301245e945bc2682549372eba4b9b9f2f02da7411ebd4fa5140c6b</t>
        </is>
      </c>
      <c r="BB44" s="24" t="inlineStr">
        <is>
          <t>neutral_elo</t>
        </is>
      </c>
      <c r="BC44" s="24" t="inlineStr">
        <is>
          <t>dota2-tiered-elo-v6</t>
        </is>
      </c>
      <c r="BD44" s="24" t="inlineStr">
        <is>
          <t>bfdbd7e25b301245e945bc2682549372eba4b9b9f2f02da7411ebd4fa5140c6b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dota2-tiered-elo-v6</t>
        </is>
      </c>
      <c r="BH44" s="24" t="inlineStr">
        <is>
          <t>2026-08-19T23:08:16.187391Z</t>
        </is>
      </c>
      <c r="BI44" s="24" t="inlineStr">
        <is>
          <t>["same_event","same_team_same_day","same_league_same_day"]</t>
        </is>
      </c>
      <c r="BJ44" s="25" t="n"/>
      <c r="BK44" s="26" t="n">
        <v>108</v>
      </c>
      <c r="BL44" s="27" t="n">
        <v>2.08</v>
      </c>
      <c r="BM44" s="28" t="n">
        <v>0.480769</v>
      </c>
      <c r="BN44" s="28" t="n"/>
      <c r="BO44" s="28" t="n"/>
      <c r="BP44" s="25" t="n"/>
      <c r="BQ44" s="27" t="n">
        <v>2.08</v>
      </c>
      <c r="BR44" s="28" t="n">
        <v>0.48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0.480769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98acad8ece3e415d</t>
        </is>
      </c>
      <c r="B45" s="24" t="inlineStr">
        <is>
          <t>2026-08-20T05:36:52.589323Z</t>
        </is>
      </c>
      <c r="C45" s="24" t="inlineStr">
        <is>
          <t>2026-08-20T08:00:00Z</t>
        </is>
      </c>
      <c r="D45" s="24" t="inlineStr">
        <is>
          <t>84046</t>
        </is>
      </c>
      <c r="E45" s="24" t="inlineStr">
        <is>
          <t>DOTA2</t>
        </is>
      </c>
      <c r="F45" s="24" t="inlineStr">
        <is>
          <t>Team Yandex</t>
        </is>
      </c>
      <c r="G45" s="24" t="inlineStr">
        <is>
          <t>Team Liquid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-133</v>
      </c>
      <c r="M45" s="27" t="n">
        <v>1.75188</v>
      </c>
      <c r="N45" s="28" t="n">
        <v>0.570815</v>
      </c>
      <c r="O45" s="28" t="n">
        <v>0.556481</v>
      </c>
      <c r="P45" s="28" t="n"/>
      <c r="Q45" s="28" t="n">
        <v>-0.014334</v>
      </c>
      <c r="R45" s="26" t="n">
        <v>13</v>
      </c>
      <c r="S45" s="29" t="n">
        <v>1</v>
      </c>
      <c r="T45" s="24" t="inlineStr">
        <is>
          <t>dota2-tiered-elo-v6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-1</v>
      </c>
      <c r="AD45" s="24" t="inlineStr">
        <is>
          <t>2026-08-20T15:49:52.498980Z</t>
        </is>
      </c>
      <c r="AE45" s="31" t="inlineStr">
        <is>
          <t>Neutral Elo baseline; executable ask 0.5700 (market_slug=aec-dota2-liquid-ty-2026-08-20).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Team Yandex</t>
        </is>
      </c>
      <c r="AQ45" s="24" t="inlineStr">
        <is>
          <t>Team Yandex</t>
        </is>
      </c>
      <c r="AR45" s="24" t="inlineStr">
        <is>
          <t>Team Yandex</t>
        </is>
      </c>
      <c r="AS45" s="24" t="inlineStr">
        <is>
          <t>Team Liquid</t>
        </is>
      </c>
      <c r="AT45" s="24" t="inlineStr">
        <is>
          <t>Team Liquid</t>
        </is>
      </c>
      <c r="AU45" s="24" t="inlineStr">
        <is>
          <t>Team Liquid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51dd30b78ffda9c6c0f81c0d4adcd946214e65e09999f8494ca308d34db31759</t>
        </is>
      </c>
      <c r="BB45" s="24" t="inlineStr">
        <is>
          <t>neutral_elo</t>
        </is>
      </c>
      <c r="BC45" s="24" t="inlineStr">
        <is>
          <t>dota2-tiered-elo-v6</t>
        </is>
      </c>
      <c r="BD45" s="24" t="inlineStr">
        <is>
          <t>51dd30b78ffda9c6c0f81c0d4adcd946214e65e09999f8494ca308d34db31759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dota2-tiered-elo-v6</t>
        </is>
      </c>
      <c r="BH45" s="24" t="inlineStr">
        <is>
          <t>2026-08-20T05:36:52.385572Z</t>
        </is>
      </c>
      <c r="BI45" s="24" t="inlineStr">
        <is>
          <t>["same_event","same_team_same_day","same_league_same_day"]</t>
        </is>
      </c>
      <c r="BJ45" s="25" t="n"/>
      <c r="BK45" s="26" t="n">
        <v>-133</v>
      </c>
      <c r="BL45" s="27" t="n">
        <v>1.75188</v>
      </c>
      <c r="BM45" s="28" t="n">
        <v>0.570815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0.570815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9b62d0a48b8b468b</t>
        </is>
      </c>
      <c r="B46" s="24" t="inlineStr">
        <is>
          <t>2026-08-20T09:42:14.629385Z</t>
        </is>
      </c>
      <c r="C46" s="24" t="inlineStr">
        <is>
          <t>2026-08-20T11:00:00Z</t>
        </is>
      </c>
      <c r="D46" s="24" t="inlineStr">
        <is>
          <t>84119</t>
        </is>
      </c>
      <c r="E46" s="24" t="inlineStr">
        <is>
          <t>DOTA2</t>
        </is>
      </c>
      <c r="F46" s="24" t="inlineStr">
        <is>
          <t>Team Falcons</t>
        </is>
      </c>
      <c r="G46" s="24" t="inlineStr">
        <is>
          <t>Nigma Galaxy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-213</v>
      </c>
      <c r="M46" s="27" t="n">
        <v>1.469484</v>
      </c>
      <c r="N46" s="28" t="n">
        <v>0.680511</v>
      </c>
      <c r="O46" s="28" t="n">
        <v>0.582493</v>
      </c>
      <c r="P46" s="28" t="n"/>
      <c r="Q46" s="28" t="n">
        <v>-0.09801799999999999</v>
      </c>
      <c r="R46" s="26" t="n">
        <v>0</v>
      </c>
      <c r="S46" s="29" t="n">
        <v>1.25</v>
      </c>
      <c r="T46" s="24" t="inlineStr">
        <is>
          <t>dota2-tiered-elo-v6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-1.25</v>
      </c>
      <c r="AD46" s="24" t="inlineStr">
        <is>
          <t>2026-08-20T18:55:00.358231Z</t>
        </is>
      </c>
      <c r="AE46" s="31" t="inlineStr">
        <is>
          <t>Neutral Elo baseline; executable ask 0.6800 (market_slug=aec-dota2-ngx-flc-2026-08-20).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Team Falcons</t>
        </is>
      </c>
      <c r="AQ46" s="24" t="inlineStr">
        <is>
          <t>Team Falcons</t>
        </is>
      </c>
      <c r="AR46" s="24" t="inlineStr">
        <is>
          <t>Team Falcons</t>
        </is>
      </c>
      <c r="AS46" s="24" t="inlineStr">
        <is>
          <t>Nigma Galaxy</t>
        </is>
      </c>
      <c r="AT46" s="24" t="inlineStr">
        <is>
          <t>Nigma Galaxy</t>
        </is>
      </c>
      <c r="AU46" s="24" t="inlineStr">
        <is>
          <t>Nigma Galaxy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3b675cf6a38826eb62677b91af921a337b4021a56b9f9248bacc16c50dd98812</t>
        </is>
      </c>
      <c r="BB46" s="24" t="inlineStr">
        <is>
          <t>neutral_elo</t>
        </is>
      </c>
      <c r="BC46" s="24" t="inlineStr">
        <is>
          <t>dota2-tiered-elo-v6</t>
        </is>
      </c>
      <c r="BD46" s="24" t="inlineStr">
        <is>
          <t>3b675cf6a38826eb62677b91af921a337b4021a56b9f9248bacc16c50dd98812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dota2-tiered-elo-v6</t>
        </is>
      </c>
      <c r="BH46" s="24" t="inlineStr">
        <is>
          <t>2026-08-20T09:42:14.605549Z</t>
        </is>
      </c>
      <c r="BI46" s="24" t="inlineStr">
        <is>
          <t>["same_event","same_team_same_day","same_league_same_day"]</t>
        </is>
      </c>
      <c r="BJ46" s="25" t="n"/>
      <c r="BK46" s="26" t="n">
        <v>-213</v>
      </c>
      <c r="BL46" s="27" t="n">
        <v>1.469484</v>
      </c>
      <c r="BM46" s="28" t="n">
        <v>0.680511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0.680511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6bb871c247694667</t>
        </is>
      </c>
      <c r="B47" s="24" t="inlineStr">
        <is>
          <t>2026-08-21T01:27:30.803422Z</t>
        </is>
      </c>
      <c r="C47" s="24" t="inlineStr">
        <is>
          <t>2026-08-21T02:00:00Z</t>
        </is>
      </c>
      <c r="D47" s="24" t="inlineStr">
        <is>
          <t>87251</t>
        </is>
      </c>
      <c r="E47" s="24" t="inlineStr">
        <is>
          <t>DOTA2</t>
        </is>
      </c>
      <c r="F47" s="24" t="inlineStr">
        <is>
          <t>BoomBoys</t>
        </is>
      </c>
      <c r="G47" s="24" t="inlineStr">
        <is>
          <t>Iron Wing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0.502072</v>
      </c>
      <c r="P47" s="28" t="n"/>
      <c r="Q47" s="28" t="n">
        <v>-0.068743</v>
      </c>
      <c r="R47" s="26" t="n">
        <v>0</v>
      </c>
      <c r="S47" s="29" t="n">
        <v>1</v>
      </c>
      <c r="T47" s="24" t="inlineStr">
        <is>
          <t>dota2-tiered-elo-v6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>
        <v>-133</v>
      </c>
      <c r="AA47" s="28" t="n">
        <v>0.57</v>
      </c>
      <c r="AB47" s="28" t="n">
        <v>-0.000815</v>
      </c>
      <c r="AC47" s="30" t="n">
        <v>0.7519</v>
      </c>
      <c r="AD47" s="24" t="inlineStr">
        <is>
          <t>2026-08-21T11:25:37.279316Z</t>
        </is>
      </c>
      <c r="AE47" s="31" t="inlineStr">
        <is>
          <t>Neutral Elo baseline; executable ask 0.5700 (market_slug=aec-dota2-iwr-boo-2026-08-21).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BoomBoys</t>
        </is>
      </c>
      <c r="AQ47" s="24" t="inlineStr">
        <is>
          <t>BoomBoys</t>
        </is>
      </c>
      <c r="AR47" s="24" t="inlineStr">
        <is>
          <t>BoomBoys</t>
        </is>
      </c>
      <c r="AS47" s="24" t="inlineStr">
        <is>
          <t>Iron Wing</t>
        </is>
      </c>
      <c r="AT47" s="24" t="inlineStr">
        <is>
          <t>Iron Wing</t>
        </is>
      </c>
      <c r="AU47" s="24" t="inlineStr">
        <is>
          <t>Iron Wing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dc85f52c5ec915de317e16693b4d44bfbfe87c1e18b6273f0442813959297dfd</t>
        </is>
      </c>
      <c r="BB47" s="24" t="inlineStr">
        <is>
          <t>neutral_elo</t>
        </is>
      </c>
      <c r="BC47" s="24" t="inlineStr">
        <is>
          <t>dota2-tiered-elo-v6</t>
        </is>
      </c>
      <c r="BD47" s="24" t="inlineStr">
        <is>
          <t>dc85f52c5ec915de317e16693b4d44bfbfe87c1e18b6273f0442813959297dfd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dota2-tiered-elo-v6</t>
        </is>
      </c>
      <c r="BH47" s="24" t="inlineStr">
        <is>
          <t>2026-08-21T01:27:30.504754Z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>
        <v>1.75188</v>
      </c>
      <c r="BR47" s="28" t="n">
        <v>0.57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0.570815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87eb7c8cebfa4d6f</t>
        </is>
      </c>
      <c r="B48" s="24" t="inlineStr">
        <is>
          <t>2026-08-21T04:32:26.892790Z</t>
        </is>
      </c>
      <c r="C48" s="24" t="inlineStr">
        <is>
          <t>2026-08-21T05:00:00Z</t>
        </is>
      </c>
      <c r="D48" s="24" t="inlineStr">
        <is>
          <t>87400</t>
        </is>
      </c>
      <c r="E48" s="24" t="inlineStr">
        <is>
          <t>DOTA2</t>
        </is>
      </c>
      <c r="F48" s="24" t="inlineStr">
        <is>
          <t>Team Falcons</t>
        </is>
      </c>
      <c r="G48" s="24" t="inlineStr">
        <is>
          <t>Team Liquid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-113</v>
      </c>
      <c r="M48" s="27" t="n">
        <v>1.884956</v>
      </c>
      <c r="N48" s="28" t="n">
        <v>0.530516</v>
      </c>
      <c r="O48" s="28" t="n">
        <v>0.592593</v>
      </c>
      <c r="P48" s="28" t="n"/>
      <c r="Q48" s="28" t="n">
        <v>0.062077</v>
      </c>
      <c r="R48" s="26" t="n">
        <v>51</v>
      </c>
      <c r="S48" s="29" t="n">
        <v>1.25</v>
      </c>
      <c r="T48" s="24" t="inlineStr">
        <is>
          <t>dota2-tiered-elo-v6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-113</v>
      </c>
      <c r="AA48" s="28" t="n">
        <v>0.53</v>
      </c>
      <c r="AB48" s="28" t="n">
        <v>-0.000516</v>
      </c>
      <c r="AC48" s="30" t="n">
        <v>1.1062</v>
      </c>
      <c r="AD48" s="24" t="inlineStr">
        <is>
          <t>2026-08-21T11:25:37.686208Z</t>
        </is>
      </c>
      <c r="AE48" s="31" t="inlineStr">
        <is>
          <t>Neutral Elo baseline; executable ask 0.5300 (market_slug=aec-dota2-liquid-flc-2026-08-21).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4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Team Falcons</t>
        </is>
      </c>
      <c r="AQ48" s="24" t="inlineStr">
        <is>
          <t>Team Falcons</t>
        </is>
      </c>
      <c r="AR48" s="24" t="inlineStr">
        <is>
          <t>Team Falcons</t>
        </is>
      </c>
      <c r="AS48" s="24" t="inlineStr">
        <is>
          <t>Team Liquid</t>
        </is>
      </c>
      <c r="AT48" s="24" t="inlineStr">
        <is>
          <t>Team Liquid</t>
        </is>
      </c>
      <c r="AU48" s="24" t="inlineStr">
        <is>
          <t>Team Liquid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c4cd22c7cd53413acd5a0a00798cf4e6c3577acd71562a13352ea1ae4594cbb3</t>
        </is>
      </c>
      <c r="BB48" s="24" t="inlineStr">
        <is>
          <t>neutral_elo</t>
        </is>
      </c>
      <c r="BC48" s="24" t="inlineStr">
        <is>
          <t>dota2-tiered-elo-v6</t>
        </is>
      </c>
      <c r="BD48" s="24" t="inlineStr">
        <is>
          <t>c4cd22c7cd53413acd5a0a00798cf4e6c3577acd71562a13352ea1ae4594cbb3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dota2-tiered-elo-v6</t>
        </is>
      </c>
      <c r="BH48" s="24" t="inlineStr">
        <is>
          <t>2026-08-21T04:32:26.137516Z</t>
        </is>
      </c>
      <c r="BI48" s="24" t="inlineStr">
        <is>
          <t>["same_event","same_team_same_day","same_league_same_day"]</t>
        </is>
      </c>
      <c r="BJ48" s="25" t="n"/>
      <c r="BK48" s="26" t="n">
        <v>-113</v>
      </c>
      <c r="BL48" s="27" t="n">
        <v>1.884956</v>
      </c>
      <c r="BM48" s="28" t="n">
        <v>0.530516</v>
      </c>
      <c r="BN48" s="28" t="n"/>
      <c r="BO48" s="28" t="n"/>
      <c r="BP48" s="25" t="n"/>
      <c r="BQ48" s="27" t="n">
        <v>1.884956</v>
      </c>
      <c r="BR48" s="28" t="n">
        <v>0.53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0.530516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be8d88c383b14328</t>
        </is>
      </c>
      <c r="B49" s="24" t="inlineStr">
        <is>
          <t>2026-08-21T04:32:26.892790Z</t>
        </is>
      </c>
      <c r="C49" s="24" t="inlineStr">
        <is>
          <t>2026-08-21T08:00:00Z</t>
        </is>
      </c>
      <c r="D49" s="24" t="inlineStr">
        <is>
          <t>87252</t>
        </is>
      </c>
      <c r="E49" s="24" t="inlineStr">
        <is>
          <t>DOTA2</t>
        </is>
      </c>
      <c r="F49" s="24" t="inlineStr">
        <is>
          <t>TEAM VISION</t>
        </is>
      </c>
      <c r="G49" s="24" t="inlineStr">
        <is>
          <t>Team Spirit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-203</v>
      </c>
      <c r="M49" s="27" t="n">
        <v>1.492611</v>
      </c>
      <c r="N49" s="28" t="n">
        <v>0.669967</v>
      </c>
      <c r="O49" s="28" t="n">
        <v>0.737968</v>
      </c>
      <c r="P49" s="28" t="n"/>
      <c r="Q49" s="28" t="n">
        <v>0.06800100000000001</v>
      </c>
      <c r="R49" s="26" t="n">
        <v>54</v>
      </c>
      <c r="S49" s="29" t="n">
        <v>2</v>
      </c>
      <c r="T49" s="24" t="inlineStr">
        <is>
          <t>dota2-tiered-elo-v6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>
        <v>-203</v>
      </c>
      <c r="AA49" s="28" t="n">
        <v>0.67</v>
      </c>
      <c r="AB49" s="28" t="n">
        <v>3.3e-05</v>
      </c>
      <c r="AC49" s="30" t="n">
        <v>0.9852</v>
      </c>
      <c r="AD49" s="24" t="inlineStr">
        <is>
          <t>2026-08-21T18:24:56.019061Z</t>
        </is>
      </c>
      <c r="AE49" s="31" t="inlineStr">
        <is>
          <t>Neutral Elo baseline; executable ask 0.6700 (market_slug=aec-dota2-ts-tve-2026-08-21).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4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TEAM VISION</t>
        </is>
      </c>
      <c r="AQ49" s="24" t="inlineStr">
        <is>
          <t>TEAM VISION</t>
        </is>
      </c>
      <c r="AR49" s="24" t="inlineStr">
        <is>
          <t>TEAM VISION</t>
        </is>
      </c>
      <c r="AS49" s="24" t="inlineStr">
        <is>
          <t>Team Spirit</t>
        </is>
      </c>
      <c r="AT49" s="24" t="inlineStr">
        <is>
          <t>Team Spirit</t>
        </is>
      </c>
      <c r="AU49" s="24" t="inlineStr">
        <is>
          <t>Team Spirit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c4cd22c7cd53413acd5a0a00798cf4e6c3577acd71562a13352ea1ae4594cbb3</t>
        </is>
      </c>
      <c r="BB49" s="24" t="inlineStr">
        <is>
          <t>neutral_elo</t>
        </is>
      </c>
      <c r="BC49" s="24" t="inlineStr">
        <is>
          <t>dota2-tiered-elo-v6</t>
        </is>
      </c>
      <c r="BD49" s="24" t="inlineStr">
        <is>
          <t>c4cd22c7cd53413acd5a0a00798cf4e6c3577acd71562a13352ea1ae4594cbb3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dota2-tiered-elo-v6</t>
        </is>
      </c>
      <c r="BH49" s="24" t="inlineStr">
        <is>
          <t>2026-08-21T04:32:26.232147Z</t>
        </is>
      </c>
      <c r="BI49" s="24" t="inlineStr">
        <is>
          <t>["same_event","same_team_same_day","same_league_same_day"]</t>
        </is>
      </c>
      <c r="BJ49" s="25" t="n"/>
      <c r="BK49" s="26" t="n">
        <v>-203</v>
      </c>
      <c r="BL49" s="27" t="n">
        <v>1.492611</v>
      </c>
      <c r="BM49" s="28" t="n">
        <v>0.669967</v>
      </c>
      <c r="BN49" s="28" t="n"/>
      <c r="BO49" s="28" t="n"/>
      <c r="BP49" s="25" t="n"/>
      <c r="BQ49" s="27" t="n">
        <v>1.492611</v>
      </c>
      <c r="BR49" s="28" t="n">
        <v>0.67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0.669967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77329715c97c4808</t>
        </is>
      </c>
      <c r="B50" s="24" t="inlineStr">
        <is>
          <t>2026-08-21T04:32:26.892790Z</t>
        </is>
      </c>
      <c r="C50" s="24" t="inlineStr">
        <is>
          <t>2026-08-21T11:00:00Z</t>
        </is>
      </c>
      <c r="D50" s="24" t="inlineStr">
        <is>
          <t>87401</t>
        </is>
      </c>
      <c r="E50" s="24" t="inlineStr">
        <is>
          <t>DOTA2</t>
        </is>
      </c>
      <c r="F50" s="24" t="inlineStr">
        <is>
          <t>Nigma Galaxy</t>
        </is>
      </c>
      <c r="G50" s="24" t="inlineStr">
        <is>
          <t>Team Yandex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-203</v>
      </c>
      <c r="M50" s="27" t="n">
        <v>1.492611</v>
      </c>
      <c r="N50" s="28" t="n">
        <v>0.669967</v>
      </c>
      <c r="O50" s="28" t="n">
        <v>0.609047</v>
      </c>
      <c r="P50" s="28" t="n"/>
      <c r="Q50" s="28" t="n">
        <v>-0.06092</v>
      </c>
      <c r="R50" s="26" t="n">
        <v>0</v>
      </c>
      <c r="S50" s="29" t="n">
        <v>1.5</v>
      </c>
      <c r="T50" s="24" t="inlineStr">
        <is>
          <t>dota2-tiered-elo-v6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-203</v>
      </c>
      <c r="AA50" s="28" t="n">
        <v>0.67</v>
      </c>
      <c r="AB50" s="28" t="n">
        <v>3.3e-05</v>
      </c>
      <c r="AC50" s="30" t="n">
        <v>0.7389</v>
      </c>
      <c r="AD50" s="24" t="inlineStr">
        <is>
          <t>2026-08-21T21:53:42.334828Z</t>
        </is>
      </c>
      <c r="AE50" s="31" t="inlineStr">
        <is>
          <t>Neutral Elo baseline; executable ask 0.6700 (market_slug=aec-dota2-ty-ngx-2026-08-21).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Nigma Galaxy</t>
        </is>
      </c>
      <c r="AQ50" s="24" t="inlineStr">
        <is>
          <t>Nigma Galaxy</t>
        </is>
      </c>
      <c r="AR50" s="24" t="inlineStr">
        <is>
          <t>Nigma Galaxy</t>
        </is>
      </c>
      <c r="AS50" s="24" t="inlineStr">
        <is>
          <t>Team Yandex</t>
        </is>
      </c>
      <c r="AT50" s="24" t="inlineStr">
        <is>
          <t>Team Yandex</t>
        </is>
      </c>
      <c r="AU50" s="24" t="inlineStr">
        <is>
          <t>Team Yandex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c4cd22c7cd53413acd5a0a00798cf4e6c3577acd71562a13352ea1ae4594cbb3</t>
        </is>
      </c>
      <c r="BB50" s="24" t="inlineStr">
        <is>
          <t>neutral_elo</t>
        </is>
      </c>
      <c r="BC50" s="24" t="inlineStr">
        <is>
          <t>dota2-tiered-elo-v6</t>
        </is>
      </c>
      <c r="BD50" s="24" t="inlineStr">
        <is>
          <t>c4cd22c7cd53413acd5a0a00798cf4e6c3577acd71562a13352ea1ae4594cbb3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dota2-tiered-elo-v6</t>
        </is>
      </c>
      <c r="BH50" s="24" t="inlineStr">
        <is>
          <t>2026-08-21T04:32:26.702655Z</t>
        </is>
      </c>
      <c r="BI50" s="24" t="inlineStr">
        <is>
          <t>["same_event","same_team_same_day","same_league_same_day"]</t>
        </is>
      </c>
      <c r="BJ50" s="25" t="n"/>
      <c r="BK50" s="26" t="n">
        <v>-203</v>
      </c>
      <c r="BL50" s="27" t="n">
        <v>1.492611</v>
      </c>
      <c r="BM50" s="28" t="n">
        <v>0.669967</v>
      </c>
      <c r="BN50" s="28" t="n"/>
      <c r="BO50" s="28" t="n"/>
      <c r="BP50" s="25" t="n"/>
      <c r="BQ50" s="27" t="n">
        <v>1.492611</v>
      </c>
      <c r="BR50" s="28" t="n">
        <v>0.67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0.669967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3bca65cff51e4cd0</t>
        </is>
      </c>
      <c r="B51" s="24" t="inlineStr">
        <is>
          <t>2026-08-22T01:02:38.186884Z</t>
        </is>
      </c>
      <c r="C51" s="24" t="inlineStr">
        <is>
          <t>2026-08-22T02:00:00Z</t>
        </is>
      </c>
      <c r="D51" s="24" t="inlineStr">
        <is>
          <t>87992</t>
        </is>
      </c>
      <c r="E51" s="24" t="inlineStr">
        <is>
          <t>DOTA2</t>
        </is>
      </c>
      <c r="F51" s="24" t="inlineStr">
        <is>
          <t>Team Liquid</t>
        </is>
      </c>
      <c r="G51" s="24" t="inlineStr">
        <is>
          <t>Team Spirit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156</v>
      </c>
      <c r="M51" s="27" t="n">
        <v>2.56</v>
      </c>
      <c r="N51" s="28" t="n">
        <v>0.390625</v>
      </c>
      <c r="O51" s="28" t="n">
        <v>0.520348</v>
      </c>
      <c r="P51" s="28" t="n"/>
      <c r="Q51" s="28" t="n">
        <v>0.129723</v>
      </c>
      <c r="R51" s="26" t="n">
        <v>85</v>
      </c>
      <c r="S51" s="29" t="n">
        <v>1</v>
      </c>
      <c r="T51" s="24" t="inlineStr">
        <is>
          <t>dota2-tiered-elo-v6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0</v>
      </c>
      <c r="X51" s="26" t="n">
        <v>1</v>
      </c>
      <c r="Y51" s="25" t="n"/>
      <c r="Z51" s="26" t="n">
        <v>156</v>
      </c>
      <c r="AA51" s="28" t="n">
        <v>0.39</v>
      </c>
      <c r="AB51" s="28" t="n">
        <v>-0.000625</v>
      </c>
      <c r="AC51" s="30" t="n">
        <v>-1</v>
      </c>
      <c r="AD51" s="24" t="inlineStr">
        <is>
          <t>2026-08-22T05:01:51.881166Z</t>
        </is>
      </c>
      <c r="AE51" s="31" t="inlineStr">
        <is>
          <t>Neutral Elo baseline; executable ask 0.3900 (market_slug=aec-dota2-ts-liquid-2026-08-22).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Team Liquid</t>
        </is>
      </c>
      <c r="AQ51" s="24" t="inlineStr">
        <is>
          <t>Team Liquid</t>
        </is>
      </c>
      <c r="AR51" s="24" t="inlineStr">
        <is>
          <t>Team Liquid</t>
        </is>
      </c>
      <c r="AS51" s="24" t="inlineStr">
        <is>
          <t>Team Spirit</t>
        </is>
      </c>
      <c r="AT51" s="24" t="inlineStr">
        <is>
          <t>Team Spirit</t>
        </is>
      </c>
      <c r="AU51" s="24" t="inlineStr">
        <is>
          <t>Team Spirit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7fffee2aeddc3f9f365aeada1cf6a0c8e47f94802d2520e5558a96b894494482</t>
        </is>
      </c>
      <c r="BB51" s="24" t="inlineStr">
        <is>
          <t>neutral_elo</t>
        </is>
      </c>
      <c r="BC51" s="24" t="inlineStr">
        <is>
          <t>dota2-tiered-elo-v6</t>
        </is>
      </c>
      <c r="BD51" s="24" t="inlineStr">
        <is>
          <t>7fffee2aeddc3f9f365aeada1cf6a0c8e47f94802d2520e5558a96b894494482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dota2-tiered-elo-v6</t>
        </is>
      </c>
      <c r="BH51" s="24" t="inlineStr">
        <is>
          <t>2026-08-22T01:02:37.890049Z</t>
        </is>
      </c>
      <c r="BI51" s="24" t="inlineStr">
        <is>
          <t>["same_event","same_team_same_day","same_league_same_day"]</t>
        </is>
      </c>
      <c r="BJ51" s="25" t="n"/>
      <c r="BK51" s="26" t="n">
        <v>156</v>
      </c>
      <c r="BL51" s="27" t="n">
        <v>2.56</v>
      </c>
      <c r="BM51" s="28" t="n">
        <v>0.390625</v>
      </c>
      <c r="BN51" s="28" t="n"/>
      <c r="BO51" s="28" t="n"/>
      <c r="BP51" s="25" t="n"/>
      <c r="BQ51" s="27" t="n">
        <v>2.56</v>
      </c>
      <c r="BR51" s="28" t="n">
        <v>0.39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0.390625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6a6ee9436fca49a2</t>
        </is>
      </c>
      <c r="B52" s="24" t="inlineStr">
        <is>
          <t>2026-08-22T04:12:16.618513Z</t>
        </is>
      </c>
      <c r="C52" s="24" t="inlineStr">
        <is>
          <t>2026-08-22T05:00:00Z</t>
        </is>
      </c>
      <c r="D52" s="24" t="inlineStr">
        <is>
          <t>88160</t>
        </is>
      </c>
      <c r="E52" s="24" t="inlineStr">
        <is>
          <t>DOTA2</t>
        </is>
      </c>
      <c r="F52" s="24" t="inlineStr">
        <is>
          <t>BoomBoys</t>
        </is>
      </c>
      <c r="G52" s="24" t="inlineStr">
        <is>
          <t>Nigma Galaxy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-163</v>
      </c>
      <c r="M52" s="27" t="n">
        <v>1.613497</v>
      </c>
      <c r="N52" s="28" t="n">
        <v>0.619772</v>
      </c>
      <c r="O52" s="28" t="n">
        <v>0.540574</v>
      </c>
      <c r="P52" s="28" t="n"/>
      <c r="Q52" s="28" t="n">
        <v>-0.079198</v>
      </c>
      <c r="R52" s="26" t="n">
        <v>0</v>
      </c>
      <c r="S52" s="29" t="n">
        <v>1</v>
      </c>
      <c r="T52" s="24" t="inlineStr">
        <is>
          <t>dota2-tiered-elo-v6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-163</v>
      </c>
      <c r="AA52" s="28" t="n">
        <v>0.62</v>
      </c>
      <c r="AB52" s="28" t="n">
        <v>0.000228</v>
      </c>
      <c r="AC52" s="30" t="n">
        <v>0.6135</v>
      </c>
      <c r="AD52" s="24" t="inlineStr">
        <is>
          <t>2026-08-22T09:12:25.834491Z</t>
        </is>
      </c>
      <c r="AE52" s="31" t="inlineStr">
        <is>
          <t>Neutral Elo baseline; executable ask 0.6200 (market_slug=aec-dota2-ngx-boo-2026-08-22).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BoomBoys</t>
        </is>
      </c>
      <c r="AQ52" s="24" t="inlineStr">
        <is>
          <t>BoomBoys</t>
        </is>
      </c>
      <c r="AR52" s="24" t="inlineStr">
        <is>
          <t>BoomBoys</t>
        </is>
      </c>
      <c r="AS52" s="24" t="inlineStr">
        <is>
          <t>Nigma Galaxy</t>
        </is>
      </c>
      <c r="AT52" s="24" t="inlineStr">
        <is>
          <t>Nigma Galaxy</t>
        </is>
      </c>
      <c r="AU52" s="24" t="inlineStr">
        <is>
          <t>Nigma Galaxy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b9b8f4e153cbd7ae0b3b5e197fb2366a2d406b6d6f221f46a324f66748a6be0d</t>
        </is>
      </c>
      <c r="BB52" s="24" t="inlineStr">
        <is>
          <t>neutral_elo</t>
        </is>
      </c>
      <c r="BC52" s="24" t="inlineStr">
        <is>
          <t>dota2-tiered-elo-v6</t>
        </is>
      </c>
      <c r="BD52" s="24" t="inlineStr">
        <is>
          <t>b9b8f4e153cbd7ae0b3b5e197fb2366a2d406b6d6f221f46a324f66748a6be0d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dota2-tiered-elo-v6</t>
        </is>
      </c>
      <c r="BH52" s="24" t="inlineStr">
        <is>
          <t>2026-08-22T04:12:16.378871Z</t>
        </is>
      </c>
      <c r="BI52" s="24" t="inlineStr">
        <is>
          <t>["same_event","same_team_same_day","same_league_same_day"]</t>
        </is>
      </c>
      <c r="BJ52" s="25" t="n"/>
      <c r="BK52" s="26" t="n">
        <v>-163</v>
      </c>
      <c r="BL52" s="27" t="n">
        <v>1.613497</v>
      </c>
      <c r="BM52" s="28" t="n">
        <v>0.619772</v>
      </c>
      <c r="BN52" s="28" t="n"/>
      <c r="BO52" s="28" t="n"/>
      <c r="BP52" s="25" t="n"/>
      <c r="BQ52" s="27" t="n">
        <v>1.613497</v>
      </c>
      <c r="BR52" s="28" t="n">
        <v>0.62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0.619772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ac89f151fa4f4c30</t>
        </is>
      </c>
      <c r="B53" s="24" t="inlineStr">
        <is>
          <t>2026-08-22T09:16:44.530360Z</t>
        </is>
      </c>
      <c r="C53" s="24" t="inlineStr">
        <is>
          <t>2026-08-22T11:00:00Z</t>
        </is>
      </c>
      <c r="D53" s="24" t="inlineStr">
        <is>
          <t>88604</t>
        </is>
      </c>
      <c r="E53" s="24" t="inlineStr">
        <is>
          <t>DOTA2</t>
        </is>
      </c>
      <c r="F53" s="24" t="inlineStr">
        <is>
          <t>Team Spirit</t>
        </is>
      </c>
      <c r="G53" s="24" t="inlineStr">
        <is>
          <t>BoomBoys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170</v>
      </c>
      <c r="M53" s="27" t="n">
        <v>2.7</v>
      </c>
      <c r="N53" s="28" t="n">
        <v>0.37037</v>
      </c>
      <c r="O53" s="28" t="n">
        <v>0.502434</v>
      </c>
      <c r="P53" s="28" t="n"/>
      <c r="Q53" s="28" t="n">
        <v>0.132064</v>
      </c>
      <c r="R53" s="26" t="n">
        <v>86</v>
      </c>
      <c r="S53" s="29" t="n">
        <v>1</v>
      </c>
      <c r="T53" s="24" t="inlineStr">
        <is>
          <t>dota2-tiered-elo-v6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-1</v>
      </c>
      <c r="AD53" s="24" t="inlineStr">
        <is>
          <t>2026-08-22T15:39:31.335924Z</t>
        </is>
      </c>
      <c r="AE53" s="31" t="inlineStr">
        <is>
          <t>Neutral Elo baseline; executable ask 0.3700 (market_slug=aec-dota2-boo-ts-2026-08-22).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4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Team Spirit</t>
        </is>
      </c>
      <c r="AQ53" s="24" t="inlineStr">
        <is>
          <t>Team Spirit</t>
        </is>
      </c>
      <c r="AR53" s="24" t="inlineStr">
        <is>
          <t>Team Spirit</t>
        </is>
      </c>
      <c r="AS53" s="24" t="inlineStr">
        <is>
          <t>BoomBoys</t>
        </is>
      </c>
      <c r="AT53" s="24" t="inlineStr">
        <is>
          <t>BoomBoys</t>
        </is>
      </c>
      <c r="AU53" s="24" t="inlineStr">
        <is>
          <t>BoomBoys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d90c36078a7f63122922d780ea21efefa8c74dba672139f2efdde44fa7e2adb7</t>
        </is>
      </c>
      <c r="BB53" s="24" t="inlineStr">
        <is>
          <t>neutral_elo</t>
        </is>
      </c>
      <c r="BC53" s="24" t="inlineStr">
        <is>
          <t>dota2-tiered-elo-v6</t>
        </is>
      </c>
      <c r="BD53" s="24" t="inlineStr">
        <is>
          <t>d90c36078a7f63122922d780ea21efefa8c74dba672139f2efdde44fa7e2adb7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dota2-tiered-elo-v6</t>
        </is>
      </c>
      <c r="BH53" s="24" t="inlineStr">
        <is>
          <t>2026-08-22T09:16:44.333569Z</t>
        </is>
      </c>
      <c r="BI53" s="24" t="inlineStr">
        <is>
          <t>["same_event","same_team_same_day","same_league_same_day"]</t>
        </is>
      </c>
      <c r="BJ53" s="25" t="n"/>
      <c r="BK53" s="26" t="n">
        <v>170</v>
      </c>
      <c r="BL53" s="27" t="n">
        <v>2.7</v>
      </c>
      <c r="BM53" s="28" t="n">
        <v>0.37037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0.37037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9bd86b174ca841cc</t>
        </is>
      </c>
      <c r="B54" s="24" t="inlineStr">
        <is>
          <t>2026-08-22T23:01:58.568552Z</t>
        </is>
      </c>
      <c r="C54" s="24" t="inlineStr">
        <is>
          <t>2026-08-23T02:00:00Z</t>
        </is>
      </c>
      <c r="D54" s="24" t="inlineStr">
        <is>
          <t>88796</t>
        </is>
      </c>
      <c r="E54" s="24" t="inlineStr">
        <is>
          <t>DOTA2</t>
        </is>
      </c>
      <c r="F54" s="24" t="inlineStr">
        <is>
          <t>Team Spirit</t>
        </is>
      </c>
      <c r="G54" s="24" t="inlineStr">
        <is>
          <t>Team Yandex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203</v>
      </c>
      <c r="M54" s="27" t="n">
        <v>3.03</v>
      </c>
      <c r="N54" s="28" t="n">
        <v>0.330033</v>
      </c>
      <c r="O54" s="28" t="n">
        <v>0.509369</v>
      </c>
      <c r="P54" s="28" t="n"/>
      <c r="Q54" s="28" t="n">
        <v>0.179336</v>
      </c>
      <c r="R54" s="26" t="n">
        <v>100</v>
      </c>
      <c r="S54" s="29" t="n">
        <v>1.75</v>
      </c>
      <c r="T54" s="24" t="inlineStr">
        <is>
          <t>dota2-tiered-elo-v6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203</v>
      </c>
      <c r="AA54" s="28" t="n">
        <v>0.33</v>
      </c>
      <c r="AB54" s="28" t="n">
        <v>-3.3e-05</v>
      </c>
      <c r="AC54" s="30" t="n">
        <v>-1.75</v>
      </c>
      <c r="AD54" s="24" t="inlineStr">
        <is>
          <t>2026-08-23T05:11:56.881656Z</t>
        </is>
      </c>
      <c r="AE54" s="31" t="inlineStr">
        <is>
          <t>Neutral Elo baseline; executable ask 0.3300 (market_slug=aec-dota2-ty-ts-2026-08-23).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4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Team Spirit</t>
        </is>
      </c>
      <c r="AQ54" s="24" t="inlineStr">
        <is>
          <t>Team Spirit</t>
        </is>
      </c>
      <c r="AR54" s="24" t="inlineStr">
        <is>
          <t>Team Spirit</t>
        </is>
      </c>
      <c r="AS54" s="24" t="inlineStr">
        <is>
          <t>Team Yandex</t>
        </is>
      </c>
      <c r="AT54" s="24" t="inlineStr">
        <is>
          <t>Team Yandex</t>
        </is>
      </c>
      <c r="AU54" s="24" t="inlineStr">
        <is>
          <t>Team Yandex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471c271ef3a161db864006a7d7781269f1695a3cc15d6f3223fa6db56e503a8c</t>
        </is>
      </c>
      <c r="BB54" s="24" t="inlineStr">
        <is>
          <t>neutral_elo</t>
        </is>
      </c>
      <c r="BC54" s="24" t="inlineStr">
        <is>
          <t>dota2-tiered-elo-v6</t>
        </is>
      </c>
      <c r="BD54" s="24" t="inlineStr">
        <is>
          <t>471c271ef3a161db864006a7d7781269f1695a3cc15d6f3223fa6db56e503a8c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dota2-tiered-elo-v6</t>
        </is>
      </c>
      <c r="BH54" s="24" t="inlineStr">
        <is>
          <t>2026-08-22T23:01:58.536925Z</t>
        </is>
      </c>
      <c r="BI54" s="24" t="inlineStr">
        <is>
          <t>["same_event","same_team_same_day","same_league_same_day"]</t>
        </is>
      </c>
      <c r="BJ54" s="25" t="n"/>
      <c r="BK54" s="26" t="n">
        <v>203</v>
      </c>
      <c r="BL54" s="27" t="n">
        <v>3.03</v>
      </c>
      <c r="BM54" s="28" t="n">
        <v>0.330033</v>
      </c>
      <c r="BN54" s="28" t="n"/>
      <c r="BO54" s="28" t="n"/>
      <c r="BP54" s="25" t="n"/>
      <c r="BQ54" s="27" t="n">
        <v>3.03</v>
      </c>
      <c r="BR54" s="28" t="n">
        <v>0.33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0.330033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dc1d233b978c4f71</t>
        </is>
      </c>
      <c r="B55" s="24" t="inlineStr">
        <is>
          <t>2026-08-24T05:34:11.268542Z</t>
        </is>
      </c>
      <c r="C55" s="24" t="inlineStr">
        <is>
          <t>2026-08-24T07:00:00Z</t>
        </is>
      </c>
      <c r="D55" s="24" t="inlineStr">
        <is>
          <t>90696</t>
        </is>
      </c>
      <c r="E55" s="24" t="inlineStr">
        <is>
          <t>DOTA2</t>
        </is>
      </c>
      <c r="F55" s="24" t="inlineStr">
        <is>
          <t>Nemiga Gaming</t>
        </is>
      </c>
      <c r="G55" s="24" t="inlineStr">
        <is>
          <t>Inner Circle x Insanity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138</v>
      </c>
      <c r="M55" s="27" t="n">
        <v>2.38</v>
      </c>
      <c r="N55" s="28" t="n">
        <v>0.420168</v>
      </c>
      <c r="O55" s="28" t="n">
        <v>0.5602819999999999</v>
      </c>
      <c r="P55" s="28" t="n"/>
      <c r="Q55" s="28" t="n">
        <v>0.140114</v>
      </c>
      <c r="R55" s="26" t="n">
        <v>90</v>
      </c>
      <c r="S55" s="29" t="n">
        <v>1.5</v>
      </c>
      <c r="T55" s="24" t="inlineStr">
        <is>
          <t>dota2-tiered-elo-v6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/>
      <c r="AA55" s="28" t="n"/>
      <c r="AB55" s="28" t="n"/>
      <c r="AC55" s="30" t="n">
        <v>2.07</v>
      </c>
      <c r="AD55" s="24" t="inlineStr">
        <is>
          <t>2026-08-24T11:50:03.570764Z</t>
        </is>
      </c>
      <c r="AE55" s="31" t="inlineStr">
        <is>
          <t>Neutral Elo baseline; executable ask 0.4200 (market_slug=aec-dota2-icxi-nemiga-2026-08-24).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Nemiga Gaming</t>
        </is>
      </c>
      <c r="AQ55" s="24" t="inlineStr">
        <is>
          <t>Nemiga Gaming</t>
        </is>
      </c>
      <c r="AR55" s="24" t="inlineStr">
        <is>
          <t>Nemiga Gaming</t>
        </is>
      </c>
      <c r="AS55" s="24" t="inlineStr">
        <is>
          <t>Inner Circle x Insanity</t>
        </is>
      </c>
      <c r="AT55" s="24" t="inlineStr">
        <is>
          <t>Inner Circle x Insanity</t>
        </is>
      </c>
      <c r="AU55" s="24" t="inlineStr">
        <is>
          <t>Inner Circle x Insanity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9f2ee7fbd68abc69d338f8e91b779a78e35873f6bd9a1a768d6ccc4449246ca2</t>
        </is>
      </c>
      <c r="BB55" s="24" t="inlineStr">
        <is>
          <t>neutral_elo</t>
        </is>
      </c>
      <c r="BC55" s="24" t="inlineStr">
        <is>
          <t>dota2-tiered-elo-v6</t>
        </is>
      </c>
      <c r="BD55" s="24" t="inlineStr">
        <is>
          <t>9f2ee7fbd68abc69d338f8e91b779a78e35873f6bd9a1a768d6ccc4449246ca2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dota2-tiered-elo-v6</t>
        </is>
      </c>
      <c r="BH55" s="24" t="inlineStr">
        <is>
          <t>2026-08-24T05:34:09.379655Z</t>
        </is>
      </c>
      <c r="BI55" s="24" t="inlineStr">
        <is>
          <t>["same_event","same_team_same_day","same_league_same_day"]</t>
        </is>
      </c>
      <c r="BJ55" s="25" t="n"/>
      <c r="BK55" s="26" t="n">
        <v>138</v>
      </c>
      <c r="BL55" s="27" t="n">
        <v>2.38</v>
      </c>
      <c r="BM55" s="28" t="n">
        <v>0.420168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0.420168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00f0477df2e34497</t>
        </is>
      </c>
      <c r="B56" s="24" t="inlineStr">
        <is>
          <t>2026-08-24T08:45:11.468808Z</t>
        </is>
      </c>
      <c r="C56" s="24" t="inlineStr">
        <is>
          <t>2026-08-24T10:00:00Z</t>
        </is>
      </c>
      <c r="D56" s="24" t="inlineStr">
        <is>
          <t>90707</t>
        </is>
      </c>
      <c r="E56" s="24" t="inlineStr">
        <is>
          <t>DOTA2</t>
        </is>
      </c>
      <c r="F56" s="24" t="inlineStr">
        <is>
          <t>Team Lynx</t>
        </is>
      </c>
      <c r="G56" s="24" t="inlineStr">
        <is>
          <t>Klim Sani4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-133</v>
      </c>
      <c r="M56" s="27" t="n">
        <v>1.75188</v>
      </c>
      <c r="N56" s="28" t="n">
        <v>0.570815</v>
      </c>
      <c r="O56" s="28" t="n">
        <v>0.558438</v>
      </c>
      <c r="P56" s="28" t="n"/>
      <c r="Q56" s="28" t="n">
        <v>-0.012377</v>
      </c>
      <c r="R56" s="26" t="n">
        <v>14</v>
      </c>
      <c r="S56" s="29" t="n">
        <v>1</v>
      </c>
      <c r="T56" s="24" t="inlineStr">
        <is>
          <t>dota2-tiered-elo-v6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/>
      <c r="AA56" s="28" t="n"/>
      <c r="AB56" s="28" t="n"/>
      <c r="AC56" s="30" t="n">
        <v>0.7519</v>
      </c>
      <c r="AD56" s="24" t="inlineStr">
        <is>
          <t>2026-08-24T14:58:11.160765Z</t>
        </is>
      </c>
      <c r="AE56" s="31" t="inlineStr">
        <is>
          <t>Neutral Elo baseline; executable ask 0.5700 (market_slug=aec-dota2-ks-lynx-2026-08-24).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Team Lynx</t>
        </is>
      </c>
      <c r="AQ56" s="24" t="inlineStr">
        <is>
          <t>Team Lynx</t>
        </is>
      </c>
      <c r="AR56" s="24" t="inlineStr">
        <is>
          <t>Team Lynx</t>
        </is>
      </c>
      <c r="AS56" s="24" t="inlineStr">
        <is>
          <t>Klim Sani4</t>
        </is>
      </c>
      <c r="AT56" s="24" t="inlineStr">
        <is>
          <t>Klim Sani4</t>
        </is>
      </c>
      <c r="AU56" s="24" t="inlineStr">
        <is>
          <t>Klim Sani4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337d387be0288ea66b9fff2a6aef8c082b524f3f5aed0c5d0ea80a78a45189aa</t>
        </is>
      </c>
      <c r="BB56" s="24" t="inlineStr">
        <is>
          <t>neutral_elo</t>
        </is>
      </c>
      <c r="BC56" s="24" t="inlineStr">
        <is>
          <t>dota2-tiered-elo-v6</t>
        </is>
      </c>
      <c r="BD56" s="24" t="inlineStr">
        <is>
          <t>337d387be0288ea66b9fff2a6aef8c082b524f3f5aed0c5d0ea80a78a45189aa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dota2-tiered-elo-v6</t>
        </is>
      </c>
      <c r="BH56" s="24" t="inlineStr">
        <is>
          <t>2026-08-24T08:45:09.562716Z</t>
        </is>
      </c>
      <c r="BI56" s="24" t="inlineStr">
        <is>
          <t>["same_event","same_team_same_day","same_league_same_day"]</t>
        </is>
      </c>
      <c r="BJ56" s="25" t="n"/>
      <c r="BK56" s="26" t="n">
        <v>-133</v>
      </c>
      <c r="BL56" s="27" t="n">
        <v>1.75188</v>
      </c>
      <c r="BM56" s="28" t="n">
        <v>0.570815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0.570815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f7fe9a24ce03498b</t>
        </is>
      </c>
      <c r="B57" s="24" t="inlineStr">
        <is>
          <t>2026-08-24T11:53:07.593641Z</t>
        </is>
      </c>
      <c r="C57" s="24" t="inlineStr">
        <is>
          <t>2026-08-24T13:00:00Z</t>
        </is>
      </c>
      <c r="D57" s="24" t="inlineStr">
        <is>
          <t>90708</t>
        </is>
      </c>
      <c r="E57" s="24" t="inlineStr">
        <is>
          <t>DOTA2</t>
        </is>
      </c>
      <c r="F57" s="24" t="inlineStr">
        <is>
          <t>Ducksquad</t>
        </is>
      </c>
      <c r="G57" s="24" t="inlineStr">
        <is>
          <t>summer bear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122</v>
      </c>
      <c r="M57" s="27" t="n">
        <v>2.22</v>
      </c>
      <c r="N57" s="28" t="n">
        <v>0.45045</v>
      </c>
      <c r="O57" s="28" t="n">
        <v>0.5254180000000001</v>
      </c>
      <c r="P57" s="28" t="n"/>
      <c r="Q57" s="28" t="n">
        <v>0.07496800000000001</v>
      </c>
      <c r="R57" s="26" t="n">
        <v>57</v>
      </c>
      <c r="S57" s="29" t="n">
        <v>1.25</v>
      </c>
      <c r="T57" s="24" t="inlineStr">
        <is>
          <t>dota2-tiered-elo-v6</t>
        </is>
      </c>
      <c r="U57" s="24" t="inlineStr">
        <is>
          <t>settled</t>
        </is>
      </c>
      <c r="V57" s="24" t="inlineStr">
        <is>
          <t>push</t>
        </is>
      </c>
      <c r="W57" s="26" t="n"/>
      <c r="X57" s="26" t="n"/>
      <c r="Y57" s="25" t="n"/>
      <c r="Z57" s="26" t="n"/>
      <c r="AA57" s="28" t="n"/>
      <c r="AB57" s="28" t="n"/>
      <c r="AC57" s="30" t="n">
        <v>0</v>
      </c>
      <c r="AD57" s="24" t="inlineStr">
        <is>
          <t>2026-08-24T14:58:11.594051Z</t>
        </is>
      </c>
      <c r="AE57" s="31" t="inlineStr">
        <is>
          <t>Neutral Elo baseline; executable ask 0.4500 (market_slug=aec-dota2-sb-duc-2026-08-24).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PAPER_CALL_MODEL_UNVALIDATED</t>
        </is>
      </c>
      <c r="AP57" s="24" t="inlineStr">
        <is>
          <t>Ducksquad</t>
        </is>
      </c>
      <c r="AQ57" s="24" t="inlineStr">
        <is>
          <t>Ducksquad</t>
        </is>
      </c>
      <c r="AR57" s="24" t="inlineStr">
        <is>
          <t>Ducksquad</t>
        </is>
      </c>
      <c r="AS57" s="24" t="inlineStr">
        <is>
          <t>summer bear</t>
        </is>
      </c>
      <c r="AT57" s="24" t="inlineStr">
        <is>
          <t>summer bear</t>
        </is>
      </c>
      <c r="AU57" s="24" t="inlineStr">
        <is>
          <t>summer bear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f668d1bdb53a1a10375e641d6258b9b777d55769570005146dc33ee22cf0cb38</t>
        </is>
      </c>
      <c r="BB57" s="24" t="inlineStr">
        <is>
          <t>neutral_elo</t>
        </is>
      </c>
      <c r="BC57" s="24" t="inlineStr">
        <is>
          <t>dota2-tiered-elo-v6</t>
        </is>
      </c>
      <c r="BD57" s="24" t="inlineStr">
        <is>
          <t>f668d1bdb53a1a10375e641d6258b9b777d55769570005146dc33ee22cf0cb38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dota2-tiered-elo-v6</t>
        </is>
      </c>
      <c r="BH57" s="24" t="inlineStr">
        <is>
          <t>2026-08-24T11:53:05.309571Z</t>
        </is>
      </c>
      <c r="BI57" s="24" t="inlineStr">
        <is>
          <t>["same_event","same_team_same_day","same_league_same_day"]</t>
        </is>
      </c>
      <c r="BJ57" s="25" t="n"/>
      <c r="BK57" s="26" t="n">
        <v>122</v>
      </c>
      <c r="BL57" s="27" t="n">
        <v>2.22</v>
      </c>
      <c r="BM57" s="28" t="n">
        <v>0.45045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inlineStr">
        <is>
          <t>esports market settled to a non-binary price (forfeit/postponement per market rules)</t>
        </is>
      </c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0.45045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4655f3a9044b4c15</t>
        </is>
      </c>
      <c r="B58" s="24" t="inlineStr">
        <is>
          <t>2026-08-24T15:01:21.478536Z</t>
        </is>
      </c>
      <c r="C58" s="24" t="inlineStr">
        <is>
          <t>2026-08-24T16:00:00Z</t>
        </is>
      </c>
      <c r="D58" s="24" t="inlineStr">
        <is>
          <t>90697</t>
        </is>
      </c>
      <c r="E58" s="24" t="inlineStr">
        <is>
          <t>DOTA2</t>
        </is>
      </c>
      <c r="F58" s="24" t="inlineStr">
        <is>
          <t>Team Lynx</t>
        </is>
      </c>
      <c r="G58" s="24" t="inlineStr">
        <is>
          <t>RE.Arise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-163</v>
      </c>
      <c r="M58" s="27" t="n">
        <v>1.613497</v>
      </c>
      <c r="N58" s="28" t="n">
        <v>0.619772</v>
      </c>
      <c r="O58" s="28" t="n">
        <v>0.60458</v>
      </c>
      <c r="P58" s="28" t="n"/>
      <c r="Q58" s="28" t="n">
        <v>-0.015192</v>
      </c>
      <c r="R58" s="26" t="n">
        <v>12</v>
      </c>
      <c r="S58" s="29" t="n">
        <v>1</v>
      </c>
      <c r="T58" s="24" t="inlineStr">
        <is>
          <t>dota2-tiered-elo-v6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>
        <v>-144</v>
      </c>
      <c r="AA58" s="28" t="n">
        <v>0.59</v>
      </c>
      <c r="AB58" s="28" t="n">
        <v>-0.029772</v>
      </c>
      <c r="AC58" s="30" t="n">
        <v>-1</v>
      </c>
      <c r="AD58" s="24" t="inlineStr">
        <is>
          <t>2026-08-24T18:06:51.616080Z</t>
        </is>
      </c>
      <c r="AE58" s="31" t="inlineStr">
        <is>
          <t>Neutral Elo baseline; executable ask 0.6200 (market_slug=aec-dota2-rae-lynx-2026-08-24).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Team Lynx</t>
        </is>
      </c>
      <c r="AQ58" s="24" t="inlineStr">
        <is>
          <t>Team Lynx</t>
        </is>
      </c>
      <c r="AR58" s="24" t="inlineStr">
        <is>
          <t>Team Lynx</t>
        </is>
      </c>
      <c r="AS58" s="24" t="inlineStr">
        <is>
          <t>RE.Arise</t>
        </is>
      </c>
      <c r="AT58" s="24" t="inlineStr">
        <is>
          <t>RE.Arise</t>
        </is>
      </c>
      <c r="AU58" s="24" t="inlineStr">
        <is>
          <t>RE.Arise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291129ee95750c4f0bbffa3040daab5d508193d71a6204cdc9e2a1a09628256c</t>
        </is>
      </c>
      <c r="BB58" s="24" t="inlineStr">
        <is>
          <t>neutral_elo</t>
        </is>
      </c>
      <c r="BC58" s="24" t="inlineStr">
        <is>
          <t>dota2-tiered-elo-v6</t>
        </is>
      </c>
      <c r="BD58" s="24" t="inlineStr">
        <is>
          <t>291129ee95750c4f0bbffa3040daab5d508193d71a6204cdc9e2a1a09628256c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dota2-tiered-elo-v6</t>
        </is>
      </c>
      <c r="BH58" s="24" t="inlineStr">
        <is>
          <t>2026-08-24T15:01:19.254244Z</t>
        </is>
      </c>
      <c r="BI58" s="24" t="inlineStr">
        <is>
          <t>["same_event","same_team_same_day","same_league_same_day"]</t>
        </is>
      </c>
      <c r="BJ58" s="25" t="n"/>
      <c r="BK58" s="26" t="n">
        <v>-163</v>
      </c>
      <c r="BL58" s="27" t="n">
        <v>1.613497</v>
      </c>
      <c r="BM58" s="28" t="n">
        <v>0.619772</v>
      </c>
      <c r="BN58" s="28" t="n"/>
      <c r="BO58" s="28" t="n"/>
      <c r="BP58" s="25" t="n"/>
      <c r="BQ58" s="27" t="n">
        <v>1.694444</v>
      </c>
      <c r="BR58" s="28" t="n">
        <v>0.59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0.619772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cf56a816a71c4382</t>
        </is>
      </c>
      <c r="B59" s="24" t="inlineStr">
        <is>
          <t>2026-08-25T05:01:21.265908Z</t>
        </is>
      </c>
      <c r="C59" s="24" t="inlineStr">
        <is>
          <t>2026-08-25T07:00:00Z</t>
        </is>
      </c>
      <c r="D59" s="24" t="inlineStr">
        <is>
          <t>90695</t>
        </is>
      </c>
      <c r="E59" s="24" t="inlineStr">
        <is>
          <t>DOTA2</t>
        </is>
      </c>
      <c r="F59" s="24" t="inlineStr">
        <is>
          <t>Nemiga Gaming</t>
        </is>
      </c>
      <c r="G59" s="24" t="inlineStr">
        <is>
          <t>PuckChamp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-133</v>
      </c>
      <c r="M59" s="27" t="n">
        <v>1.75188</v>
      </c>
      <c r="N59" s="28" t="n">
        <v>0.570815</v>
      </c>
      <c r="O59" s="28" t="n">
        <v>0.505684</v>
      </c>
      <c r="P59" s="28" t="n"/>
      <c r="Q59" s="28" t="n">
        <v>-0.06513099999999999</v>
      </c>
      <c r="R59" s="26" t="n">
        <v>0</v>
      </c>
      <c r="S59" s="29" t="n">
        <v>1</v>
      </c>
      <c r="T59" s="24" t="inlineStr">
        <is>
          <t>dota2-tiered-elo-v6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-138</v>
      </c>
      <c r="AA59" s="28" t="n">
        <v>0.58</v>
      </c>
      <c r="AB59" s="28" t="n">
        <v>0.009185</v>
      </c>
      <c r="AC59" s="30" t="n">
        <v>-1</v>
      </c>
      <c r="AD59" s="24" t="inlineStr">
        <is>
          <t>2026-08-25T12:30:22.383336Z</t>
        </is>
      </c>
      <c r="AE59" s="31" t="inlineStr">
        <is>
          <t>Neutral Elo baseline; executable ask 0.5700 (market_slug=aec-dota2-pckcp-nemiga-2026-08-24).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Nemiga Gaming</t>
        </is>
      </c>
      <c r="AQ59" s="24" t="inlineStr">
        <is>
          <t>Nemiga Gaming</t>
        </is>
      </c>
      <c r="AR59" s="24" t="inlineStr">
        <is>
          <t>Nemiga Gaming</t>
        </is>
      </c>
      <c r="AS59" s="24" t="inlineStr">
        <is>
          <t>PuckChamp</t>
        </is>
      </c>
      <c r="AT59" s="24" t="inlineStr">
        <is>
          <t>PuckChamp</t>
        </is>
      </c>
      <c r="AU59" s="24" t="inlineStr">
        <is>
          <t>PuckChamp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8545409af1788cd63c4f8692253a5bb229b7e98236baa9277064880300a69fc3</t>
        </is>
      </c>
      <c r="BB59" s="24" t="inlineStr">
        <is>
          <t>neutral_elo</t>
        </is>
      </c>
      <c r="BC59" s="24" t="inlineStr">
        <is>
          <t>dota2-tiered-elo-v6</t>
        </is>
      </c>
      <c r="BD59" s="24" t="inlineStr">
        <is>
          <t>8545409af1788cd63c4f8692253a5bb229b7e98236baa9277064880300a69fc3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dota2-tiered-elo-v6</t>
        </is>
      </c>
      <c r="BH59" s="24" t="inlineStr">
        <is>
          <t>2026-08-25T05:01:20.206505Z</t>
        </is>
      </c>
      <c r="BI59" s="24" t="inlineStr">
        <is>
          <t>["same_event","same_team_same_day","same_league_same_day"]</t>
        </is>
      </c>
      <c r="BJ59" s="25" t="n"/>
      <c r="BK59" s="26" t="n">
        <v>-133</v>
      </c>
      <c r="BL59" s="27" t="n">
        <v>1.75188</v>
      </c>
      <c r="BM59" s="28" t="n">
        <v>0.570815</v>
      </c>
      <c r="BN59" s="28" t="n"/>
      <c r="BO59" s="28" t="n"/>
      <c r="BP59" s="25" t="n"/>
      <c r="BQ59" s="27" t="n">
        <v>1.724638</v>
      </c>
      <c r="BR59" s="28" t="n">
        <v>0.58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0.570815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80767d230e244b92</t>
        </is>
      </c>
      <c r="B60" s="24" t="inlineStr">
        <is>
          <t>2026-08-25T05:01:21.265908Z</t>
        </is>
      </c>
      <c r="C60" s="24" t="inlineStr">
        <is>
          <t>2026-08-25T10:00:00Z</t>
        </is>
      </c>
      <c r="D60" s="24" t="inlineStr">
        <is>
          <t>90698</t>
        </is>
      </c>
      <c r="E60" s="24" t="inlineStr">
        <is>
          <t>DOTA2</t>
        </is>
      </c>
      <c r="F60" s="24" t="inlineStr">
        <is>
          <t>PuckChamp</t>
        </is>
      </c>
      <c r="G60" s="24" t="inlineStr">
        <is>
          <t>FTS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150</v>
      </c>
      <c r="M60" s="27" t="n">
        <v>2.5</v>
      </c>
      <c r="N60" s="28" t="n">
        <v>0.4</v>
      </c>
      <c r="O60" s="28" t="n">
        <v>0.520268</v>
      </c>
      <c r="P60" s="28" t="n"/>
      <c r="Q60" s="28" t="n">
        <v>0.120268</v>
      </c>
      <c r="R60" s="26" t="n">
        <v>80</v>
      </c>
      <c r="S60" s="29" t="n">
        <v>1.5</v>
      </c>
      <c r="T60" s="24" t="inlineStr">
        <is>
          <t>dota2-tiered-elo-v6</t>
        </is>
      </c>
      <c r="U60" s="24" t="inlineStr">
        <is>
          <t>settled</t>
        </is>
      </c>
      <c r="V60" s="24" t="inlineStr">
        <is>
          <t>loss</t>
        </is>
      </c>
      <c r="W60" s="26" t="n">
        <v>1</v>
      </c>
      <c r="X60" s="26" t="n">
        <v>0</v>
      </c>
      <c r="Y60" s="25" t="n"/>
      <c r="Z60" s="26" t="n">
        <v>150</v>
      </c>
      <c r="AA60" s="28" t="n">
        <v>0.4</v>
      </c>
      <c r="AB60" s="28" t="n">
        <v>0</v>
      </c>
      <c r="AC60" s="30" t="n">
        <v>-1.5</v>
      </c>
      <c r="AD60" s="24" t="inlineStr">
        <is>
          <t>2026-08-25T13:27:25.133400Z</t>
        </is>
      </c>
      <c r="AE60" s="31" t="inlineStr">
        <is>
          <t>Neutral Elo baseline; executable ask 0.4000 (market_slug=aec-dota2-fts-pckcp-2026-08-25).</t>
        </is>
      </c>
      <c r="AF60" s="31" t="inlineStr">
        <is>
          <t>Config-promoted esports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PuckChamp</t>
        </is>
      </c>
      <c r="AQ60" s="24" t="inlineStr">
        <is>
          <t>PuckChamp</t>
        </is>
      </c>
      <c r="AR60" s="24" t="inlineStr">
        <is>
          <t>PuckChamp</t>
        </is>
      </c>
      <c r="AS60" s="24" t="inlineStr">
        <is>
          <t>FTS</t>
        </is>
      </c>
      <c r="AT60" s="24" t="inlineStr">
        <is>
          <t>FTS</t>
        </is>
      </c>
      <c r="AU60" s="24" t="inlineStr">
        <is>
          <t>FTS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8545409af1788cd63c4f8692253a5bb229b7e98236baa9277064880300a69fc3</t>
        </is>
      </c>
      <c r="BB60" s="24" t="inlineStr">
        <is>
          <t>neutral_elo</t>
        </is>
      </c>
      <c r="BC60" s="24" t="inlineStr">
        <is>
          <t>dota2-tiered-elo-v6</t>
        </is>
      </c>
      <c r="BD60" s="24" t="inlineStr">
        <is>
          <t>8545409af1788cd63c4f8692253a5bb229b7e98236baa9277064880300a69fc3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dota2-tiered-elo-v6</t>
        </is>
      </c>
      <c r="BH60" s="24" t="inlineStr">
        <is>
          <t>2026-08-25T05:01:20.363495Z</t>
        </is>
      </c>
      <c r="BI60" s="24" t="inlineStr">
        <is>
          <t>["same_event","same_team_same_day","same_league_same_day"]</t>
        </is>
      </c>
      <c r="BJ60" s="25" t="n"/>
      <c r="BK60" s="26" t="n">
        <v>150</v>
      </c>
      <c r="BL60" s="27" t="n">
        <v>2.5</v>
      </c>
      <c r="BM60" s="28" t="n">
        <v>0.4</v>
      </c>
      <c r="BN60" s="28" t="n"/>
      <c r="BO60" s="28" t="n"/>
      <c r="BP60" s="25" t="n"/>
      <c r="BQ60" s="27" t="n">
        <v>2.5</v>
      </c>
      <c r="BR60" s="28" t="n">
        <v>0.4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0.4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460ef5382fb9499a</t>
        </is>
      </c>
      <c r="B61" s="24" t="inlineStr">
        <is>
          <t>2026-08-25T13:32:40.981066Z</t>
        </is>
      </c>
      <c r="C61" s="24" t="inlineStr">
        <is>
          <t>2026-08-25T16:00:00Z</t>
        </is>
      </c>
      <c r="D61" s="24" t="inlineStr">
        <is>
          <t>90700</t>
        </is>
      </c>
      <c r="E61" s="24" t="inlineStr">
        <is>
          <t>DOTA2</t>
        </is>
      </c>
      <c r="F61" s="24" t="inlineStr">
        <is>
          <t>Spirit Academy</t>
        </is>
      </c>
      <c r="G61" s="24" t="inlineStr">
        <is>
          <t>RE.Arise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-133</v>
      </c>
      <c r="M61" s="27" t="n">
        <v>1.75188</v>
      </c>
      <c r="N61" s="28" t="n">
        <v>0.570815</v>
      </c>
      <c r="O61" s="28" t="n">
        <v>0.568671</v>
      </c>
      <c r="P61" s="28" t="n"/>
      <c r="Q61" s="28" t="n">
        <v>-0.002144</v>
      </c>
      <c r="R61" s="26" t="n">
        <v>19</v>
      </c>
      <c r="S61" s="29" t="n">
        <v>1</v>
      </c>
      <c r="T61" s="24" t="inlineStr">
        <is>
          <t>dota2-tiered-elo-v6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>
        <v>-133</v>
      </c>
      <c r="AA61" s="28" t="n">
        <v>0.57</v>
      </c>
      <c r="AB61" s="28" t="n">
        <v>-0.000815</v>
      </c>
      <c r="AC61" s="30" t="n">
        <v>-1</v>
      </c>
      <c r="AD61" s="24" t="inlineStr">
        <is>
          <t>2026-08-26T12:40:00.461802Z</t>
        </is>
      </c>
      <c r="AE61" s="31" t="inlineStr">
        <is>
          <t>Neutral Elo baseline; executable ask 0.5700 (market_slug=aec-dota2-rae-tsa-2026-08-25).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Spirit Academy</t>
        </is>
      </c>
      <c r="AQ61" s="24" t="inlineStr">
        <is>
          <t>Spirit Academy</t>
        </is>
      </c>
      <c r="AR61" s="24" t="inlineStr">
        <is>
          <t>Spirit Academy</t>
        </is>
      </c>
      <c r="AS61" s="24" t="inlineStr">
        <is>
          <t>RE.Arise</t>
        </is>
      </c>
      <c r="AT61" s="24" t="inlineStr">
        <is>
          <t>RE.Arise</t>
        </is>
      </c>
      <c r="AU61" s="24" t="inlineStr">
        <is>
          <t>RE.Arise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eb90f0aaaa830f667a300150b0008f423a03b664e1b5fc18a1e81451c20ba640</t>
        </is>
      </c>
      <c r="BB61" s="24" t="inlineStr">
        <is>
          <t>neutral_elo</t>
        </is>
      </c>
      <c r="BC61" s="24" t="inlineStr">
        <is>
          <t>dota2-tiered-elo-v6</t>
        </is>
      </c>
      <c r="BD61" s="24" t="inlineStr">
        <is>
          <t>eb90f0aaaa830f667a300150b0008f423a03b664e1b5fc18a1e81451c20ba640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dota2-tiered-elo-v6</t>
        </is>
      </c>
      <c r="BH61" s="24" t="inlineStr">
        <is>
          <t>2026-08-25T13:32:40.548344Z</t>
        </is>
      </c>
      <c r="BI61" s="24" t="inlineStr">
        <is>
          <t>["same_event","same_team_same_day","same_league_same_day"]</t>
        </is>
      </c>
      <c r="BJ61" s="25" t="n"/>
      <c r="BK61" s="26" t="n">
        <v>-133</v>
      </c>
      <c r="BL61" s="27" t="n">
        <v>1.75188</v>
      </c>
      <c r="BM61" s="28" t="n">
        <v>0.570815</v>
      </c>
      <c r="BN61" s="28" t="n"/>
      <c r="BO61" s="28" t="n"/>
      <c r="BP61" s="25" t="n"/>
      <c r="BQ61" s="27" t="n">
        <v>1.75188</v>
      </c>
      <c r="BR61" s="28" t="n">
        <v>0.57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0.570815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e5dd65747d3649dc</t>
        </is>
      </c>
      <c r="B62" s="24" t="inlineStr">
        <is>
          <t>2026-08-25T13:32:40.981066Z</t>
        </is>
      </c>
      <c r="C62" s="24" t="inlineStr">
        <is>
          <t>2026-08-25T16:00:00Z</t>
        </is>
      </c>
      <c r="D62" s="24" t="inlineStr">
        <is>
          <t>90713</t>
        </is>
      </c>
      <c r="E62" s="24" t="inlineStr">
        <is>
          <t>DOTA2</t>
        </is>
      </c>
      <c r="F62" s="24" t="inlineStr">
        <is>
          <t>Inner Circle x Insanity</t>
        </is>
      </c>
      <c r="G62" s="24" t="inlineStr">
        <is>
          <t>Team Synapse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-233</v>
      </c>
      <c r="M62" s="27" t="n">
        <v>1.429185</v>
      </c>
      <c r="N62" s="28" t="n">
        <v>0.6997</v>
      </c>
      <c r="O62" s="28" t="n">
        <v>0.529493</v>
      </c>
      <c r="P62" s="28" t="n"/>
      <c r="Q62" s="28" t="n">
        <v>-0.170207</v>
      </c>
      <c r="R62" s="26" t="n">
        <v>0</v>
      </c>
      <c r="S62" s="29" t="n">
        <v>1</v>
      </c>
      <c r="T62" s="24" t="inlineStr">
        <is>
          <t>dota2-tiered-elo-v6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>
        <v>-233</v>
      </c>
      <c r="AA62" s="28" t="n">
        <v>0.7</v>
      </c>
      <c r="AB62" s="28" t="n">
        <v>0.0003</v>
      </c>
      <c r="AC62" s="30" t="n">
        <v>0.4292</v>
      </c>
      <c r="AD62" s="24" t="inlineStr">
        <is>
          <t>2026-08-26T12:40:00.911560Z</t>
        </is>
      </c>
      <c r="AE62" s="31" t="inlineStr">
        <is>
          <t>Neutral Elo baseline; executable ask 0.7000 (market_slug=aec-dota2-tsea-icxi-2026-08-25).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PAPER_CALL_MODEL_UNVALIDATED</t>
        </is>
      </c>
      <c r="AP62" s="24" t="inlineStr">
        <is>
          <t>Inner Circle x Insanity</t>
        </is>
      </c>
      <c r="AQ62" s="24" t="inlineStr">
        <is>
          <t>Inner Circle x Insanity</t>
        </is>
      </c>
      <c r="AR62" s="24" t="inlineStr">
        <is>
          <t>Inner Circle x Insanity</t>
        </is>
      </c>
      <c r="AS62" s="24" t="inlineStr">
        <is>
          <t>Team Synapse</t>
        </is>
      </c>
      <c r="AT62" s="24" t="inlineStr">
        <is>
          <t>Team Synapse</t>
        </is>
      </c>
      <c r="AU62" s="24" t="inlineStr">
        <is>
          <t>Team Synapse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eb90f0aaaa830f667a300150b0008f423a03b664e1b5fc18a1e81451c20ba640</t>
        </is>
      </c>
      <c r="BB62" s="24" t="inlineStr">
        <is>
          <t>neutral_elo</t>
        </is>
      </c>
      <c r="BC62" s="24" t="inlineStr">
        <is>
          <t>dota2-tiered-elo-v6</t>
        </is>
      </c>
      <c r="BD62" s="24" t="inlineStr">
        <is>
          <t>eb90f0aaaa830f667a300150b0008f423a03b664e1b5fc18a1e81451c20ba640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dota2-tiered-elo-v6</t>
        </is>
      </c>
      <c r="BH62" s="24" t="inlineStr">
        <is>
          <t>2026-08-25T13:32:40.771346Z</t>
        </is>
      </c>
      <c r="BI62" s="24" t="inlineStr">
        <is>
          <t>["same_event","same_team_same_day","same_league_same_day"]</t>
        </is>
      </c>
      <c r="BJ62" s="25" t="n"/>
      <c r="BK62" s="26" t="n">
        <v>-233</v>
      </c>
      <c r="BL62" s="27" t="n">
        <v>1.429185</v>
      </c>
      <c r="BM62" s="28" t="n">
        <v>0.6997</v>
      </c>
      <c r="BN62" s="28" t="n"/>
      <c r="BO62" s="28" t="n"/>
      <c r="BP62" s="25" t="n"/>
      <c r="BQ62" s="27" t="n">
        <v>1.429185</v>
      </c>
      <c r="BR62" s="28" t="n">
        <v>0.7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0.6997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e7b05caec3f142b0</t>
        </is>
      </c>
      <c r="B63" s="24" t="inlineStr">
        <is>
          <t>2026-08-25T13:32:40.981066Z</t>
        </is>
      </c>
      <c r="C63" s="24" t="inlineStr">
        <is>
          <t>2026-08-25T19:00:00Z</t>
        </is>
      </c>
      <c r="D63" s="24" t="inlineStr">
        <is>
          <t>90701</t>
        </is>
      </c>
      <c r="E63" s="24" t="inlineStr">
        <is>
          <t>DOTA2</t>
        </is>
      </c>
      <c r="F63" s="24" t="inlineStr">
        <is>
          <t>Spirit Academy</t>
        </is>
      </c>
      <c r="G63" s="24" t="inlineStr">
        <is>
          <t>summer bear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-113</v>
      </c>
      <c r="M63" s="27" t="n">
        <v>1.884956</v>
      </c>
      <c r="N63" s="28" t="n">
        <v>0.530516</v>
      </c>
      <c r="O63" s="28" t="n">
        <v>0.683358</v>
      </c>
      <c r="P63" s="28" t="n"/>
      <c r="Q63" s="28" t="n">
        <v>0.152842</v>
      </c>
      <c r="R63" s="26" t="n">
        <v>96</v>
      </c>
      <c r="S63" s="29" t="n">
        <v>1.75</v>
      </c>
      <c r="T63" s="24" t="inlineStr">
        <is>
          <t>dota2-tiered-elo-v6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>
        <v>-113</v>
      </c>
      <c r="AA63" s="28" t="n">
        <v>0.53</v>
      </c>
      <c r="AB63" s="28" t="n">
        <v>-0.000516</v>
      </c>
      <c r="AC63" s="30" t="n">
        <v>1.5487</v>
      </c>
      <c r="AD63" s="24" t="inlineStr">
        <is>
          <t>2026-08-26T12:40:01.325685Z</t>
        </is>
      </c>
      <c r="AE63" s="31" t="inlineStr">
        <is>
          <t>Neutral Elo baseline; executable ask 0.5300 (market_slug=aec-dota2-sb-tsa-2026-08-25).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Spirit Academy</t>
        </is>
      </c>
      <c r="AQ63" s="24" t="inlineStr">
        <is>
          <t>Spirit Academy</t>
        </is>
      </c>
      <c r="AR63" s="24" t="inlineStr">
        <is>
          <t>Spirit Academy</t>
        </is>
      </c>
      <c r="AS63" s="24" t="inlineStr">
        <is>
          <t>summer bear</t>
        </is>
      </c>
      <c r="AT63" s="24" t="inlineStr">
        <is>
          <t>summer bear</t>
        </is>
      </c>
      <c r="AU63" s="24" t="inlineStr">
        <is>
          <t>summer bear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eb90f0aaaa830f667a300150b0008f423a03b664e1b5fc18a1e81451c20ba640</t>
        </is>
      </c>
      <c r="BB63" s="24" t="inlineStr">
        <is>
          <t>neutral_elo</t>
        </is>
      </c>
      <c r="BC63" s="24" t="inlineStr">
        <is>
          <t>dota2-tiered-elo-v6</t>
        </is>
      </c>
      <c r="BD63" s="24" t="inlineStr">
        <is>
          <t>eb90f0aaaa830f667a300150b0008f423a03b664e1b5fc18a1e81451c20ba640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dota2-tiered-elo-v6</t>
        </is>
      </c>
      <c r="BH63" s="24" t="inlineStr">
        <is>
          <t>2026-08-25T13:32:40.869379Z</t>
        </is>
      </c>
      <c r="BI63" s="24" t="inlineStr">
        <is>
          <t>["same_event","same_team_same_day","same_league_same_day"]</t>
        </is>
      </c>
      <c r="BJ63" s="25" t="n"/>
      <c r="BK63" s="26" t="n">
        <v>-113</v>
      </c>
      <c r="BL63" s="27" t="n">
        <v>1.884956</v>
      </c>
      <c r="BM63" s="28" t="n">
        <v>0.530516</v>
      </c>
      <c r="BN63" s="28" t="n"/>
      <c r="BO63" s="28" t="n"/>
      <c r="BP63" s="25" t="n"/>
      <c r="BQ63" s="27" t="n">
        <v>1.884956</v>
      </c>
      <c r="BR63" s="28" t="n">
        <v>0.53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0.530516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68b728098f144d53</t>
        </is>
      </c>
      <c r="B64" s="24" t="inlineStr">
        <is>
          <t>2026-08-25T13:32:40.981066Z</t>
        </is>
      </c>
      <c r="C64" s="24" t="inlineStr">
        <is>
          <t>2026-08-25T19:00:00Z</t>
        </is>
      </c>
      <c r="D64" s="24" t="inlineStr">
        <is>
          <t>90714</t>
        </is>
      </c>
      <c r="E64" s="24" t="inlineStr">
        <is>
          <t>DOTA2</t>
        </is>
      </c>
      <c r="F64" s="24" t="inlineStr">
        <is>
          <t>Team Synapse</t>
        </is>
      </c>
      <c r="G64" s="24" t="inlineStr">
        <is>
          <t>DYNASTY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-163</v>
      </c>
      <c r="M64" s="27" t="n">
        <v>1.613497</v>
      </c>
      <c r="N64" s="28" t="n">
        <v>0.619772</v>
      </c>
      <c r="O64" s="28" t="n">
        <v>0.524733</v>
      </c>
      <c r="P64" s="28" t="n"/>
      <c r="Q64" s="28" t="n">
        <v>-0.095039</v>
      </c>
      <c r="R64" s="26" t="n">
        <v>0</v>
      </c>
      <c r="S64" s="29" t="n">
        <v>1</v>
      </c>
      <c r="T64" s="24" t="inlineStr">
        <is>
          <t>dota2-tiered-elo-v6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-163</v>
      </c>
      <c r="AA64" s="28" t="n">
        <v>0.62</v>
      </c>
      <c r="AB64" s="28" t="n">
        <v>0.000228</v>
      </c>
      <c r="AC64" s="30" t="n">
        <v>-1</v>
      </c>
      <c r="AD64" s="24" t="inlineStr">
        <is>
          <t>2026-08-26T12:40:01.774424Z</t>
        </is>
      </c>
      <c r="AE64" s="31" t="inlineStr">
        <is>
          <t>Neutral Elo baseline; executable ask 0.6200 (market_slug=aec-dota2-dyn-tsea-2026-08-25).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PAPER_CALL_MODEL_UNVALIDATED</t>
        </is>
      </c>
      <c r="AP64" s="24" t="inlineStr">
        <is>
          <t>Team Synapse</t>
        </is>
      </c>
      <c r="AQ64" s="24" t="inlineStr">
        <is>
          <t>Team Synapse</t>
        </is>
      </c>
      <c r="AR64" s="24" t="inlineStr">
        <is>
          <t>Team Synapse</t>
        </is>
      </c>
      <c r="AS64" s="24" t="inlineStr">
        <is>
          <t>DYNASTY</t>
        </is>
      </c>
      <c r="AT64" s="24" t="inlineStr">
        <is>
          <t>DYNASTY</t>
        </is>
      </c>
      <c r="AU64" s="24" t="inlineStr">
        <is>
          <t>DYNASTY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eb90f0aaaa830f667a300150b0008f423a03b664e1b5fc18a1e81451c20ba640</t>
        </is>
      </c>
      <c r="BB64" s="24" t="inlineStr">
        <is>
          <t>neutral_elo</t>
        </is>
      </c>
      <c r="BC64" s="24" t="inlineStr">
        <is>
          <t>dota2-tiered-elo-v6</t>
        </is>
      </c>
      <c r="BD64" s="24" t="inlineStr">
        <is>
          <t>eb90f0aaaa830f667a300150b0008f423a03b664e1b5fc18a1e81451c20ba640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dota2-tiered-elo-v6</t>
        </is>
      </c>
      <c r="BH64" s="24" t="inlineStr">
        <is>
          <t>2026-08-25T13:32:40.942956Z</t>
        </is>
      </c>
      <c r="BI64" s="24" t="inlineStr">
        <is>
          <t>["same_event","same_team_same_day","same_league_same_day"]</t>
        </is>
      </c>
      <c r="BJ64" s="25" t="n"/>
      <c r="BK64" s="26" t="n">
        <v>-163</v>
      </c>
      <c r="BL64" s="27" t="n">
        <v>1.613497</v>
      </c>
      <c r="BM64" s="28" t="n">
        <v>0.619772</v>
      </c>
      <c r="BN64" s="28" t="n"/>
      <c r="BO64" s="28" t="n"/>
      <c r="BP64" s="25" t="n"/>
      <c r="BQ64" s="27" t="n">
        <v>1.613497</v>
      </c>
      <c r="BR64" s="28" t="n">
        <v>0.62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0.619772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48f72beba04649ef</t>
        </is>
      </c>
      <c r="B65" s="24" t="inlineStr">
        <is>
          <t>2026-08-28T02:44:38.193989Z</t>
        </is>
      </c>
      <c r="C65" s="24" t="inlineStr">
        <is>
          <t>2026-08-28T07:00:00Z</t>
        </is>
      </c>
      <c r="D65" s="24" t="inlineStr">
        <is>
          <t>92957</t>
        </is>
      </c>
      <c r="E65" s="24" t="inlineStr">
        <is>
          <t>DOTA2</t>
        </is>
      </c>
      <c r="F65" s="24" t="inlineStr">
        <is>
          <t>Inner Circle x Insanity</t>
        </is>
      </c>
      <c r="G65" s="24" t="inlineStr">
        <is>
          <t>PuckChamp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-213</v>
      </c>
      <c r="M65" s="27" t="n">
        <v>1.469484</v>
      </c>
      <c r="N65" s="28" t="n">
        <v>0.680511</v>
      </c>
      <c r="O65" s="28" t="n">
        <v>0.619959</v>
      </c>
      <c r="P65" s="28" t="n"/>
      <c r="Q65" s="28" t="n">
        <v>-0.060552</v>
      </c>
      <c r="R65" s="26" t="n">
        <v>0</v>
      </c>
      <c r="S65" s="29" t="n">
        <v>1</v>
      </c>
      <c r="T65" s="24" t="inlineStr">
        <is>
          <t>dota2-tiered-elo-v6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0.4695</v>
      </c>
      <c r="AD65" s="24" t="inlineStr">
        <is>
          <t>2026-08-28T12:31:02.385260Z</t>
        </is>
      </c>
      <c r="AE65" s="31" t="inlineStr">
        <is>
          <t>Neutral Elo baseline; executable ask 0.6800 (market_slug=aec-dota2-pckcp-icxi-2026-08-28).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Inner Circle x Insanity</t>
        </is>
      </c>
      <c r="AQ65" s="24" t="inlineStr">
        <is>
          <t>Inner Circle x Insanity</t>
        </is>
      </c>
      <c r="AR65" s="24" t="inlineStr">
        <is>
          <t>Inner Circle x Insanity</t>
        </is>
      </c>
      <c r="AS65" s="24" t="inlineStr">
        <is>
          <t>PuckChamp</t>
        </is>
      </c>
      <c r="AT65" s="24" t="inlineStr">
        <is>
          <t>PuckChamp</t>
        </is>
      </c>
      <c r="AU65" s="24" t="inlineStr">
        <is>
          <t>PuckChamp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7d4ad5f0795723df23da982df1f9faea81111aae9f70bc87d386644d7566961e</t>
        </is>
      </c>
      <c r="BB65" s="24" t="inlineStr">
        <is>
          <t>neutral_elo</t>
        </is>
      </c>
      <c r="BC65" s="24" t="inlineStr">
        <is>
          <t>dota2-tiered-elo-v6</t>
        </is>
      </c>
      <c r="BD65" s="24" t="inlineStr">
        <is>
          <t>7d4ad5f0795723df23da982df1f9faea81111aae9f70bc87d386644d7566961e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dota2-tiered-elo-v6</t>
        </is>
      </c>
      <c r="BH65" s="24" t="inlineStr">
        <is>
          <t>2026-08-28T02:44:35.817465Z</t>
        </is>
      </c>
      <c r="BI65" s="24" t="inlineStr">
        <is>
          <t>["same_event","same_team_same_day","same_league_same_day"]</t>
        </is>
      </c>
      <c r="BJ65" s="25" t="n"/>
      <c r="BK65" s="26" t="n">
        <v>-213</v>
      </c>
      <c r="BL65" s="27" t="n">
        <v>1.469484</v>
      </c>
      <c r="BM65" s="28" t="n">
        <v>0.680511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0.680511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d9d2c5dbf4704c4f</t>
        </is>
      </c>
      <c r="B66" s="24" t="inlineStr">
        <is>
          <t>2026-08-28T12:36:03.784275Z</t>
        </is>
      </c>
      <c r="C66" s="24" t="inlineStr">
        <is>
          <t>2026-08-28T13:00:00Z</t>
        </is>
      </c>
      <c r="D66" s="24" t="inlineStr">
        <is>
          <t>94650</t>
        </is>
      </c>
      <c r="E66" s="24" t="inlineStr">
        <is>
          <t>DOTA2</t>
        </is>
      </c>
      <c r="F66" s="24" t="inlineStr">
        <is>
          <t>Nemiga Gaming</t>
        </is>
      </c>
      <c r="G66" s="24" t="inlineStr">
        <is>
          <t>Team Synapse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117</v>
      </c>
      <c r="M66" s="27" t="n">
        <v>2.17</v>
      </c>
      <c r="N66" s="28" t="n">
        <v>0.460829</v>
      </c>
      <c r="O66" s="28" t="n">
        <v>0.549376</v>
      </c>
      <c r="P66" s="28" t="n"/>
      <c r="Q66" s="28" t="n">
        <v>0.088547</v>
      </c>
      <c r="R66" s="26" t="n">
        <v>64</v>
      </c>
      <c r="S66" s="29" t="n">
        <v>1.25</v>
      </c>
      <c r="T66" s="24" t="inlineStr">
        <is>
          <t>dota2-tiered-elo-v6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>
        <v>117</v>
      </c>
      <c r="AA66" s="28" t="n">
        <v>0.46</v>
      </c>
      <c r="AB66" s="28" t="n">
        <v>-0.000829</v>
      </c>
      <c r="AC66" s="30" t="n">
        <v>1.4625</v>
      </c>
      <c r="AD66" s="24" t="inlineStr">
        <is>
          <t>2026-08-29T12:37:55.952159Z</t>
        </is>
      </c>
      <c r="AE66" s="31" t="inlineStr">
        <is>
          <t>Neutral Elo baseline; executable ask 0.4600 (market_slug=aec-dota2-tsea-nemiga-2026-08-28).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Nemiga Gaming</t>
        </is>
      </c>
      <c r="AQ66" s="24" t="inlineStr">
        <is>
          <t>Nemiga Gaming</t>
        </is>
      </c>
      <c r="AR66" s="24" t="inlineStr">
        <is>
          <t>Nemiga Gaming</t>
        </is>
      </c>
      <c r="AS66" s="24" t="inlineStr">
        <is>
          <t>Team Synapse</t>
        </is>
      </c>
      <c r="AT66" s="24" t="inlineStr">
        <is>
          <t>Team Synapse</t>
        </is>
      </c>
      <c r="AU66" s="24" t="inlineStr">
        <is>
          <t>Team Synapse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7d203455769028d55cc1d9d48e23ba03016d1a6c1522cb202a484c822336f2e3</t>
        </is>
      </c>
      <c r="BB66" s="24" t="inlineStr">
        <is>
          <t>neutral_elo</t>
        </is>
      </c>
      <c r="BC66" s="24" t="inlineStr">
        <is>
          <t>dota2-tiered-elo-v6</t>
        </is>
      </c>
      <c r="BD66" s="24" t="inlineStr">
        <is>
          <t>7d203455769028d55cc1d9d48e23ba03016d1a6c1522cb202a484c822336f2e3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dota2-tiered-elo-v6</t>
        </is>
      </c>
      <c r="BH66" s="24" t="inlineStr">
        <is>
          <t>2026-08-28T12:36:01.684733Z</t>
        </is>
      </c>
      <c r="BI66" s="24" t="inlineStr">
        <is>
          <t>["same_event","same_team_same_day","same_league_same_day"]</t>
        </is>
      </c>
      <c r="BJ66" s="25" t="n"/>
      <c r="BK66" s="26" t="n">
        <v>117</v>
      </c>
      <c r="BL66" s="27" t="n">
        <v>2.17</v>
      </c>
      <c r="BM66" s="28" t="n">
        <v>0.460829</v>
      </c>
      <c r="BN66" s="28" t="n"/>
      <c r="BO66" s="28" t="n"/>
      <c r="BP66" s="25" t="n"/>
      <c r="BQ66" s="27" t="n">
        <v>2.17</v>
      </c>
      <c r="BR66" s="28" t="n">
        <v>0.46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0.460829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a5503e086000480f</t>
        </is>
      </c>
      <c r="B67" s="24" t="inlineStr">
        <is>
          <t>2026-08-28T12:36:03.784275Z</t>
        </is>
      </c>
      <c r="C67" s="24" t="inlineStr">
        <is>
          <t>2026-08-28T16:00:00Z</t>
        </is>
      </c>
      <c r="D67" s="24" t="inlineStr">
        <is>
          <t>94706</t>
        </is>
      </c>
      <c r="E67" s="24" t="inlineStr">
        <is>
          <t>DOTA2</t>
        </is>
      </c>
      <c r="F67" s="24" t="inlineStr">
        <is>
          <t>FTS</t>
        </is>
      </c>
      <c r="G67" s="24" t="inlineStr">
        <is>
          <t>Team Synapse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-186</v>
      </c>
      <c r="M67" s="27" t="n">
        <v>1.537634</v>
      </c>
      <c r="N67" s="28" t="n">
        <v>0.65035</v>
      </c>
      <c r="O67" s="28" t="n">
        <v>0.577353</v>
      </c>
      <c r="P67" s="28" t="n"/>
      <c r="Q67" s="28" t="n">
        <v>-0.07299700000000001</v>
      </c>
      <c r="R67" s="26" t="n">
        <v>0</v>
      </c>
      <c r="S67" s="29" t="n">
        <v>1</v>
      </c>
      <c r="T67" s="24" t="inlineStr">
        <is>
          <t>dota2-tiered-elo-v6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1</v>
      </c>
      <c r="Y67" s="25" t="n"/>
      <c r="Z67" s="26" t="n">
        <v>-186</v>
      </c>
      <c r="AA67" s="28" t="n">
        <v>0.65</v>
      </c>
      <c r="AB67" s="28" t="n">
        <v>-0.00035</v>
      </c>
      <c r="AC67" s="30" t="n">
        <v>0.5376</v>
      </c>
      <c r="AD67" s="24" t="inlineStr">
        <is>
          <t>2026-08-29T12:37:56.342494Z</t>
        </is>
      </c>
      <c r="AE67" s="31" t="inlineStr">
        <is>
          <t>Neutral Elo baseline; executable ask 0.6500 (market_slug=aec-dota2-tsea-fts-2026-08-28).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FTS</t>
        </is>
      </c>
      <c r="AQ67" s="24" t="inlineStr">
        <is>
          <t>FTS</t>
        </is>
      </c>
      <c r="AR67" s="24" t="inlineStr">
        <is>
          <t>FTS</t>
        </is>
      </c>
      <c r="AS67" s="24" t="inlineStr">
        <is>
          <t>Team Synapse</t>
        </is>
      </c>
      <c r="AT67" s="24" t="inlineStr">
        <is>
          <t>Team Synapse</t>
        </is>
      </c>
      <c r="AU67" s="24" t="inlineStr">
        <is>
          <t>Team Synapse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7d203455769028d55cc1d9d48e23ba03016d1a6c1522cb202a484c822336f2e3</t>
        </is>
      </c>
      <c r="BB67" s="24" t="inlineStr">
        <is>
          <t>neutral_elo</t>
        </is>
      </c>
      <c r="BC67" s="24" t="inlineStr">
        <is>
          <t>dota2-tiered-elo-v6</t>
        </is>
      </c>
      <c r="BD67" s="24" t="inlineStr">
        <is>
          <t>7d203455769028d55cc1d9d48e23ba03016d1a6c1522cb202a484c822336f2e3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dota2-tiered-elo-v6</t>
        </is>
      </c>
      <c r="BH67" s="24" t="inlineStr">
        <is>
          <t>2026-08-28T12:36:01.806684Z</t>
        </is>
      </c>
      <c r="BI67" s="24" t="inlineStr">
        <is>
          <t>["same_event","same_team_same_day","same_league_same_day"]</t>
        </is>
      </c>
      <c r="BJ67" s="25" t="n"/>
      <c r="BK67" s="26" t="n">
        <v>-186</v>
      </c>
      <c r="BL67" s="27" t="n">
        <v>1.537634</v>
      </c>
      <c r="BM67" s="28" t="n">
        <v>0.65035</v>
      </c>
      <c r="BN67" s="28" t="n"/>
      <c r="BO67" s="28" t="n"/>
      <c r="BP67" s="25" t="n"/>
      <c r="BQ67" s="27" t="n">
        <v>1.537634</v>
      </c>
      <c r="BR67" s="28" t="n">
        <v>0.65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0.65035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66740003170e421e</t>
        </is>
      </c>
      <c r="B68" s="24" t="inlineStr">
        <is>
          <t>2026-08-28T12:36:03.784275Z</t>
        </is>
      </c>
      <c r="C68" s="24" t="inlineStr">
        <is>
          <t>2026-08-28T19:00:00Z</t>
        </is>
      </c>
      <c r="D68" s="24" t="inlineStr">
        <is>
          <t>94710</t>
        </is>
      </c>
      <c r="E68" s="24" t="inlineStr">
        <is>
          <t>DOTA2</t>
        </is>
      </c>
      <c r="F68" s="24" t="inlineStr">
        <is>
          <t>Nemiga Gaming</t>
        </is>
      </c>
      <c r="G68" s="24" t="inlineStr">
        <is>
          <t>FTS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-203</v>
      </c>
      <c r="M68" s="27" t="n">
        <v>1.492611</v>
      </c>
      <c r="N68" s="28" t="n">
        <v>0.669967</v>
      </c>
      <c r="O68" s="28" t="n">
        <v>0.52193</v>
      </c>
      <c r="P68" s="28" t="n"/>
      <c r="Q68" s="28" t="n">
        <v>-0.148037</v>
      </c>
      <c r="R68" s="26" t="n">
        <v>0</v>
      </c>
      <c r="S68" s="29" t="n">
        <v>1</v>
      </c>
      <c r="T68" s="24" t="inlineStr">
        <is>
          <t>dota2-tiered-elo-v6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1</v>
      </c>
      <c r="Y68" s="25" t="n"/>
      <c r="Z68" s="26" t="n">
        <v>-203</v>
      </c>
      <c r="AA68" s="28" t="n">
        <v>0.67</v>
      </c>
      <c r="AB68" s="28" t="n">
        <v>3.3e-05</v>
      </c>
      <c r="AC68" s="30" t="n">
        <v>-1</v>
      </c>
      <c r="AD68" s="24" t="inlineStr">
        <is>
          <t>2026-08-29T12:37:56.801210Z</t>
        </is>
      </c>
      <c r="AE68" s="31" t="inlineStr">
        <is>
          <t>Neutral Elo baseline; executable ask 0.6700 (market_slug=aec-dota2-fts-nemiga-2026-08-28).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Nemiga Gaming</t>
        </is>
      </c>
      <c r="AQ68" s="24" t="inlineStr">
        <is>
          <t>Nemiga Gaming</t>
        </is>
      </c>
      <c r="AR68" s="24" t="inlineStr">
        <is>
          <t>Nemiga Gaming</t>
        </is>
      </c>
      <c r="AS68" s="24" t="inlineStr">
        <is>
          <t>FTS</t>
        </is>
      </c>
      <c r="AT68" s="24" t="inlineStr">
        <is>
          <t>FTS</t>
        </is>
      </c>
      <c r="AU68" s="24" t="inlineStr">
        <is>
          <t>FTS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7d203455769028d55cc1d9d48e23ba03016d1a6c1522cb202a484c822336f2e3</t>
        </is>
      </c>
      <c r="BB68" s="24" t="inlineStr">
        <is>
          <t>neutral_elo</t>
        </is>
      </c>
      <c r="BC68" s="24" t="inlineStr">
        <is>
          <t>dota2-tiered-elo-v6</t>
        </is>
      </c>
      <c r="BD68" s="24" t="inlineStr">
        <is>
          <t>7d203455769028d55cc1d9d48e23ba03016d1a6c1522cb202a484c822336f2e3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dota2-tiered-elo-v6</t>
        </is>
      </c>
      <c r="BH68" s="24" t="inlineStr">
        <is>
          <t>2026-08-28T12:36:01.968336Z</t>
        </is>
      </c>
      <c r="BI68" s="24" t="inlineStr">
        <is>
          <t>["same_event","same_team_same_day","same_league_same_day"]</t>
        </is>
      </c>
      <c r="BJ68" s="25" t="n"/>
      <c r="BK68" s="26" t="n">
        <v>-203</v>
      </c>
      <c r="BL68" s="27" t="n">
        <v>1.492611</v>
      </c>
      <c r="BM68" s="28" t="n">
        <v>0.669967</v>
      </c>
      <c r="BN68" s="28" t="n"/>
      <c r="BO68" s="28" t="n"/>
      <c r="BP68" s="25" t="n"/>
      <c r="BQ68" s="27" t="n">
        <v>1.492611</v>
      </c>
      <c r="BR68" s="28" t="n">
        <v>0.67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0.669967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67c5d82ff6b64387</t>
        </is>
      </c>
      <c r="B69" s="24" t="inlineStr">
        <is>
          <t>2026-08-29T12:43:15.842350Z</t>
        </is>
      </c>
      <c r="C69" s="24" t="inlineStr">
        <is>
          <t>2026-08-29T14:00:00Z</t>
        </is>
      </c>
      <c r="D69" s="24" t="inlineStr">
        <is>
          <t>94954</t>
        </is>
      </c>
      <c r="E69" s="24" t="inlineStr">
        <is>
          <t>DOTA2</t>
        </is>
      </c>
      <c r="F69" s="24" t="inlineStr">
        <is>
          <t>Team Lynx</t>
        </is>
      </c>
      <c r="G69" s="24" t="inlineStr">
        <is>
          <t>HULIGANI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186</v>
      </c>
      <c r="M69" s="27" t="n">
        <v>2.86</v>
      </c>
      <c r="N69" s="28" t="n">
        <v>0.34965</v>
      </c>
      <c r="O69" s="28" t="n">
        <v>0.537506</v>
      </c>
      <c r="P69" s="28" t="n"/>
      <c r="Q69" s="28" t="n">
        <v>0.187856</v>
      </c>
      <c r="R69" s="26" t="n">
        <v>100</v>
      </c>
      <c r="S69" s="29" t="n">
        <v>2</v>
      </c>
      <c r="T69" s="24" t="inlineStr">
        <is>
          <t>dota2-tiered-elo-v6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0</v>
      </c>
      <c r="Y69" s="25" t="n"/>
      <c r="Z69" s="26" t="n">
        <v>186</v>
      </c>
      <c r="AA69" s="28" t="n">
        <v>0.35</v>
      </c>
      <c r="AB69" s="28" t="n">
        <v>0.00035</v>
      </c>
      <c r="AC69" s="30" t="n">
        <v>3.72</v>
      </c>
      <c r="AD69" s="24" t="inlineStr">
        <is>
          <t>2026-08-30T03:31:07.004532Z</t>
        </is>
      </c>
      <c r="AE69" s="31" t="inlineStr">
        <is>
          <t>Neutral Elo baseline; executable ask 0.3500 (market_slug=aec-dota2-hul-lynx-2026-08-29).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Team Lynx</t>
        </is>
      </c>
      <c r="AQ69" s="24" t="inlineStr">
        <is>
          <t>Team Lynx</t>
        </is>
      </c>
      <c r="AR69" s="24" t="inlineStr">
        <is>
          <t>Team Lynx</t>
        </is>
      </c>
      <c r="AS69" s="24" t="inlineStr">
        <is>
          <t>HULIGANI</t>
        </is>
      </c>
      <c r="AT69" s="24" t="inlineStr">
        <is>
          <t>HULIGANI</t>
        </is>
      </c>
      <c r="AU69" s="24" t="inlineStr">
        <is>
          <t>HULIGANI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fd881fdb1437a021a0706a193c0f0fe728f0b778144e270ca83bc15d0913b3c7</t>
        </is>
      </c>
      <c r="BB69" s="24" t="inlineStr">
        <is>
          <t>neutral_elo</t>
        </is>
      </c>
      <c r="BC69" s="24" t="inlineStr">
        <is>
          <t>dota2-tiered-elo-v6</t>
        </is>
      </c>
      <c r="BD69" s="24" t="inlineStr">
        <is>
          <t>fd881fdb1437a021a0706a193c0f0fe728f0b778144e270ca83bc15d0913b3c7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dota2-tiered-elo-v6</t>
        </is>
      </c>
      <c r="BH69" s="24" t="inlineStr">
        <is>
          <t>2026-08-29T12:43:13.624228Z</t>
        </is>
      </c>
      <c r="BI69" s="24" t="inlineStr">
        <is>
          <t>["same_event","same_team_same_day","same_league_same_day"]</t>
        </is>
      </c>
      <c r="BJ69" s="25" t="n"/>
      <c r="BK69" s="26" t="n">
        <v>186</v>
      </c>
      <c r="BL69" s="27" t="n">
        <v>2.86</v>
      </c>
      <c r="BM69" s="28" t="n">
        <v>0.34965</v>
      </c>
      <c r="BN69" s="28" t="n"/>
      <c r="BO69" s="28" t="n"/>
      <c r="BP69" s="25" t="n"/>
      <c r="BQ69" s="27" t="n">
        <v>2.86</v>
      </c>
      <c r="BR69" s="28" t="n">
        <v>0.35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0.34965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64c048317a18438f</t>
        </is>
      </c>
      <c r="B70" s="24" t="inlineStr">
        <is>
          <t>2026-08-29T12:43:15.842350Z</t>
        </is>
      </c>
      <c r="C70" s="24" t="inlineStr">
        <is>
          <t>2026-08-29T16:00:00Z</t>
        </is>
      </c>
      <c r="D70" s="24" t="inlineStr">
        <is>
          <t>94955</t>
        </is>
      </c>
      <c r="E70" s="24" t="inlineStr">
        <is>
          <t>DOTA2</t>
        </is>
      </c>
      <c r="F70" s="24" t="inlineStr">
        <is>
          <t>PuckChamp</t>
        </is>
      </c>
      <c r="G70" s="24" t="inlineStr">
        <is>
          <t>Team Synapse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-133</v>
      </c>
      <c r="M70" s="27" t="n">
        <v>1.75188</v>
      </c>
      <c r="N70" s="28" t="n">
        <v>0.570815</v>
      </c>
      <c r="O70" s="28" t="n">
        <v>0.6132570000000001</v>
      </c>
      <c r="P70" s="28" t="n"/>
      <c r="Q70" s="28" t="n">
        <v>0.042442</v>
      </c>
      <c r="R70" s="26" t="n">
        <v>41</v>
      </c>
      <c r="S70" s="29" t="n">
        <v>1</v>
      </c>
      <c r="T70" s="24" t="inlineStr">
        <is>
          <t>dota2-tiered-elo-v6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-133</v>
      </c>
      <c r="AA70" s="28" t="n">
        <v>0.57</v>
      </c>
      <c r="AB70" s="28" t="n">
        <v>-0.000815</v>
      </c>
      <c r="AC70" s="30" t="n">
        <v>0.7519</v>
      </c>
      <c r="AD70" s="24" t="inlineStr">
        <is>
          <t>2026-08-30T03:31:07.600261Z</t>
        </is>
      </c>
      <c r="AE70" s="31" t="inlineStr">
        <is>
          <t>Neutral Elo baseline; executable ask 0.5700 (market_slug=aec-dota2-tsea-pckcp-2026-08-29).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PuckChamp</t>
        </is>
      </c>
      <c r="AQ70" s="24" t="inlineStr">
        <is>
          <t>PuckChamp</t>
        </is>
      </c>
      <c r="AR70" s="24" t="inlineStr">
        <is>
          <t>PuckChamp</t>
        </is>
      </c>
      <c r="AS70" s="24" t="inlineStr">
        <is>
          <t>Team Synapse</t>
        </is>
      </c>
      <c r="AT70" s="24" t="inlineStr">
        <is>
          <t>Team Synapse</t>
        </is>
      </c>
      <c r="AU70" s="24" t="inlineStr">
        <is>
          <t>Team Synapse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fd881fdb1437a021a0706a193c0f0fe728f0b778144e270ca83bc15d0913b3c7</t>
        </is>
      </c>
      <c r="BB70" s="24" t="inlineStr">
        <is>
          <t>neutral_elo</t>
        </is>
      </c>
      <c r="BC70" s="24" t="inlineStr">
        <is>
          <t>dota2-tiered-elo-v6</t>
        </is>
      </c>
      <c r="BD70" s="24" t="inlineStr">
        <is>
          <t>fd881fdb1437a021a0706a193c0f0fe728f0b778144e270ca83bc15d0913b3c7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dota2-tiered-elo-v6</t>
        </is>
      </c>
      <c r="BH70" s="24" t="inlineStr">
        <is>
          <t>2026-08-29T12:43:14.313284Z</t>
        </is>
      </c>
      <c r="BI70" s="24" t="inlineStr">
        <is>
          <t>["same_event","same_team_same_day","same_league_same_day"]</t>
        </is>
      </c>
      <c r="BJ70" s="25" t="n"/>
      <c r="BK70" s="26" t="n">
        <v>-133</v>
      </c>
      <c r="BL70" s="27" t="n">
        <v>1.75188</v>
      </c>
      <c r="BM70" s="28" t="n">
        <v>0.570815</v>
      </c>
      <c r="BN70" s="28" t="n"/>
      <c r="BO70" s="28" t="n"/>
      <c r="BP70" s="25" t="n"/>
      <c r="BQ70" s="27" t="n">
        <v>1.75188</v>
      </c>
      <c r="BR70" s="28" t="n">
        <v>0.57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0.570815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15be1c716e664149</t>
        </is>
      </c>
      <c r="B71" s="24" t="inlineStr">
        <is>
          <t>2026-08-29T16:05:47.044268Z</t>
        </is>
      </c>
      <c r="C71" s="24" t="inlineStr">
        <is>
          <t>2026-08-29T17:00:00Z</t>
        </is>
      </c>
      <c r="D71" s="24" t="inlineStr">
        <is>
          <t>94960</t>
        </is>
      </c>
      <c r="E71" s="24" t="inlineStr">
        <is>
          <t>DOTA2</t>
        </is>
      </c>
      <c r="F71" s="24" t="inlineStr">
        <is>
          <t>Level UP</t>
        </is>
      </c>
      <c r="G71" s="24" t="inlineStr">
        <is>
          <t xml:space="preserve"> Pipsqueak+4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0.676331</v>
      </c>
      <c r="P71" s="28" t="n"/>
      <c r="Q71" s="28" t="n">
        <v>0.225881</v>
      </c>
      <c r="R71" s="26" t="n">
        <v>100</v>
      </c>
      <c r="S71" s="29" t="n">
        <v>2</v>
      </c>
      <c r="T71" s="24" t="inlineStr">
        <is>
          <t>dota2-tiered-elo-v6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1</v>
      </c>
      <c r="X71" s="26" t="n">
        <v>0</v>
      </c>
      <c r="Y71" s="25" t="n"/>
      <c r="Z71" s="26" t="n">
        <v>122</v>
      </c>
      <c r="AA71" s="28" t="n">
        <v>0.45</v>
      </c>
      <c r="AB71" s="28" t="n">
        <v>-0.00045</v>
      </c>
      <c r="AC71" s="30" t="n">
        <v>2.44</v>
      </c>
      <c r="AD71" s="24" t="inlineStr">
        <is>
          <t>2026-08-30T03:31:08.047071Z</t>
        </is>
      </c>
      <c r="AE71" s="31" t="inlineStr">
        <is>
          <t>Neutral Elo baseline; executable ask 0.4500 (market_slug=aec-dota2-pips4-lvlup-2026-08-29).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Level UP</t>
        </is>
      </c>
      <c r="AQ71" s="24" t="inlineStr">
        <is>
          <t>Level UP</t>
        </is>
      </c>
      <c r="AR71" s="24" t="inlineStr">
        <is>
          <t>Level UP</t>
        </is>
      </c>
      <c r="AS71" s="24" t="inlineStr">
        <is>
          <t xml:space="preserve"> Pipsqueak+4</t>
        </is>
      </c>
      <c r="AT71" s="24" t="inlineStr">
        <is>
          <t xml:space="preserve"> Pipsqueak+4</t>
        </is>
      </c>
      <c r="AU71" s="24" t="inlineStr">
        <is>
          <t xml:space="preserve"> Pipsqueak+4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e66a4a4fd46eb7dceedd4e26c842b11ac959d0545f204856f3abe2530f51a243</t>
        </is>
      </c>
      <c r="BB71" s="24" t="inlineStr">
        <is>
          <t>neutral_elo</t>
        </is>
      </c>
      <c r="BC71" s="24" t="inlineStr">
        <is>
          <t>dota2-tiered-elo-v6</t>
        </is>
      </c>
      <c r="BD71" s="24" t="inlineStr">
        <is>
          <t>e66a4a4fd46eb7dceedd4e26c842b11ac959d0545f204856f3abe2530f51a243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dota2-tiered-elo-v6</t>
        </is>
      </c>
      <c r="BH71" s="24" t="inlineStr">
        <is>
          <t>2026-08-29T16:05:46.757082Z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>
        <v>2.22</v>
      </c>
      <c r="BR71" s="28" t="n">
        <v>0.45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0.45045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225bf38e04c54691</t>
        </is>
      </c>
      <c r="B72" s="24" t="inlineStr">
        <is>
          <t>2026-08-29T16:05:47.044268Z</t>
        </is>
      </c>
      <c r="C72" s="24" t="inlineStr">
        <is>
          <t>2026-08-29T19:00:00Z</t>
        </is>
      </c>
      <c r="D72" s="24" t="inlineStr">
        <is>
          <t>94980</t>
        </is>
      </c>
      <c r="E72" s="24" t="inlineStr">
        <is>
          <t>DOTA2</t>
        </is>
      </c>
      <c r="F72" s="24" t="inlineStr">
        <is>
          <t>Spirit Academy</t>
        </is>
      </c>
      <c r="G72" s="24" t="inlineStr">
        <is>
          <t>Klim Sani4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-223</v>
      </c>
      <c r="M72" s="27" t="n">
        <v>1.44843</v>
      </c>
      <c r="N72" s="28" t="n">
        <v>0.690402</v>
      </c>
      <c r="O72" s="28" t="n">
        <v>0.6129829999999999</v>
      </c>
      <c r="P72" s="28" t="n"/>
      <c r="Q72" s="28" t="n">
        <v>-0.077419</v>
      </c>
      <c r="R72" s="26" t="n">
        <v>0</v>
      </c>
      <c r="S72" s="29" t="n">
        <v>1</v>
      </c>
      <c r="T72" s="24" t="inlineStr">
        <is>
          <t>dota2-tiered-elo-v6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-223</v>
      </c>
      <c r="AA72" s="28" t="n">
        <v>0.6899999999999999</v>
      </c>
      <c r="AB72" s="28" t="n">
        <v>-0.000402</v>
      </c>
      <c r="AC72" s="30" t="n">
        <v>0.4484</v>
      </c>
      <c r="AD72" s="24" t="inlineStr">
        <is>
          <t>2026-08-30T03:31:08.525566Z</t>
        </is>
      </c>
      <c r="AE72" s="31" t="inlineStr">
        <is>
          <t>Neutral Elo baseline; executable ask 0.6900 (market_slug=aec-dota2-ks-tsa-2026-08-29).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Spirit Academy</t>
        </is>
      </c>
      <c r="AQ72" s="24" t="inlineStr">
        <is>
          <t>Spirit Academy</t>
        </is>
      </c>
      <c r="AR72" s="24" t="inlineStr">
        <is>
          <t>Spirit Academy</t>
        </is>
      </c>
      <c r="AS72" s="24" t="inlineStr">
        <is>
          <t>Klim Sani4</t>
        </is>
      </c>
      <c r="AT72" s="24" t="inlineStr">
        <is>
          <t>Klim Sani4</t>
        </is>
      </c>
      <c r="AU72" s="24" t="inlineStr">
        <is>
          <t>Klim Sani4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e66a4a4fd46eb7dceedd4e26c842b11ac959d0545f204856f3abe2530f51a243</t>
        </is>
      </c>
      <c r="BB72" s="24" t="inlineStr">
        <is>
          <t>neutral_elo</t>
        </is>
      </c>
      <c r="BC72" s="24" t="inlineStr">
        <is>
          <t>dota2-tiered-elo-v6</t>
        </is>
      </c>
      <c r="BD72" s="24" t="inlineStr">
        <is>
          <t>e66a4a4fd46eb7dceedd4e26c842b11ac959d0545f204856f3abe2530f51a243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dota2-tiered-elo-v6</t>
        </is>
      </c>
      <c r="BH72" s="24" t="inlineStr">
        <is>
          <t>2026-08-29T16:05:46.872813Z</t>
        </is>
      </c>
      <c r="BI72" s="24" t="inlineStr">
        <is>
          <t>["same_event","same_team_same_day","same_league_same_day"]</t>
        </is>
      </c>
      <c r="BJ72" s="25" t="n"/>
      <c r="BK72" s="26" t="n">
        <v>-223</v>
      </c>
      <c r="BL72" s="27" t="n">
        <v>1.44843</v>
      </c>
      <c r="BM72" s="28" t="n">
        <v>0.690402</v>
      </c>
      <c r="BN72" s="28" t="n"/>
      <c r="BO72" s="28" t="n"/>
      <c r="BP72" s="25" t="n"/>
      <c r="BQ72" s="27" t="n">
        <v>1.44843</v>
      </c>
      <c r="BR72" s="28" t="n">
        <v>0.6899999999999999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0.690402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5789933888c64803</t>
        </is>
      </c>
      <c r="B73" s="24" t="inlineStr">
        <is>
          <t>2026-08-31T04:43:52.709032Z</t>
        </is>
      </c>
      <c r="C73" s="24" t="inlineStr">
        <is>
          <t>2026-08-31T12:00:00Z</t>
        </is>
      </c>
      <c r="D73" s="24" t="inlineStr">
        <is>
          <t>97036</t>
        </is>
      </c>
      <c r="E73" s="24" t="inlineStr">
        <is>
          <t>DOTA2</t>
        </is>
      </c>
      <c r="F73" s="24" t="inlineStr">
        <is>
          <t>Team Lynx</t>
        </is>
      </c>
      <c r="G73" s="24" t="inlineStr">
        <is>
          <t>Team Synapse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-144</v>
      </c>
      <c r="M73" s="27" t="n">
        <v>1.694444</v>
      </c>
      <c r="N73" s="28" t="n">
        <v>0.590164</v>
      </c>
      <c r="O73" s="28" t="n">
        <v>0.526311</v>
      </c>
      <c r="P73" s="28" t="n"/>
      <c r="Q73" s="28" t="n">
        <v>-0.06385299999999999</v>
      </c>
      <c r="R73" s="26" t="n">
        <v>0</v>
      </c>
      <c r="S73" s="29" t="n">
        <v>1</v>
      </c>
      <c r="T73" s="24" t="inlineStr">
        <is>
          <t>dota2-tiered-elo-v6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0</v>
      </c>
      <c r="X73" s="26" t="n">
        <v>1</v>
      </c>
      <c r="Y73" s="25" t="n"/>
      <c r="Z73" s="26" t="n">
        <v>-144</v>
      </c>
      <c r="AA73" s="28" t="n">
        <v>0.59</v>
      </c>
      <c r="AB73" s="28" t="n">
        <v>-0.000164</v>
      </c>
      <c r="AC73" s="30" t="n">
        <v>-1</v>
      </c>
      <c r="AD73" s="24" t="inlineStr">
        <is>
          <t>2026-09-01T04:39:21.532153Z</t>
        </is>
      </c>
      <c r="AE73" s="31" t="inlineStr">
        <is>
          <t>Neutral Elo baseline; executable ask 0.5900 (market_slug=aec-dota2-tsea-lynx-2026-08-31).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Team Lynx</t>
        </is>
      </c>
      <c r="AQ73" s="24" t="inlineStr">
        <is>
          <t>Team Lynx</t>
        </is>
      </c>
      <c r="AR73" s="24" t="inlineStr">
        <is>
          <t>Team Lynx</t>
        </is>
      </c>
      <c r="AS73" s="24" t="inlineStr">
        <is>
          <t>Team Synapse</t>
        </is>
      </c>
      <c r="AT73" s="24" t="inlineStr">
        <is>
          <t>Team Synapse</t>
        </is>
      </c>
      <c r="AU73" s="24" t="inlineStr">
        <is>
          <t>Team Synapse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04d3b05228f24eeccae7ece33461db49de63bc3a9fbaf298c3e05729b01a848f</t>
        </is>
      </c>
      <c r="BB73" s="24" t="inlineStr">
        <is>
          <t>neutral_elo</t>
        </is>
      </c>
      <c r="BC73" s="24" t="inlineStr">
        <is>
          <t>dota2-tiered-elo-v6</t>
        </is>
      </c>
      <c r="BD73" s="24" t="inlineStr">
        <is>
          <t>04d3b05228f24eeccae7ece33461db49de63bc3a9fbaf298c3e05729b01a848f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dota2-tiered-elo-v6</t>
        </is>
      </c>
      <c r="BH73" s="24" t="inlineStr">
        <is>
          <t>2026-08-31T04:43:51.802632Z</t>
        </is>
      </c>
      <c r="BI73" s="24" t="inlineStr">
        <is>
          <t>["same_event","same_team_same_day","same_league_same_day"]</t>
        </is>
      </c>
      <c r="BJ73" s="25" t="n"/>
      <c r="BK73" s="26" t="n">
        <v>-144</v>
      </c>
      <c r="BL73" s="27" t="n">
        <v>1.694444</v>
      </c>
      <c r="BM73" s="28" t="n">
        <v>0.590164</v>
      </c>
      <c r="BN73" s="28" t="n"/>
      <c r="BO73" s="28" t="n"/>
      <c r="BP73" s="25" t="n"/>
      <c r="BQ73" s="27" t="n">
        <v>1.694444</v>
      </c>
      <c r="BR73" s="28" t="n">
        <v>0.59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0.590164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d7c036796c80428f</t>
        </is>
      </c>
      <c r="B74" s="24" t="inlineStr">
        <is>
          <t>2026-08-31T04:43:52.709032Z</t>
        </is>
      </c>
      <c r="C74" s="24" t="inlineStr">
        <is>
          <t>2026-08-31T15:00:00Z</t>
        </is>
      </c>
      <c r="D74" s="24" t="inlineStr">
        <is>
          <t>97279</t>
        </is>
      </c>
      <c r="E74" s="24" t="inlineStr">
        <is>
          <t>DOTA2</t>
        </is>
      </c>
      <c r="F74" s="24" t="inlineStr">
        <is>
          <t>Inner Circle x Insanity</t>
        </is>
      </c>
      <c r="G74" s="24" t="inlineStr">
        <is>
          <t>4ikibamboni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-138</v>
      </c>
      <c r="M74" s="27" t="n">
        <v>1.724638</v>
      </c>
      <c r="N74" s="28" t="n">
        <v>0.579832</v>
      </c>
      <c r="O74" s="28" t="n">
        <v>0.501593</v>
      </c>
      <c r="P74" s="28" t="n"/>
      <c r="Q74" s="28" t="n">
        <v>-0.078239</v>
      </c>
      <c r="R74" s="26" t="n">
        <v>0</v>
      </c>
      <c r="S74" s="29" t="n">
        <v>1</v>
      </c>
      <c r="T74" s="24" t="inlineStr">
        <is>
          <t>dota2-tiered-elo-v6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-138</v>
      </c>
      <c r="AA74" s="28" t="n">
        <v>0.58</v>
      </c>
      <c r="AB74" s="28" t="n">
        <v>0.000168</v>
      </c>
      <c r="AC74" s="30" t="n">
        <v>-1</v>
      </c>
      <c r="AD74" s="24" t="inlineStr">
        <is>
          <t>2026-09-01T04:39:21.895151Z</t>
        </is>
      </c>
      <c r="AE74" s="31" t="inlineStr">
        <is>
          <t>Neutral Elo baseline; executable ask 0.5800 (market_slug=aec-dota2-4iki-icxi-2026-08-31).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Inner Circle x Insanity</t>
        </is>
      </c>
      <c r="AQ74" s="24" t="inlineStr">
        <is>
          <t>Inner Circle x Insanity</t>
        </is>
      </c>
      <c r="AR74" s="24" t="inlineStr">
        <is>
          <t>Inner Circle x Insanity</t>
        </is>
      </c>
      <c r="AS74" s="24" t="inlineStr">
        <is>
          <t>4ikibamboni</t>
        </is>
      </c>
      <c r="AT74" s="24" t="inlineStr">
        <is>
          <t>4ikibamboni</t>
        </is>
      </c>
      <c r="AU74" s="24" t="inlineStr">
        <is>
          <t>4ikibamboni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04d3b05228f24eeccae7ece33461db49de63bc3a9fbaf298c3e05729b01a848f</t>
        </is>
      </c>
      <c r="BB74" s="24" t="inlineStr">
        <is>
          <t>neutral_elo</t>
        </is>
      </c>
      <c r="BC74" s="24" t="inlineStr">
        <is>
          <t>dota2-tiered-elo-v6</t>
        </is>
      </c>
      <c r="BD74" s="24" t="inlineStr">
        <is>
          <t>04d3b05228f24eeccae7ece33461db49de63bc3a9fbaf298c3e05729b01a848f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dota2-tiered-elo-v6</t>
        </is>
      </c>
      <c r="BH74" s="24" t="inlineStr">
        <is>
          <t>2026-08-31T04:43:51.870472Z</t>
        </is>
      </c>
      <c r="BI74" s="24" t="inlineStr">
        <is>
          <t>["same_event","same_team_same_day","same_league_same_day"]</t>
        </is>
      </c>
      <c r="BJ74" s="25" t="n"/>
      <c r="BK74" s="26" t="n">
        <v>-138</v>
      </c>
      <c r="BL74" s="27" t="n">
        <v>1.724638</v>
      </c>
      <c r="BM74" s="28" t="n">
        <v>0.579832</v>
      </c>
      <c r="BN74" s="28" t="n"/>
      <c r="BO74" s="28" t="n"/>
      <c r="BP74" s="25" t="n"/>
      <c r="BQ74" s="27" t="n">
        <v>1.724638</v>
      </c>
      <c r="BR74" s="28" t="n">
        <v>0.58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0.579832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75bb454e04504f70</t>
        </is>
      </c>
      <c r="B75" s="24" t="inlineStr">
        <is>
          <t>2026-09-01T04:43:41.962596Z</t>
        </is>
      </c>
      <c r="C75" s="24" t="inlineStr">
        <is>
          <t>2026-09-01T12:00:00Z</t>
        </is>
      </c>
      <c r="D75" s="24" t="inlineStr">
        <is>
          <t>97040</t>
        </is>
      </c>
      <c r="E75" s="24" t="inlineStr">
        <is>
          <t>DOTA2</t>
        </is>
      </c>
      <c r="F75" s="24" t="inlineStr">
        <is>
          <t>Team Lynx</t>
        </is>
      </c>
      <c r="G75" s="24" t="inlineStr">
        <is>
          <t>Inner Circle x Insanity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-203</v>
      </c>
      <c r="M75" s="27" t="n">
        <v>1.492611</v>
      </c>
      <c r="N75" s="28" t="n">
        <v>0.669967</v>
      </c>
      <c r="O75" s="28" t="n">
        <v>0.532567</v>
      </c>
      <c r="P75" s="28" t="n"/>
      <c r="Q75" s="28" t="n">
        <v>-0.1374</v>
      </c>
      <c r="R75" s="26" t="n">
        <v>0</v>
      </c>
      <c r="S75" s="29" t="n">
        <v>1</v>
      </c>
      <c r="T75" s="24" t="inlineStr">
        <is>
          <t>dota2-tiered-elo-v6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0</v>
      </c>
      <c r="X75" s="26" t="n">
        <v>1</v>
      </c>
      <c r="Y75" s="25" t="n"/>
      <c r="Z75" s="26" t="n">
        <v>-203</v>
      </c>
      <c r="AA75" s="28" t="n">
        <v>0.67</v>
      </c>
      <c r="AB75" s="28" t="n">
        <v>3.3e-05</v>
      </c>
      <c r="AC75" s="30" t="n">
        <v>-1</v>
      </c>
      <c r="AD75" s="24" t="inlineStr">
        <is>
          <t>2026-09-01T16:00:42.577342Z</t>
        </is>
      </c>
      <c r="AE75" s="31" t="inlineStr">
        <is>
          <t>Neutral Elo baseline; executable ask 0.6700 (market_slug=aec-dota2-icxi-lynx-2026-09-01).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Team Lynx</t>
        </is>
      </c>
      <c r="AQ75" s="24" t="inlineStr">
        <is>
          <t>Team Lynx</t>
        </is>
      </c>
      <c r="AR75" s="24" t="inlineStr">
        <is>
          <t>Team Lynx</t>
        </is>
      </c>
      <c r="AS75" s="24" t="inlineStr">
        <is>
          <t>Inner Circle x Insanity</t>
        </is>
      </c>
      <c r="AT75" s="24" t="inlineStr">
        <is>
          <t>Inner Circle x Insanity</t>
        </is>
      </c>
      <c r="AU75" s="24" t="inlineStr">
        <is>
          <t>Inner Circle x Insanity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085f52f72492d465a10e2346da8d071afe10f7da993d3f603d9169e95b0ab9f6</t>
        </is>
      </c>
      <c r="BB75" s="24" t="inlineStr">
        <is>
          <t>neutral_elo</t>
        </is>
      </c>
      <c r="BC75" s="24" t="inlineStr">
        <is>
          <t>dota2-tiered-elo-v6</t>
        </is>
      </c>
      <c r="BD75" s="24" t="inlineStr">
        <is>
          <t>085f52f72492d465a10e2346da8d071afe10f7da993d3f603d9169e95b0ab9f6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dota2-tiered-elo-v6</t>
        </is>
      </c>
      <c r="BH75" s="24" t="inlineStr">
        <is>
          <t>2026-09-01T04:43:39.942068Z</t>
        </is>
      </c>
      <c r="BI75" s="24" t="inlineStr">
        <is>
          <t>["same_event","same_team_same_day","same_league_same_day"]</t>
        </is>
      </c>
      <c r="BJ75" s="25" t="n"/>
      <c r="BK75" s="26" t="n">
        <v>-203</v>
      </c>
      <c r="BL75" s="27" t="n">
        <v>1.492611</v>
      </c>
      <c r="BM75" s="28" t="n">
        <v>0.669967</v>
      </c>
      <c r="BN75" s="28" t="n"/>
      <c r="BO75" s="28" t="n"/>
      <c r="BP75" s="25" t="n"/>
      <c r="BQ75" s="27" t="n">
        <v>1.492611</v>
      </c>
      <c r="BR75" s="28" t="n">
        <v>0.67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False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0.669967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2434131a6f3c4c6a</t>
        </is>
      </c>
      <c r="B76" s="24" t="inlineStr">
        <is>
          <t>2026-09-02T04:39:22.950327Z</t>
        </is>
      </c>
      <c r="C76" s="24" t="inlineStr">
        <is>
          <t>2026-09-02T15:00:00Z</t>
        </is>
      </c>
      <c r="D76" s="24" t="inlineStr">
        <is>
          <t>97475</t>
        </is>
      </c>
      <c r="E76" s="24" t="inlineStr">
        <is>
          <t>DOTA2</t>
        </is>
      </c>
      <c r="F76" s="24" t="inlineStr">
        <is>
          <t>4ikibamboni</t>
        </is>
      </c>
      <c r="G76" s="24" t="inlineStr">
        <is>
          <t>Team Synapse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-163</v>
      </c>
      <c r="M76" s="27" t="n">
        <v>1.613497</v>
      </c>
      <c r="N76" s="28" t="n">
        <v>0.619772</v>
      </c>
      <c r="O76" s="28" t="n">
        <v>0.6857490000000001</v>
      </c>
      <c r="P76" s="28" t="n"/>
      <c r="Q76" s="28" t="n">
        <v>0.06597699999999999</v>
      </c>
      <c r="R76" s="26" t="n">
        <v>53</v>
      </c>
      <c r="S76" s="29" t="n">
        <v>1</v>
      </c>
      <c r="T76" s="24" t="inlineStr">
        <is>
          <t>dota2-tiered-elo-v6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>
        <v>-163</v>
      </c>
      <c r="AA76" s="28" t="n">
        <v>0.62</v>
      </c>
      <c r="AB76" s="28" t="n">
        <v>0.000228</v>
      </c>
      <c r="AC76" s="30" t="n">
        <v>0.6135</v>
      </c>
      <c r="AD76" s="24" t="inlineStr">
        <is>
          <t>2026-09-03T04:32:40.155178Z</t>
        </is>
      </c>
      <c r="AE76" s="31" t="inlineStr">
        <is>
          <t>Neutral Elo baseline; executable ask 0.6200 (market_slug=aec-dota2-tsea-4iki-2026-09-02).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4ikibamboni</t>
        </is>
      </c>
      <c r="AQ76" s="24" t="inlineStr">
        <is>
          <t>4ikibamboni</t>
        </is>
      </c>
      <c r="AR76" s="24" t="inlineStr">
        <is>
          <t>4ikibamboni</t>
        </is>
      </c>
      <c r="AS76" s="24" t="inlineStr">
        <is>
          <t>Team Synapse</t>
        </is>
      </c>
      <c r="AT76" s="24" t="inlineStr">
        <is>
          <t>Team Synapse</t>
        </is>
      </c>
      <c r="AU76" s="24" t="inlineStr">
        <is>
          <t>Team Synapse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9f6943e5c3cd352131e06c66f99c54c4dde50af740e8c1beaee8dcbffb582a73</t>
        </is>
      </c>
      <c r="BB76" s="24" t="inlineStr">
        <is>
          <t>neutral_elo</t>
        </is>
      </c>
      <c r="BC76" s="24" t="inlineStr">
        <is>
          <t>dota2-tiered-elo-v6</t>
        </is>
      </c>
      <c r="BD76" s="24" t="inlineStr">
        <is>
          <t>9f6943e5c3cd352131e06c66f99c54c4dde50af740e8c1beaee8dcbffb582a73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dota2-tiered-elo-v6</t>
        </is>
      </c>
      <c r="BH76" s="24" t="inlineStr">
        <is>
          <t>2026-09-02T04:39:22.600063Z</t>
        </is>
      </c>
      <c r="BI76" s="24" t="inlineStr">
        <is>
          <t>["same_event","same_team_same_day","same_league_same_day"]</t>
        </is>
      </c>
      <c r="BJ76" s="25" t="n"/>
      <c r="BK76" s="26" t="n">
        <v>-163</v>
      </c>
      <c r="BL76" s="27" t="n">
        <v>1.613497</v>
      </c>
      <c r="BM76" s="28" t="n">
        <v>0.619772</v>
      </c>
      <c r="BN76" s="28" t="n"/>
      <c r="BO76" s="28" t="n"/>
      <c r="BP76" s="25" t="n"/>
      <c r="BQ76" s="27" t="n">
        <v>1.613497</v>
      </c>
      <c r="BR76" s="28" t="n">
        <v>0.62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0.619772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d67e067ad54148e7</t>
        </is>
      </c>
      <c r="B77" s="24" t="inlineStr">
        <is>
          <t>2026-09-02T16:09:40.588363Z</t>
        </is>
      </c>
      <c r="C77" s="24" t="inlineStr">
        <is>
          <t>2026-09-02T18:00:00Z</t>
        </is>
      </c>
      <c r="D77" s="24" t="inlineStr">
        <is>
          <t>97476</t>
        </is>
      </c>
      <c r="E77" s="24" t="inlineStr">
        <is>
          <t>DOTA2</t>
        </is>
      </c>
      <c r="F77" s="24" t="inlineStr">
        <is>
          <t>Team Lynx</t>
        </is>
      </c>
      <c r="G77" s="24" t="inlineStr">
        <is>
          <t>Level UP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-138</v>
      </c>
      <c r="M77" s="27" t="n">
        <v>1.724638</v>
      </c>
      <c r="N77" s="28" t="n">
        <v>0.579832</v>
      </c>
      <c r="O77" s="28" t="n">
        <v>0.7460869999999999</v>
      </c>
      <c r="P77" s="28" t="n"/>
      <c r="Q77" s="28" t="n">
        <v>0.166255</v>
      </c>
      <c r="R77" s="26" t="n">
        <v>100</v>
      </c>
      <c r="S77" s="29" t="n">
        <v>1.75</v>
      </c>
      <c r="T77" s="24" t="inlineStr">
        <is>
          <t>dota2-tiered-elo-v6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-138</v>
      </c>
      <c r="AA77" s="28" t="n">
        <v>0.58</v>
      </c>
      <c r="AB77" s="28" t="n">
        <v>0.000168</v>
      </c>
      <c r="AC77" s="30" t="n">
        <v>-1.75</v>
      </c>
      <c r="AD77" s="24" t="inlineStr">
        <is>
          <t>2026-09-06T22:01:43.265290Z</t>
        </is>
      </c>
      <c r="AE77" s="31" t="inlineStr">
        <is>
          <t>Neutral Elo baseline; executable ask 0.5800 (market_slug=aec-dota2-lvlup-lynx-2026-09-02).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Team Lynx</t>
        </is>
      </c>
      <c r="AQ77" s="24" t="inlineStr">
        <is>
          <t>Team Lynx</t>
        </is>
      </c>
      <c r="AR77" s="24" t="inlineStr">
        <is>
          <t>Team Lynx</t>
        </is>
      </c>
      <c r="AS77" s="24" t="inlineStr">
        <is>
          <t>Level UP</t>
        </is>
      </c>
      <c r="AT77" s="24" t="inlineStr">
        <is>
          <t>Level UP</t>
        </is>
      </c>
      <c r="AU77" s="24" t="inlineStr">
        <is>
          <t>Level UP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b57042868d22b6bfe9547f58b362099a1ca197cbaef5fe68dc21128616c502b9</t>
        </is>
      </c>
      <c r="BB77" s="24" t="inlineStr">
        <is>
          <t>neutral_elo</t>
        </is>
      </c>
      <c r="BC77" s="24" t="inlineStr">
        <is>
          <t>dota2-tiered-elo-v6</t>
        </is>
      </c>
      <c r="BD77" s="24" t="inlineStr">
        <is>
          <t>b57042868d22b6bfe9547f58b362099a1ca197cbaef5fe68dc21128616c502b9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dota2-tiered-elo-v6</t>
        </is>
      </c>
      <c r="BH77" s="24" t="inlineStr">
        <is>
          <t>2026-09-02T16:09:38.678727Z</t>
        </is>
      </c>
      <c r="BI77" s="24" t="inlineStr">
        <is>
          <t>["same_event","same_team_same_day","same_league_same_day"]</t>
        </is>
      </c>
      <c r="BJ77" s="25" t="n"/>
      <c r="BK77" s="26" t="n">
        <v>-138</v>
      </c>
      <c r="BL77" s="27" t="n">
        <v>1.724638</v>
      </c>
      <c r="BM77" s="28" t="n">
        <v>0.579832</v>
      </c>
      <c r="BN77" s="28" t="n"/>
      <c r="BO77" s="28" t="n"/>
      <c r="BP77" s="25" t="n"/>
      <c r="BQ77" s="27" t="n">
        <v>1.724638</v>
      </c>
      <c r="BR77" s="28" t="n">
        <v>0.58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0.579832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5a2060f6e37e478f</t>
        </is>
      </c>
      <c r="B78" s="24" t="inlineStr">
        <is>
          <t>2026-09-03T04:36:13.527966Z</t>
        </is>
      </c>
      <c r="C78" s="24" t="inlineStr">
        <is>
          <t>2026-09-03T09:00:00Z</t>
        </is>
      </c>
      <c r="D78" s="24" t="inlineStr">
        <is>
          <t>100689</t>
        </is>
      </c>
      <c r="E78" s="24" t="inlineStr">
        <is>
          <t>DOTA2</t>
        </is>
      </c>
      <c r="F78" s="24" t="inlineStr">
        <is>
          <t>InterActive Philippines</t>
        </is>
      </c>
      <c r="G78" s="24" t="inlineStr">
        <is>
          <t>ЯЧЁ123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108</v>
      </c>
      <c r="M78" s="27" t="n">
        <v>2.08</v>
      </c>
      <c r="N78" s="28" t="n">
        <v>0.480769</v>
      </c>
      <c r="O78" s="28" t="n">
        <v>0.556051</v>
      </c>
      <c r="P78" s="28" t="n"/>
      <c r="Q78" s="28" t="n">
        <v>0.075282</v>
      </c>
      <c r="R78" s="26" t="n">
        <v>58</v>
      </c>
      <c r="S78" s="29" t="n">
        <v>1.25</v>
      </c>
      <c r="T78" s="24" t="inlineStr">
        <is>
          <t>dota2-tiered-elo-v6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0</v>
      </c>
      <c r="Y78" s="25" t="n"/>
      <c r="Z78" s="26" t="n">
        <v>108</v>
      </c>
      <c r="AA78" s="28" t="n">
        <v>0.48</v>
      </c>
      <c r="AB78" s="28" t="n">
        <v>-0.000769</v>
      </c>
      <c r="AC78" s="30" t="n">
        <v>-1.25</v>
      </c>
      <c r="AD78" s="24" t="inlineStr">
        <is>
          <t>2026-09-03T16:07:35.925430Z</t>
        </is>
      </c>
      <c r="AE78" s="31" t="inlineStr">
        <is>
          <t>Neutral Elo baseline; executable ask 0.4800 (market_slug=aec-dota2-y123-iac-2026-09-03).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InterActive Philippines</t>
        </is>
      </c>
      <c r="AQ78" s="24" t="inlineStr">
        <is>
          <t>InterActive Philippines</t>
        </is>
      </c>
      <c r="AR78" s="24" t="inlineStr">
        <is>
          <t>InterActive Philippines</t>
        </is>
      </c>
      <c r="AS78" s="24" t="inlineStr">
        <is>
          <t>ЯЧЁ123</t>
        </is>
      </c>
      <c r="AT78" s="24" t="inlineStr">
        <is>
          <t>ЯЧЁ123</t>
        </is>
      </c>
      <c r="AU78" s="24" t="inlineStr">
        <is>
          <t>ЯЧЁ123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dd6a397de36e1809b437ccb67ed4aafbb9421e20c410a6398991ed1ec444365e</t>
        </is>
      </c>
      <c r="BB78" s="24" t="inlineStr">
        <is>
          <t>neutral_elo</t>
        </is>
      </c>
      <c r="BC78" s="24" t="inlineStr">
        <is>
          <t>dota2-tiered-elo-v6</t>
        </is>
      </c>
      <c r="BD78" s="24" t="inlineStr">
        <is>
          <t>dd6a397de36e1809b437ccb67ed4aafbb9421e20c410a6398991ed1ec444365e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dota2-tiered-elo-v6</t>
        </is>
      </c>
      <c r="BH78" s="24" t="inlineStr">
        <is>
          <t>2026-09-03T04:36:11.910434Z</t>
        </is>
      </c>
      <c r="BI78" s="24" t="inlineStr">
        <is>
          <t>["same_event","same_team_same_day","same_league_same_day"]</t>
        </is>
      </c>
      <c r="BJ78" s="25" t="n"/>
      <c r="BK78" s="26" t="n">
        <v>108</v>
      </c>
      <c r="BL78" s="27" t="n">
        <v>2.08</v>
      </c>
      <c r="BM78" s="28" t="n">
        <v>0.480769</v>
      </c>
      <c r="BN78" s="28" t="n"/>
      <c r="BO78" s="28" t="n"/>
      <c r="BP78" s="25" t="n"/>
      <c r="BQ78" s="27" t="n">
        <v>2.08</v>
      </c>
      <c r="BR78" s="28" t="n">
        <v>0.48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0.480769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2cb55601b07a443a</t>
        </is>
      </c>
      <c r="B79" s="24" t="inlineStr">
        <is>
          <t>2026-09-03T04:36:13.527966Z</t>
        </is>
      </c>
      <c r="C79" s="24" t="inlineStr">
        <is>
          <t>2026-09-03T09:00:00Z</t>
        </is>
      </c>
      <c r="D79" s="24" t="inlineStr">
        <is>
          <t>100363</t>
        </is>
      </c>
      <c r="E79" s="24" t="inlineStr">
        <is>
          <t>DOTA2</t>
        </is>
      </c>
      <c r="F79" s="24" t="inlineStr">
        <is>
          <t>Cloud Rising</t>
        </is>
      </c>
      <c r="G79" s="24" t="inlineStr">
        <is>
          <t>InterActive Philippines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223</v>
      </c>
      <c r="M79" s="27" t="n">
        <v>3.23</v>
      </c>
      <c r="N79" s="28" t="n">
        <v>0.309598</v>
      </c>
      <c r="O79" s="28" t="n">
        <v>0.538497</v>
      </c>
      <c r="P79" s="28" t="n"/>
      <c r="Q79" s="28" t="n">
        <v>0.228899</v>
      </c>
      <c r="R79" s="26" t="n">
        <v>100</v>
      </c>
      <c r="S79" s="29" t="n">
        <v>2</v>
      </c>
      <c r="T79" s="24" t="inlineStr">
        <is>
          <t>dota2-tiered-elo-v6</t>
        </is>
      </c>
      <c r="U79" s="24" t="inlineStr">
        <is>
          <t>settled</t>
        </is>
      </c>
      <c r="V79" s="24" t="inlineStr">
        <is>
          <t>push</t>
        </is>
      </c>
      <c r="W79" s="26" t="n"/>
      <c r="X79" s="26" t="n"/>
      <c r="Y79" s="25" t="n"/>
      <c r="Z79" s="26" t="n"/>
      <c r="AA79" s="28" t="n"/>
      <c r="AB79" s="28" t="n"/>
      <c r="AC79" s="30" t="n">
        <v>0</v>
      </c>
      <c r="AD79" s="24" t="inlineStr">
        <is>
          <t>2026-09-04T10:00:27.068228Z</t>
        </is>
      </c>
      <c r="AE79" s="31" t="inlineStr">
        <is>
          <t>Neutral Elo baseline; executable ask 0.3100 (market_slug=aec-dota2-iac-cr-2026-09-03).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Cloud Rising</t>
        </is>
      </c>
      <c r="AQ79" s="24" t="inlineStr">
        <is>
          <t>Cloud Rising</t>
        </is>
      </c>
      <c r="AR79" s="24" t="inlineStr">
        <is>
          <t>Cloud Rising</t>
        </is>
      </c>
      <c r="AS79" s="24" t="inlineStr">
        <is>
          <t>InterActive Philippines</t>
        </is>
      </c>
      <c r="AT79" s="24" t="inlineStr">
        <is>
          <t>InterActive Philippines</t>
        </is>
      </c>
      <c r="AU79" s="24" t="inlineStr">
        <is>
          <t>InterActive Philippines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dd6a397de36e1809b437ccb67ed4aafbb9421e20c410a6398991ed1ec444365e</t>
        </is>
      </c>
      <c r="BB79" s="24" t="inlineStr">
        <is>
          <t>neutral_elo</t>
        </is>
      </c>
      <c r="BC79" s="24" t="inlineStr">
        <is>
          <t>dota2-tiered-elo-v6</t>
        </is>
      </c>
      <c r="BD79" s="24" t="inlineStr">
        <is>
          <t>dd6a397de36e1809b437ccb67ed4aafbb9421e20c410a6398991ed1ec444365e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dota2-tiered-elo-v6</t>
        </is>
      </c>
      <c r="BH79" s="24" t="inlineStr">
        <is>
          <t>2026-09-03T04:36:12.212474Z</t>
        </is>
      </c>
      <c r="BI79" s="24" t="inlineStr">
        <is>
          <t>["same_event","same_team_same_day","same_league_same_day"]</t>
        </is>
      </c>
      <c r="BJ79" s="25" t="n"/>
      <c r="BK79" s="26" t="n">
        <v>223</v>
      </c>
      <c r="BL79" s="27" t="n">
        <v>3.23</v>
      </c>
      <c r="BM79" s="28" t="n">
        <v>0.309598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inlineStr">
        <is>
          <t>esports market settled to a non-binary price (forfeit/postponement per market rules)</t>
        </is>
      </c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0.309598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f22dc42aa5534656</t>
        </is>
      </c>
      <c r="B80" s="24" t="inlineStr">
        <is>
          <t>2026-09-03T04:36:13.527966Z</t>
        </is>
      </c>
      <c r="C80" s="24" t="inlineStr">
        <is>
          <t>2026-09-03T12:00:00Z</t>
        </is>
      </c>
      <c r="D80" s="24" t="inlineStr">
        <is>
          <t>98303</t>
        </is>
      </c>
      <c r="E80" s="24" t="inlineStr">
        <is>
          <t>DOTA2</t>
        </is>
      </c>
      <c r="F80" s="24" t="inlineStr">
        <is>
          <t>Spirit Academy</t>
        </is>
      </c>
      <c r="G80" s="24" t="inlineStr">
        <is>
          <t>PuckChamp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-150</v>
      </c>
      <c r="M80" s="27" t="n">
        <v>1.666667</v>
      </c>
      <c r="N80" s="28" t="n">
        <v>0.6</v>
      </c>
      <c r="O80" s="28" t="n">
        <v>0.670639</v>
      </c>
      <c r="P80" s="28" t="n"/>
      <c r="Q80" s="28" t="n">
        <v>0.07063899999999999</v>
      </c>
      <c r="R80" s="26" t="n">
        <v>55</v>
      </c>
      <c r="S80" s="29" t="n">
        <v>1.25</v>
      </c>
      <c r="T80" s="24" t="inlineStr">
        <is>
          <t>dota2-tiered-elo-v6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-150</v>
      </c>
      <c r="AA80" s="28" t="n">
        <v>0.6</v>
      </c>
      <c r="AB80" s="28" t="n">
        <v>0</v>
      </c>
      <c r="AC80" s="30" t="n">
        <v>0.8333</v>
      </c>
      <c r="AD80" s="24" t="inlineStr">
        <is>
          <t>2026-09-03T16:07:37.094708Z</t>
        </is>
      </c>
      <c r="AE80" s="31" t="inlineStr">
        <is>
          <t>Neutral Elo baseline; executable ask 0.6000 (market_slug=aec-dota2-pckcp-tsa-2026-09-03).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Spirit Academy</t>
        </is>
      </c>
      <c r="AQ80" s="24" t="inlineStr">
        <is>
          <t>Spirit Academy</t>
        </is>
      </c>
      <c r="AR80" s="24" t="inlineStr">
        <is>
          <t>Spirit Academy</t>
        </is>
      </c>
      <c r="AS80" s="24" t="inlineStr">
        <is>
          <t>PuckChamp</t>
        </is>
      </c>
      <c r="AT80" s="24" t="inlineStr">
        <is>
          <t>PuckChamp</t>
        </is>
      </c>
      <c r="AU80" s="24" t="inlineStr">
        <is>
          <t>PuckChamp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dd6a397de36e1809b437ccb67ed4aafbb9421e20c410a6398991ed1ec444365e</t>
        </is>
      </c>
      <c r="BB80" s="24" t="inlineStr">
        <is>
          <t>neutral_elo</t>
        </is>
      </c>
      <c r="BC80" s="24" t="inlineStr">
        <is>
          <t>dota2-tiered-elo-v6</t>
        </is>
      </c>
      <c r="BD80" s="24" t="inlineStr">
        <is>
          <t>dd6a397de36e1809b437ccb67ed4aafbb9421e20c410a6398991ed1ec444365e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dota2-tiered-elo-v6</t>
        </is>
      </c>
      <c r="BH80" s="24" t="inlineStr">
        <is>
          <t>2026-09-03T04:36:12.290150Z</t>
        </is>
      </c>
      <c r="BI80" s="24" t="inlineStr">
        <is>
          <t>["same_event","same_team_same_day","same_league_same_day"]</t>
        </is>
      </c>
      <c r="BJ80" s="25" t="n"/>
      <c r="BK80" s="26" t="n">
        <v>-150</v>
      </c>
      <c r="BL80" s="27" t="n">
        <v>1.666667</v>
      </c>
      <c r="BM80" s="28" t="n">
        <v>0.6</v>
      </c>
      <c r="BN80" s="28" t="n"/>
      <c r="BO80" s="28" t="n"/>
      <c r="BP80" s="25" t="n"/>
      <c r="BQ80" s="27" t="n">
        <v>1.666667</v>
      </c>
      <c r="BR80" s="28" t="n">
        <v>0.6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a1a677dfba22475c</t>
        </is>
      </c>
      <c r="B81" s="24" t="inlineStr">
        <is>
          <t>2026-09-04T04:37:13.637201Z</t>
        </is>
      </c>
      <c r="C81" s="24" t="inlineStr">
        <is>
          <t>2026-09-04T09:00:00Z</t>
        </is>
      </c>
      <c r="D81" s="24" t="inlineStr">
        <is>
          <t>100371</t>
        </is>
      </c>
      <c r="E81" s="24" t="inlineStr">
        <is>
          <t>DOTA2</t>
        </is>
      </c>
      <c r="F81" s="24" t="inlineStr">
        <is>
          <t xml:space="preserve"> Pipsqueak+4</t>
        </is>
      </c>
      <c r="G81" s="24" t="inlineStr">
        <is>
          <t>Zero Tenacity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-203</v>
      </c>
      <c r="M81" s="27" t="n">
        <v>1.492611</v>
      </c>
      <c r="N81" s="28" t="n">
        <v>0.669967</v>
      </c>
      <c r="O81" s="28" t="n">
        <v>0.536088</v>
      </c>
      <c r="P81" s="28" t="n"/>
      <c r="Q81" s="28" t="n">
        <v>-0.133879</v>
      </c>
      <c r="R81" s="26" t="n">
        <v>0</v>
      </c>
      <c r="S81" s="29" t="n">
        <v>1</v>
      </c>
      <c r="T81" s="24" t="inlineStr">
        <is>
          <t>dota2-tiered-elo-v6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1</v>
      </c>
      <c r="X81" s="26" t="n">
        <v>0</v>
      </c>
      <c r="Y81" s="25" t="n"/>
      <c r="Z81" s="26" t="n">
        <v>-203</v>
      </c>
      <c r="AA81" s="28" t="n">
        <v>0.67</v>
      </c>
      <c r="AB81" s="28" t="n">
        <v>3.3e-05</v>
      </c>
      <c r="AC81" s="30" t="n">
        <v>0.4926</v>
      </c>
      <c r="AD81" s="24" t="inlineStr">
        <is>
          <t>2026-09-04T16:00:28.730870Z</t>
        </is>
      </c>
      <c r="AE81" s="31" t="inlineStr">
        <is>
          <t>Neutral Elo baseline; executable ask 0.6700 (market_slug=aec-dota2-z10-pips4-2026-09-04).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 xml:space="preserve"> Pipsqueak+4</t>
        </is>
      </c>
      <c r="AQ81" s="24" t="inlineStr">
        <is>
          <t xml:space="preserve"> Pipsqueak+4</t>
        </is>
      </c>
      <c r="AR81" s="24" t="inlineStr">
        <is>
          <t xml:space="preserve"> Pipsqueak+4</t>
        </is>
      </c>
      <c r="AS81" s="24" t="inlineStr">
        <is>
          <t>Zero Tenacity</t>
        </is>
      </c>
      <c r="AT81" s="24" t="inlineStr">
        <is>
          <t>Zero Tenacity</t>
        </is>
      </c>
      <c r="AU81" s="24" t="inlineStr">
        <is>
          <t>Zero Tenacity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9b2a5bb5e66c53485210a6a6ba658b60fd78c532718eb9ffbdf6f2db479c0b3c</t>
        </is>
      </c>
      <c r="BB81" s="24" t="inlineStr">
        <is>
          <t>neutral_elo</t>
        </is>
      </c>
      <c r="BC81" s="24" t="inlineStr">
        <is>
          <t>dota2-tiered-elo-v6</t>
        </is>
      </c>
      <c r="BD81" s="24" t="inlineStr">
        <is>
          <t>9b2a5bb5e66c53485210a6a6ba658b60fd78c532718eb9ffbdf6f2db479c0b3c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dota2-tiered-elo-v6</t>
        </is>
      </c>
      <c r="BH81" s="24" t="inlineStr">
        <is>
          <t>2026-09-04T04:37:12.864270Z</t>
        </is>
      </c>
      <c r="BI81" s="24" t="inlineStr">
        <is>
          <t>["same_event","same_team_same_day","same_league_same_day"]</t>
        </is>
      </c>
      <c r="BJ81" s="25" t="n"/>
      <c r="BK81" s="26" t="n">
        <v>-203</v>
      </c>
      <c r="BL81" s="27" t="n">
        <v>1.492611</v>
      </c>
      <c r="BM81" s="28" t="n">
        <v>0.669967</v>
      </c>
      <c r="BN81" s="28" t="n"/>
      <c r="BO81" s="28" t="n"/>
      <c r="BP81" s="25" t="n"/>
      <c r="BQ81" s="27" t="n">
        <v>1.492611</v>
      </c>
      <c r="BR81" s="28" t="n">
        <v>0.67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0.669967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224f05b30e5144e1</t>
        </is>
      </c>
      <c r="B82" s="24" t="inlineStr">
        <is>
          <t>2026-09-04T04:37:13.637201Z</t>
        </is>
      </c>
      <c r="C82" s="24" t="inlineStr">
        <is>
          <t>2026-09-04T09:00:00Z</t>
        </is>
      </c>
      <c r="D82" s="24" t="inlineStr">
        <is>
          <t>100369</t>
        </is>
      </c>
      <c r="E82" s="24" t="inlineStr">
        <is>
          <t>DOTA2</t>
        </is>
      </c>
      <c r="F82" s="24" t="inlineStr">
        <is>
          <t>Yangon Galacticos</t>
        </is>
      </c>
      <c r="G82" s="24" t="inlineStr">
        <is>
          <t>ЯЧЁ123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122</v>
      </c>
      <c r="M82" s="27" t="n">
        <v>2.22</v>
      </c>
      <c r="N82" s="28" t="n">
        <v>0.45045</v>
      </c>
      <c r="O82" s="28" t="n">
        <v>0.528528</v>
      </c>
      <c r="P82" s="28" t="n"/>
      <c r="Q82" s="28" t="n">
        <v>0.07807799999999999</v>
      </c>
      <c r="R82" s="26" t="n">
        <v>59</v>
      </c>
      <c r="S82" s="29" t="n">
        <v>1.25</v>
      </c>
      <c r="T82" s="24" t="inlineStr">
        <is>
          <t>dota2-tiered-elo-v6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122</v>
      </c>
      <c r="AA82" s="28" t="n">
        <v>0.45</v>
      </c>
      <c r="AB82" s="28" t="n">
        <v>-0.00045</v>
      </c>
      <c r="AC82" s="30" t="n">
        <v>-1.25</v>
      </c>
      <c r="AD82" s="24" t="inlineStr">
        <is>
          <t>2026-09-04T16:00:29.099618Z</t>
        </is>
      </c>
      <c r="AE82" s="31" t="inlineStr">
        <is>
          <t>Neutral Elo baseline; executable ask 0.4500 (market_slug=aec-dota2-y123-yg-2026-09-04).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Yangon Galacticos</t>
        </is>
      </c>
      <c r="AQ82" s="24" t="inlineStr">
        <is>
          <t>Yangon Galacticos</t>
        </is>
      </c>
      <c r="AR82" s="24" t="inlineStr">
        <is>
          <t>Yangon Galacticos</t>
        </is>
      </c>
      <c r="AS82" s="24" t="inlineStr">
        <is>
          <t>ЯЧЁ123</t>
        </is>
      </c>
      <c r="AT82" s="24" t="inlineStr">
        <is>
          <t>ЯЧЁ123</t>
        </is>
      </c>
      <c r="AU82" s="24" t="inlineStr">
        <is>
          <t>ЯЧЁ123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9b2a5bb5e66c53485210a6a6ba658b60fd78c532718eb9ffbdf6f2db479c0b3c</t>
        </is>
      </c>
      <c r="BB82" s="24" t="inlineStr">
        <is>
          <t>neutral_elo</t>
        </is>
      </c>
      <c r="BC82" s="24" t="inlineStr">
        <is>
          <t>dota2-tiered-elo-v6</t>
        </is>
      </c>
      <c r="BD82" s="24" t="inlineStr">
        <is>
          <t>9b2a5bb5e66c53485210a6a6ba658b60fd78c532718eb9ffbdf6f2db479c0b3c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dota2-tiered-elo-v6</t>
        </is>
      </c>
      <c r="BH82" s="24" t="inlineStr">
        <is>
          <t>2026-09-04T04:37:12.928714Z</t>
        </is>
      </c>
      <c r="BI82" s="24" t="inlineStr">
        <is>
          <t>["same_event","same_team_same_day","same_league_same_day"]</t>
        </is>
      </c>
      <c r="BJ82" s="25" t="n"/>
      <c r="BK82" s="26" t="n">
        <v>122</v>
      </c>
      <c r="BL82" s="27" t="n">
        <v>2.22</v>
      </c>
      <c r="BM82" s="28" t="n">
        <v>0.45045</v>
      </c>
      <c r="BN82" s="28" t="n"/>
      <c r="BO82" s="28" t="n"/>
      <c r="BP82" s="25" t="n"/>
      <c r="BQ82" s="27" t="n">
        <v>2.22</v>
      </c>
      <c r="BR82" s="28" t="n">
        <v>0.45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0.45045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25b7c70da8b24e4d</t>
        </is>
      </c>
      <c r="B83" s="24" t="inlineStr">
        <is>
          <t>2026-09-04T10:04:45.224208Z</t>
        </is>
      </c>
      <c r="C83" s="24" t="inlineStr">
        <is>
          <t>2026-09-04T15:00:00Z</t>
        </is>
      </c>
      <c r="D83" s="24" t="inlineStr">
        <is>
          <t>100375</t>
        </is>
      </c>
      <c r="E83" s="24" t="inlineStr">
        <is>
          <t>DOTA2</t>
        </is>
      </c>
      <c r="F83" s="24" t="inlineStr">
        <is>
          <t>Team Synapse</t>
        </is>
      </c>
      <c r="G83" s="24" t="inlineStr">
        <is>
          <t>Power Rangers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-156</v>
      </c>
      <c r="M83" s="27" t="n">
        <v>1.641026</v>
      </c>
      <c r="N83" s="28" t="n">
        <v>0.609375</v>
      </c>
      <c r="O83" s="28" t="n">
        <v>0.507648</v>
      </c>
      <c r="P83" s="28" t="n"/>
      <c r="Q83" s="28" t="n">
        <v>-0.101727</v>
      </c>
      <c r="R83" s="26" t="n">
        <v>0</v>
      </c>
      <c r="S83" s="29" t="n">
        <v>1</v>
      </c>
      <c r="T83" s="24" t="inlineStr">
        <is>
          <t>dota2-tiered-elo-v6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0</v>
      </c>
      <c r="X83" s="26" t="n">
        <v>1</v>
      </c>
      <c r="Y83" s="25" t="n"/>
      <c r="Z83" s="26" t="n">
        <v>-156</v>
      </c>
      <c r="AA83" s="28" t="n">
        <v>0.61</v>
      </c>
      <c r="AB83" s="28" t="n">
        <v>0.000625</v>
      </c>
      <c r="AC83" s="30" t="n">
        <v>0.641</v>
      </c>
      <c r="AD83" s="24" t="inlineStr">
        <is>
          <t>2026-09-04T22:00:50.230244Z</t>
        </is>
      </c>
      <c r="AE83" s="31" t="inlineStr">
        <is>
          <t>Neutral Elo baseline; executable ask 0.6100 (market_slug=aec-dota2-pr-tsea-2026-09-04).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Team Synapse</t>
        </is>
      </c>
      <c r="AQ83" s="24" t="inlineStr">
        <is>
          <t>Team Synapse</t>
        </is>
      </c>
      <c r="AR83" s="24" t="inlineStr">
        <is>
          <t>Team Synapse</t>
        </is>
      </c>
      <c r="AS83" s="24" t="inlineStr">
        <is>
          <t>Power Rangers</t>
        </is>
      </c>
      <c r="AT83" s="24" t="inlineStr">
        <is>
          <t>Power Rangers</t>
        </is>
      </c>
      <c r="AU83" s="24" t="inlineStr">
        <is>
          <t>Power Rangers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b25b33fe6e4d7bdf53830ad5e3edff5fdc0adca2510e1009d96cc90ddf9cd748</t>
        </is>
      </c>
      <c r="BB83" s="24" t="inlineStr">
        <is>
          <t>neutral_elo</t>
        </is>
      </c>
      <c r="BC83" s="24" t="inlineStr">
        <is>
          <t>dota2-tiered-elo-v6</t>
        </is>
      </c>
      <c r="BD83" s="24" t="inlineStr">
        <is>
          <t>b25b33fe6e4d7bdf53830ad5e3edff5fdc0adca2510e1009d96cc90ddf9cd748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dota2-tiered-elo-v6</t>
        </is>
      </c>
      <c r="BH83" s="24" t="inlineStr">
        <is>
          <t>2026-09-04T10:04:44.159755Z</t>
        </is>
      </c>
      <c r="BI83" s="24" t="inlineStr">
        <is>
          <t>["same_event","same_team_same_day","same_league_same_day"]</t>
        </is>
      </c>
      <c r="BJ83" s="25" t="n"/>
      <c r="BK83" s="26" t="n">
        <v>-156</v>
      </c>
      <c r="BL83" s="27" t="n">
        <v>1.641026</v>
      </c>
      <c r="BM83" s="28" t="n">
        <v>0.609375</v>
      </c>
      <c r="BN83" s="28" t="n"/>
      <c r="BO83" s="28" t="n"/>
      <c r="BP83" s="25" t="n"/>
      <c r="BQ83" s="27" t="n">
        <v>1.641026</v>
      </c>
      <c r="BR83" s="28" t="n">
        <v>0.61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0.609375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bbd703258ab64612</t>
        </is>
      </c>
      <c r="B84" s="24" t="inlineStr">
        <is>
          <t>2026-09-04T16:13:40.758993Z</t>
        </is>
      </c>
      <c r="C84" s="24" t="inlineStr">
        <is>
          <t>2026-09-04T18:00:00Z</t>
        </is>
      </c>
      <c r="D84" s="24" t="inlineStr">
        <is>
          <t>100377</t>
        </is>
      </c>
      <c r="E84" s="24" t="inlineStr">
        <is>
          <t>DOTA2</t>
        </is>
      </c>
      <c r="F84" s="24" t="inlineStr">
        <is>
          <t>Level UP</t>
        </is>
      </c>
      <c r="G84" s="24" t="inlineStr">
        <is>
          <t>Inner Circle x Insanity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-233</v>
      </c>
      <c r="M84" s="27" t="n">
        <v>1.429185</v>
      </c>
      <c r="N84" s="28" t="n">
        <v>0.6997</v>
      </c>
      <c r="O84" s="28" t="n">
        <v>0.714924</v>
      </c>
      <c r="P84" s="28" t="n"/>
      <c r="Q84" s="28" t="n">
        <v>0.015224</v>
      </c>
      <c r="R84" s="26" t="n">
        <v>28</v>
      </c>
      <c r="S84" s="29" t="n">
        <v>1</v>
      </c>
      <c r="T84" s="24" t="inlineStr">
        <is>
          <t>dota2-tiered-elo-v6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-233</v>
      </c>
      <c r="AA84" s="28" t="n">
        <v>0.7</v>
      </c>
      <c r="AB84" s="28" t="n">
        <v>0.0003</v>
      </c>
      <c r="AC84" s="30" t="n">
        <v>0.4292</v>
      </c>
      <c r="AD84" s="24" t="inlineStr">
        <is>
          <t>2026-09-04T22:00:50.535241Z</t>
        </is>
      </c>
      <c r="AE84" s="31" t="inlineStr">
        <is>
          <t>Neutral Elo baseline; executable ask 0.7000 (market_slug=aec-dota2-icxi-lvlup-2026-09-04).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Level UP</t>
        </is>
      </c>
      <c r="AQ84" s="24" t="inlineStr">
        <is>
          <t>Level UP</t>
        </is>
      </c>
      <c r="AR84" s="24" t="inlineStr">
        <is>
          <t>Level UP</t>
        </is>
      </c>
      <c r="AS84" s="24" t="inlineStr">
        <is>
          <t>Inner Circle x Insanity</t>
        </is>
      </c>
      <c r="AT84" s="24" t="inlineStr">
        <is>
          <t>Inner Circle x Insanity</t>
        </is>
      </c>
      <c r="AU84" s="24" t="inlineStr">
        <is>
          <t>Inner Circle x Insanity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09db73544c8e94e66382d5587c426f91943a8fe6540bfeb9291986ace9b82d78</t>
        </is>
      </c>
      <c r="BB84" s="24" t="inlineStr">
        <is>
          <t>neutral_elo</t>
        </is>
      </c>
      <c r="BC84" s="24" t="inlineStr">
        <is>
          <t>dota2-tiered-elo-v6</t>
        </is>
      </c>
      <c r="BD84" s="24" t="inlineStr">
        <is>
          <t>09db73544c8e94e66382d5587c426f91943a8fe6540bfeb9291986ace9b82d78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dota2-tiered-elo-v6</t>
        </is>
      </c>
      <c r="BH84" s="24" t="inlineStr">
        <is>
          <t>2026-09-04T16:13:39.852089Z</t>
        </is>
      </c>
      <c r="BI84" s="24" t="inlineStr">
        <is>
          <t>["same_event","same_team_same_day","same_league_same_day"]</t>
        </is>
      </c>
      <c r="BJ84" s="25" t="n"/>
      <c r="BK84" s="26" t="n">
        <v>-233</v>
      </c>
      <c r="BL84" s="27" t="n">
        <v>1.429185</v>
      </c>
      <c r="BM84" s="28" t="n">
        <v>0.6997</v>
      </c>
      <c r="BN84" s="28" t="n"/>
      <c r="BO84" s="28" t="n"/>
      <c r="BP84" s="25" t="n"/>
      <c r="BQ84" s="27" t="n">
        <v>1.429185</v>
      </c>
      <c r="BR84" s="28" t="n">
        <v>0.7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0.6997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1c70a88514a44f20</t>
        </is>
      </c>
      <c r="B85" s="24" t="inlineStr">
        <is>
          <t>2026-09-05T04:44:17.258077Z</t>
        </is>
      </c>
      <c r="C85" s="24" t="inlineStr">
        <is>
          <t>2026-09-05T06:00:00Z</t>
        </is>
      </c>
      <c r="D85" s="24" t="inlineStr">
        <is>
          <t>100381</t>
        </is>
      </c>
      <c r="E85" s="24" t="inlineStr">
        <is>
          <t>DOTA2</t>
        </is>
      </c>
      <c r="F85" s="24" t="inlineStr">
        <is>
          <t>Team Nemesis</t>
        </is>
      </c>
      <c r="G85" s="24" t="inlineStr">
        <is>
          <t>InterActive Philippines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-203</v>
      </c>
      <c r="M85" s="27" t="n">
        <v>1.492611</v>
      </c>
      <c r="N85" s="28" t="n">
        <v>0.669967</v>
      </c>
      <c r="O85" s="28" t="n">
        <v>0.757978</v>
      </c>
      <c r="P85" s="28" t="n"/>
      <c r="Q85" s="28" t="n">
        <v>0.08801100000000001</v>
      </c>
      <c r="R85" s="26" t="n">
        <v>64</v>
      </c>
      <c r="S85" s="29" t="n">
        <v>1.25</v>
      </c>
      <c r="T85" s="24" t="inlineStr">
        <is>
          <t>dota2-tiered-elo-v6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>
        <v>-203</v>
      </c>
      <c r="AA85" s="28" t="n">
        <v>0.67</v>
      </c>
      <c r="AB85" s="28" t="n">
        <v>3.3e-05</v>
      </c>
      <c r="AC85" s="30" t="n">
        <v>0.6158</v>
      </c>
      <c r="AD85" s="24" t="inlineStr">
        <is>
          <t>2026-09-11T10:00:18.127151Z</t>
        </is>
      </c>
      <c r="AE85" s="31" t="inlineStr">
        <is>
          <t>Neutral Elo baseline; executable ask 0.6700 (market_slug=aec-dota2-iac-nem-2026-09-05).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Team Nemesis</t>
        </is>
      </c>
      <c r="AQ85" s="24" t="inlineStr">
        <is>
          <t>Team Nemesis</t>
        </is>
      </c>
      <c r="AR85" s="24" t="inlineStr">
        <is>
          <t>Team Nemesis</t>
        </is>
      </c>
      <c r="AS85" s="24" t="inlineStr">
        <is>
          <t>InterActive Philippines</t>
        </is>
      </c>
      <c r="AT85" s="24" t="inlineStr">
        <is>
          <t>InterActive Philippines</t>
        </is>
      </c>
      <c r="AU85" s="24" t="inlineStr">
        <is>
          <t>InterActive Philippines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ea0fd7584c4bb769a2f67a4bd27a87204ad3deb2cd588583c74cab4573bf831f</t>
        </is>
      </c>
      <c r="BB85" s="24" t="inlineStr">
        <is>
          <t>neutral_elo</t>
        </is>
      </c>
      <c r="BC85" s="24" t="inlineStr">
        <is>
          <t>dota2-tiered-elo-v6</t>
        </is>
      </c>
      <c r="BD85" s="24" t="inlineStr">
        <is>
          <t>ea0fd7584c4bb769a2f67a4bd27a87204ad3deb2cd588583c74cab4573bf831f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dota2-tiered-elo-v6</t>
        </is>
      </c>
      <c r="BH85" s="24" t="inlineStr">
        <is>
          <t>2026-09-05T04:44:16.103912Z</t>
        </is>
      </c>
      <c r="BI85" s="24" t="inlineStr">
        <is>
          <t>["same_event","same_team_same_day","same_league_same_day"]</t>
        </is>
      </c>
      <c r="BJ85" s="25" t="n"/>
      <c r="BK85" s="26" t="n">
        <v>-203</v>
      </c>
      <c r="BL85" s="27" t="n">
        <v>1.492611</v>
      </c>
      <c r="BM85" s="28" t="n">
        <v>0.669967</v>
      </c>
      <c r="BN85" s="28" t="n"/>
      <c r="BO85" s="28" t="n"/>
      <c r="BP85" s="25" t="n"/>
      <c r="BQ85" s="27" t="n">
        <v>1.492611</v>
      </c>
      <c r="BR85" s="28" t="n">
        <v>0.67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0.669967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d53206ad54434a0d</t>
        </is>
      </c>
      <c r="B86" s="24" t="inlineStr">
        <is>
          <t>2026-09-05T04:44:17.258077Z</t>
        </is>
      </c>
      <c r="C86" s="24" t="inlineStr">
        <is>
          <t>2026-09-05T09:00:00Z</t>
        </is>
      </c>
      <c r="D86" s="24" t="inlineStr">
        <is>
          <t>100383</t>
        </is>
      </c>
      <c r="E86" s="24" t="inlineStr">
        <is>
          <t>DOTA2</t>
        </is>
      </c>
      <c r="F86" s="24" t="inlineStr">
        <is>
          <t>Yangon Galacticos</t>
        </is>
      </c>
      <c r="G86" s="24" t="inlineStr">
        <is>
          <t>Direborn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163</v>
      </c>
      <c r="M86" s="27" t="n">
        <v>2.63</v>
      </c>
      <c r="N86" s="28" t="n">
        <v>0.380228</v>
      </c>
      <c r="O86" s="28" t="n">
        <v>0.591919</v>
      </c>
      <c r="P86" s="28" t="n"/>
      <c r="Q86" s="28" t="n">
        <v>0.211691</v>
      </c>
      <c r="R86" s="26" t="n">
        <v>100</v>
      </c>
      <c r="S86" s="29" t="n">
        <v>2</v>
      </c>
      <c r="T86" s="24" t="inlineStr">
        <is>
          <t>dota2-tiered-elo-v6</t>
        </is>
      </c>
      <c r="U86" s="24" t="inlineStr">
        <is>
          <t>settled</t>
        </is>
      </c>
      <c r="V86" s="24" t="inlineStr">
        <is>
          <t>push</t>
        </is>
      </c>
      <c r="W86" s="26" t="n"/>
      <c r="X86" s="26" t="n"/>
      <c r="Y86" s="25" t="n"/>
      <c r="Z86" s="26" t="n"/>
      <c r="AA86" s="28" t="n"/>
      <c r="AB86" s="28" t="n"/>
      <c r="AC86" s="30" t="n">
        <v>0</v>
      </c>
      <c r="AD86" s="24" t="inlineStr">
        <is>
          <t>2026-09-08T16:01:27.773399Z</t>
        </is>
      </c>
      <c r="AE86" s="31" t="inlineStr">
        <is>
          <t>Neutral Elo baseline; executable ask 0.3800 (market_slug=aec-dota2-db-yg-2026-09-05).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Yangon Galacticos</t>
        </is>
      </c>
      <c r="AQ86" s="24" t="inlineStr">
        <is>
          <t>Yangon Galacticos</t>
        </is>
      </c>
      <c r="AR86" s="24" t="inlineStr">
        <is>
          <t>Yangon Galacticos</t>
        </is>
      </c>
      <c r="AS86" s="24" t="inlineStr">
        <is>
          <t>Direborn</t>
        </is>
      </c>
      <c r="AT86" s="24" t="inlineStr">
        <is>
          <t>Direborn</t>
        </is>
      </c>
      <c r="AU86" s="24" t="inlineStr">
        <is>
          <t>Direborn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ea0fd7584c4bb769a2f67a4bd27a87204ad3deb2cd588583c74cab4573bf831f</t>
        </is>
      </c>
      <c r="BB86" s="24" t="inlineStr">
        <is>
          <t>neutral_elo</t>
        </is>
      </c>
      <c r="BC86" s="24" t="inlineStr">
        <is>
          <t>dota2-tiered-elo-v6</t>
        </is>
      </c>
      <c r="BD86" s="24" t="inlineStr">
        <is>
          <t>ea0fd7584c4bb769a2f67a4bd27a87204ad3deb2cd588583c74cab4573bf831f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dota2-tiered-elo-v6</t>
        </is>
      </c>
      <c r="BH86" s="24" t="inlineStr">
        <is>
          <t>2026-09-05T04:44:16.254261Z</t>
        </is>
      </c>
      <c r="BI86" s="24" t="inlineStr">
        <is>
          <t>["same_event","same_team_same_day","same_league_same_day"]</t>
        </is>
      </c>
      <c r="BJ86" s="25" t="n"/>
      <c r="BK86" s="26" t="n">
        <v>163</v>
      </c>
      <c r="BL86" s="27" t="n">
        <v>2.63</v>
      </c>
      <c r="BM86" s="28" t="n">
        <v>0.380228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inlineStr">
        <is>
          <t>esports market settled to a non-binary price (forfeit/postponement per market rules)</t>
        </is>
      </c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0.380228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041ee52331bb4da0</t>
        </is>
      </c>
      <c r="B87" s="24" t="inlineStr">
        <is>
          <t>2026-09-05T04:44:17.258077Z</t>
        </is>
      </c>
      <c r="C87" s="24" t="inlineStr">
        <is>
          <t>2026-09-05T09:00:00Z</t>
        </is>
      </c>
      <c r="D87" s="24" t="inlineStr">
        <is>
          <t>100385</t>
        </is>
      </c>
      <c r="E87" s="24" t="inlineStr">
        <is>
          <t>DOTA2</t>
        </is>
      </c>
      <c r="F87" s="24" t="inlineStr">
        <is>
          <t>Power Rangers</t>
        </is>
      </c>
      <c r="G87" s="24" t="inlineStr">
        <is>
          <t>Team Lynx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-170</v>
      </c>
      <c r="M87" s="27" t="n">
        <v>1.588235</v>
      </c>
      <c r="N87" s="28" t="n">
        <v>0.62963</v>
      </c>
      <c r="O87" s="28" t="n">
        <v>0.62014</v>
      </c>
      <c r="P87" s="28" t="n"/>
      <c r="Q87" s="28" t="n">
        <v>-0.00949</v>
      </c>
      <c r="R87" s="26" t="n">
        <v>15</v>
      </c>
      <c r="S87" s="29" t="n">
        <v>1</v>
      </c>
      <c r="T87" s="24" t="inlineStr">
        <is>
          <t>dota2-tiered-elo-v6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>
        <v>-170</v>
      </c>
      <c r="AA87" s="28" t="n">
        <v>0.63</v>
      </c>
      <c r="AB87" s="28" t="n">
        <v>0.00037</v>
      </c>
      <c r="AC87" s="30" t="n">
        <v>-1</v>
      </c>
      <c r="AD87" s="24" t="inlineStr">
        <is>
          <t>2026-09-05T16:00:38.642375Z</t>
        </is>
      </c>
      <c r="AE87" s="31" t="inlineStr">
        <is>
          <t>Neutral Elo baseline; executable ask 0.6300 (market_slug=aec-dota2-lynx-pr-2026-09-05).</t>
        </is>
      </c>
      <c r="AF87" s="31" t="inlineStr">
        <is>
          <t>Config-promoted esports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Power Rangers</t>
        </is>
      </c>
      <c r="AQ87" s="24" t="inlineStr">
        <is>
          <t>Power Rangers</t>
        </is>
      </c>
      <c r="AR87" s="24" t="inlineStr">
        <is>
          <t>Power Rangers</t>
        </is>
      </c>
      <c r="AS87" s="24" t="inlineStr">
        <is>
          <t>Team Lynx</t>
        </is>
      </c>
      <c r="AT87" s="24" t="inlineStr">
        <is>
          <t>Team Lynx</t>
        </is>
      </c>
      <c r="AU87" s="24" t="inlineStr">
        <is>
          <t>Team Lynx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ea0fd7584c4bb769a2f67a4bd27a87204ad3deb2cd588583c74cab4573bf831f</t>
        </is>
      </c>
      <c r="BB87" s="24" t="inlineStr">
        <is>
          <t>neutral_elo</t>
        </is>
      </c>
      <c r="BC87" s="24" t="inlineStr">
        <is>
          <t>dota2-tiered-elo-v6</t>
        </is>
      </c>
      <c r="BD87" s="24" t="inlineStr">
        <is>
          <t>ea0fd7584c4bb769a2f67a4bd27a87204ad3deb2cd588583c74cab4573bf831f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dota2-tiered-elo-v6</t>
        </is>
      </c>
      <c r="BH87" s="24" t="inlineStr">
        <is>
          <t>2026-09-05T04:44:16.543422Z</t>
        </is>
      </c>
      <c r="BI87" s="24" t="inlineStr">
        <is>
          <t>["same_event","same_team_same_day","same_league_same_day"]</t>
        </is>
      </c>
      <c r="BJ87" s="25" t="n"/>
      <c r="BK87" s="26" t="n">
        <v>-170</v>
      </c>
      <c r="BL87" s="27" t="n">
        <v>1.588235</v>
      </c>
      <c r="BM87" s="28" t="n">
        <v>0.62963</v>
      </c>
      <c r="BN87" s="28" t="n"/>
      <c r="BO87" s="28" t="n"/>
      <c r="BP87" s="25" t="n"/>
      <c r="BQ87" s="27" t="n">
        <v>1.588235</v>
      </c>
      <c r="BR87" s="28" t="n">
        <v>0.63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0.62963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7211a963799c498c</t>
        </is>
      </c>
      <c r="B88" s="24" t="inlineStr">
        <is>
          <t>2026-09-05T22:06:05.663629Z</t>
        </is>
      </c>
      <c r="C88" s="24" t="inlineStr">
        <is>
          <t>2026-09-06T03:00:00Z</t>
        </is>
      </c>
      <c r="D88" s="24" t="inlineStr">
        <is>
          <t>102144</t>
        </is>
      </c>
      <c r="E88" s="24" t="inlineStr">
        <is>
          <t>DOTA2</t>
        </is>
      </c>
      <c r="F88" s="24" t="inlineStr">
        <is>
          <t>Carstensz</t>
        </is>
      </c>
      <c r="G88" s="24" t="inlineStr">
        <is>
          <t>Yangon Galacticos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113</v>
      </c>
      <c r="M88" s="27" t="n">
        <v>2.13</v>
      </c>
      <c r="N88" s="28" t="n">
        <v>0.469484</v>
      </c>
      <c r="O88" s="28" t="n">
        <v>0.622873</v>
      </c>
      <c r="P88" s="28" t="n"/>
      <c r="Q88" s="28" t="n">
        <v>0.153389</v>
      </c>
      <c r="R88" s="26" t="n">
        <v>97</v>
      </c>
      <c r="S88" s="29" t="n">
        <v>1.75</v>
      </c>
      <c r="T88" s="24" t="inlineStr">
        <is>
          <t>dota2-tiered-elo-v6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0</v>
      </c>
      <c r="X88" s="26" t="n">
        <v>1</v>
      </c>
      <c r="Y88" s="25" t="n"/>
      <c r="Z88" s="26" t="n">
        <v>113</v>
      </c>
      <c r="AA88" s="28" t="n">
        <v>0.47</v>
      </c>
      <c r="AB88" s="28" t="n">
        <v>0.000516</v>
      </c>
      <c r="AC88" s="30" t="n">
        <v>-1.75</v>
      </c>
      <c r="AD88" s="24" t="inlineStr">
        <is>
          <t>2026-09-07T16:00:42.504840Z</t>
        </is>
      </c>
      <c r="AE88" s="31" t="inlineStr">
        <is>
          <t>Neutral Elo baseline; executable ask 0.4700 (market_slug=aec-dota2-yg-carst-2026-09-06).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Carstensz</t>
        </is>
      </c>
      <c r="AQ88" s="24" t="inlineStr">
        <is>
          <t>Carstensz</t>
        </is>
      </c>
      <c r="AR88" s="24" t="inlineStr">
        <is>
          <t>Carstensz</t>
        </is>
      </c>
      <c r="AS88" s="24" t="inlineStr">
        <is>
          <t>Yangon Galacticos</t>
        </is>
      </c>
      <c r="AT88" s="24" t="inlineStr">
        <is>
          <t>Yangon Galacticos</t>
        </is>
      </c>
      <c r="AU88" s="24" t="inlineStr">
        <is>
          <t>Yangon Galacticos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afb2b22e04993508f56f78334468c93a0529d472a1c8b60cc6ea441803f62685</t>
        </is>
      </c>
      <c r="BB88" s="24" t="inlineStr">
        <is>
          <t>neutral_elo</t>
        </is>
      </c>
      <c r="BC88" s="24" t="inlineStr">
        <is>
          <t>dota2-tiered-elo-v6</t>
        </is>
      </c>
      <c r="BD88" s="24" t="inlineStr">
        <is>
          <t>afb2b22e04993508f56f78334468c93a0529d472a1c8b60cc6ea441803f62685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dota2-tiered-elo-v6</t>
        </is>
      </c>
      <c r="BH88" s="24" t="inlineStr">
        <is>
          <t>2026-09-05T22:06:04.685487Z</t>
        </is>
      </c>
      <c r="BI88" s="24" t="inlineStr">
        <is>
          <t>["same_event","same_team_same_day","same_league_same_day"]</t>
        </is>
      </c>
      <c r="BJ88" s="25" t="n"/>
      <c r="BK88" s="26" t="n">
        <v>113</v>
      </c>
      <c r="BL88" s="27" t="n">
        <v>2.13</v>
      </c>
      <c r="BM88" s="28" t="n">
        <v>0.469484</v>
      </c>
      <c r="BN88" s="28" t="n"/>
      <c r="BO88" s="28" t="n"/>
      <c r="BP88" s="25" t="n"/>
      <c r="BQ88" s="27" t="n">
        <v>2.13</v>
      </c>
      <c r="BR88" s="28" t="n">
        <v>0.47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0.469484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b9620180348a4f30</t>
        </is>
      </c>
      <c r="B89" s="24" t="inlineStr">
        <is>
          <t>2026-09-06T04:36:28.106878Z</t>
        </is>
      </c>
      <c r="C89" s="24" t="inlineStr">
        <is>
          <t>2026-09-06T06:00:00Z</t>
        </is>
      </c>
      <c r="D89" s="24" t="inlineStr">
        <is>
          <t>101489</t>
        </is>
      </c>
      <c r="E89" s="24" t="inlineStr">
        <is>
          <t>DOTA2</t>
        </is>
      </c>
      <c r="F89" s="24" t="inlineStr">
        <is>
          <t>Direborn</t>
        </is>
      </c>
      <c r="G89" s="24" t="inlineStr">
        <is>
          <t>InterActive Philippines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-117</v>
      </c>
      <c r="M89" s="27" t="n">
        <v>1.854701</v>
      </c>
      <c r="N89" s="28" t="n">
        <v>0.539171</v>
      </c>
      <c r="O89" s="28" t="n">
        <v>0.563896</v>
      </c>
      <c r="P89" s="28" t="n"/>
      <c r="Q89" s="28" t="n">
        <v>0.024725</v>
      </c>
      <c r="R89" s="26" t="n">
        <v>32</v>
      </c>
      <c r="S89" s="29" t="n">
        <v>1</v>
      </c>
      <c r="T89" s="24" t="inlineStr">
        <is>
          <t>dota2-tiered-elo-v6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0</v>
      </c>
      <c r="Y89" s="25" t="n"/>
      <c r="Z89" s="26" t="n">
        <v>-117</v>
      </c>
      <c r="AA89" s="28" t="n">
        <v>0.54</v>
      </c>
      <c r="AB89" s="28" t="n">
        <v>0.000829</v>
      </c>
      <c r="AC89" s="30" t="n">
        <v>0.8547</v>
      </c>
      <c r="AD89" s="24" t="inlineStr">
        <is>
          <t>2026-09-06T16:00:28.796364Z</t>
        </is>
      </c>
      <c r="AE89" s="31" t="inlineStr">
        <is>
          <t>Neutral Elo baseline; executable ask 0.5400 (market_slug=aec-dota2-iac-db-2026-09-06).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Direborn</t>
        </is>
      </c>
      <c r="AQ89" s="24" t="inlineStr">
        <is>
          <t>Direborn</t>
        </is>
      </c>
      <c r="AR89" s="24" t="inlineStr">
        <is>
          <t>Direborn</t>
        </is>
      </c>
      <c r="AS89" s="24" t="inlineStr">
        <is>
          <t>InterActive Philippines</t>
        </is>
      </c>
      <c r="AT89" s="24" t="inlineStr">
        <is>
          <t>InterActive Philippines</t>
        </is>
      </c>
      <c r="AU89" s="24" t="inlineStr">
        <is>
          <t>InterActive Philippines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3d0d09d8d1ea07b99e45a073c327241b77f8e64be67ff4f1767ad33172f8af6c</t>
        </is>
      </c>
      <c r="BB89" s="24" t="inlineStr">
        <is>
          <t>neutral_elo</t>
        </is>
      </c>
      <c r="BC89" s="24" t="inlineStr">
        <is>
          <t>dota2-tiered-elo-v6</t>
        </is>
      </c>
      <c r="BD89" s="24" t="inlineStr">
        <is>
          <t>3d0d09d8d1ea07b99e45a073c327241b77f8e64be67ff4f1767ad33172f8af6c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dota2-tiered-elo-v6</t>
        </is>
      </c>
      <c r="BH89" s="24" t="inlineStr">
        <is>
          <t>2026-09-06T04:36:27.481987Z</t>
        </is>
      </c>
      <c r="BI89" s="24" t="inlineStr">
        <is>
          <t>["same_event","same_team_same_day","same_league_same_day"]</t>
        </is>
      </c>
      <c r="BJ89" s="25" t="n"/>
      <c r="BK89" s="26" t="n">
        <v>-117</v>
      </c>
      <c r="BL89" s="27" t="n">
        <v>1.854701</v>
      </c>
      <c r="BM89" s="28" t="n">
        <v>0.539171</v>
      </c>
      <c r="BN89" s="28" t="n"/>
      <c r="BO89" s="28" t="n"/>
      <c r="BP89" s="25" t="n"/>
      <c r="BQ89" s="27" t="n">
        <v>1.854701</v>
      </c>
      <c r="BR89" s="28" t="n">
        <v>0.54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0.539171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34395a4034ba4bf4</t>
        </is>
      </c>
      <c r="B90" s="24" t="inlineStr">
        <is>
          <t>2026-09-06T04:36:28.106878Z</t>
        </is>
      </c>
      <c r="C90" s="24" t="inlineStr">
        <is>
          <t>2026-09-06T09:00:00Z</t>
        </is>
      </c>
      <c r="D90" s="24" t="inlineStr">
        <is>
          <t>101531</t>
        </is>
      </c>
      <c r="E90" s="24" t="inlineStr">
        <is>
          <t>DOTA2</t>
        </is>
      </c>
      <c r="F90" s="24" t="inlineStr">
        <is>
          <t xml:space="preserve"> Pipsqueak+4</t>
        </is>
      </c>
      <c r="G90" s="24" t="inlineStr">
        <is>
          <t>Klim Sani4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0.548995</v>
      </c>
      <c r="P90" s="28" t="n"/>
      <c r="Q90" s="28" t="n">
        <v>-0.06038</v>
      </c>
      <c r="R90" s="26" t="n">
        <v>0</v>
      </c>
      <c r="S90" s="29" t="n">
        <v>1</v>
      </c>
      <c r="T90" s="24" t="inlineStr">
        <is>
          <t>dota2-tiered-elo-v6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-1</v>
      </c>
      <c r="AD90" s="24" t="inlineStr">
        <is>
          <t>2026-09-06T16:00:29.086461Z</t>
        </is>
      </c>
      <c r="AE90" s="31" t="inlineStr">
        <is>
          <t>Neutral Elo baseline; executable ask 0.6100 (market_slug=aec-dota2-ks-pips4-2026-09-06).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 xml:space="preserve"> Pipsqueak+4</t>
        </is>
      </c>
      <c r="AQ90" s="24" t="inlineStr">
        <is>
          <t xml:space="preserve"> Pipsqueak+4</t>
        </is>
      </c>
      <c r="AR90" s="24" t="inlineStr">
        <is>
          <t xml:space="preserve"> Pipsqueak+4</t>
        </is>
      </c>
      <c r="AS90" s="24" t="inlineStr">
        <is>
          <t>Klim Sani4</t>
        </is>
      </c>
      <c r="AT90" s="24" t="inlineStr">
        <is>
          <t>Klim Sani4</t>
        </is>
      </c>
      <c r="AU90" s="24" t="inlineStr">
        <is>
          <t>Klim Sani4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3d0d09d8d1ea07b99e45a073c327241b77f8e64be67ff4f1767ad33172f8af6c</t>
        </is>
      </c>
      <c r="BB90" s="24" t="inlineStr">
        <is>
          <t>neutral_elo</t>
        </is>
      </c>
      <c r="BC90" s="24" t="inlineStr">
        <is>
          <t>dota2-tiered-elo-v6</t>
        </is>
      </c>
      <c r="BD90" s="24" t="inlineStr">
        <is>
          <t>3d0d09d8d1ea07b99e45a073c327241b77f8e64be67ff4f1767ad33172f8af6c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dota2-tiered-elo-v6</t>
        </is>
      </c>
      <c r="BH90" s="24" t="inlineStr">
        <is>
          <t>2026-09-06T04:36:27.590323Z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/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0.609375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a940030a36164098</t>
        </is>
      </c>
      <c r="B91" s="24" t="inlineStr">
        <is>
          <t>2026-09-06T22:04:45.081762Z</t>
        </is>
      </c>
      <c r="C91" s="24" t="inlineStr">
        <is>
          <t>2026-09-07T03:00:00Z</t>
        </is>
      </c>
      <c r="D91" s="24" t="inlineStr">
        <is>
          <t>102287</t>
        </is>
      </c>
      <c r="E91" s="24" t="inlineStr">
        <is>
          <t>DOTA2</t>
        </is>
      </c>
      <c r="F91" s="24" t="inlineStr">
        <is>
          <t>Team Kinetix</t>
        </is>
      </c>
      <c r="G91" s="24" t="inlineStr">
        <is>
          <t>Direborn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-156</v>
      </c>
      <c r="M91" s="27" t="n">
        <v>1.641026</v>
      </c>
      <c r="N91" s="28" t="n">
        <v>0.609375</v>
      </c>
      <c r="O91" s="28" t="n">
        <v>0.559441</v>
      </c>
      <c r="P91" s="28" t="n"/>
      <c r="Q91" s="28" t="n">
        <v>-0.049934</v>
      </c>
      <c r="R91" s="26" t="n">
        <v>0</v>
      </c>
      <c r="S91" s="29" t="n">
        <v>1</v>
      </c>
      <c r="T91" s="24" t="inlineStr">
        <is>
          <t>dota2-tiered-elo-v6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-156</v>
      </c>
      <c r="AA91" s="28" t="n">
        <v>0.61</v>
      </c>
      <c r="AB91" s="28" t="n">
        <v>0.000625</v>
      </c>
      <c r="AC91" s="30" t="n">
        <v>0.641</v>
      </c>
      <c r="AD91" s="24" t="inlineStr">
        <is>
          <t>2026-09-07T10:00:21.539325Z</t>
        </is>
      </c>
      <c r="AE91" s="31" t="inlineStr">
        <is>
          <t>Neutral Elo baseline; executable ask 0.6100 (market_slug=aec-dota2-db-tke-2026-09-07).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Team Kinetix</t>
        </is>
      </c>
      <c r="AQ91" s="24" t="inlineStr">
        <is>
          <t>Team Kinetix</t>
        </is>
      </c>
      <c r="AR91" s="24" t="inlineStr">
        <is>
          <t>Team Kinetix</t>
        </is>
      </c>
      <c r="AS91" s="24" t="inlineStr">
        <is>
          <t>Direborn</t>
        </is>
      </c>
      <c r="AT91" s="24" t="inlineStr">
        <is>
          <t>Direborn</t>
        </is>
      </c>
      <c r="AU91" s="24" t="inlineStr">
        <is>
          <t>Direborn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febd4f24a91901ebd4b84747702b40168b87003e2f30e7831ae54ff8b2bd7549</t>
        </is>
      </c>
      <c r="BB91" s="24" t="inlineStr">
        <is>
          <t>neutral_elo</t>
        </is>
      </c>
      <c r="BC91" s="24" t="inlineStr">
        <is>
          <t>dota2-tiered-elo-v6</t>
        </is>
      </c>
      <c r="BD91" s="24" t="inlineStr">
        <is>
          <t>febd4f24a91901ebd4b84747702b40168b87003e2f30e7831ae54ff8b2bd7549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dota2-tiered-elo-v6</t>
        </is>
      </c>
      <c r="BH91" s="24" t="inlineStr">
        <is>
          <t>2026-09-06T22:04:44.828717Z</t>
        </is>
      </c>
      <c r="BI91" s="24" t="inlineStr">
        <is>
          <t>["same_event","same_team_same_day","same_league_same_day"]</t>
        </is>
      </c>
      <c r="BJ91" s="25" t="n"/>
      <c r="BK91" s="26" t="n">
        <v>-156</v>
      </c>
      <c r="BL91" s="27" t="n">
        <v>1.641026</v>
      </c>
      <c r="BM91" s="28" t="n">
        <v>0.609375</v>
      </c>
      <c r="BN91" s="28" t="n"/>
      <c r="BO91" s="28" t="n"/>
      <c r="BP91" s="25" t="n"/>
      <c r="BQ91" s="27" t="n">
        <v>1.641026</v>
      </c>
      <c r="BR91" s="28" t="n">
        <v>0.61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0.609375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05322443417a4786</t>
        </is>
      </c>
      <c r="B92" s="24" t="inlineStr">
        <is>
          <t>2026-09-07T04:34:11.964416Z</t>
        </is>
      </c>
      <c r="C92" s="24" t="inlineStr">
        <is>
          <t>2026-09-07T06:00:00Z</t>
        </is>
      </c>
      <c r="D92" s="24" t="inlineStr">
        <is>
          <t>102327</t>
        </is>
      </c>
      <c r="E92" s="24" t="inlineStr">
        <is>
          <t>DOTA2</t>
        </is>
      </c>
      <c r="F92" s="24" t="inlineStr">
        <is>
          <t>InterActive Philippines</t>
        </is>
      </c>
      <c r="G92" s="24" t="inlineStr">
        <is>
          <t>Carstensz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-144</v>
      </c>
      <c r="M92" s="27" t="n">
        <v>1.694444</v>
      </c>
      <c r="N92" s="28" t="n">
        <v>0.590164</v>
      </c>
      <c r="O92" s="28" t="n">
        <v>0.677164</v>
      </c>
      <c r="P92" s="28" t="n"/>
      <c r="Q92" s="28" t="n">
        <v>0.08699999999999999</v>
      </c>
      <c r="R92" s="26" t="n">
        <v>64</v>
      </c>
      <c r="S92" s="29" t="n">
        <v>1.25</v>
      </c>
      <c r="T92" s="24" t="inlineStr">
        <is>
          <t>dota2-tiered-elo-v6</t>
        </is>
      </c>
      <c r="U92" s="24" t="inlineStr">
        <is>
          <t>settled</t>
        </is>
      </c>
      <c r="V92" s="24" t="inlineStr">
        <is>
          <t>loss</t>
        </is>
      </c>
      <c r="W92" s="26" t="n">
        <v>1</v>
      </c>
      <c r="X92" s="26" t="n">
        <v>0</v>
      </c>
      <c r="Y92" s="25" t="n"/>
      <c r="Z92" s="26" t="n">
        <v>-144</v>
      </c>
      <c r="AA92" s="28" t="n">
        <v>0.59</v>
      </c>
      <c r="AB92" s="28" t="n">
        <v>-0.000164</v>
      </c>
      <c r="AC92" s="30" t="n">
        <v>-1.25</v>
      </c>
      <c r="AD92" s="24" t="inlineStr">
        <is>
          <t>2026-09-07T10:00:21.787987Z</t>
        </is>
      </c>
      <c r="AE92" s="31" t="inlineStr">
        <is>
          <t>Neutral Elo baseline; executable ask 0.5900 (market_slug=aec-dota2-carst-iac-2026-09-07).</t>
        </is>
      </c>
      <c r="AF92" s="31" t="inlineStr">
        <is>
          <t>Config-promoted esports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InterActive Philippines</t>
        </is>
      </c>
      <c r="AQ92" s="24" t="inlineStr">
        <is>
          <t>InterActive Philippines</t>
        </is>
      </c>
      <c r="AR92" s="24" t="inlineStr">
        <is>
          <t>InterActive Philippines</t>
        </is>
      </c>
      <c r="AS92" s="24" t="inlineStr">
        <is>
          <t>Carstensz</t>
        </is>
      </c>
      <c r="AT92" s="24" t="inlineStr">
        <is>
          <t>Carstensz</t>
        </is>
      </c>
      <c r="AU92" s="24" t="inlineStr">
        <is>
          <t>Carstensz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7018ab9f0c6b412dfd8a44132f466470818fac53a1d7559bfad629ca096d5782</t>
        </is>
      </c>
      <c r="BB92" s="24" t="inlineStr">
        <is>
          <t>neutral_elo</t>
        </is>
      </c>
      <c r="BC92" s="24" t="inlineStr">
        <is>
          <t>dota2-tiered-elo-v6</t>
        </is>
      </c>
      <c r="BD92" s="24" t="inlineStr">
        <is>
          <t>7018ab9f0c6b412dfd8a44132f466470818fac53a1d7559bfad629ca096d5782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dota2-tiered-elo-v6</t>
        </is>
      </c>
      <c r="BH92" s="24" t="inlineStr">
        <is>
          <t>2026-09-07T04:34:11.523048Z</t>
        </is>
      </c>
      <c r="BI92" s="24" t="inlineStr">
        <is>
          <t>["same_event","same_team_same_day","same_league_same_day"]</t>
        </is>
      </c>
      <c r="BJ92" s="25" t="n"/>
      <c r="BK92" s="26" t="n">
        <v>-144</v>
      </c>
      <c r="BL92" s="27" t="n">
        <v>1.694444</v>
      </c>
      <c r="BM92" s="28" t="n">
        <v>0.590164</v>
      </c>
      <c r="BN92" s="28" t="n"/>
      <c r="BO92" s="28" t="n"/>
      <c r="BP92" s="25" t="n"/>
      <c r="BQ92" s="27" t="n">
        <v>1.694444</v>
      </c>
      <c r="BR92" s="28" t="n">
        <v>0.59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0.590164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58bc0bc799204816</t>
        </is>
      </c>
      <c r="B93" s="24" t="inlineStr">
        <is>
          <t>2026-09-07T10:03:21.708186Z</t>
        </is>
      </c>
      <c r="C93" s="24" t="inlineStr">
        <is>
          <t>2026-09-07T12:00:00Z</t>
        </is>
      </c>
      <c r="D93" s="24" t="inlineStr">
        <is>
          <t>105253</t>
        </is>
      </c>
      <c r="E93" s="24" t="inlineStr">
        <is>
          <t>DOTA2</t>
        </is>
      </c>
      <c r="F93" s="24" t="inlineStr">
        <is>
          <t>Klim Sani4</t>
        </is>
      </c>
      <c r="G93" s="24" t="inlineStr">
        <is>
          <t>HULIGANI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0.639829</v>
      </c>
      <c r="P93" s="28" t="n"/>
      <c r="Q93" s="28" t="n">
        <v>0.090279</v>
      </c>
      <c r="R93" s="26" t="n">
        <v>65</v>
      </c>
      <c r="S93" s="29" t="n">
        <v>1.25</v>
      </c>
      <c r="T93" s="24" t="inlineStr">
        <is>
          <t>dota2-tiered-elo-v6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1.0246</v>
      </c>
      <c r="AD93" s="24" t="inlineStr">
        <is>
          <t>2026-09-07T16:00:42.811466Z</t>
        </is>
      </c>
      <c r="AE93" s="31" t="inlineStr">
        <is>
          <t>Neutral Elo baseline; executable ask 0.5500 (market_slug=aec-dota2-hul-ks-2026-09-07).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Klim Sani4</t>
        </is>
      </c>
      <c r="AQ93" s="24" t="inlineStr">
        <is>
          <t>Klim Sani4</t>
        </is>
      </c>
      <c r="AR93" s="24" t="inlineStr">
        <is>
          <t>Klim Sani4</t>
        </is>
      </c>
      <c r="AS93" s="24" t="inlineStr">
        <is>
          <t>HULIGANI</t>
        </is>
      </c>
      <c r="AT93" s="24" t="inlineStr">
        <is>
          <t>HULIGANI</t>
        </is>
      </c>
      <c r="AU93" s="24" t="inlineStr">
        <is>
          <t>HULIGANI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0939a6cecb205e7b49253b549639d4bd11e096bb20e085142873fd02c06af5ff</t>
        </is>
      </c>
      <c r="BB93" s="24" t="inlineStr">
        <is>
          <t>neutral_elo</t>
        </is>
      </c>
      <c r="BC93" s="24" t="inlineStr">
        <is>
          <t>dota2-tiered-elo-v6</t>
        </is>
      </c>
      <c r="BD93" s="24" t="inlineStr">
        <is>
          <t>0939a6cecb205e7b49253b549639d4bd11e096bb20e085142873fd02c06af5ff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dota2-tiered-elo-v6</t>
        </is>
      </c>
      <c r="BH93" s="24" t="inlineStr">
        <is>
          <t>2026-09-07T10:03:21.114951Z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0.54955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63392fe5de9d4a35</t>
        </is>
      </c>
      <c r="B94" s="24" t="inlineStr">
        <is>
          <t>2026-09-07T16:03:47.095858Z</t>
        </is>
      </c>
      <c r="C94" s="24" t="inlineStr">
        <is>
          <t>2026-09-07T18:00:00Z</t>
        </is>
      </c>
      <c r="D94" s="24" t="inlineStr">
        <is>
          <t>105260</t>
        </is>
      </c>
      <c r="E94" s="24" t="inlineStr">
        <is>
          <t>DOTA2</t>
        </is>
      </c>
      <c r="F94" s="24" t="inlineStr">
        <is>
          <t xml:space="preserve"> Pipsqueak+4</t>
        </is>
      </c>
      <c r="G94" s="24" t="inlineStr">
        <is>
          <t>GamerLegion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133</v>
      </c>
      <c r="M94" s="27" t="n">
        <v>2.33</v>
      </c>
      <c r="N94" s="28" t="n">
        <v>0.429185</v>
      </c>
      <c r="O94" s="28" t="n">
        <v>0.546702</v>
      </c>
      <c r="P94" s="28" t="n"/>
      <c r="Q94" s="28" t="n">
        <v>0.117517</v>
      </c>
      <c r="R94" s="26" t="n">
        <v>79</v>
      </c>
      <c r="S94" s="29" t="n">
        <v>1.5</v>
      </c>
      <c r="T94" s="24" t="inlineStr">
        <is>
          <t>dota2-tiered-elo-v6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0</v>
      </c>
      <c r="X94" s="26" t="n">
        <v>1</v>
      </c>
      <c r="Y94" s="25" t="n"/>
      <c r="Z94" s="26" t="n">
        <v>133</v>
      </c>
      <c r="AA94" s="28" t="n">
        <v>0.43</v>
      </c>
      <c r="AB94" s="28" t="n">
        <v>0.000815</v>
      </c>
      <c r="AC94" s="30" t="n">
        <v>-1.5</v>
      </c>
      <c r="AD94" s="24" t="inlineStr">
        <is>
          <t>2026-09-07T22:01:42.332204Z</t>
        </is>
      </c>
      <c r="AE94" s="31" t="inlineStr">
        <is>
          <t>Neutral Elo baseline; executable ask 0.4300 (market_slug=aec-dota2-gl-pips4-2026-09-07).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 xml:space="preserve"> Pipsqueak+4</t>
        </is>
      </c>
      <c r="AQ94" s="24" t="inlineStr">
        <is>
          <t xml:space="preserve"> Pipsqueak+4</t>
        </is>
      </c>
      <c r="AR94" s="24" t="inlineStr">
        <is>
          <t xml:space="preserve"> Pipsqueak+4</t>
        </is>
      </c>
      <c r="AS94" s="24" t="inlineStr">
        <is>
          <t>GamerLegion</t>
        </is>
      </c>
      <c r="AT94" s="24" t="inlineStr">
        <is>
          <t>GamerLegion</t>
        </is>
      </c>
      <c r="AU94" s="24" t="inlineStr">
        <is>
          <t>GamerLegion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65a18ebeba116010d3bc2e500f70ad05acec1e88609db9cde3cdea4f3dc3d923</t>
        </is>
      </c>
      <c r="BB94" s="24" t="inlineStr">
        <is>
          <t>neutral_elo</t>
        </is>
      </c>
      <c r="BC94" s="24" t="inlineStr">
        <is>
          <t>dota2-tiered-elo-v6</t>
        </is>
      </c>
      <c r="BD94" s="24" t="inlineStr">
        <is>
          <t>65a18ebeba116010d3bc2e500f70ad05acec1e88609db9cde3cdea4f3dc3d923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dota2-tiered-elo-v6</t>
        </is>
      </c>
      <c r="BH94" s="24" t="inlineStr">
        <is>
          <t>2026-09-07T16:03:46.017479Z</t>
        </is>
      </c>
      <c r="BI94" s="24" t="inlineStr">
        <is>
          <t>["same_event","same_team_same_day","same_league_same_day"]</t>
        </is>
      </c>
      <c r="BJ94" s="25" t="n"/>
      <c r="BK94" s="26" t="n">
        <v>133</v>
      </c>
      <c r="BL94" s="27" t="n">
        <v>2.33</v>
      </c>
      <c r="BM94" s="28" t="n">
        <v>0.429185</v>
      </c>
      <c r="BN94" s="28" t="n"/>
      <c r="BO94" s="28" t="n"/>
      <c r="BP94" s="25" t="n"/>
      <c r="BQ94" s="27" t="n">
        <v>2.33</v>
      </c>
      <c r="BR94" s="28" t="n">
        <v>0.43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0.429185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d49ae36371694a24</t>
        </is>
      </c>
      <c r="B95" s="24" t="inlineStr">
        <is>
          <t>2026-09-08T04:36:08.181341Z</t>
        </is>
      </c>
      <c r="C95" s="24" t="inlineStr">
        <is>
          <t>2026-09-08T09:00:00Z</t>
        </is>
      </c>
      <c r="D95" s="24" t="inlineStr">
        <is>
          <t>105706</t>
        </is>
      </c>
      <c r="E95" s="24" t="inlineStr">
        <is>
          <t>DOTA2</t>
        </is>
      </c>
      <c r="F95" s="24" t="inlineStr">
        <is>
          <t>HULIGANI</t>
        </is>
      </c>
      <c r="G95" s="24" t="inlineStr">
        <is>
          <t>Power Rangers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122</v>
      </c>
      <c r="M95" s="27" t="n">
        <v>2.22</v>
      </c>
      <c r="N95" s="28" t="n">
        <v>0.45045</v>
      </c>
      <c r="O95" s="28" t="n">
        <v>0.594849</v>
      </c>
      <c r="P95" s="28" t="n"/>
      <c r="Q95" s="28" t="n">
        <v>0.144399</v>
      </c>
      <c r="R95" s="26" t="n">
        <v>92</v>
      </c>
      <c r="S95" s="29" t="n">
        <v>1.75</v>
      </c>
      <c r="T95" s="24" t="inlineStr">
        <is>
          <t>dota2-tiered-elo-v6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122</v>
      </c>
      <c r="AA95" s="28" t="n">
        <v>0.45</v>
      </c>
      <c r="AB95" s="28" t="n">
        <v>-0.00045</v>
      </c>
      <c r="AC95" s="30" t="n">
        <v>-1.75</v>
      </c>
      <c r="AD95" s="24" t="inlineStr">
        <is>
          <t>2026-09-08T16:01:28.287434Z</t>
        </is>
      </c>
      <c r="AE95" s="31" t="inlineStr">
        <is>
          <t>Neutral Elo baseline; executable ask 0.4500 (market_slug=aec-dota2-pr-hul-2026-09-08).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HULIGANI</t>
        </is>
      </c>
      <c r="AQ95" s="24" t="inlineStr">
        <is>
          <t>HULIGANI</t>
        </is>
      </c>
      <c r="AR95" s="24" t="inlineStr">
        <is>
          <t>HULIGANI</t>
        </is>
      </c>
      <c r="AS95" s="24" t="inlineStr">
        <is>
          <t>Power Rangers</t>
        </is>
      </c>
      <c r="AT95" s="24" t="inlineStr">
        <is>
          <t>Power Rangers</t>
        </is>
      </c>
      <c r="AU95" s="24" t="inlineStr">
        <is>
          <t>Power Rangers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fbaac35c0ab39e231e054d9c44913995f69660447ae8195455de94d00604778a</t>
        </is>
      </c>
      <c r="BB95" s="24" t="inlineStr">
        <is>
          <t>neutral_elo</t>
        </is>
      </c>
      <c r="BC95" s="24" t="inlineStr">
        <is>
          <t>dota2-tiered-elo-v6</t>
        </is>
      </c>
      <c r="BD95" s="24" t="inlineStr">
        <is>
          <t>fbaac35c0ab39e231e054d9c44913995f69660447ae8195455de94d00604778a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dota2-tiered-elo-v6</t>
        </is>
      </c>
      <c r="BH95" s="24" t="inlineStr">
        <is>
          <t>2026-09-08T04:36:07.649025Z</t>
        </is>
      </c>
      <c r="BI95" s="24" t="inlineStr">
        <is>
          <t>["same_event","same_team_same_day","same_league_same_day"]</t>
        </is>
      </c>
      <c r="BJ95" s="25" t="n"/>
      <c r="BK95" s="26" t="n">
        <v>122</v>
      </c>
      <c r="BL95" s="27" t="n">
        <v>2.22</v>
      </c>
      <c r="BM95" s="28" t="n">
        <v>0.45045</v>
      </c>
      <c r="BN95" s="28" t="n"/>
      <c r="BO95" s="28" t="n"/>
      <c r="BP95" s="25" t="n"/>
      <c r="BQ95" s="27" t="n">
        <v>2.22</v>
      </c>
      <c r="BR95" s="28" t="n">
        <v>0.45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0.45045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6cf741ca4be44485</t>
        </is>
      </c>
      <c r="B96" s="24" t="inlineStr">
        <is>
          <t>2026-09-10T10:04:53.335354Z</t>
        </is>
      </c>
      <c r="C96" s="24" t="inlineStr">
        <is>
          <t>2026-09-10T11:00:00Z</t>
        </is>
      </c>
      <c r="D96" s="24" t="inlineStr">
        <is>
          <t>108610</t>
        </is>
      </c>
      <c r="E96" s="24" t="inlineStr">
        <is>
          <t>DOTA2</t>
        </is>
      </c>
      <c r="F96" s="24" t="inlineStr">
        <is>
          <t>Klim Sani4</t>
        </is>
      </c>
      <c r="G96" s="24" t="inlineStr">
        <is>
          <t>GamerLegion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-178</v>
      </c>
      <c r="M96" s="27" t="n">
        <v>1.561798</v>
      </c>
      <c r="N96" s="28" t="n">
        <v>0.640288</v>
      </c>
      <c r="O96" s="28" t="n">
        <v>0.540797</v>
      </c>
      <c r="P96" s="28" t="n"/>
      <c r="Q96" s="28" t="n">
        <v>-0.099491</v>
      </c>
      <c r="R96" s="26" t="n">
        <v>0</v>
      </c>
      <c r="S96" s="29" t="n">
        <v>1</v>
      </c>
      <c r="T96" s="24" t="inlineStr">
        <is>
          <t>dota2-tiered-elo-v6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0</v>
      </c>
      <c r="Y96" s="25" t="n"/>
      <c r="Z96" s="26" t="n">
        <v>-178</v>
      </c>
      <c r="AA96" s="28" t="n">
        <v>0.64</v>
      </c>
      <c r="AB96" s="28" t="n">
        <v>-0.000288</v>
      </c>
      <c r="AC96" s="30" t="n">
        <v>-1</v>
      </c>
      <c r="AD96" s="24" t="inlineStr">
        <is>
          <t>2026-09-10T22:01:21.669063Z</t>
        </is>
      </c>
      <c r="AE96" s="31" t="inlineStr">
        <is>
          <t>Neutral Elo baseline; executable ask 0.6400 (market_slug=aec-dota2-gl-ks-2026-09-10).</t>
        </is>
      </c>
      <c r="AF96" s="31" t="inlineStr">
        <is>
          <t>Config-promoted esports baseline; gates enforced at log time.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Klim Sani4</t>
        </is>
      </c>
      <c r="AQ96" s="24" t="inlineStr">
        <is>
          <t>Klim Sani4</t>
        </is>
      </c>
      <c r="AR96" s="24" t="inlineStr">
        <is>
          <t>Klim Sani4</t>
        </is>
      </c>
      <c r="AS96" s="24" t="inlineStr">
        <is>
          <t>GamerLegion</t>
        </is>
      </c>
      <c r="AT96" s="24" t="inlineStr">
        <is>
          <t>GamerLegion</t>
        </is>
      </c>
      <c r="AU96" s="24" t="inlineStr">
        <is>
          <t>GamerLegion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af46b9a44351a702a58fc465a924d56ae336525623665f49fe3f4ca8e7a6b3c4</t>
        </is>
      </c>
      <c r="BB96" s="24" t="inlineStr">
        <is>
          <t>neutral_elo</t>
        </is>
      </c>
      <c r="BC96" s="24" t="inlineStr">
        <is>
          <t>dota2-tiered-elo-v6</t>
        </is>
      </c>
      <c r="BD96" s="24" t="inlineStr">
        <is>
          <t>af46b9a44351a702a58fc465a924d56ae336525623665f49fe3f4ca8e7a6b3c4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dota2-tiered-elo-v6</t>
        </is>
      </c>
      <c r="BH96" s="24" t="inlineStr">
        <is>
          <t>2026-09-10T10:04:52.510813Z</t>
        </is>
      </c>
      <c r="BI96" s="24" t="inlineStr">
        <is>
          <t>["same_event","same_team_same_day","same_league_same_day"]</t>
        </is>
      </c>
      <c r="BJ96" s="25" t="n"/>
      <c r="BK96" s="26" t="n">
        <v>-178</v>
      </c>
      <c r="BL96" s="27" t="n">
        <v>1.561798</v>
      </c>
      <c r="BM96" s="28" t="n">
        <v>0.640288</v>
      </c>
      <c r="BN96" s="28" t="n"/>
      <c r="BO96" s="28" t="n"/>
      <c r="BP96" s="25" t="n"/>
      <c r="BQ96" s="27" t="n">
        <v>1.561798</v>
      </c>
      <c r="BR96" s="28" t="n">
        <v>0.64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0.640288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"af46b9a44351a702a58fc465a924d56ae336525623665f49fe3f4ca8e7a6b3c4", "away_team": "Klim Sani4", "event_id": "108610", "event_start_utc": "2026-09-10T11:00:00Z", "features": {"away_elo": 1818.954355, "away_history_count": 44, "home_elo": 1842.440618, "home_history_count": 88}, "historical_source_observation_times_verified": false, "home_team": "GamerLegion", "inference_inputs": {"book_state": {"games_played": {"bo3:4:15145": 44, "bo3:4:22027": 88}, "inactivity_half_life_days": null, "inactivity_max_pull": null, "k": 48.0, "last_match_utc": {"bo3:4:15145": "2026-09-09T21:00:00Z", "bo3:4:22027": "2026-09-08T20:45:00Z"}, "minimum_reliable_games": null, "platt_intercept": 0.0963932780382462, "platt_slope": 0.8298168959287898, "ratings": {"bo3:4:15145": 1818.954355, "bo3:4:22027": 1842.440618},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["bo3:4:22027", "bo3:4:15145"]}, "market_type": "moneyline", "model_version": "dota2-tiered-elo-v6", "observed_at_utc": "2026-09-10T10:04:52.443189+00:00", "probabilities": {"away": 0.459203, "home": 0.540797}, "replay_scope": "Exact serving book state, calibration, temperature, inactivity reference and thin-history adjustments; training provenance not certified.", "schema": "esports-elo-replay-v1", "snapshot_hash": "44766b332624261f7ae091b30937280fb43926d08235d9da5827c4251836eee4", "sport": "DOTA2"}</t>
        </is>
      </c>
    </row>
    <row r="97" ht="36" customHeight="1">
      <c r="A97" s="24" t="inlineStr">
        <is>
          <t>39199a62ed7c4ca6</t>
        </is>
      </c>
      <c r="B97" s="24" t="inlineStr">
        <is>
          <t>2026-09-10T10:04:53.335354Z</t>
        </is>
      </c>
      <c r="C97" s="24" t="inlineStr">
        <is>
          <t>2026-09-10T12:00:00Z</t>
        </is>
      </c>
      <c r="D97" s="24" t="inlineStr">
        <is>
          <t>107745</t>
        </is>
      </c>
      <c r="E97" s="24" t="inlineStr">
        <is>
          <t>DOTA2</t>
        </is>
      </c>
      <c r="F97" s="24" t="inlineStr">
        <is>
          <t>Daxak Club</t>
        </is>
      </c>
      <c r="G97" s="24" t="inlineStr">
        <is>
          <t>Recrent Club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150</v>
      </c>
      <c r="M97" s="27" t="n">
        <v>2.5</v>
      </c>
      <c r="N97" s="28" t="n">
        <v>0.4</v>
      </c>
      <c r="O97" s="28" t="n">
        <v>0.510205</v>
      </c>
      <c r="P97" s="28" t="n"/>
      <c r="Q97" s="28" t="n">
        <v>0.110205</v>
      </c>
      <c r="R97" s="26" t="n">
        <v>75</v>
      </c>
      <c r="S97" s="29" t="n">
        <v>1.5</v>
      </c>
      <c r="T97" s="24" t="inlineStr">
        <is>
          <t>dota2-tiered-elo-v6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150</v>
      </c>
      <c r="AA97" s="28" t="n">
        <v>0.4</v>
      </c>
      <c r="AB97" s="28" t="n">
        <v>0</v>
      </c>
      <c r="AC97" s="30" t="n">
        <v>-1.5</v>
      </c>
      <c r="AD97" s="24" t="inlineStr">
        <is>
          <t>2026-09-10T22:01:22.039457Z</t>
        </is>
      </c>
      <c r="AE97" s="31" t="inlineStr">
        <is>
          <t>Neutral Elo baseline; executable ask 0.4000 (market_slug=aec-dota2-rce-dca-2026-09-10).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PAPER_CALL_MODEL_UNVALIDATED</t>
        </is>
      </c>
      <c r="AP97" s="24" t="inlineStr">
        <is>
          <t>Daxak Club</t>
        </is>
      </c>
      <c r="AQ97" s="24" t="inlineStr">
        <is>
          <t>Daxak Club</t>
        </is>
      </c>
      <c r="AR97" s="24" t="inlineStr">
        <is>
          <t>Daxak Club</t>
        </is>
      </c>
      <c r="AS97" s="24" t="inlineStr">
        <is>
          <t>Recrent Club</t>
        </is>
      </c>
      <c r="AT97" s="24" t="inlineStr">
        <is>
          <t>Recrent Club</t>
        </is>
      </c>
      <c r="AU97" s="24" t="inlineStr">
        <is>
          <t>Recrent Club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af46b9a44351a702a58fc465a924d56ae336525623665f49fe3f4ca8e7a6b3c4</t>
        </is>
      </c>
      <c r="BB97" s="24" t="inlineStr">
        <is>
          <t>neutral_elo</t>
        </is>
      </c>
      <c r="BC97" s="24" t="inlineStr">
        <is>
          <t>dota2-tiered-elo-v6</t>
        </is>
      </c>
      <c r="BD97" s="24" t="inlineStr">
        <is>
          <t>af46b9a44351a702a58fc465a924d56ae336525623665f49fe3f4ca8e7a6b3c4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dota2-tiered-elo-v6</t>
        </is>
      </c>
      <c r="BH97" s="24" t="inlineStr">
        <is>
          <t>2026-09-10T10:04:52.679294Z</t>
        </is>
      </c>
      <c r="BI97" s="24" t="inlineStr">
        <is>
          <t>["same_event","same_team_same_day","same_league_same_day"]</t>
        </is>
      </c>
      <c r="BJ97" s="25" t="n"/>
      <c r="BK97" s="26" t="n">
        <v>150</v>
      </c>
      <c r="BL97" s="27" t="n">
        <v>2.5</v>
      </c>
      <c r="BM97" s="28" t="n">
        <v>0.4</v>
      </c>
      <c r="BN97" s="28" t="n"/>
      <c r="BO97" s="28" t="n"/>
      <c r="BP97" s="25" t="n"/>
      <c r="BQ97" s="27" t="n">
        <v>2.5</v>
      </c>
      <c r="BR97" s="28" t="n">
        <v>0.4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0.4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"af46b9a44351a702a58fc465a924d56ae336525623665f49fe3f4ca8e7a6b3c4", "away_team": "Daxak Club", "event_id": "107745", "event_start_utc": "2026-09-10T12:00:00Z", "features": {"away_elo": 1500.0, "away_history_count": 0, "home_elo": 1500.0, "home_history_count": 0}, "historical_source_observation_times_verified": false, "home_team": "Recrent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["unknown:recrentclub", "unknown:daxakclub"]},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"cae7ea0b61c0b0279ff6e457d451499ee4add5f600cac5df3f85a26e248d7726", "sport": "DOTA2"}</t>
        </is>
      </c>
    </row>
    <row r="98" ht="36" customHeight="1">
      <c r="A98" s="24" t="inlineStr">
        <is>
          <t>3b2829d868f34883</t>
        </is>
      </c>
      <c r="B98" s="24" t="inlineStr">
        <is>
          <t>2026-09-10T10:04:53.335354Z</t>
        </is>
      </c>
      <c r="C98" s="24" t="inlineStr">
        <is>
          <t>2026-09-10T15:00:00Z</t>
        </is>
      </c>
      <c r="D98" s="24" t="inlineStr">
        <is>
          <t>107746</t>
        </is>
      </c>
      <c r="E98" s="24" t="inlineStr">
        <is>
          <t>DOTA2</t>
        </is>
      </c>
      <c r="F98" s="24" t="inlineStr">
        <is>
          <t>YBN Club</t>
        </is>
      </c>
      <c r="G98" s="24" t="inlineStr">
        <is>
          <t>Rostikfacekid Club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-156</v>
      </c>
      <c r="M98" s="27" t="n">
        <v>1.641026</v>
      </c>
      <c r="N98" s="28" t="n">
        <v>0.609375</v>
      </c>
      <c r="O98" s="28" t="n">
        <v>0.510205</v>
      </c>
      <c r="P98" s="28" t="n"/>
      <c r="Q98" s="28" t="n">
        <v>-0.09916999999999999</v>
      </c>
      <c r="R98" s="26" t="n">
        <v>0</v>
      </c>
      <c r="S98" s="29" t="n">
        <v>1</v>
      </c>
      <c r="T98" s="24" t="inlineStr">
        <is>
          <t>dota2-tiered-elo-v6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-156</v>
      </c>
      <c r="AA98" s="28" t="n">
        <v>0.61</v>
      </c>
      <c r="AB98" s="28" t="n">
        <v>0.000625</v>
      </c>
      <c r="AC98" s="30" t="n">
        <v>0.641</v>
      </c>
      <c r="AD98" s="24" t="inlineStr">
        <is>
          <t>2026-09-10T22:01:22.336544Z</t>
        </is>
      </c>
      <c r="AE98" s="31" t="inlineStr">
        <is>
          <t>Neutral Elo baseline; executable ask 0.6100 (market_slug=aec-dota2-rco-ycb-2026-09-10).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PAPER_CALL_MODEL_UNVALIDATED</t>
        </is>
      </c>
      <c r="AP98" s="24" t="inlineStr">
        <is>
          <t>YBN Club</t>
        </is>
      </c>
      <c r="AQ98" s="24" t="inlineStr">
        <is>
          <t>YBN Club</t>
        </is>
      </c>
      <c r="AR98" s="24" t="inlineStr">
        <is>
          <t>YBN Club</t>
        </is>
      </c>
      <c r="AS98" s="24" t="inlineStr">
        <is>
          <t>Rostikfacekid Club</t>
        </is>
      </c>
      <c r="AT98" s="24" t="inlineStr">
        <is>
          <t>Rostikfacekid Club</t>
        </is>
      </c>
      <c r="AU98" s="24" t="inlineStr">
        <is>
          <t>Rostikfacekid Club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af46b9a44351a702a58fc465a924d56ae336525623665f49fe3f4ca8e7a6b3c4</t>
        </is>
      </c>
      <c r="BB98" s="24" t="inlineStr">
        <is>
          <t>neutral_elo</t>
        </is>
      </c>
      <c r="BC98" s="24" t="inlineStr">
        <is>
          <t>dota2-tiered-elo-v6</t>
        </is>
      </c>
      <c r="BD98" s="24" t="inlineStr">
        <is>
          <t>af46b9a44351a702a58fc465a924d56ae336525623665f49fe3f4ca8e7a6b3c4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dota2-tiered-elo-v6</t>
        </is>
      </c>
      <c r="BH98" s="24" t="inlineStr">
        <is>
          <t>2026-09-10T10:04:52.762270Z</t>
        </is>
      </c>
      <c r="BI98" s="24" t="inlineStr">
        <is>
          <t>["same_event","same_team_same_day","same_league_same_day"]</t>
        </is>
      </c>
      <c r="BJ98" s="25" t="n"/>
      <c r="BK98" s="26" t="n">
        <v>-156</v>
      </c>
      <c r="BL98" s="27" t="n">
        <v>1.641026</v>
      </c>
      <c r="BM98" s="28" t="n">
        <v>0.609375</v>
      </c>
      <c r="BN98" s="28" t="n"/>
      <c r="BO98" s="28" t="n"/>
      <c r="BP98" s="25" t="n"/>
      <c r="BQ98" s="27" t="n">
        <v>1.641026</v>
      </c>
      <c r="BR98" s="28" t="n">
        <v>0.61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0.609375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"af46b9a44351a702a58fc465a924d56ae336525623665f49fe3f4ca8e7a6b3c4", "away_team": "YBN Club", "event_id": "107746", "event_start_utc": "2026-09-10T15:00:00Z",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["unknown:rostikfacekidclub", "unknown:ybnclub"]},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"58a0fdd73a02dff551854327dc361ac6ed7b362860d5a8d6dae8eff132327aea", "sport": "DOTA2"}</t>
        </is>
      </c>
    </row>
    <row r="99" ht="36" customHeight="1">
      <c r="A99" s="24" t="inlineStr">
        <is>
          <t>13de827c0ecf46bd</t>
        </is>
      </c>
      <c r="B99" s="24" t="inlineStr">
        <is>
          <t>2026-09-11T16:05:30.815215Z</t>
        </is>
      </c>
      <c r="C99" s="24" t="inlineStr">
        <is>
          <t>2026-09-11T19:00:00Z</t>
        </is>
      </c>
      <c r="D99" s="24" t="inlineStr">
        <is>
          <t>107750</t>
        </is>
      </c>
      <c r="E99" s="24" t="inlineStr">
        <is>
          <t>DOTA2</t>
        </is>
      </c>
      <c r="F99" s="24" t="inlineStr">
        <is>
          <t>YBN Club</t>
        </is>
      </c>
      <c r="G99" s="24" t="inlineStr">
        <is>
          <t>Cooman Club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-170</v>
      </c>
      <c r="M99" s="27" t="n">
        <v>1.588235</v>
      </c>
      <c r="N99" s="28" t="n">
        <v>0.62963</v>
      </c>
      <c r="O99" s="28" t="n">
        <v>0.509911</v>
      </c>
      <c r="P99" s="28" t="n"/>
      <c r="Q99" s="28" t="n">
        <v>-0.119719</v>
      </c>
      <c r="R99" s="26" t="n">
        <v>0</v>
      </c>
      <c r="S99" s="29" t="n">
        <v>1</v>
      </c>
      <c r="T99" s="24" t="inlineStr">
        <is>
          <t>dota2-tiered-elo-v6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>
        <v>-170</v>
      </c>
      <c r="AA99" s="28" t="n">
        <v>0.63</v>
      </c>
      <c r="AB99" s="28" t="n">
        <v>0.00037</v>
      </c>
      <c r="AC99" s="30" t="n">
        <v>0.5881999999999999</v>
      </c>
      <c r="AD99" s="24" t="inlineStr">
        <is>
          <t>2026-09-11T22:00:51.734933Z</t>
        </is>
      </c>
      <c r="AE99" s="31" t="inlineStr">
        <is>
          <t>Neutral Elo baseline; executable ask 0.6300 (market_slug=aec-dota2-cco-ycb-2026-09-11).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PAPER_CALL_MODEL_UNVALIDATED</t>
        </is>
      </c>
      <c r="AP99" s="24" t="inlineStr">
        <is>
          <t>YBN Club</t>
        </is>
      </c>
      <c r="AQ99" s="24" t="inlineStr">
        <is>
          <t>YBN Club</t>
        </is>
      </c>
      <c r="AR99" s="24" t="inlineStr">
        <is>
          <t>YBN Club</t>
        </is>
      </c>
      <c r="AS99" s="24" t="inlineStr">
        <is>
          <t>Cooman Club</t>
        </is>
      </c>
      <c r="AT99" s="24" t="inlineStr">
        <is>
          <t>Cooman Club</t>
        </is>
      </c>
      <c r="AU99" s="24" t="inlineStr">
        <is>
          <t>Cooman Club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eb924c507ecb601cea9379d42385560334162c709b115456ba5fac78313838d5</t>
        </is>
      </c>
      <c r="BB99" s="24" t="inlineStr">
        <is>
          <t>neutral_elo</t>
        </is>
      </c>
      <c r="BC99" s="24" t="inlineStr">
        <is>
          <t>dota2-tiered-elo-v6</t>
        </is>
      </c>
      <c r="BD99" s="24" t="inlineStr">
        <is>
          <t>eb924c507ecb601cea9379d42385560334162c709b115456ba5fac78313838d5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dota2-tiered-elo-v6</t>
        </is>
      </c>
      <c r="BH99" s="24" t="inlineStr">
        <is>
          <t>2026-09-11T16:05:29.377994Z</t>
        </is>
      </c>
      <c r="BI99" s="24" t="inlineStr">
        <is>
          <t>["same_event","same_team_same_day","same_league_same_day"]</t>
        </is>
      </c>
      <c r="BJ99" s="25" t="n"/>
      <c r="BK99" s="26" t="n">
        <v>-170</v>
      </c>
      <c r="BL99" s="27" t="n">
        <v>1.588235</v>
      </c>
      <c r="BM99" s="28" t="n">
        <v>0.62963</v>
      </c>
      <c r="BN99" s="28" t="n"/>
      <c r="BO99" s="28" t="n"/>
      <c r="BP99" s="25" t="n"/>
      <c r="BQ99" s="27" t="n">
        <v>1.588235</v>
      </c>
      <c r="BR99" s="28" t="n">
        <v>0.63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0.62963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"eb924c507ecb601cea9379d42385560334162c709b115456ba5fac78313838d5", "away_team": "YBN Club", "event_id": "107750", "event_start_utc": "2026-09-11T19:00:00Z", "features": {"away_elo": 1500.0, "away_history_count": 0, "home_elo": 1500.0, "home_history_count": 0}, "historical_source_observation_times_verified": false, "home_team": "Cooman Club", "inference_inputs": {"book_state": {"games_played": {}, "inactivity_half_life_days": null, "inactivity_max_pull": null, "k": 48.0, "last_match_utc": {}, "minimum_reliable_games": null, "platt_intercept": 0.09360438768383858, "platt_slope": 0.8314561322162585,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"2026-09-11T16:05:29.283061+00:00", "team_ids": ["unknown:coomanclub", "unknown:ybnclub"]}, "market_type": "moneyline", "model_version": "dota2-tiered-elo-v6", "observed_at_utc": "2026-09-11T16:05:29.283061+00:00", "probabilities": {"away": 0.490089, "home": 0.509911}, "replay_scope": "Exact serving book state, calibration, temperature, inactivity reference and thin-history adjustments; training provenance not certified.", "schema": "esports-elo-replay-v1", "snapshot_hash": "1278d9f8aa2184310b3daede2ec8de123a1d864de367be927d09750448bd37ab", "sport": "DOTA2"}</t>
        </is>
      </c>
    </row>
    <row r="100" ht="36" customHeight="1">
      <c r="A100" s="24" t="inlineStr">
        <is>
          <t>f48a71689b6f4273</t>
        </is>
      </c>
      <c r="B100" s="24" t="inlineStr">
        <is>
          <t>2026-09-12T04:38:18.683452Z</t>
        </is>
      </c>
      <c r="C100" s="24" t="inlineStr">
        <is>
          <t>2026-09-12T05:00:00Z</t>
        </is>
      </c>
      <c r="D100" s="24" t="inlineStr">
        <is>
          <t>109362</t>
        </is>
      </c>
      <c r="E100" s="24" t="inlineStr">
        <is>
          <t>DOTA2</t>
        </is>
      </c>
      <c r="F100" s="24" t="inlineStr">
        <is>
          <t>ЯЧЁ123</t>
        </is>
      </c>
      <c r="G100" s="24" t="inlineStr">
        <is>
          <t>Direborn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0.5742969999999999</v>
      </c>
      <c r="P100" s="28" t="n"/>
      <c r="Q100" s="28" t="n">
        <v>-0.015867</v>
      </c>
      <c r="R100" s="26" t="n">
        <v>12</v>
      </c>
      <c r="S100" s="29" t="n">
        <v>1</v>
      </c>
      <c r="T100" s="24" t="inlineStr">
        <is>
          <t>dota2-tiered-elo-v6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0.6944</v>
      </c>
      <c r="AD100" s="24" t="inlineStr">
        <is>
          <t>2026-09-12T10:00:36.689872Z</t>
        </is>
      </c>
      <c r="AE100" s="31" t="inlineStr">
        <is>
          <t>Neutral Elo baseline; executable ask 0.5900 (market_slug=aec-dota2-db-y123-2026-09-12).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PAPER_CALL_MODEL_UNVALIDATED</t>
        </is>
      </c>
      <c r="AP100" s="24" t="inlineStr">
        <is>
          <t>ЯЧЁ123</t>
        </is>
      </c>
      <c r="AQ100" s="24" t="inlineStr">
        <is>
          <t>ЯЧЁ123</t>
        </is>
      </c>
      <c r="AR100" s="24" t="inlineStr">
        <is>
          <t>ЯЧЁ123</t>
        </is>
      </c>
      <c r="AS100" s="24" t="inlineStr">
        <is>
          <t>Direborn</t>
        </is>
      </c>
      <c r="AT100" s="24" t="inlineStr">
        <is>
          <t>Direborn</t>
        </is>
      </c>
      <c r="AU100" s="24" t="inlineStr">
        <is>
          <t>Direborn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44770a8449a3e7162e152d9dce46bbd14aef83a416a0f24f37bc8b035e9ca3ed</t>
        </is>
      </c>
      <c r="BB100" s="24" t="inlineStr">
        <is>
          <t>neutral_elo</t>
        </is>
      </c>
      <c r="BC100" s="24" t="inlineStr">
        <is>
          <t>dota2-tiered-elo-v6</t>
        </is>
      </c>
      <c r="BD100" s="24" t="inlineStr">
        <is>
          <t>44770a8449a3e7162e152d9dce46bbd14aef83a416a0f24f37bc8b035e9ca3ed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dota2-tiered-elo-v6</t>
        </is>
      </c>
      <c r="BH100" s="24" t="inlineStr">
        <is>
          <t>2026-09-12T04:38:16.720275Z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0.590164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"44770a8449a3e7162e152d9dce46bbd14aef83a416a0f24f37bc8b035e9ca3ed", "away_team": "\u042f\u0427\u0401123", "event_id": "109362", "event_start_utc": "2026-09-12T05:00:00Z", "features": {"away_elo": 1500.0, "away_history_count": 0, "home_elo": 1632.596899, "home_history_count": 24}, "historical_source_observation_times_verified": false, "home_team": "Direborn", "inference_inputs": {"book_state": {"games_played": {"bo3:4:24344": 24}, "inactivity_half_life_days": null, "inactivity_max_pull": null, "k": 48.0, "last_match_utc": {"bo3:4:24344": "2026-09-11T07:00:00Z"}, "minimum_reliable_games": null, "platt_intercept": 0.0928155021931158, "platt_slope": 0.832748698858141, "ratings": {"bo3:4:24344": 1632.596899},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"2026-09-12T04:38:16.658308+00:00", "team_ids": ["bo3:4:24344", "unknown:\u044f\u0447\u0435123"]}, "market_type": "moneyline", "model_version": "dota2-tiered-elo-v6", "observed_at_utc": "2026-09-12T04:38:16.658308+00:00", "probabilities": {"away": 0.425703, "home": 0.574297}, "replay_scope": "Exact serving book state, calibration, temperature, inactivity reference and thin-history adjustments; training provenance not certified.", "schema": "esports-elo-replay-v1", "snapshot_hash": "e6f8babd54f8ac84b79132efa43cc58c1b4c4bcd4ce7fa218b7b3c9446089139", "sport": "DOTA2"}</t>
        </is>
      </c>
    </row>
    <row r="101" ht="36" customHeight="1">
      <c r="A101" s="24" t="inlineStr">
        <is>
          <t>01fc71f47e25417e</t>
        </is>
      </c>
      <c r="B101" s="24" t="inlineStr">
        <is>
          <t>2026-09-12T10:07:53.769723Z</t>
        </is>
      </c>
      <c r="C101" s="24" t="inlineStr">
        <is>
          <t>2026-09-12T11:00:00Z</t>
        </is>
      </c>
      <c r="D101" s="24" t="inlineStr">
        <is>
          <t>108753</t>
        </is>
      </c>
      <c r="E101" s="24" t="inlineStr">
        <is>
          <t>DOTA2</t>
        </is>
      </c>
      <c r="F101" s="24" t="inlineStr">
        <is>
          <t>GamerLegion</t>
        </is>
      </c>
      <c r="G101" s="24" t="inlineStr">
        <is>
          <t xml:space="preserve"> Pipsqueak+4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-203</v>
      </c>
      <c r="M101" s="27" t="n">
        <v>1.492611</v>
      </c>
      <c r="N101" s="28" t="n">
        <v>0.669967</v>
      </c>
      <c r="O101" s="28" t="n">
        <v>0.562568</v>
      </c>
      <c r="P101" s="28" t="n"/>
      <c r="Q101" s="28" t="n">
        <v>-0.107399</v>
      </c>
      <c r="R101" s="26" t="n">
        <v>0</v>
      </c>
      <c r="S101" s="29" t="n">
        <v>1</v>
      </c>
      <c r="T101" s="24" t="inlineStr">
        <is>
          <t>dota2-tiered-elo-v6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0</v>
      </c>
      <c r="X101" s="26" t="n">
        <v>1</v>
      </c>
      <c r="Y101" s="25" t="n"/>
      <c r="Z101" s="26" t="n">
        <v>-203</v>
      </c>
      <c r="AA101" s="28" t="n">
        <v>0.67</v>
      </c>
      <c r="AB101" s="28" t="n">
        <v>3.3e-05</v>
      </c>
      <c r="AC101" s="30" t="n">
        <v>-1</v>
      </c>
      <c r="AD101" s="24" t="inlineStr">
        <is>
          <t>2026-09-12T16:00:57.782771Z</t>
        </is>
      </c>
      <c r="AE101" s="31" t="inlineStr">
        <is>
          <t>Neutral Elo baseline; executable ask 0.6700 (market_slug=aec-dota2-pips4-gl-2026-09-12).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GamerLegion</t>
        </is>
      </c>
      <c r="AQ101" s="24" t="inlineStr">
        <is>
          <t>GamerLegion</t>
        </is>
      </c>
      <c r="AR101" s="24" t="inlineStr">
        <is>
          <t>GamerLegion</t>
        </is>
      </c>
      <c r="AS101" s="24" t="inlineStr">
        <is>
          <t xml:space="preserve"> Pipsqueak+4</t>
        </is>
      </c>
      <c r="AT101" s="24" t="inlineStr">
        <is>
          <t xml:space="preserve"> Pipsqueak+4</t>
        </is>
      </c>
      <c r="AU101" s="24" t="inlineStr">
        <is>
          <t xml:space="preserve"> Pipsqueak+4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a4dc8ace14d1c432799e792413052f6166931ef4fb245a18de7b501169901072</t>
        </is>
      </c>
      <c r="BB101" s="24" t="inlineStr">
        <is>
          <t>neutral_elo</t>
        </is>
      </c>
      <c r="BC101" s="24" t="inlineStr">
        <is>
          <t>dota2-tiered-elo-v6</t>
        </is>
      </c>
      <c r="BD101" s="24" t="inlineStr">
        <is>
          <t>a4dc8ace14d1c432799e792413052f6166931ef4fb245a18de7b501169901072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dota2-tiered-elo-v6</t>
        </is>
      </c>
      <c r="BH101" s="24" t="inlineStr">
        <is>
          <t>2026-09-12T10:07:51.982646Z</t>
        </is>
      </c>
      <c r="BI101" s="24" t="inlineStr">
        <is>
          <t>["same_event","same_team_same_day","same_league_same_day"]</t>
        </is>
      </c>
      <c r="BJ101" s="25" t="n"/>
      <c r="BK101" s="26" t="n">
        <v>-203</v>
      </c>
      <c r="BL101" s="27" t="n">
        <v>1.492611</v>
      </c>
      <c r="BM101" s="28" t="n">
        <v>0.669967</v>
      </c>
      <c r="BN101" s="28" t="n"/>
      <c r="BO101" s="28" t="n"/>
      <c r="BP101" s="25" t="n"/>
      <c r="BQ101" s="27" t="n">
        <v>1.492611</v>
      </c>
      <c r="BR101" s="28" t="n">
        <v>0.67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0.669967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"a4dc8ace14d1c432799e792413052f6166931ef4fb245a18de7b501169901072", "away_team": "GamerLegion", "event_id": "108753", "event_start_utc": "2026-09-12T11:00:00Z", "features": {"away_elo": 1808.88584, "away_history_count": 89, "home_elo": 1730.560818, "home_history_count": 127}, "historical_source_observation_times_verified": false, "home_team": " Pipsqueak+4", "inference_inputs": {"book_state": {"games_played": {"bo3:4:21435": 127, "bo3:4:22027": 89}, "inactivity_half_life_days": null, "inactivity_max_pull": null, "k": 48.0, "last_match_utc": {"bo3:4:21435": "2026-09-08T12:40:00Z", "bo3:4:22027": "2026-09-10T12:00:00Z"}, "minimum_reliable_games": null, "platt_intercept": 0.08954882973537674, "platt_slope": 0.8290335404784215, "ratings": {"bo3:4:21435": 1730.560818, "bo3:4:22027": 1808.88584},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["bo3:4:21435", "bo3:4:22027"]}, "market_type": "moneyline", "model_version": "dota2-tiered-elo-v6", "observed_at_utc": "2026-09-12T10:07:51.888110+00:00", "probabilities": {"away": 0.562568, "home": 0.437432}, "replay_scope": "Exact serving book state, calibration, temperature, inactivity reference and thin-history adjustments; training provenance not certified.", "schema": "esports-elo-replay-v1", "snapshot_hash": "4e44c29eb2a56e25f79f48a7ae12ee27f1224ec7fefe0b1e5cbbde792f958360", "sport": "DOTA2"}</t>
        </is>
      </c>
    </row>
    <row r="102" ht="36" customHeight="1">
      <c r="A102" s="24" t="inlineStr">
        <is>
          <t>5dd8da6983494b55</t>
        </is>
      </c>
      <c r="B102" s="24" t="inlineStr">
        <is>
          <t>2026-09-12T10:07:53.769723Z</t>
        </is>
      </c>
      <c r="C102" s="24" t="inlineStr">
        <is>
          <t>2026-09-12T11:00:00Z</t>
        </is>
      </c>
      <c r="D102" s="24" t="inlineStr">
        <is>
          <t>109379</t>
        </is>
      </c>
      <c r="E102" s="24" t="inlineStr">
        <is>
          <t>DOTA2</t>
        </is>
      </c>
      <c r="F102" s="24" t="inlineStr">
        <is>
          <t>Team Bored</t>
        </is>
      </c>
      <c r="G102" s="24" t="inlineStr">
        <is>
          <t>Xipto Esports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-150</v>
      </c>
      <c r="M102" s="27" t="n">
        <v>1.666667</v>
      </c>
      <c r="N102" s="28" t="n">
        <v>0.6</v>
      </c>
      <c r="O102" s="28" t="n">
        <v>0.509482</v>
      </c>
      <c r="P102" s="28" t="n"/>
      <c r="Q102" s="28" t="n">
        <v>-0.090518</v>
      </c>
      <c r="R102" s="26" t="n">
        <v>0</v>
      </c>
      <c r="S102" s="29" t="n">
        <v>1</v>
      </c>
      <c r="T102" s="24" t="inlineStr">
        <is>
          <t>dota2-tiered-elo-v6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-150</v>
      </c>
      <c r="AA102" s="28" t="n">
        <v>0.6</v>
      </c>
      <c r="AB102" s="28" t="n">
        <v>0</v>
      </c>
      <c r="AC102" s="30" t="n">
        <v>-1</v>
      </c>
      <c r="AD102" s="24" t="inlineStr">
        <is>
          <t>2026-09-12T16:00:59.145547Z</t>
        </is>
      </c>
      <c r="AE102" s="31" t="inlineStr">
        <is>
          <t>Neutral Elo baseline; executable ask 0.6000 (market_slug=aec-dota2-xe-bored-2026-09-12).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PAPER_CALL_MODEL_UNVALIDATED</t>
        </is>
      </c>
      <c r="AP102" s="24" t="inlineStr">
        <is>
          <t>Team Bored</t>
        </is>
      </c>
      <c r="AQ102" s="24" t="inlineStr">
        <is>
          <t>Team Bored</t>
        </is>
      </c>
      <c r="AR102" s="24" t="inlineStr">
        <is>
          <t>Team Bored</t>
        </is>
      </c>
      <c r="AS102" s="24" t="inlineStr">
        <is>
          <t>Xipto Esports</t>
        </is>
      </c>
      <c r="AT102" s="24" t="inlineStr">
        <is>
          <t>Xipto Esports</t>
        </is>
      </c>
      <c r="AU102" s="24" t="inlineStr">
        <is>
          <t>Xipto Esports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a4dc8ace14d1c432799e792413052f6166931ef4fb245a18de7b501169901072</t>
        </is>
      </c>
      <c r="BB102" s="24" t="inlineStr">
        <is>
          <t>neutral_elo</t>
        </is>
      </c>
      <c r="BC102" s="24" t="inlineStr">
        <is>
          <t>dota2-tiered-elo-v6</t>
        </is>
      </c>
      <c r="BD102" s="24" t="inlineStr">
        <is>
          <t>a4dc8ace14d1c432799e792413052f6166931ef4fb245a18de7b501169901072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dota2-tiered-elo-v6</t>
        </is>
      </c>
      <c r="BH102" s="24" t="inlineStr">
        <is>
          <t>2026-09-12T10:07:52.403761Z</t>
        </is>
      </c>
      <c r="BI102" s="24" t="inlineStr">
        <is>
          <t>["same_event","same_team_same_day","same_league_same_day"]</t>
        </is>
      </c>
      <c r="BJ102" s="25" t="n"/>
      <c r="BK102" s="26" t="n">
        <v>-150</v>
      </c>
      <c r="BL102" s="27" t="n">
        <v>1.666667</v>
      </c>
      <c r="BM102" s="28" t="n">
        <v>0.6</v>
      </c>
      <c r="BN102" s="28" t="n"/>
      <c r="BO102" s="28" t="n"/>
      <c r="BP102" s="25" t="n"/>
      <c r="BQ102" s="27" t="n">
        <v>1.666667</v>
      </c>
      <c r="BR102" s="28" t="n">
        <v>0.6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"a4dc8ace14d1c432799e792413052f6166931ef4fb245a18de7b501169901072", "away_team": "Team Bored", "event_id": "109379", "event_start_utc": "2026-09-12T11:00:00Z", "features": {"away_elo": 1500.0, "away_history_count": 0, "home_elo": 1500.0, "home_history_count": 0}, "historical_source_observation_times_verified": false, "home_team": "Xipto Esports",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["unknown:xiptoesports", "unknown:teambored"]},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"f9e89c083917b090e8bc9200487bd713dc8153c3bd8087988bf1bc42df2b5547", "sport": "DOTA2"}</t>
        </is>
      </c>
    </row>
    <row r="103" ht="36" customHeight="1">
      <c r="A103" s="24" t="inlineStr">
        <is>
          <t>dea2f52096cb48d3</t>
        </is>
      </c>
      <c r="B103" s="24" t="inlineStr">
        <is>
          <t>2026-09-12T10:07:53.769723Z</t>
        </is>
      </c>
      <c r="C103" s="24" t="inlineStr">
        <is>
          <t>2026-09-12T12:00:00Z</t>
        </is>
      </c>
      <c r="D103" s="24" t="inlineStr">
        <is>
          <t>107681</t>
        </is>
      </c>
      <c r="E103" s="24" t="inlineStr">
        <is>
          <t>DOTA2</t>
        </is>
      </c>
      <c r="F103" s="24" t="inlineStr">
        <is>
          <t>Daxak Club</t>
        </is>
      </c>
      <c r="G103" s="24" t="inlineStr">
        <is>
          <t>Stariy Bog Club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100</v>
      </c>
      <c r="M103" s="27" t="n">
        <v>2</v>
      </c>
      <c r="N103" s="28" t="n">
        <v>0.5</v>
      </c>
      <c r="O103" s="28" t="n">
        <v>0.509482</v>
      </c>
      <c r="P103" s="28" t="n"/>
      <c r="Q103" s="28" t="n">
        <v>0.009482000000000001</v>
      </c>
      <c r="R103" s="26" t="n">
        <v>25</v>
      </c>
      <c r="S103" s="29" t="n">
        <v>1</v>
      </c>
      <c r="T103" s="24" t="inlineStr">
        <is>
          <t>dota2-tiered-elo-v6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100</v>
      </c>
      <c r="AA103" s="28" t="n">
        <v>0.5</v>
      </c>
      <c r="AB103" s="28" t="n">
        <v>0</v>
      </c>
      <c r="AC103" s="30" t="n">
        <v>-1</v>
      </c>
      <c r="AD103" s="24" t="inlineStr">
        <is>
          <t>2026-09-12T16:00:59.602385Z</t>
        </is>
      </c>
      <c r="AE103" s="31" t="inlineStr">
        <is>
          <t>Neutral Elo baseline; executable ask 0.5000 (market_slug=aec-dota2-sbc-dca-2026-09-12).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PAPER_CALL_MODEL_UNVALIDATED</t>
        </is>
      </c>
      <c r="AP103" s="24" t="inlineStr">
        <is>
          <t>Daxak Club</t>
        </is>
      </c>
      <c r="AQ103" s="24" t="inlineStr">
        <is>
          <t>Daxak Club</t>
        </is>
      </c>
      <c r="AR103" s="24" t="inlineStr">
        <is>
          <t>Daxak Club</t>
        </is>
      </c>
      <c r="AS103" s="24" t="inlineStr">
        <is>
          <t>Stariy Bog Club</t>
        </is>
      </c>
      <c r="AT103" s="24" t="inlineStr">
        <is>
          <t>Stariy Bog Club</t>
        </is>
      </c>
      <c r="AU103" s="24" t="inlineStr">
        <is>
          <t>Stariy Bog Club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a4dc8ace14d1c432799e792413052f6166931ef4fb245a18de7b501169901072</t>
        </is>
      </c>
      <c r="BB103" s="24" t="inlineStr">
        <is>
          <t>neutral_elo</t>
        </is>
      </c>
      <c r="BC103" s="24" t="inlineStr">
        <is>
          <t>dota2-tiered-elo-v6</t>
        </is>
      </c>
      <c r="BD103" s="24" t="inlineStr">
        <is>
          <t>a4dc8ace14d1c432799e792413052f6166931ef4fb245a18de7b501169901072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dota2-tiered-elo-v6</t>
        </is>
      </c>
      <c r="BH103" s="24" t="inlineStr">
        <is>
          <t>2026-09-12T10:07:52.745561Z</t>
        </is>
      </c>
      <c r="BI103" s="24" t="inlineStr">
        <is>
          <t>["same_event","same_team_same_day","same_league_same_day"]</t>
        </is>
      </c>
      <c r="BJ103" s="25" t="n"/>
      <c r="BK103" s="26" t="n">
        <v>100</v>
      </c>
      <c r="BL103" s="27" t="n">
        <v>2</v>
      </c>
      <c r="BM103" s="28" t="n">
        <v>0.5</v>
      </c>
      <c r="BN103" s="28" t="n"/>
      <c r="BO103" s="28" t="n"/>
      <c r="BP103" s="25" t="n"/>
      <c r="BQ103" s="27" t="n">
        <v>2</v>
      </c>
      <c r="BR103" s="28" t="n">
        <v>0.5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"a4dc8ace14d1c432799e792413052f6166931ef4fb245a18de7b501169901072", "away_team": "Daxak Club", "event_id": "107681", "event_start_utc": "2026-09-12T12:00:00Z", "features": {"away_elo": 1500.0, "away_history_count": 0, "home_elo": 1500.0, "home_history_count": 0}, "historical_source_observation_times_verified": false, "home_team": "Stariy Bog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["unknown:stariybogclub", "unknown:daxakclub"]},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"ef85557b2019cf1acdae0a2661eb3b50bcb13990e867d71677b5f7621794b274", "sport": "DOTA2"}</t>
        </is>
      </c>
    </row>
    <row r="104" ht="36" customHeight="1">
      <c r="A104" s="24" t="inlineStr">
        <is>
          <t>f64ade7a74644cc5</t>
        </is>
      </c>
      <c r="B104" s="24" t="inlineStr">
        <is>
          <t>2026-09-12T10:07:53.769723Z</t>
        </is>
      </c>
      <c r="C104" s="24" t="inlineStr">
        <is>
          <t>2026-09-12T14:00:00Z</t>
        </is>
      </c>
      <c r="D104" s="24" t="inlineStr">
        <is>
          <t>109270</t>
        </is>
      </c>
      <c r="E104" s="24" t="inlineStr">
        <is>
          <t>DOTA2</t>
        </is>
      </c>
      <c r="F104" s="24" t="inlineStr">
        <is>
          <t>Dawn Bulls</t>
        </is>
      </c>
      <c r="G104" s="24" t="inlineStr">
        <is>
          <t>MOUZ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-144</v>
      </c>
      <c r="M104" s="27" t="n">
        <v>1.694444</v>
      </c>
      <c r="N104" s="28" t="n">
        <v>0.590164</v>
      </c>
      <c r="O104" s="28" t="n">
        <v>0.674308</v>
      </c>
      <c r="P104" s="28" t="n"/>
      <c r="Q104" s="28" t="n">
        <v>0.084144</v>
      </c>
      <c r="R104" s="26" t="n">
        <v>62</v>
      </c>
      <c r="S104" s="29" t="n">
        <v>1.25</v>
      </c>
      <c r="T104" s="24" t="inlineStr">
        <is>
          <t>dota2-tiered-elo-v6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-144</v>
      </c>
      <c r="AA104" s="28" t="n">
        <v>0.59</v>
      </c>
      <c r="AB104" s="28" t="n">
        <v>-0.000164</v>
      </c>
      <c r="AC104" s="30" t="n">
        <v>-1.25</v>
      </c>
      <c r="AD104" s="24" t="inlineStr">
        <is>
          <t>2026-09-12T22:02:09.531457Z</t>
        </is>
      </c>
      <c r="AE104" s="31" t="inlineStr">
        <is>
          <t>Neutral Elo baseline; executable ask 0.5900 (market_slug=aec-dota2-mouz-dba-2026-09-12).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4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Dawn Bulls</t>
        </is>
      </c>
      <c r="AQ104" s="24" t="inlineStr">
        <is>
          <t>Dawn Bulls</t>
        </is>
      </c>
      <c r="AR104" s="24" t="inlineStr">
        <is>
          <t>Dawn Bulls</t>
        </is>
      </c>
      <c r="AS104" s="24" t="inlineStr">
        <is>
          <t>MOUZ</t>
        </is>
      </c>
      <c r="AT104" s="24" t="inlineStr">
        <is>
          <t>MOUZ</t>
        </is>
      </c>
      <c r="AU104" s="24" t="inlineStr">
        <is>
          <t>MOUZ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a4dc8ace14d1c432799e792413052f6166931ef4fb245a18de7b501169901072</t>
        </is>
      </c>
      <c r="BB104" s="24" t="inlineStr">
        <is>
          <t>neutral_elo</t>
        </is>
      </c>
      <c r="BC104" s="24" t="inlineStr">
        <is>
          <t>dota2-tiered-elo-v6</t>
        </is>
      </c>
      <c r="BD104" s="24" t="inlineStr">
        <is>
          <t>a4dc8ace14d1c432799e792413052f6166931ef4fb245a18de7b501169901072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dota2-tiered-elo-v6</t>
        </is>
      </c>
      <c r="BH104" s="24" t="inlineStr">
        <is>
          <t>2026-09-12T10:07:52.861365Z</t>
        </is>
      </c>
      <c r="BI104" s="24" t="inlineStr">
        <is>
          <t>["same_event","same_team_same_day","same_league_same_day"]</t>
        </is>
      </c>
      <c r="BJ104" s="25" t="n"/>
      <c r="BK104" s="26" t="n">
        <v>-144</v>
      </c>
      <c r="BL104" s="27" t="n">
        <v>1.694444</v>
      </c>
      <c r="BM104" s="28" t="n">
        <v>0.590164</v>
      </c>
      <c r="BN104" s="28" t="n"/>
      <c r="BO104" s="28" t="n"/>
      <c r="BP104" s="25" t="n"/>
      <c r="BQ104" s="27" t="n">
        <v>1.694444</v>
      </c>
      <c r="BR104" s="28" t="n">
        <v>0.59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0.590164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"a4dc8ace14d1c432799e792413052f6166931ef4fb245a18de7b501169901072", "away_team": "Dawn Bulls", "event_id": "109270", "event_start_utc": "2026-09-12T14:00:00Z", "features": {"away_elo": 1470.124642, "away_history_count": 7, "home_elo": 1689.151324, "home_history_count": 354}, "historical_source_observation_times_verified": false, "home_team": "MOUZ", "inference_inputs": {"book_state": {"games_played": {"bo3:4:15032": 354, "bo3:4:15105": 7}, "inactivity_half_life_days": null, "inactivity_max_pull": null, "k": 48.0, "last_match_utc": {"bo3:4:15032": "2026-09-09T21:00:00Z", "bo3:4:15105": "2024-01-16T01:00:00Z"}, "minimum_reliable_games": null, "platt_intercept": 0.08954882973537674, "platt_slope": 0.8290335404784215, "ratings": {"bo3:4:15032": 1689.151324, "bo3:4:15105": 1470.124642},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["bo3:4:15032", "bo3:4:15105"]}, "market_type": "moneyline", "model_version": "dota2-tiered-elo-v6", "observed_at_utc": "2026-09-12T10:07:51.888110+00:00", "probabilities": {"away": 0.325692, "home": 0.674308}, "replay_scope": "Exact serving book state, calibration, temperature, inactivity reference and thin-history adjustments; training provenance not certified.", "schema": "esports-elo-replay-v1", "snapshot_hash": "0cc47a839b43342b74ec1329ae05413a1d06ce9d893a241a1e836df49362acaf", "sport": "DOTA2"}</t>
        </is>
      </c>
    </row>
    <row r="105" ht="36" customHeight="1">
      <c r="A105" s="24" t="inlineStr">
        <is>
          <t>85d7b2c0c2594ae3</t>
        </is>
      </c>
      <c r="B105" s="24" t="inlineStr">
        <is>
          <t>2026-09-12T10:07:53.769723Z</t>
        </is>
      </c>
      <c r="C105" s="24" t="inlineStr">
        <is>
          <t>2026-09-12T15:00:00Z</t>
        </is>
      </c>
      <c r="D105" s="24" t="inlineStr">
        <is>
          <t>107869</t>
        </is>
      </c>
      <c r="E105" s="24" t="inlineStr">
        <is>
          <t>DOTA2</t>
        </is>
      </c>
      <c r="F105" s="24" t="inlineStr">
        <is>
          <t>Stariy Bog Club</t>
        </is>
      </c>
      <c r="G105" s="24" t="inlineStr">
        <is>
          <t>VooDooSh Club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-150</v>
      </c>
      <c r="M105" s="27" t="n">
        <v>1.666667</v>
      </c>
      <c r="N105" s="28" t="n">
        <v>0.6</v>
      </c>
      <c r="O105" s="28" t="n">
        <v>0.509482</v>
      </c>
      <c r="P105" s="28" t="n"/>
      <c r="Q105" s="28" t="n">
        <v>-0.090518</v>
      </c>
      <c r="R105" s="26" t="n">
        <v>0</v>
      </c>
      <c r="S105" s="29" t="n">
        <v>1</v>
      </c>
      <c r="T105" s="24" t="inlineStr">
        <is>
          <t>dota2-tiered-elo-v6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0</v>
      </c>
      <c r="Y105" s="25" t="n"/>
      <c r="Z105" s="26" t="n">
        <v>-150</v>
      </c>
      <c r="AA105" s="28" t="n">
        <v>0.6</v>
      </c>
      <c r="AB105" s="28" t="n">
        <v>0</v>
      </c>
      <c r="AC105" s="30" t="n">
        <v>-1</v>
      </c>
      <c r="AD105" s="24" t="inlineStr">
        <is>
          <t>2026-09-13T04:34:09.415284Z</t>
        </is>
      </c>
      <c r="AE105" s="31" t="inlineStr">
        <is>
          <t>Neutral Elo baseline; executable ask 0.6000 (market_slug=aec-dota2-vco-sbc-2026-09-12).</t>
        </is>
      </c>
      <c r="AF105" s="31" t="inlineStr">
        <is>
          <t>Config-promoted esports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PAPER_CALL_MODEL_UNVALIDATED</t>
        </is>
      </c>
      <c r="AP105" s="24" t="inlineStr">
        <is>
          <t>Stariy Bog Club</t>
        </is>
      </c>
      <c r="AQ105" s="24" t="inlineStr">
        <is>
          <t>Stariy Bog Club</t>
        </is>
      </c>
      <c r="AR105" s="24" t="inlineStr">
        <is>
          <t>Stariy Bog Club</t>
        </is>
      </c>
      <c r="AS105" s="24" t="inlineStr">
        <is>
          <t>VooDooSh Club</t>
        </is>
      </c>
      <c r="AT105" s="24" t="inlineStr">
        <is>
          <t>VooDooSh Club</t>
        </is>
      </c>
      <c r="AU105" s="24" t="inlineStr">
        <is>
          <t>VooDooSh Club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a4dc8ace14d1c432799e792413052f6166931ef4fb245a18de7b501169901072</t>
        </is>
      </c>
      <c r="BB105" s="24" t="inlineStr">
        <is>
          <t>neutral_elo</t>
        </is>
      </c>
      <c r="BC105" s="24" t="inlineStr">
        <is>
          <t>dota2-tiered-elo-v6</t>
        </is>
      </c>
      <c r="BD105" s="24" t="inlineStr">
        <is>
          <t>a4dc8ace14d1c432799e792413052f6166931ef4fb245a18de7b501169901072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dota2-tiered-elo-v6</t>
        </is>
      </c>
      <c r="BH105" s="24" t="inlineStr">
        <is>
          <t>2026-09-12T10:07:52.932655Z</t>
        </is>
      </c>
      <c r="BI105" s="24" t="inlineStr">
        <is>
          <t>["same_event","same_team_same_day","same_league_same_day"]</t>
        </is>
      </c>
      <c r="BJ105" s="25" t="n"/>
      <c r="BK105" s="26" t="n">
        <v>-150</v>
      </c>
      <c r="BL105" s="27" t="n">
        <v>1.666667</v>
      </c>
      <c r="BM105" s="28" t="n">
        <v>0.6</v>
      </c>
      <c r="BN105" s="28" t="n"/>
      <c r="BO105" s="28" t="n"/>
      <c r="BP105" s="25" t="n"/>
      <c r="BQ105" s="27" t="n">
        <v>1.666667</v>
      </c>
      <c r="BR105" s="28" t="n">
        <v>0.6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"a4dc8ace14d1c432799e792413052f6166931ef4fb245a18de7b501169901072", "away_team": "Stariy Bog Club", "event_id": "107869", "event_start_utc": "2026-09-12T15:00:00Z", "features": {"away_elo": 1500.0, "away_history_count": 0, "home_elo": 1500.0, "home_history_count": 0}, "historical_source_observation_times_verified": false, "home_team": "VooDooSh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["unknown:voodooshclub", "unknown:stariybogclub"]},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"d9ace3fc7b16f3671d82b4ae3946088940544dab3ef8c2ef6422cec343a70b58", "sport": "DOTA2"}</t>
        </is>
      </c>
    </row>
    <row r="106" ht="36" customHeight="1">
      <c r="A106" s="24" t="inlineStr">
        <is>
          <t>31203046b35344a2</t>
        </is>
      </c>
      <c r="B106" s="24" t="inlineStr">
        <is>
          <t>2026-09-12T16:08:21.494352Z</t>
        </is>
      </c>
      <c r="C106" s="24" t="inlineStr">
        <is>
          <t>2026-09-12T17:00:00Z</t>
        </is>
      </c>
      <c r="D106" s="24" t="inlineStr">
        <is>
          <t>108754</t>
        </is>
      </c>
      <c r="E106" s="24" t="inlineStr">
        <is>
          <t>DOTA2</t>
        </is>
      </c>
      <c r="F106" s="24" t="inlineStr">
        <is>
          <t>Klim Sani4</t>
        </is>
      </c>
      <c r="G106" s="24" t="inlineStr">
        <is>
          <t>HULIGANI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-203</v>
      </c>
      <c r="M106" s="27" t="n">
        <v>1.492611</v>
      </c>
      <c r="N106" s="28" t="n">
        <v>0.669967</v>
      </c>
      <c r="O106" s="28" t="n">
        <v>0.692636</v>
      </c>
      <c r="P106" s="28" t="n"/>
      <c r="Q106" s="28" t="n">
        <v>0.022669</v>
      </c>
      <c r="R106" s="26" t="n">
        <v>31</v>
      </c>
      <c r="S106" s="29" t="n">
        <v>1</v>
      </c>
      <c r="T106" s="24" t="inlineStr">
        <is>
          <t>dota2-tiered-elo-v6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-203</v>
      </c>
      <c r="AA106" s="28" t="n">
        <v>0.67</v>
      </c>
      <c r="AB106" s="28" t="n">
        <v>3.3e-05</v>
      </c>
      <c r="AC106" s="30" t="n">
        <v>0.4926</v>
      </c>
      <c r="AD106" s="24" t="inlineStr">
        <is>
          <t>2026-09-13T04:34:09.616896Z</t>
        </is>
      </c>
      <c r="AE106" s="31" t="inlineStr">
        <is>
          <t>Neutral Elo baseline; executable ask 0.6700 (market_slug=aec-dota2-hul-ks-2026-09-12).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Klim Sani4</t>
        </is>
      </c>
      <c r="AQ106" s="24" t="inlineStr">
        <is>
          <t>Klim Sani4</t>
        </is>
      </c>
      <c r="AR106" s="24" t="inlineStr">
        <is>
          <t>Klim Sani4</t>
        </is>
      </c>
      <c r="AS106" s="24" t="inlineStr">
        <is>
          <t>HULIGANI</t>
        </is>
      </c>
      <c r="AT106" s="24" t="inlineStr">
        <is>
          <t>HULIGANI</t>
        </is>
      </c>
      <c r="AU106" s="24" t="inlineStr">
        <is>
          <t>HULIGANI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ade9cd7e3e1ad94687e8d65da6cd3beeeb08cee8fdbbcf0d081365bbe396da0e</t>
        </is>
      </c>
      <c r="BB106" s="24" t="inlineStr">
        <is>
          <t>neutral_elo</t>
        </is>
      </c>
      <c r="BC106" s="24" t="inlineStr">
        <is>
          <t>dota2-tiered-elo-v6</t>
        </is>
      </c>
      <c r="BD106" s="24" t="inlineStr">
        <is>
          <t>ade9cd7e3e1ad94687e8d65da6cd3beeeb08cee8fdbbcf0d081365bbe396da0e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dota2-tiered-elo-v6</t>
        </is>
      </c>
      <c r="BH106" s="24" t="inlineStr">
        <is>
          <t>2026-09-12T16:08:19.773409Z</t>
        </is>
      </c>
      <c r="BI106" s="24" t="inlineStr">
        <is>
          <t>["same_event","same_team_same_day","same_league_same_day"]</t>
        </is>
      </c>
      <c r="BJ106" s="25" t="n"/>
      <c r="BK106" s="26" t="n">
        <v>-203</v>
      </c>
      <c r="BL106" s="27" t="n">
        <v>1.492611</v>
      </c>
      <c r="BM106" s="28" t="n">
        <v>0.669967</v>
      </c>
      <c r="BN106" s="28" t="n"/>
      <c r="BO106" s="28" t="n"/>
      <c r="BP106" s="25" t="n"/>
      <c r="BQ106" s="27" t="n">
        <v>1.492611</v>
      </c>
      <c r="BR106" s="28" t="n">
        <v>0.67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0.669967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"ade9cd7e3e1ad94687e8d65da6cd3beeeb08cee8fdbbcf0d081365bbe396da0e", "away_team": "Klim Sani4", "event_id": "108754", "event_start_utc": "2026-09-12T17:00:00Z", "features": {"away_elo": 1831.896588, "away_history_count": 46, "home_elo": 1608.978538, "home_history_count": 334}, "historical_source_observation_times_verified": false, "home_team": "HULIGANI", "inference_inputs": {"book_state": {"games_played": {"bo3:4:15098": 334, "bo3:4:15145": 46}, "inactivity_half_life_days": null, "inactivity_max_pull": null, "k": 48.0, "last_match_utc": {"bo3:4:15098": "2026-09-09T12:00:00Z", "bo3:4:15145": "2026-09-10T16:00:00Z"}, "minimum_reliable_games": null, "platt_intercept": 0.0902113491380178, "platt_slope": 0.8283441474966624, "ratings": {"bo3:4:15098": 1608.978538, "bo3:4:15145": 1831.896588},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["bo3:4:15098", "bo3:4:15145"]}, "market_type": "moneyline", "model_version": "dota2-tiered-elo-v6", "observed_at_utc": "2026-09-12T16:08:19.714071+00:00", "probabilities": {"away": 0.692636, "home": 0.307364}, "replay_scope": "Exact serving book state, calibration, temperature, inactivity reference and thin-history adjustments; training provenance not certified.", "schema": "esports-elo-replay-v1", "snapshot_hash": "2fa501d8193b9b3924212418557807afb70818dbc79d0548c89f3f5a1e92f092", "sport": "DOTA2"}</t>
        </is>
      </c>
    </row>
    <row r="107" ht="36" customHeight="1">
      <c r="A107" s="24" t="inlineStr">
        <is>
          <t>aeaefe7403f64c57</t>
        </is>
      </c>
      <c r="B107" s="24" t="inlineStr">
        <is>
          <t>2026-09-12T16:08:21.494352Z</t>
        </is>
      </c>
      <c r="C107" s="24" t="inlineStr">
        <is>
          <t>2026-09-12T18:00:00Z</t>
        </is>
      </c>
      <c r="D107" s="24" t="inlineStr">
        <is>
          <t>108685</t>
        </is>
      </c>
      <c r="E107" s="24" t="inlineStr">
        <is>
          <t>DOTA2</t>
        </is>
      </c>
      <c r="F107" s="24" t="inlineStr">
        <is>
          <t>YBN Club</t>
        </is>
      </c>
      <c r="G107" s="24" t="inlineStr">
        <is>
          <t>Rostik999 Club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-170</v>
      </c>
      <c r="M107" s="27" t="n">
        <v>1.588235</v>
      </c>
      <c r="N107" s="28" t="n">
        <v>0.62963</v>
      </c>
      <c r="O107" s="28" t="n">
        <v>0.509552</v>
      </c>
      <c r="P107" s="28" t="n"/>
      <c r="Q107" s="28" t="n">
        <v>-0.120078</v>
      </c>
      <c r="R107" s="26" t="n">
        <v>0</v>
      </c>
      <c r="S107" s="29" t="n">
        <v>1</v>
      </c>
      <c r="T107" s="24" t="inlineStr">
        <is>
          <t>dota2-tiered-elo-v6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-170</v>
      </c>
      <c r="AA107" s="28" t="n">
        <v>0.63</v>
      </c>
      <c r="AB107" s="28" t="n">
        <v>0.00037</v>
      </c>
      <c r="AC107" s="30" t="n">
        <v>0.5881999999999999</v>
      </c>
      <c r="AD107" s="24" t="inlineStr">
        <is>
          <t>2026-09-13T04:34:09.851085Z</t>
        </is>
      </c>
      <c r="AE107" s="31" t="inlineStr">
        <is>
          <t>Neutral Elo baseline; executable ask 0.6300 (market_slug=aec-dota2-rcos-ycb-2026-09-12).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PAPER_CALL_MODEL_UNVALIDATED</t>
        </is>
      </c>
      <c r="AP107" s="24" t="inlineStr">
        <is>
          <t>YBN Club</t>
        </is>
      </c>
      <c r="AQ107" s="24" t="inlineStr">
        <is>
          <t>YBN Club</t>
        </is>
      </c>
      <c r="AR107" s="24" t="inlineStr">
        <is>
          <t>YBN Club</t>
        </is>
      </c>
      <c r="AS107" s="24" t="inlineStr">
        <is>
          <t>Rostik999 Club</t>
        </is>
      </c>
      <c r="AT107" s="24" t="inlineStr">
        <is>
          <t>Rostik999 Club</t>
        </is>
      </c>
      <c r="AU107" s="24" t="inlineStr">
        <is>
          <t>Rostik999 Club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ade9cd7e3e1ad94687e8d65da6cd3beeeb08cee8fdbbcf0d081365bbe396da0e</t>
        </is>
      </c>
      <c r="BB107" s="24" t="inlineStr">
        <is>
          <t>neutral_elo</t>
        </is>
      </c>
      <c r="BC107" s="24" t="inlineStr">
        <is>
          <t>dota2-tiered-elo-v6</t>
        </is>
      </c>
      <c r="BD107" s="24" t="inlineStr">
        <is>
          <t>ade9cd7e3e1ad94687e8d65da6cd3beeeb08cee8fdbbcf0d081365bbe396da0e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dota2-tiered-elo-v6</t>
        </is>
      </c>
      <c r="BH107" s="24" t="inlineStr">
        <is>
          <t>2026-09-12T16:08:19.878898Z</t>
        </is>
      </c>
      <c r="BI107" s="24" t="inlineStr">
        <is>
          <t>["same_event","same_team_same_day","same_league_same_day"]</t>
        </is>
      </c>
      <c r="BJ107" s="25" t="n"/>
      <c r="BK107" s="26" t="n">
        <v>-170</v>
      </c>
      <c r="BL107" s="27" t="n">
        <v>1.588235</v>
      </c>
      <c r="BM107" s="28" t="n">
        <v>0.62963</v>
      </c>
      <c r="BN107" s="28" t="n"/>
      <c r="BO107" s="28" t="n"/>
      <c r="BP107" s="25" t="n"/>
      <c r="BQ107" s="27" t="n">
        <v>1.588235</v>
      </c>
      <c r="BR107" s="28" t="n">
        <v>0.63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0.62963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"ade9cd7e3e1ad94687e8d65da6cd3beeeb08cee8fdbbcf0d081365bbe396da0e", "away_team": "YBN Club", "event_id": "108685", "event_start_utc": "2026-09-12T18:00:00Z", "features": {"away_elo": 1500.0, "away_history_count": 0, "home_elo": 1500.0, "home_history_count": 0}, "historical_source_observation_times_verified": false, "home_team": "Rostik999 Club", "inference_inputs": {"book_state": {"games_played": {}, "inactivity_half_life_days": null, "inactivity_max_pull": null, "k": 48.0, "last_match_utc": {}, "minimum_reliable_games": null, "platt_intercept": 0.0902113491380178, "platt_slope": 0.8283441474966624,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["unknown:rostik999club", "unknown:ybnclub"]}, "market_type": "moneyline", "model_version": "dota2-tiered-elo-v6", "observed_at_utc": "2026-09-12T16:08:19.714071+00:00", "probabilities": {"away": 0.490448, "home": 0.509552}, "replay_scope": "Exact serving book state, calibration, temperature, inactivity reference and thin-history adjustments; training provenance not certified.", "schema": "esports-elo-replay-v1", "snapshot_hash": "1957e3b5e2b51c3d82b4463778ab65021e895e94b3fd8b043af8439419a09123", "sport": "DOTA2"}</t>
        </is>
      </c>
    </row>
    <row r="108" ht="36" customHeight="1">
      <c r="A108" s="24" t="inlineStr">
        <is>
          <t>b680d6df5dd949ba</t>
        </is>
      </c>
      <c r="B108" s="24" t="inlineStr">
        <is>
          <t>2026-09-13T10:27:50.323040Z</t>
        </is>
      </c>
      <c r="C108" s="24" t="inlineStr">
        <is>
          <t>2026-09-13T11:00:00Z</t>
        </is>
      </c>
      <c r="D108" s="24" t="inlineStr">
        <is>
          <t>110761</t>
        </is>
      </c>
      <c r="E108" s="24" t="inlineStr">
        <is>
          <t>DOTA2</t>
        </is>
      </c>
      <c r="F108" s="24" t="inlineStr">
        <is>
          <t>Klim Sani4</t>
        </is>
      </c>
      <c r="G108" s="24" t="inlineStr">
        <is>
          <t>Dawn Bulls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-194</v>
      </c>
      <c r="M108" s="27" t="n">
        <v>1.515464</v>
      </c>
      <c r="N108" s="28" t="n">
        <v>0.659864</v>
      </c>
      <c r="O108" s="28" t="n">
        <v>0.639276</v>
      </c>
      <c r="P108" s="28" t="n"/>
      <c r="Q108" s="28" t="n">
        <v>-0.020588</v>
      </c>
      <c r="R108" s="26" t="n">
        <v>10</v>
      </c>
      <c r="S108" s="29" t="n">
        <v>1</v>
      </c>
      <c r="T108" s="24" t="inlineStr">
        <is>
          <t>dota2-tiered-elo-v6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/>
      <c r="AA108" s="28" t="n"/>
      <c r="AB108" s="28" t="n"/>
      <c r="AC108" s="30" t="n">
        <v>-1</v>
      </c>
      <c r="AD108" s="24" t="inlineStr">
        <is>
          <t>2026-09-13T16:00:39.963508Z</t>
        </is>
      </c>
      <c r="AE108" s="31" t="inlineStr">
        <is>
          <t>Neutral Elo baseline; executable ask 0.6600 (market_slug=aec-dota2-dba-ks-2026-09-13).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Klim Sani4</t>
        </is>
      </c>
      <c r="AQ108" s="24" t="inlineStr">
        <is>
          <t>Klim Sani4</t>
        </is>
      </c>
      <c r="AR108" s="24" t="inlineStr">
        <is>
          <t>Klim Sani4</t>
        </is>
      </c>
      <c r="AS108" s="24" t="inlineStr">
        <is>
          <t>Dawn Bulls</t>
        </is>
      </c>
      <c r="AT108" s="24" t="inlineStr">
        <is>
          <t>Dawn Bulls</t>
        </is>
      </c>
      <c r="AU108" s="24" t="inlineStr">
        <is>
          <t>Dawn Bulls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9f6d5685241bbc6f0861cc3e60cd07b3c324bf4aca6529f04e9e8d3406a16ac5</t>
        </is>
      </c>
      <c r="BB108" s="24" t="inlineStr">
        <is>
          <t>neutral_elo</t>
        </is>
      </c>
      <c r="BC108" s="24" t="inlineStr">
        <is>
          <t>dota2-tiered-elo-v6</t>
        </is>
      </c>
      <c r="BD108" s="24" t="inlineStr">
        <is>
          <t>9f6d5685241bbc6f0861cc3e60cd07b3c324bf4aca6529f04e9e8d3406a16ac5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dota2-tiered-elo-v6</t>
        </is>
      </c>
      <c r="BH108" s="24" t="inlineStr">
        <is>
          <t>2026-09-13T10:27:23.276130Z</t>
        </is>
      </c>
      <c r="BI108" s="24" t="inlineStr">
        <is>
          <t>["same_event","same_team_same_day","same_league_same_day"]</t>
        </is>
      </c>
      <c r="BJ108" s="25" t="n"/>
      <c r="BK108" s="26" t="n">
        <v>-194</v>
      </c>
      <c r="BL108" s="27" t="n">
        <v>1.515464</v>
      </c>
      <c r="BM108" s="28" t="n">
        <v>0.659864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0.659864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"9f6d5685241bbc6f0861cc3e60cd07b3c324bf4aca6529f04e9e8d3406a16ac5", "away_team": "Klim Sani4", "event_id": "110761", "event_start_utc": "2026-09-13T11:00:00Z", "features": {"away_elo": 1845.935868, "away_history_count": 47, "home_elo": 1549.015888, "home_history_count": 1}, "historical_source_observation_times_verified": false, "home_team": "Dawn Bulls", "inference_inputs": {"book_state": {"games_played": {"bo3:4:15145": 47, "bo3:4:25301": 1}, "inactivity_half_life_days": null, "inactivity_max_pull": null, "k": 48.0, "last_match_utc": {"bo3:4:15145": "2026-09-12T17:00:00Z", "bo3:4:25301": "2026-09-12T14:00:00Z"}, "minimum_reliable_games": null, "platt_intercept": 0.09083573756588802, "platt_slope": 0.8289265193389558, "ratings": {"bo3:4:15145": 1845.935868, "bo3:4:25301": 1549.015888},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"2026-09-13T10:27:23.220229+00:00", "team_ids": ["bo3:4:25301", "bo3:4:15145"]}, "market_type": "moneyline", "model_version": "dota2-tiered-elo-v6", "observed_at_utc": "2026-09-13T10:27:23.220229+00:00", "probabilities": {"away": 0.639276, "home": 0.360724}, "replay_scope": "Exact serving book state, calibration, temperature, inactivity reference and thin-history adjustments; training provenance not certified.", "schema": "esports-elo-replay-v1", "snapshot_hash": "cc4e455835ad8f994b0b03cd154a4064465138cbfa080fb23a693a59b03a8986", "sport": "DOTA2"}</t>
        </is>
      </c>
    </row>
    <row r="109" ht="36" customHeight="1">
      <c r="A109" s="24" t="inlineStr">
        <is>
          <t>2ae0a9aeb3224f05</t>
        </is>
      </c>
      <c r="B109" s="24" t="inlineStr">
        <is>
          <t>2026-09-13T16:26:11.698298Z</t>
        </is>
      </c>
      <c r="C109" s="24" t="inlineStr">
        <is>
          <t>2026-09-13T18:00:00Z</t>
        </is>
      </c>
      <c r="D109" s="24" t="inlineStr">
        <is>
          <t>111400</t>
        </is>
      </c>
      <c r="E109" s="24" t="inlineStr">
        <is>
          <t>DOTA2</t>
        </is>
      </c>
      <c r="F109" s="24" t="inlineStr">
        <is>
          <t>Spirit Academy</t>
        </is>
      </c>
      <c r="G109" s="24" t="inlineStr">
        <is>
          <t>Kalmychata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0.500342</v>
      </c>
      <c r="P109" s="28" t="n"/>
      <c r="Q109" s="28" t="n">
        <v>-0.07047299999999999</v>
      </c>
      <c r="R109" s="26" t="n">
        <v>0</v>
      </c>
      <c r="S109" s="29" t="n">
        <v>1</v>
      </c>
      <c r="T109" s="24" t="inlineStr">
        <is>
          <t>dota2-tiered-elo-v6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/>
      <c r="AA109" s="28" t="n"/>
      <c r="AB109" s="28" t="n"/>
      <c r="AC109" s="30" t="n">
        <v>0.7519</v>
      </c>
      <c r="AD109" s="24" t="inlineStr">
        <is>
          <t>2026-09-13T22:01:54.862525Z</t>
        </is>
      </c>
      <c r="AE109" s="31" t="inlineStr">
        <is>
          <t>Neutral Elo baseline; executable ask 0.5700 (market_slug=aec-dota2-kalmy-tsa-2026-09-13).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Spirit Academy</t>
        </is>
      </c>
      <c r="AQ109" s="24" t="inlineStr">
        <is>
          <t>Spirit Academy</t>
        </is>
      </c>
      <c r="AR109" s="24" t="inlineStr">
        <is>
          <t>Spirit Academy</t>
        </is>
      </c>
      <c r="AS109" s="24" t="inlineStr">
        <is>
          <t>Kalmychata</t>
        </is>
      </c>
      <c r="AT109" s="24" t="inlineStr">
        <is>
          <t>Kalmychata</t>
        </is>
      </c>
      <c r="AU109" s="24" t="inlineStr">
        <is>
          <t>Kalmychata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abd9c53383697887f52eb6f01bcf7c01350f11da24771de476616a0fd7ec80d6</t>
        </is>
      </c>
      <c r="BB109" s="24" t="inlineStr">
        <is>
          <t>neutral_elo</t>
        </is>
      </c>
      <c r="BC109" s="24" t="inlineStr">
        <is>
          <t>dota2-tiered-elo-v6</t>
        </is>
      </c>
      <c r="BD109" s="24" t="inlineStr">
        <is>
          <t>abd9c53383697887f52eb6f01bcf7c01350f11da24771de476616a0fd7ec80d6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dota2-tiered-elo-v6</t>
        </is>
      </c>
      <c r="BH109" s="24" t="inlineStr">
        <is>
          <t>2026-09-13T16:25:44.240712Z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0.570815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"abd9c53383697887f52eb6f01bcf7c01350f11da24771de476616a0fd7ec80d6", "away_team": "Spirit Academy", "event_id": "111400", "event_start_utc": "2026-09-13T18:00:00Z", "features": {"away_elo": 1588.17387, "away_history_count": 108, "home_elo": 1639.617838, "home_history_count": 159}, "historical_source_observation_times_verified": false, "home_team": "Kalmychata", "inference_inputs": {"book_state": {"games_played": {"bo3:4:15089": 159, "bo3:4:21945": 108}, "inactivity_half_life_days": null, "inactivity_max_pull": null, "k": 48.0, "last_match_utc": {"bo3:4:15089": "2026-04-08T16:30:00Z", "bo3:4:21945": "2026-09-05T18:10:00Z"}, "minimum_reliable_games": null, "platt_intercept": 0.09218323732224677, "platt_slope": 0.8325831548266974, "ratings": {"bo3:4:15089": 1639.617838, "bo3:4:21945": 1588.17387},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"2026-09-13T16:25:37.925288+00:00", "team_ids": ["bo3:4:15089", "bo3:4:21945"]}, "market_type": "moneyline", "model_version": "dota2-tiered-elo-v6", "observed_at_utc": "2026-09-13T16:25:37.925288+00:00", "probabilities": {"away": 0.499658, "home": 0.500342}, "replay_scope": "Exact serving book state, calibration, temperature, inactivity reference and thin-history adjustments; training provenance not certified.", "schema": "esports-elo-replay-v1", "snapshot_hash": "95a03f49bf4e8aa3a479cd18cbb1a88854998cdb2461f211d6641f921a55a881", "sport": "DOTA2"}</t>
        </is>
      </c>
    </row>
    <row r="110" ht="36" customHeight="1">
      <c r="A110" s="24" t="inlineStr">
        <is>
          <t>5d332f2b02904034</t>
        </is>
      </c>
      <c r="B110" s="24" t="inlineStr">
        <is>
          <t>2026-09-15T10:10:29.130880Z</t>
        </is>
      </c>
      <c r="C110" s="24" t="inlineStr">
        <is>
          <t>2026-09-15T15:00:00Z</t>
        </is>
      </c>
      <c r="D110" s="24" t="inlineStr">
        <is>
          <t>110378</t>
        </is>
      </c>
      <c r="E110" s="24" t="inlineStr">
        <is>
          <t>DOTA2</t>
        </is>
      </c>
      <c r="F110" s="24" t="inlineStr">
        <is>
          <t>Cooman Club</t>
        </is>
      </c>
      <c r="G110" s="24" t="inlineStr">
        <is>
          <t>Stray Club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-163</v>
      </c>
      <c r="M110" s="27" t="n">
        <v>1.613497</v>
      </c>
      <c r="N110" s="28" t="n">
        <v>0.619772</v>
      </c>
      <c r="O110" s="28" t="n">
        <v>0.510145</v>
      </c>
      <c r="P110" s="28" t="n"/>
      <c r="Q110" s="28" t="n">
        <v>-0.109627</v>
      </c>
      <c r="R110" s="26" t="n">
        <v>0</v>
      </c>
      <c r="S110" s="29" t="n">
        <v>1</v>
      </c>
      <c r="T110" s="24" t="inlineStr">
        <is>
          <t>dota2-tiered-elo-v6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/>
      <c r="AA110" s="28" t="n"/>
      <c r="AB110" s="28" t="n"/>
      <c r="AC110" s="30" t="n">
        <v>-1</v>
      </c>
      <c r="AD110" s="24" t="inlineStr">
        <is>
          <t>2026-09-15T22:23:37.109879Z</t>
        </is>
      </c>
      <c r="AE110" s="31" t="inlineStr">
        <is>
          <t>Neutral Elo baseline; executable ask 0.6200 (market_slug=aec-dota2-sct-cco-2026-09-15).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PAPER_CALL_MODEL_UNVALIDATED</t>
        </is>
      </c>
      <c r="AP110" s="24" t="inlineStr">
        <is>
          <t>Cooman Club</t>
        </is>
      </c>
      <c r="AQ110" s="24" t="inlineStr">
        <is>
          <t>Cooman Club</t>
        </is>
      </c>
      <c r="AR110" s="24" t="inlineStr">
        <is>
          <t>Cooman Club</t>
        </is>
      </c>
      <c r="AS110" s="24" t="inlineStr">
        <is>
          <t>Stray Club</t>
        </is>
      </c>
      <c r="AT110" s="24" t="inlineStr">
        <is>
          <t>Stray Club</t>
        </is>
      </c>
      <c r="AU110" s="24" t="inlineStr">
        <is>
          <t>Stray Club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4a9a751eca5892c255155843a115f4c936cc0b903dc88bec449eb88358357261</t>
        </is>
      </c>
      <c r="BB110" s="24" t="inlineStr">
        <is>
          <t>neutral_elo</t>
        </is>
      </c>
      <c r="BC110" s="24" t="inlineStr">
        <is>
          <t>dota2-tiered-elo-v6</t>
        </is>
      </c>
      <c r="BD110" s="24" t="inlineStr">
        <is>
          <t>4a9a751eca5892c255155843a115f4c936cc0b903dc88bec449eb88358357261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dota2-tiered-elo-v6</t>
        </is>
      </c>
      <c r="BH110" s="24" t="inlineStr">
        <is>
          <t>2026-09-15T10:10:03.995295Z</t>
        </is>
      </c>
      <c r="BI110" s="24" t="inlineStr">
        <is>
          <t>["same_event","same_team_same_day","same_league_same_day"]</t>
        </is>
      </c>
      <c r="BJ110" s="25" t="n"/>
      <c r="BK110" s="26" t="n">
        <v>-163</v>
      </c>
      <c r="BL110" s="27" t="n">
        <v>1.613497</v>
      </c>
      <c r="BM110" s="28" t="n">
        <v>0.619772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0.619772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"4a9a751eca5892c255155843a115f4c936cc0b903dc88bec449eb88358357261", "away_team": "Cooman Club", "event_id": "110378", "event_start_utc": "2026-09-15T15:00:00Z",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0.09582248117155226, "platt_slope": 0.8303916550381869,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"2026-09-15T10:09:44.110032+00:00", "team_ids": ["unknown:strayclub", "unknown:coomanclub"]}, "market_type": "moneyline", "model_version": "dota2-tiered-elo-v6", "observed_at_utc": "2026-09-15T10:09:44.110032+00:00", "probabilities": {"away": 0.489855, "home": 0.510145}, "replay_scope": "Exact serving book state, calibration, temperature, inactivity reference and thin-history adjustments; training provenance not certified.", "schema": "esports-elo-replay-v1", "snapshot_hash": "eb3092b757486fc2ee9ff565881a511f805270351b89dc249babe0bcf22e127b", "sport": "DOTA2"}</t>
        </is>
      </c>
    </row>
    <row r="111" ht="36" customHeight="1">
      <c r="A111" s="24" t="inlineStr">
        <is>
          <t>02322702f4ac4f5a</t>
        </is>
      </c>
      <c r="B111" s="24" t="inlineStr">
        <is>
          <t>2026-09-17T10:12:01.754349Z</t>
        </is>
      </c>
      <c r="C111" s="24" t="inlineStr">
        <is>
          <t>2026-09-17T14:00:00Z</t>
        </is>
      </c>
      <c r="D111" s="24" t="inlineStr">
        <is>
          <t>114544</t>
        </is>
      </c>
      <c r="E111" s="24" t="inlineStr">
        <is>
          <t>DOTA2</t>
        </is>
      </c>
      <c r="F111" s="24" t="inlineStr">
        <is>
          <t>Stariy Bog Club</t>
        </is>
      </c>
      <c r="G111" s="24" t="inlineStr">
        <is>
          <t>Rostikfacekid Club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133</v>
      </c>
      <c r="M111" s="27" t="n">
        <v>2.33</v>
      </c>
      <c r="N111" s="28" t="n">
        <v>0.429185</v>
      </c>
      <c r="O111" s="28" t="n">
        <v>0.509996</v>
      </c>
      <c r="P111" s="28" t="n"/>
      <c r="Q111" s="28" t="n">
        <v>0.08081099999999999</v>
      </c>
      <c r="R111" s="26" t="n">
        <v>60</v>
      </c>
      <c r="S111" s="29" t="n">
        <v>1.25</v>
      </c>
      <c r="T111" s="24" t="inlineStr">
        <is>
          <t>dota2-tiered-elo-v6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/>
      <c r="AA111" s="28" t="n"/>
      <c r="AB111" s="28" t="n"/>
      <c r="AC111" s="30" t="n">
        <v>-1.25</v>
      </c>
      <c r="AD111" s="24" t="inlineStr">
        <is>
          <t>2026-09-17T22:01:37.438072Z</t>
        </is>
      </c>
      <c r="AE111" s="31" t="inlineStr">
        <is>
          <t>Neutral Elo baseline; executable ask 0.4300 (market_slug=aec-dota2-rco-sbc-2026-09-17).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PAPER_CALL_MODEL_UNVALIDATED</t>
        </is>
      </c>
      <c r="AP111" s="24" t="inlineStr">
        <is>
          <t>Stariy Bog Club</t>
        </is>
      </c>
      <c r="AQ111" s="24" t="inlineStr">
        <is>
          <t>Stariy Bog Club</t>
        </is>
      </c>
      <c r="AR111" s="24" t="inlineStr">
        <is>
          <t>Stariy Bog Club</t>
        </is>
      </c>
      <c r="AS111" s="24" t="inlineStr">
        <is>
          <t>Rostikfacekid Club</t>
        </is>
      </c>
      <c r="AT111" s="24" t="inlineStr">
        <is>
          <t>Rostikfacekid Club</t>
        </is>
      </c>
      <c r="AU111" s="24" t="inlineStr">
        <is>
          <t>Rostikfacekid Club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0a1d59abf07f450bdf15695380726e2d87dac0b408a179866954f3cba02ee4d0</t>
        </is>
      </c>
      <c r="BB111" s="24" t="inlineStr">
        <is>
          <t>neutral_elo</t>
        </is>
      </c>
      <c r="BC111" s="24" t="inlineStr">
        <is>
          <t>dota2-tiered-elo-v6</t>
        </is>
      </c>
      <c r="BD111" s="24" t="inlineStr">
        <is>
          <t>0a1d59abf07f450bdf15695380726e2d87dac0b408a179866954f3cba02ee4d0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dota2-tiered-elo-v6</t>
        </is>
      </c>
      <c r="BH111" s="24" t="inlineStr">
        <is>
          <t>2026-09-17T10:11:35.583520Z</t>
        </is>
      </c>
      <c r="BI111" s="24" t="inlineStr">
        <is>
          <t>["same_event","same_team_same_day","same_league_same_day"]</t>
        </is>
      </c>
      <c r="BJ111" s="25" t="n"/>
      <c r="BK111" s="26" t="n">
        <v>133</v>
      </c>
      <c r="BL111" s="27" t="n">
        <v>2.33</v>
      </c>
      <c r="BM111" s="28" t="n">
        <v>0.429185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0.429185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"0a1d59abf07f450bdf15695380726e2d87dac0b408a179866954f3cba02ee4d0", "away_team": "Stariy Bog Club", "event_id": "114544", "event_start_utc": "2026-09-17T14:00:00Z",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0.09441632122386781, "platt_slope": 0.832507470159688,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"2026-09-17T10:11:25.275354+00:00", "team_ids": ["unknown:rostikfacekidclub", "unknown:stariybogclub"]}, "market_type": "moneyline", "model_version": "dota2-tiered-elo-v6", "observed_at_utc": "2026-09-17T10:11:25.275354+00:00", "probabilities": {"away": 0.490004, "home": 0.509996}, "replay_scope": "Exact serving book state, calibration, temperature, inactivity reference and thin-history adjustments; training provenance not certified.", "schema": "esports-elo-replay-v1", "snapshot_hash": "c7ac1c1bf411ef8af8b0492f8ecea765d2a7e84f4b031395a3ad08b18d89dd68", "sport": "DOTA2"}</t>
        </is>
      </c>
    </row>
    <row r="112" ht="36" customHeight="1">
      <c r="A112" s="24" t="inlineStr">
        <is>
          <t>a7ce1ad6002948bb</t>
        </is>
      </c>
      <c r="B112" s="24" t="inlineStr">
        <is>
          <t>2026-09-17T16:19:07.118984Z</t>
        </is>
      </c>
      <c r="C112" s="24" t="inlineStr">
        <is>
          <t>2026-09-17T18:00:00Z</t>
        </is>
      </c>
      <c r="D112" s="24" t="inlineStr">
        <is>
          <t>115847</t>
        </is>
      </c>
      <c r="E112" s="24" t="inlineStr">
        <is>
          <t>DOTA2</t>
        </is>
      </c>
      <c r="F112" s="24" t="inlineStr">
        <is>
          <t>VooDooSh Club</t>
        </is>
      </c>
      <c r="G112" s="24" t="inlineStr">
        <is>
          <t>Stray Club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-104</v>
      </c>
      <c r="M112" s="27" t="n">
        <v>1.961538</v>
      </c>
      <c r="N112" s="28" t="n">
        <v>0.509804</v>
      </c>
      <c r="O112" s="28" t="n">
        <v>0.509997</v>
      </c>
      <c r="P112" s="28" t="n"/>
      <c r="Q112" s="28" t="n">
        <v>0.000193</v>
      </c>
      <c r="R112" s="26" t="n">
        <v>20</v>
      </c>
      <c r="S112" s="29" t="n">
        <v>1</v>
      </c>
      <c r="T112" s="24" t="inlineStr">
        <is>
          <t>dota2-tiered-elo-v6</t>
        </is>
      </c>
      <c r="U112" s="24" t="inlineStr">
        <is>
          <t>settled</t>
        </is>
      </c>
      <c r="V112" s="24" t="inlineStr">
        <is>
          <t>push</t>
        </is>
      </c>
      <c r="W112" s="26" t="n"/>
      <c r="X112" s="26" t="n"/>
      <c r="Y112" s="25" t="n"/>
      <c r="Z112" s="26" t="n"/>
      <c r="AA112" s="28" t="n"/>
      <c r="AB112" s="28" t="n"/>
      <c r="AC112" s="30" t="n">
        <v>0</v>
      </c>
      <c r="AD112" s="24" t="inlineStr">
        <is>
          <t>2026-09-18T10:13:07.641550Z</t>
        </is>
      </c>
      <c r="AE112" s="31" t="inlineStr">
        <is>
          <t>Neutral Elo baseline; executable ask 0.5100 (market_slug=aec-dota2-sct-vco-2026-09-17).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PAPER_CALL_MODEL_UNVALIDATED</t>
        </is>
      </c>
      <c r="AP112" s="24" t="inlineStr">
        <is>
          <t>VooDooSh Club</t>
        </is>
      </c>
      <c r="AQ112" s="24" t="inlineStr">
        <is>
          <t>VooDooSh Club</t>
        </is>
      </c>
      <c r="AR112" s="24" t="inlineStr">
        <is>
          <t>VooDooSh Club</t>
        </is>
      </c>
      <c r="AS112" s="24" t="inlineStr">
        <is>
          <t>Stray Club</t>
        </is>
      </c>
      <c r="AT112" s="24" t="inlineStr">
        <is>
          <t>Stray Club</t>
        </is>
      </c>
      <c r="AU112" s="24" t="inlineStr">
        <is>
          <t>Stray Club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3970d353587d312f5accfea4fff01a4d3def27110f766fc64dfdf59dcceb0f50</t>
        </is>
      </c>
      <c r="BB112" s="24" t="inlineStr">
        <is>
          <t>neutral_elo</t>
        </is>
      </c>
      <c r="BC112" s="24" t="inlineStr">
        <is>
          <t>dota2-tiered-elo-v6</t>
        </is>
      </c>
      <c r="BD112" s="24" t="inlineStr">
        <is>
          <t>3970d353587d312f5accfea4fff01a4d3def27110f766fc64dfdf59dcceb0f50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dota2-tiered-elo-v6</t>
        </is>
      </c>
      <c r="BH112" s="24" t="inlineStr">
        <is>
          <t>2026-09-17T16:18:50.912090Z</t>
        </is>
      </c>
      <c r="BI112" s="24" t="inlineStr">
        <is>
          <t>["same_event","same_team_same_day","same_league_same_day"]</t>
        </is>
      </c>
      <c r="BJ112" s="25" t="n"/>
      <c r="BK112" s="26" t="n">
        <v>-104</v>
      </c>
      <c r="BL112" s="27" t="n">
        <v>1.961538</v>
      </c>
      <c r="BM112" s="28" t="n">
        <v>0.509804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inlineStr">
        <is>
          <t>esports market settled to a non-binary price (forfeit/postponement per market rules); BO3 has no confirming finished-match result either</t>
        </is>
      </c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0.509804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"3970d353587d312f5accfea4fff01a4d3def27110f766fc64dfdf59dcceb0f50", "away_team": "VooDooSh Club", "event_id": "115847", "event_start_utc": "2026-09-17T18:00:00Z",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0.09442030917934734, "platt_slope": 0.8325319755455935,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"2026-09-17T16:18:50.358091+00:00", "team_ids": ["unknown:strayclub", "unknown:voodooshclub"]}, "market_type": "moneyline", "model_version": "dota2-tiered-elo-v6", "observed_at_utc": "2026-09-17T16:18:50.358091+00:00", "probabilities": {"away": 0.490003, "home": 0.509997}, "replay_scope": "Exact serving book state, calibration, temperature, inactivity reference and thin-history adjustments; training provenance not certified.", "schema": "esports-elo-replay-v1", "snapshot_hash": "6b3f6af8366a42eff652ae92efa524c1ed099455225810997ce2c7f5bafe23b4", "sport": "DOTA2"}</t>
        </is>
      </c>
    </row>
    <row r="113" ht="36" customHeight="1">
      <c r="A113" s="24" t="inlineStr">
        <is>
          <t>157a548320c04eb5</t>
        </is>
      </c>
      <c r="B113" s="24" t="inlineStr">
        <is>
          <t>2026-09-18T08:32:14.651610Z</t>
        </is>
      </c>
      <c r="C113" s="24" t="inlineStr">
        <is>
          <t>2026-09-18T09:00:00Z</t>
        </is>
      </c>
      <c r="D113" s="24" t="inlineStr">
        <is>
          <t>113376</t>
        </is>
      </c>
      <c r="E113" s="24" t="inlineStr">
        <is>
          <t>DOTA2</t>
        </is>
      </c>
      <c r="F113" s="24" t="inlineStr">
        <is>
          <t>Team Synapse</t>
        </is>
      </c>
      <c r="G113" s="24" t="inlineStr">
        <is>
          <t>Team Lynx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-186</v>
      </c>
      <c r="M113" s="27" t="n">
        <v>1.537634</v>
      </c>
      <c r="N113" s="28" t="n">
        <v>0.65035</v>
      </c>
      <c r="O113" s="28" t="n">
        <v>0.525644</v>
      </c>
      <c r="P113" s="28" t="n"/>
      <c r="Q113" s="28" t="n">
        <v>-0.124706</v>
      </c>
      <c r="R113" s="26" t="n">
        <v>0</v>
      </c>
      <c r="S113" s="29" t="n">
        <v>1</v>
      </c>
      <c r="T113" s="24" t="inlineStr">
        <is>
          <t>dota2-tiered-elo-v6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0</v>
      </c>
      <c r="Y113" s="25" t="n"/>
      <c r="Z113" s="26" t="n"/>
      <c r="AA113" s="28" t="n"/>
      <c r="AB113" s="28" t="n"/>
      <c r="AC113" s="30" t="n">
        <v>0.5376</v>
      </c>
      <c r="AD113" s="24" t="inlineStr">
        <is>
          <t>2026-09-18T16:11:26.580243Z</t>
        </is>
      </c>
      <c r="AE113" s="31" t="inlineStr">
        <is>
          <t>Neutral Elo baseline; executable ask 0.6500 (market_slug=aec-dota2-lynx-tsea-2026-09-18).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Team Synapse</t>
        </is>
      </c>
      <c r="AQ113" s="24" t="inlineStr">
        <is>
          <t>Team Synapse</t>
        </is>
      </c>
      <c r="AR113" s="24" t="inlineStr">
        <is>
          <t>Team Synapse</t>
        </is>
      </c>
      <c r="AS113" s="24" t="inlineStr">
        <is>
          <t>Team Lynx</t>
        </is>
      </c>
      <c r="AT113" s="24" t="inlineStr">
        <is>
          <t>Team Lynx</t>
        </is>
      </c>
      <c r="AU113" s="24" t="inlineStr">
        <is>
          <t>Team Lynx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34bd69c072b304d6a8faba4a16602bc28a4c12f5efbda02100f4cc8bc77af14b</t>
        </is>
      </c>
      <c r="BB113" s="24" t="inlineStr">
        <is>
          <t>neutral_elo</t>
        </is>
      </c>
      <c r="BC113" s="24" t="inlineStr">
        <is>
          <t>dota2-tiered-elo-v6</t>
        </is>
      </c>
      <c r="BD113" s="24" t="inlineStr">
        <is>
          <t>34bd69c072b304d6a8faba4a16602bc28a4c12f5efbda02100f4cc8bc77af14b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dota2-tiered-elo-v6</t>
        </is>
      </c>
      <c r="BH113" s="24" t="inlineStr">
        <is>
          <t>2026-09-18T08:00:05.632269Z</t>
        </is>
      </c>
      <c r="BI113" s="24" t="inlineStr">
        <is>
          <t>["same_event","same_team_same_day","same_league_same_day"]</t>
        </is>
      </c>
      <c r="BJ113" s="25" t="n"/>
      <c r="BK113" s="26" t="n">
        <v>-186</v>
      </c>
      <c r="BL113" s="27" t="n">
        <v>1.537634</v>
      </c>
      <c r="BM113" s="28" t="n">
        <v>0.65035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0.65035</t>
        </is>
      </c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"34bd69c072b304d6a8faba4a16602bc28a4c12f5efbda02100f4cc8bc77af14b", "away_team": "Team Synapse", "event_id": "113376", "event_start_utc": "2026-09-18T09:00:00Z", "features": {"away_elo": 1705.160243, "away_history_count": 16, "home_elo": 1657.781193, "home_history_count": 175}, "historical_source_observation_times_verified": false, "home_team": "Team Lynx", "inference_inputs": {"book_state": {"games_played": {"bo3:4:19913": 175, "bo3:4:25201": 16}, "inactivity_half_life_days": null, "inactivity_max_pull": null, "k": 48.0, "last_match_utc": {"bo3:4:19913": "2026-09-17T15:00:00Z", "bo3:4:25201": "2026-09-16T09:00:00Z"}, "minimum_reliable_games": null, "platt_intercept": 0.09336333549119102, "platt_slope": 0.8327425094023032, "ratings": {"bo3:4:19913": 1657.781193, "bo3:4:25201": 1705.160243},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"2026-09-18T08:00:05.422895+00:00", "team_ids": ["bo3:4:19913", "bo3:4:25201"]}, "market_type": "moneyline", "model_version": "dota2-tiered-elo-v6", "observed_at_utc": "2026-09-18T08:00:05.422895+00:00", "probabilities": {"away": 0.525644, "home": 0.474356}, "replay_scope": "Exact serving book state, calibration, temperature, inactivity reference and thin-history adjustments; training provenance not certified.", "schema": "esports-elo-replay-v1", "snapshot_hash": "0a2d1bf1ebcd14f26b3557f7e6adbef6f2f88f23e0fdf10c990259bf8dd88868", "sport": "DOTA2"}</t>
        </is>
      </c>
    </row>
    <row r="114" ht="36" customHeight="1">
      <c r="A114" s="24" t="inlineStr">
        <is>
          <t>00348dc3bdc14a98</t>
        </is>
      </c>
      <c r="B114" s="24" t="inlineStr">
        <is>
          <t>2026-09-20T05:03:48.724866Z</t>
        </is>
      </c>
      <c r="C114" s="24" t="inlineStr">
        <is>
          <t>2026-09-20T07:00:00Z</t>
        </is>
      </c>
      <c r="D114" s="24" t="inlineStr">
        <is>
          <t>118795</t>
        </is>
      </c>
      <c r="E114" s="24" t="inlineStr">
        <is>
          <t>DOTA2</t>
        </is>
      </c>
      <c r="F114" s="24" t="inlineStr">
        <is>
          <t>Xtreme Gaming</t>
        </is>
      </c>
      <c r="G114" s="24" t="inlineStr">
        <is>
          <t>Conventus Stellarum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-138</v>
      </c>
      <c r="M114" s="27" t="n">
        <v>1.724638</v>
      </c>
      <c r="N114" s="28" t="n">
        <v>0.579832</v>
      </c>
      <c r="O114" s="28" t="n">
        <v>0.582441</v>
      </c>
      <c r="P114" s="28" t="n"/>
      <c r="Q114" s="28" t="n">
        <v>0.002609</v>
      </c>
      <c r="R114" s="26" t="n">
        <v>21</v>
      </c>
      <c r="S114" s="29" t="n">
        <v>1</v>
      </c>
      <c r="T114" s="24" t="inlineStr">
        <is>
          <t>dota2-tiered-elo-v6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1</v>
      </c>
      <c r="X114" s="26" t="n">
        <v>0</v>
      </c>
      <c r="Y114" s="25" t="n"/>
      <c r="Z114" s="26" t="n"/>
      <c r="AA114" s="28" t="n"/>
      <c r="AB114" s="28" t="n"/>
      <c r="AC114" s="30" t="n">
        <v>0.7246</v>
      </c>
      <c r="AD114" s="24" t="inlineStr">
        <is>
          <t>2026-09-20T16:00:51.224291Z</t>
        </is>
      </c>
      <c r="AE114" s="31" t="inlineStr">
        <is>
          <t>Neutral Elo baseline; executable ask 0.5800 (market_slug=aec-dota2-cs-xtreme-2026-09-20).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Xtreme Gaming</t>
        </is>
      </c>
      <c r="AQ114" s="24" t="inlineStr">
        <is>
          <t>Xtreme Gaming</t>
        </is>
      </c>
      <c r="AR114" s="24" t="inlineStr">
        <is>
          <t>Xtreme Gaming</t>
        </is>
      </c>
      <c r="AS114" s="24" t="inlineStr">
        <is>
          <t>Conventus Stellarum</t>
        </is>
      </c>
      <c r="AT114" s="24" t="inlineStr">
        <is>
          <t>Conventus Stellarum</t>
        </is>
      </c>
      <c r="AU114" s="24" t="inlineStr">
        <is>
          <t>Conventus Stellarum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92d95d7844024aac9c26ce1100e3455f009857e61689a23f06a00439f533facd</t>
        </is>
      </c>
      <c r="BB114" s="24" t="inlineStr">
        <is>
          <t>neutral_elo</t>
        </is>
      </c>
      <c r="BC114" s="24" t="inlineStr">
        <is>
          <t>dota2-tiered-elo-v6</t>
        </is>
      </c>
      <c r="BD114" s="24" t="inlineStr">
        <is>
          <t>92d95d7844024aac9c26ce1100e3455f009857e61689a23f06a00439f533facd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dota2-tiered-elo-v6</t>
        </is>
      </c>
      <c r="BH114" s="24" t="inlineStr">
        <is>
          <t>2026-09-20T05:03:14.854806Z</t>
        </is>
      </c>
      <c r="BI114" s="24" t="inlineStr">
        <is>
          <t>["same_event","same_team_same_day","same_league_same_day"]</t>
        </is>
      </c>
      <c r="BJ114" s="25" t="n"/>
      <c r="BK114" s="26" t="n">
        <v>-138</v>
      </c>
      <c r="BL114" s="27" t="n">
        <v>1.724638</v>
      </c>
      <c r="BM114" s="28" t="n">
        <v>0.579832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0.579832</t>
        </is>
      </c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"92d95d7844024aac9c26ce1100e3455f009857e61689a23f06a00439f533facd", "away_team": "Xtreme Gaming", "event_id": "118795", "event_start_utc": "2026-09-20T07:00:00Z", "features": {"away_elo": 1739.10475, "away_history_count": 296, "home_elo": 1564.792104, "home_history_count": 1}, "historical_source_observation_times_verified": false, "home_team": "Conventus Stellarum", "inference_inputs": {"book_state": {"games_played": {"bo3:4:15776": 296, "bo3:4:25326": 1}, "inactivity_half_life_days": null, "inactivity_max_pull": null, "k": 48.0, "last_match_utc": {"bo3:4:15776": "2026-09-19T07:10:00Z", "bo3:4:25326": "2026-09-19T11:00:00Z"}, "minimum_reliable_games": null, "platt_intercept": 0.0982251025553948, "platt_slope": 0.8327333026387519, "ratings": {"bo3:4:15776": 1739.10475, "bo3:4:25326": 1564.792104},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"2026-09-20T05:03:14.778893+00:00", "team_ids": ["bo3:4:25326", "bo3:4:15776"]}, "market_type": "moneyline", "model_version": "dota2-tiered-elo-v6", "observed_at_utc": "2026-09-20T05:03:14.778893+00:00", "probabilities": {"away": 0.582441, "home": 0.417559}, "replay_scope": "Exact serving book state, calibration, temperature, inactivity reference and thin-history adjustments; training provenance not certified.", "schema": "esports-elo-replay-v1", "snapshot_hash": "8fde76c3954a6c34956a2e188b39901cc2973f6e28f34261237c61d4dbf9180e", "sport": "DOTA2"}</t>
        </is>
      </c>
    </row>
    <row r="115" ht="36" customHeight="1">
      <c r="A115" s="24" t="inlineStr">
        <is>
          <t>b02877f0bcab4b75</t>
        </is>
      </c>
      <c r="B115" s="24" t="inlineStr">
        <is>
          <t>2026-09-20T10:31:00.925225Z</t>
        </is>
      </c>
      <c r="C115" s="24" t="inlineStr">
        <is>
          <t>2026-09-20T13:00:00Z</t>
        </is>
      </c>
      <c r="D115" s="24" t="inlineStr">
        <is>
          <t>118817</t>
        </is>
      </c>
      <c r="E115" s="24" t="inlineStr">
        <is>
          <t>DOTA2</t>
        </is>
      </c>
      <c r="F115" s="24" t="inlineStr">
        <is>
          <t>Yakult Brothers</t>
        </is>
      </c>
      <c r="G115" s="24" t="inlineStr">
        <is>
          <t xml:space="preserve"> Pipsqueak+4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-133</v>
      </c>
      <c r="M115" s="27" t="n">
        <v>1.75188</v>
      </c>
      <c r="N115" s="28" t="n">
        <v>0.570815</v>
      </c>
      <c r="O115" s="28" t="n">
        <v>0.732981</v>
      </c>
      <c r="P115" s="28" t="n"/>
      <c r="Q115" s="28" t="n">
        <v>0.162166</v>
      </c>
      <c r="R115" s="26" t="n">
        <v>100</v>
      </c>
      <c r="S115" s="29" t="n">
        <v>1.75</v>
      </c>
      <c r="T115" s="24" t="inlineStr">
        <is>
          <t>dota2-tiered-elo-v6</t>
        </is>
      </c>
      <c r="U115" s="24" t="inlineStr">
        <is>
          <t>settled</t>
        </is>
      </c>
      <c r="V115" s="24" t="inlineStr">
        <is>
          <t>win</t>
        </is>
      </c>
      <c r="W115" s="26" t="n">
        <v>0</v>
      </c>
      <c r="X115" s="26" t="n">
        <v>1</v>
      </c>
      <c r="Y115" s="25" t="n"/>
      <c r="Z115" s="26" t="n"/>
      <c r="AA115" s="28" t="n"/>
      <c r="AB115" s="28" t="n"/>
      <c r="AC115" s="30" t="n">
        <v>1.3158</v>
      </c>
      <c r="AD115" s="24" t="inlineStr">
        <is>
          <t>2026-09-20T22:17:29.903829Z</t>
        </is>
      </c>
      <c r="AE115" s="31" t="inlineStr">
        <is>
          <t>Neutral Elo baseline; executable ask 0.5700 (market_slug=aec-dota2-pips4-yb-2026-09-20).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4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Yakult Brothers</t>
        </is>
      </c>
      <c r="AQ115" s="24" t="inlineStr">
        <is>
          <t>Yakult Brothers</t>
        </is>
      </c>
      <c r="AR115" s="24" t="inlineStr">
        <is>
          <t>Yakult Brothers</t>
        </is>
      </c>
      <c r="AS115" s="24" t="inlineStr">
        <is>
          <t xml:space="preserve"> Pipsqueak+4</t>
        </is>
      </c>
      <c r="AT115" s="24" t="inlineStr">
        <is>
          <t xml:space="preserve"> Pipsqueak+4</t>
        </is>
      </c>
      <c r="AU115" s="24" t="inlineStr">
        <is>
          <t xml:space="preserve"> Pipsqueak+4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d5f8f05db99dc76f54b58995b2ea56b0b933837da0cb78b0a7692c246725a963</t>
        </is>
      </c>
      <c r="BB115" s="24" t="inlineStr">
        <is>
          <t>neutral_elo</t>
        </is>
      </c>
      <c r="BC115" s="24" t="inlineStr">
        <is>
          <t>dota2-tiered-elo-v6</t>
        </is>
      </c>
      <c r="BD115" s="24" t="inlineStr">
        <is>
          <t>d5f8f05db99dc76f54b58995b2ea56b0b933837da0cb78b0a7692c246725a963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dota2-tiered-elo-v6</t>
        </is>
      </c>
      <c r="BH115" s="24" t="inlineStr">
        <is>
          <t>2026-09-20T10:30:48.317386Z</t>
        </is>
      </c>
      <c r="BI115" s="24" t="inlineStr">
        <is>
          <t>["same_event","same_team_same_day","same_league_same_day"]</t>
        </is>
      </c>
      <c r="BJ115" s="25" t="n"/>
      <c r="BK115" s="26" t="n">
        <v>-133</v>
      </c>
      <c r="BL115" s="27" t="n">
        <v>1.75188</v>
      </c>
      <c r="BM115" s="28" t="n">
        <v>0.570815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0.570815</t>
        </is>
      </c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"d5f8f05db99dc76f54b58995b2ea56b0b933837da0cb78b0a7692c246725a963", "away_team": "Yakult Brothers", "event_id": "118817", "event_start_utc": "2026-09-20T13:00:00Z", "features": {"away_elo": 1534.932614, "away_history_count": 10, "home_elo": 1744.443362, "home_history_count": 130}, "historical_source_observation_times_verified": false, "home_team": " Pipsqueak+4", "inference_inputs": {"book_state": {"games_played": {"bo3:4:21435": 130, "bo3:4:22248": 10}, "inactivity_half_life_days": null, "inactivity_max_pull": null, "k": 48.0, "last_match_utc": {"bo3:4:21435": "2026-09-19T15:15:00Z", "bo3:4:22248": "2026-01-31T05:00:00Z"}, "minimum_reliable_games": null, "platt_intercept": 0.0982251025553948, "platt_slope": 0.8327333026387519, "ratings": {"bo3:4:21435": 1744.443362, "bo3:4:22248": 1534.932614},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"2026-09-20T10:30:37.979619+00:00", "team_ids": ["bo3:4:21435", "bo3:4:22248"]}, "market_type": "moneyline", "model_version": "dota2-tiered-elo-v6", "observed_at_utc": "2026-09-20T10:30:37.979619+00:00", "probabilities": {"away": 0.267019, "home": 0.732981}, "replay_scope": "Exact serving book state, calibration, temperature, inactivity reference and thin-history adjustments; training provenance not certified.", "schema": "esports-elo-replay-v1", "snapshot_hash": "1c5a695c5c39efee751dd6e962806514f806b285335efe273733378c48cbc046", "sport": "DOTA2"}</t>
        </is>
      </c>
    </row>
    <row r="116" ht="36" customHeight="1">
      <c r="A116" s="24" t="inlineStr">
        <is>
          <t>f85f19a888424358</t>
        </is>
      </c>
      <c r="B116" s="24" t="inlineStr">
        <is>
          <t>2026-09-21T04:40:30.298569Z</t>
        </is>
      </c>
      <c r="C116" s="24" t="inlineStr">
        <is>
          <t>2026-09-21T07:00:00Z</t>
        </is>
      </c>
      <c r="D116" s="24" t="inlineStr">
        <is>
          <t>119745</t>
        </is>
      </c>
      <c r="E116" s="24" t="inlineStr">
        <is>
          <t>DOTA2</t>
        </is>
      </c>
      <c r="F116" s="24" t="inlineStr">
        <is>
          <t xml:space="preserve"> Pipsqueak+4</t>
        </is>
      </c>
      <c r="G116" s="24" t="inlineStr">
        <is>
          <t>GamerLegion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122</v>
      </c>
      <c r="M116" s="27" t="n">
        <v>2.22</v>
      </c>
      <c r="N116" s="28" t="n">
        <v>0.45045</v>
      </c>
      <c r="O116" s="28" t="n">
        <v>0.505708</v>
      </c>
      <c r="P116" s="28" t="n"/>
      <c r="Q116" s="28" t="n">
        <v>0.055258</v>
      </c>
      <c r="R116" s="26" t="n">
        <v>48</v>
      </c>
      <c r="S116" s="29" t="n">
        <v>1</v>
      </c>
      <c r="T116" s="24" t="inlineStr">
        <is>
          <t>dota2-tiered-elo-v6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/>
      <c r="AA116" s="28" t="n"/>
      <c r="AB116" s="28" t="n"/>
      <c r="AC116" s="30" t="n">
        <v>1.22</v>
      </c>
      <c r="AD116" s="24" t="inlineStr">
        <is>
          <t>2026-09-21T16:09:01.815902Z</t>
        </is>
      </c>
      <c r="AE116" s="31" t="inlineStr">
        <is>
          <t>Neutral Elo baseline; executable ask 0.4500 (market_slug=aec-dota2-gl-pips4-2026-09-21).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 xml:space="preserve"> Pipsqueak+4</t>
        </is>
      </c>
      <c r="AQ116" s="24" t="inlineStr">
        <is>
          <t xml:space="preserve"> Pipsqueak+4</t>
        </is>
      </c>
      <c r="AR116" s="24" t="inlineStr">
        <is>
          <t xml:space="preserve"> Pipsqueak+4</t>
        </is>
      </c>
      <c r="AS116" s="24" t="inlineStr">
        <is>
          <t>GamerLegion</t>
        </is>
      </c>
      <c r="AT116" s="24" t="inlineStr">
        <is>
          <t>GamerLegion</t>
        </is>
      </c>
      <c r="AU116" s="24" t="inlineStr">
        <is>
          <t>GamerLegion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a559c66b454b54617345b5bd21e6e0cdd5cc8bc425e67c7dca3a8a39c0cf3265</t>
        </is>
      </c>
      <c r="BB116" s="24" t="inlineStr">
        <is>
          <t>neutral_elo</t>
        </is>
      </c>
      <c r="BC116" s="24" t="inlineStr">
        <is>
          <t>dota2-tiered-elo-v6</t>
        </is>
      </c>
      <c r="BD116" s="24" t="inlineStr">
        <is>
          <t>a559c66b454b54617345b5bd21e6e0cdd5cc8bc425e67c7dca3a8a39c0cf3265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dota2-tiered-elo-v6</t>
        </is>
      </c>
      <c r="BH116" s="24" t="inlineStr">
        <is>
          <t>2026-09-21T04:39:29.229987Z</t>
        </is>
      </c>
      <c r="BI116" s="24" t="inlineStr">
        <is>
          <t>["same_event","same_team_same_day","same_league_same_day"]</t>
        </is>
      </c>
      <c r="BJ116" s="25" t="n"/>
      <c r="BK116" s="26" t="n">
        <v>122</v>
      </c>
      <c r="BL116" s="27" t="n">
        <v>2.22</v>
      </c>
      <c r="BM116" s="28" t="n">
        <v>0.45045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0.45045</t>
        </is>
      </c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"a559c66b454b54617345b5bd21e6e0cdd5cc8bc425e67c7dca3a8a39c0cf3265", "away_team": " Pipsqueak+4", "event_id": "119745", "event_start_utc": "2026-09-21T07:00:00Z", "features": {"away_elo": 1776.933424, "away_history_count": 131, "home_elo": 1762.387845, "home_history_count": 92}, "historical_source_observation_times_verified": false, "home_team": "GamerLegion", "inference_inputs": {"book_state": {"games_played": {"bo3:4:21435": 131, "bo3:4:22027": 92}, "inactivity_half_life_days": null, "inactivity_max_pull": null, "k": 48.0, "last_match_utc": {"bo3:4:21435": "2026-09-20T13:15:00Z", "bo3:4:22027": "2026-09-20T11:15:00Z"}, "minimum_reliable_games": null, "platt_intercept": 0.09761065118702555, "platt_slope": 0.8374322326095197, "ratings": {"bo3:4:21435": 1776.933424, "bo3:4:22027": 1762.387845},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["bo3:4:22027", "bo3:4:21435"]}, "market_type": "moneyline", "model_version": "dota2-tiered-elo-v6", "observed_at_utc": "2026-09-21T04:39:29.095931+00:00", "probabilities": {"away": 0.494292, "home": 0.505708}, "replay_scope": "Exact serving book state, calibration, temperature, inactivity reference and thin-history adjustments; training provenance not certified.", "schema": "esports-elo-replay-v1", "snapshot_hash": "824903ff03fd5ec8601e88da19c1500c91d7a763783b4b5f12f0248ed63e3207", "sport": "DOTA2"}</t>
        </is>
      </c>
    </row>
    <row r="117" ht="36" customHeight="1">
      <c r="A117" s="24" t="inlineStr">
        <is>
          <t>58a46485da2d4303</t>
        </is>
      </c>
      <c r="B117" s="24" t="inlineStr">
        <is>
          <t>2026-09-21T04:40:30.298569Z</t>
        </is>
      </c>
      <c r="C117" s="24" t="inlineStr">
        <is>
          <t>2026-09-21T10:00:00Z</t>
        </is>
      </c>
      <c r="D117" s="24" t="inlineStr">
        <is>
          <t>119746</t>
        </is>
      </c>
      <c r="E117" s="24" t="inlineStr">
        <is>
          <t>DOTA2</t>
        </is>
      </c>
      <c r="F117" s="24" t="inlineStr">
        <is>
          <t>MOUZ</t>
        </is>
      </c>
      <c r="G117" s="24" t="inlineStr">
        <is>
          <t>Team Nemesis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127</v>
      </c>
      <c r="M117" s="27" t="n">
        <v>2.27</v>
      </c>
      <c r="N117" s="28" t="n">
        <v>0.440529</v>
      </c>
      <c r="O117" s="28" t="n">
        <v>0.722506</v>
      </c>
      <c r="P117" s="28" t="n"/>
      <c r="Q117" s="28" t="n">
        <v>0.281977</v>
      </c>
      <c r="R117" s="26" t="n">
        <v>100</v>
      </c>
      <c r="S117" s="29" t="n">
        <v>2</v>
      </c>
      <c r="T117" s="24" t="inlineStr">
        <is>
          <t>dota2-tiered-elo-v6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/>
      <c r="AA117" s="28" t="n"/>
      <c r="AB117" s="28" t="n"/>
      <c r="AC117" s="30" t="n">
        <v>2.54</v>
      </c>
      <c r="AD117" s="24" t="inlineStr">
        <is>
          <t>2026-09-21T16:09:02.404415Z</t>
        </is>
      </c>
      <c r="AE117" s="31" t="inlineStr">
        <is>
          <t>Neutral Elo baseline; executable ask 0.4400 (market_slug=aec-dota2-nem-mouz-2026-09-21).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4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MOUZ</t>
        </is>
      </c>
      <c r="AQ117" s="24" t="inlineStr">
        <is>
          <t>MOUZ</t>
        </is>
      </c>
      <c r="AR117" s="24" t="inlineStr">
        <is>
          <t>MOUZ</t>
        </is>
      </c>
      <c r="AS117" s="24" t="inlineStr">
        <is>
          <t>Team Nemesis</t>
        </is>
      </c>
      <c r="AT117" s="24" t="inlineStr">
        <is>
          <t>Team Nemesis</t>
        </is>
      </c>
      <c r="AU117" s="24" t="inlineStr">
        <is>
          <t>Team Nemesis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a559c66b454b54617345b5bd21e6e0cdd5cc8bc425e67c7dca3a8a39c0cf3265</t>
        </is>
      </c>
      <c r="BB117" s="24" t="inlineStr">
        <is>
          <t>neutral_elo</t>
        </is>
      </c>
      <c r="BC117" s="24" t="inlineStr">
        <is>
          <t>dota2-tiered-elo-v6</t>
        </is>
      </c>
      <c r="BD117" s="24" t="inlineStr">
        <is>
          <t>a559c66b454b54617345b5bd21e6e0cdd5cc8bc425e67c7dca3a8a39c0cf3265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dota2-tiered-elo-v6</t>
        </is>
      </c>
      <c r="BH117" s="24" t="inlineStr">
        <is>
          <t>2026-09-21T04:39:41.865941Z</t>
        </is>
      </c>
      <c r="BI117" s="24" t="inlineStr">
        <is>
          <t>["same_event","same_team_same_day","same_league_same_day"]</t>
        </is>
      </c>
      <c r="BJ117" s="25" t="n"/>
      <c r="BK117" s="26" t="n">
        <v>127</v>
      </c>
      <c r="BL117" s="27" t="n">
        <v>2.27</v>
      </c>
      <c r="BM117" s="28" t="n">
        <v>0.440529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0.440529</t>
        </is>
      </c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"a559c66b454b54617345b5bd21e6e0cdd5cc8bc425e67c7dca3a8a39c0cf3265", "away_team": "MOUZ", "event_id": "119746", "event_start_utc": "2026-09-21T10:00:00Z", "features": {"away_elo": 1657.21168, "away_history_count": 357, "home_elo": 1872.364851, "home_history_count": 124}, "historical_source_observation_times_verified": false, "home_team": "Team Nemesis", "inference_inputs": {"book_state": {"games_played": {"bo3:4:15032": 357, "bo3:4:20355": 124}, "inactivity_half_life_days": null, "inactivity_max_pull": null, "k": 48.0, "last_match_utc": {"bo3:4:15032": "2026-09-20T18:00:00Z", "bo3:4:20355": "2026-09-20T16:00:00Z"}, "minimum_reliable_games": null, "platt_intercept": 0.09761065118702555, "platt_slope": 0.8374322326095197, "ratings": {"bo3:4:15032": 1657.21168, "bo3:4:20355": 1872.364851},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["bo3:4:20355", "bo3:4:15032"]}, "market_type": "moneyline", "model_version": "dota2-tiered-elo-v6", "observed_at_utc": "2026-09-21T04:39:29.095931+00:00", "probabilities": {"away": 0.277494, "home": 0.722506}, "replay_scope": "Exact serving book state, calibration, temperature, inactivity reference and thin-history adjustments; training provenance not certified.", "schema": "esports-elo-replay-v1", "snapshot_hash": "522b6b8a6b78bb39a8dd5759e160d1615a2fc00930062f70b75d6e3288a119aa", "sport": "DOTA2"}</t>
        </is>
      </c>
    </row>
    <row r="118" ht="36" customHeight="1">
      <c r="A118" s="24" t="inlineStr">
        <is>
          <t>598321dbb6c4413a</t>
        </is>
      </c>
      <c r="B118" s="24" t="inlineStr">
        <is>
          <t>2026-09-21T10:09:22.563790Z</t>
        </is>
      </c>
      <c r="C118" s="24" t="inlineStr">
        <is>
          <t>2026-09-21T15:00:00Z</t>
        </is>
      </c>
      <c r="D118" s="24" t="inlineStr">
        <is>
          <t>119370</t>
        </is>
      </c>
      <c r="E118" s="24" t="inlineStr">
        <is>
          <t>DOTA2</t>
        </is>
      </c>
      <c r="F118" s="24" t="inlineStr">
        <is>
          <t>Spirit Academy</t>
        </is>
      </c>
      <c r="G118" s="24" t="inlineStr">
        <is>
          <t>Team Synapse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-163</v>
      </c>
      <c r="M118" s="27" t="n">
        <v>1.613497</v>
      </c>
      <c r="N118" s="28" t="n">
        <v>0.619772</v>
      </c>
      <c r="O118" s="28" t="n">
        <v>0.677662</v>
      </c>
      <c r="P118" s="28" t="n"/>
      <c r="Q118" s="28" t="n">
        <v>0.05789</v>
      </c>
      <c r="R118" s="26" t="n">
        <v>49</v>
      </c>
      <c r="S118" s="29" t="n">
        <v>1</v>
      </c>
      <c r="T118" s="24" t="inlineStr">
        <is>
          <t>dota2-tiered-elo-v6</t>
        </is>
      </c>
      <c r="U118" s="24" t="inlineStr">
        <is>
          <t>settled</t>
        </is>
      </c>
      <c r="V118" s="24" t="inlineStr">
        <is>
          <t>win</t>
        </is>
      </c>
      <c r="W118" s="26" t="n">
        <v>0</v>
      </c>
      <c r="X118" s="26" t="n">
        <v>1</v>
      </c>
      <c r="Y118" s="25" t="n"/>
      <c r="Z118" s="26" t="n"/>
      <c r="AA118" s="28" t="n"/>
      <c r="AB118" s="28" t="n"/>
      <c r="AC118" s="30" t="n">
        <v>0.6135</v>
      </c>
      <c r="AD118" s="24" t="inlineStr">
        <is>
          <t>2026-09-21T22:00:53.719261Z</t>
        </is>
      </c>
      <c r="AE118" s="31" t="inlineStr">
        <is>
          <t>Neutral Elo baseline; executable ask 0.6200 (market_slug=aec-dota2-tsea-tsa-2026-09-21).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4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Spirit Academy</t>
        </is>
      </c>
      <c r="AQ118" s="24" t="inlineStr">
        <is>
          <t>Spirit Academy</t>
        </is>
      </c>
      <c r="AR118" s="24" t="inlineStr">
        <is>
          <t>Spirit Academy</t>
        </is>
      </c>
      <c r="AS118" s="24" t="inlineStr">
        <is>
          <t>Team Synapse</t>
        </is>
      </c>
      <c r="AT118" s="24" t="inlineStr">
        <is>
          <t>Team Synapse</t>
        </is>
      </c>
      <c r="AU118" s="24" t="inlineStr">
        <is>
          <t>Team Synapse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285b481ad13a9b9591f061208b7147317414441e6430aa1d6a09a5d56781245c</t>
        </is>
      </c>
      <c r="BB118" s="24" t="inlineStr">
        <is>
          <t>neutral_elo</t>
        </is>
      </c>
      <c r="BC118" s="24" t="inlineStr">
        <is>
          <t>dota2-tiered-elo-v6</t>
        </is>
      </c>
      <c r="BD118" s="24" t="inlineStr">
        <is>
          <t>285b481ad13a9b9591f061208b7147317414441e6430aa1d6a09a5d56781245c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dota2-tiered-elo-v6</t>
        </is>
      </c>
      <c r="BH118" s="24" t="inlineStr">
        <is>
          <t>2026-09-21T10:08:54.316005Z</t>
        </is>
      </c>
      <c r="BI118" s="24" t="inlineStr">
        <is>
          <t>["same_event","same_team_same_day","same_league_same_day"]</t>
        </is>
      </c>
      <c r="BJ118" s="25" t="n"/>
      <c r="BK118" s="26" t="n">
        <v>-163</v>
      </c>
      <c r="BL118" s="27" t="n">
        <v>1.613497</v>
      </c>
      <c r="BM118" s="28" t="n">
        <v>0.619772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0.619772</t>
        </is>
      </c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"285b481ad13a9b9591f061208b7147317414441e6430aa1d6a09a5d56781245c", "away_team": "Spirit Academy", "event_id": "119370", "event_start_utc": "2026-09-21T15:00:00Z", "features": {"away_elo": 1577.523998, "away_history_count": 113, "home_elo": 1742.344769, "home_history_count": 18}, "historical_source_observation_times_verified": false, "home_team": "Team Synapse", "inference_inputs": {"book_state": {"games_played": {"bo3:4:21945": 113, "bo3:4:25201": 18}, "inactivity_half_life_days": null, "inactivity_max_pull": null, "k": 48.0, "last_match_utc": {"bo3:4:21945": "2026-09-19T13:25:00Z", "bo3:4:25201": "2026-09-19T09:25:00Z"}, "minimum_reliable_games": null, "platt_intercept": 0.09662715403093078, "platt_slope": 0.8383582311538623, "ratings": {"bo3:4:21945": 1577.523998, "bo3:4:25201": 1742.344769},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["bo3:4:25201", "bo3:4:21945"]}, "market_type": "moneyline", "model_version": "dota2-tiered-elo-v6", "observed_at_utc": "2026-09-21T10:08:30.193093+00:00", "probabilities": {"away": 0.322338, "home": 0.677662}, "replay_scope": "Exact serving book state, calibration, temperature, inactivity reference and thin-history adjustments; training provenance not certified.", "schema": "esports-elo-replay-v1", "snapshot_hash": "d0fdbf93518c62926803033cbf434543a03a556bf0af98127405aed787734567", "sport": "DOTA2"}</t>
        </is>
      </c>
    </row>
    <row r="119" ht="36" customHeight="1">
      <c r="A119" s="24" t="inlineStr">
        <is>
          <t>3552b81b5f204ad1</t>
        </is>
      </c>
      <c r="B119" s="24" t="inlineStr">
        <is>
          <t>2026-09-21T10:09:22.563790Z</t>
        </is>
      </c>
      <c r="C119" s="24" t="inlineStr">
        <is>
          <t>2026-09-21T15:30:00Z</t>
        </is>
      </c>
      <c r="D119" s="24" t="inlineStr">
        <is>
          <t>119816</t>
        </is>
      </c>
      <c r="E119" s="24" t="inlineStr">
        <is>
          <t>DOTA2</t>
        </is>
      </c>
      <c r="F119" s="24" t="inlineStr">
        <is>
          <t>NS Team</t>
        </is>
      </c>
      <c r="G119" s="24" t="inlineStr">
        <is>
          <t>YBN Team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-178</v>
      </c>
      <c r="M119" s="27" t="n">
        <v>1.561798</v>
      </c>
      <c r="N119" s="28" t="n">
        <v>0.640288</v>
      </c>
      <c r="O119" s="28" t="n">
        <v>0.576178</v>
      </c>
      <c r="P119" s="28" t="n"/>
      <c r="Q119" s="28" t="n">
        <v>-0.06411</v>
      </c>
      <c r="R119" s="26" t="n">
        <v>0</v>
      </c>
      <c r="S119" s="29" t="n">
        <v>1</v>
      </c>
      <c r="T119" s="24" t="inlineStr">
        <is>
          <t>dota2-tiered-elo-v6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1</v>
      </c>
      <c r="X119" s="26" t="n">
        <v>0</v>
      </c>
      <c r="Y119" s="25" t="n"/>
      <c r="Z119" s="26" t="n">
        <v>-178</v>
      </c>
      <c r="AA119" s="28" t="n">
        <v>0.64</v>
      </c>
      <c r="AB119" s="28" t="n">
        <v>-0.000288</v>
      </c>
      <c r="AC119" s="30" t="n">
        <v>-1</v>
      </c>
      <c r="AD119" s="24" t="inlineStr">
        <is>
          <t>2026-09-21T22:00:54.457143Z</t>
        </is>
      </c>
      <c r="AE119" s="31" t="inlineStr">
        <is>
          <t>Neutral Elo baseline; executable ask 0.6400 (market_slug=aec-dota2-ybn-ns-2026-09-21).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NS Team</t>
        </is>
      </c>
      <c r="AQ119" s="24" t="inlineStr">
        <is>
          <t>NS Team</t>
        </is>
      </c>
      <c r="AR119" s="24" t="inlineStr">
        <is>
          <t>NS Team</t>
        </is>
      </c>
      <c r="AS119" s="24" t="inlineStr">
        <is>
          <t>YBN Team</t>
        </is>
      </c>
      <c r="AT119" s="24" t="inlineStr">
        <is>
          <t>YBN Team</t>
        </is>
      </c>
      <c r="AU119" s="24" t="inlineStr">
        <is>
          <t>YBN Team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285b481ad13a9b9591f061208b7147317414441e6430aa1d6a09a5d56781245c</t>
        </is>
      </c>
      <c r="BB119" s="24" t="inlineStr">
        <is>
          <t>neutral_elo</t>
        </is>
      </c>
      <c r="BC119" s="24" t="inlineStr">
        <is>
          <t>dota2-tiered-elo-v6</t>
        </is>
      </c>
      <c r="BD119" s="24" t="inlineStr">
        <is>
          <t>285b481ad13a9b9591f061208b7147317414441e6430aa1d6a09a5d56781245c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dota2-tiered-elo-v6</t>
        </is>
      </c>
      <c r="BH119" s="24" t="inlineStr">
        <is>
          <t>2026-09-21T10:08:54.393218Z</t>
        </is>
      </c>
      <c r="BI119" s="24" t="inlineStr">
        <is>
          <t>["same_event","same_team_same_day","same_league_same_day"]</t>
        </is>
      </c>
      <c r="BJ119" s="25" t="n"/>
      <c r="BK119" s="26" t="n">
        <v>-178</v>
      </c>
      <c r="BL119" s="27" t="n">
        <v>1.561798</v>
      </c>
      <c r="BM119" s="28" t="n">
        <v>0.640288</v>
      </c>
      <c r="BN119" s="28" t="n"/>
      <c r="BO119" s="28" t="n"/>
      <c r="BP119" s="25" t="n"/>
      <c r="BQ119" s="27" t="n">
        <v>1.561798</v>
      </c>
      <c r="BR119" s="28" t="n">
        <v>0.64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0.640288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"285b481ad13a9b9591f061208b7147317414441e6430aa1d6a09a5d56781245c", "away_team": "NS Team", "event_id": "119816", "event_start_utc": "2026-09-21T15:30:00Z", "features": {"away_elo": 1412.932349, "away_history_count": 4, "home_elo": 1631.135528, "home_history_count": 15}, "historical_source_observation_times_verified": false, "home_team": "YBN Team", "inference_inputs": {"book_state": {"games_played": {"bo3:4:20842": 15, "bo3:4:22043": 4}, "inactivity_half_life_days": null, "inactivity_max_pull": null, "k": 48.0, "last_match_utc": {"bo3:4:20842": "2025-10-05T17:00:00Z", "bo3:4:22043": "2025-11-24T13:00:00Z"}, "minimum_reliable_games": null, "platt_intercept": 0.09662715403093078, "platt_slope": 0.8383582311538623, "ratings": {"bo3:4:20842": 1631.135528, "bo3:4:22043": 1412.932349},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["bo3:4:20842", "bo3:4:22043"]}, "market_type": "moneyline", "model_version": "dota2-tiered-elo-v6", "observed_at_utc": "2026-09-21T10:08:30.193093+00:00", "probabilities": {"away": 0.423822, "home": 0.576178}, "replay_scope": "Exact serving book state, calibration, temperature, inactivity reference and thin-history adjustments; training provenance not certified.", "schema": "esports-elo-replay-v1", "snapshot_hash": "7d77c22177c9a855232d5f2c624157ade884f3853ce89e9863cf268ced22cade", "sport": "DOTA2"}</t>
        </is>
      </c>
    </row>
    <row r="120" ht="36" customHeight="1">
      <c r="A120" s="24" t="inlineStr">
        <is>
          <t>0ce8e8c5abda4e6a</t>
        </is>
      </c>
      <c r="B120" s="24" t="inlineStr">
        <is>
          <t>2026-09-21T16:17:34.242781Z</t>
        </is>
      </c>
      <c r="C120" s="24" t="inlineStr">
        <is>
          <t>2026-09-21T18:00:00Z</t>
        </is>
      </c>
      <c r="D120" s="24" t="inlineStr">
        <is>
          <t>119817</t>
        </is>
      </c>
      <c r="E120" s="24" t="inlineStr">
        <is>
          <t>DOTA2</t>
        </is>
      </c>
      <c r="F120" s="24" t="inlineStr">
        <is>
          <t>Rostik Team</t>
        </is>
      </c>
      <c r="G120" s="24" t="inlineStr">
        <is>
          <t>Travoman Team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-163</v>
      </c>
      <c r="M120" s="27" t="n">
        <v>1.613497</v>
      </c>
      <c r="N120" s="28" t="n">
        <v>0.619772</v>
      </c>
      <c r="O120" s="28" t="n">
        <v>0.511687</v>
      </c>
      <c r="P120" s="28" t="n"/>
      <c r="Q120" s="28" t="n">
        <v>-0.108085</v>
      </c>
      <c r="R120" s="26" t="n">
        <v>0</v>
      </c>
      <c r="S120" s="29" t="n">
        <v>1</v>
      </c>
      <c r="T120" s="24" t="inlineStr">
        <is>
          <t>dota2-tiered-elo-v6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/>
      <c r="AA120" s="28" t="n"/>
      <c r="AB120" s="28" t="n"/>
      <c r="AC120" s="30" t="n">
        <v>-1</v>
      </c>
      <c r="AD120" s="24" t="inlineStr">
        <is>
          <t>2026-09-22T04:38:13.359699Z</t>
        </is>
      </c>
      <c r="AE120" s="31" t="inlineStr">
        <is>
          <t>Neutral Elo baseline; executable ask 0.6200 (market_slug=aec-dota2-tt-rt-2026-09-21).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Rostik Team</t>
        </is>
      </c>
      <c r="AQ120" s="24" t="inlineStr">
        <is>
          <t>Rostik Team</t>
        </is>
      </c>
      <c r="AR120" s="24" t="inlineStr">
        <is>
          <t>Rostik Team</t>
        </is>
      </c>
      <c r="AS120" s="24" t="inlineStr">
        <is>
          <t>Travoman Team</t>
        </is>
      </c>
      <c r="AT120" s="24" t="inlineStr">
        <is>
          <t>Travoman Team</t>
        </is>
      </c>
      <c r="AU120" s="24" t="inlineStr">
        <is>
          <t>Travoman Team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c47d1aa42b0f7b097881b08019de633e6097d6b39bc85c7be2e487d89b6911bf</t>
        </is>
      </c>
      <c r="BB120" s="24" t="inlineStr">
        <is>
          <t>neutral_elo</t>
        </is>
      </c>
      <c r="BC120" s="24" t="inlineStr">
        <is>
          <t>dota2-tiered-elo-v6</t>
        </is>
      </c>
      <c r="BD120" s="24" t="inlineStr">
        <is>
          <t>c47d1aa42b0f7b097881b08019de633e6097d6b39bc85c7be2e487d89b6911bf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dota2-tiered-elo-v6</t>
        </is>
      </c>
      <c r="BH120" s="24" t="inlineStr">
        <is>
          <t>2026-09-21T16:17:17.633312Z</t>
        </is>
      </c>
      <c r="BI120" s="24" t="inlineStr">
        <is>
          <t>["same_event","same_team_same_day","same_league_same_day"]</t>
        </is>
      </c>
      <c r="BJ120" s="25" t="n"/>
      <c r="BK120" s="26" t="n">
        <v>-163</v>
      </c>
      <c r="BL120" s="27" t="n">
        <v>1.613497</v>
      </c>
      <c r="BM120" s="28" t="n">
        <v>0.619772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0.619772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"c47d1aa42b0f7b097881b08019de633e6097d6b39bc85c7be2e487d89b6911bf", "away_team": "Rostik Team", "event_id": "119817", "event_start_utc": "2026-09-21T18:00:00Z", "features": {"away_elo": 1576.217993, "away_history_count": 15, "home_elo": 1555.823655, "home_history_count": 21}, "historical_source_observation_times_verified": false, "home_team": "Travoman Team", "inference_inputs": {"book_state": {"games_played": {"bo3:4:20835": 15, "bo3:4:20839": 21}, "inactivity_half_life_days": null, "inactivity_max_pull": null, "k": 48.0, "last_match_utc": {"bo3:4:20835": "2025-11-30T14:10:00Z", "bo3:4:20839": "2025-11-30T08:00:00Z"}, "minimum_reliable_games": null, "platt_intercept": 0.09514456061871922, "platt_slope": 0.8376863483256618, "ratings": {"bo3:4:20835": 1576.217993, "bo3:4:20839": 1555.823655},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"2026-09-21T16:17:17.205732+00:00", "team_ids": ["bo3:4:20839", "bo3:4:20835"]}, "market_type": "moneyline", "model_version": "dota2-tiered-elo-v6", "observed_at_utc": "2026-09-21T16:17:17.205732+00:00", "probabilities": {"away": 0.488313, "home": 0.511687}, "replay_scope": "Exact serving book state, calibration, temperature, inactivity reference and thin-history adjustments; training provenance not certified.", "schema": "esports-elo-replay-v1", "snapshot_hash": "b5bb7a7e2bd772b69f4851b984149d96bc3cc0bbd91d2d9ac9030520a62ef013", "sport": "DOTA2"}</t>
        </is>
      </c>
    </row>
    <row r="121" ht="36" customHeight="1">
      <c r="A121" s="24" t="inlineStr">
        <is>
          <t>bc3c66b191ee4e4c</t>
        </is>
      </c>
      <c r="B121" s="24" t="inlineStr">
        <is>
          <t>2026-09-22T04:51:57.173975Z</t>
        </is>
      </c>
      <c r="C121" s="24" t="inlineStr">
        <is>
          <t>2026-09-22T07:00:00Z</t>
        </is>
      </c>
      <c r="D121" s="24" t="inlineStr">
        <is>
          <t>121061</t>
        </is>
      </c>
      <c r="E121" s="24" t="inlineStr">
        <is>
          <t>DOTA2</t>
        </is>
      </c>
      <c r="F121" s="24" t="inlineStr">
        <is>
          <t>GamerLegion</t>
        </is>
      </c>
      <c r="G121" s="24" t="inlineStr">
        <is>
          <t>Team Nemesis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144</v>
      </c>
      <c r="M121" s="27" t="n">
        <v>2.44</v>
      </c>
      <c r="N121" s="28" t="n">
        <v>0.409836</v>
      </c>
      <c r="O121" s="28" t="n">
        <v>0.6082</v>
      </c>
      <c r="P121" s="28" t="n"/>
      <c r="Q121" s="28" t="n">
        <v>0.198364</v>
      </c>
      <c r="R121" s="26" t="n">
        <v>100</v>
      </c>
      <c r="S121" s="29" t="n">
        <v>2</v>
      </c>
      <c r="T121" s="24" t="inlineStr">
        <is>
          <t>dota2-tiered-elo-v6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-2</v>
      </c>
      <c r="AD121" s="24" t="inlineStr">
        <is>
          <t>2026-09-22T16:01:02.220688Z</t>
        </is>
      </c>
      <c r="AE121" s="31" t="inlineStr">
        <is>
          <t>Neutral Elo baseline; executable ask 0.4100 (market_slug=aec-dota2-nem-gl-2026-09-22).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GamerLegion</t>
        </is>
      </c>
      <c r="AQ121" s="24" t="inlineStr">
        <is>
          <t>GamerLegion</t>
        </is>
      </c>
      <c r="AR121" s="24" t="inlineStr">
        <is>
          <t>GamerLegion</t>
        </is>
      </c>
      <c r="AS121" s="24" t="inlineStr">
        <is>
          <t>Team Nemesis</t>
        </is>
      </c>
      <c r="AT121" s="24" t="inlineStr">
        <is>
          <t>Team Nemesis</t>
        </is>
      </c>
      <c r="AU121" s="24" t="inlineStr">
        <is>
          <t>Team Nemesis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c09e17fd29fe57a109e8a8aee2a37844e927020f60a456112e2ca335f9b481fa</t>
        </is>
      </c>
      <c r="BB121" s="24" t="inlineStr">
        <is>
          <t>neutral_elo</t>
        </is>
      </c>
      <c r="BC121" s="24" t="inlineStr">
        <is>
          <t>dota2-tiered-elo-v6</t>
        </is>
      </c>
      <c r="BD121" s="24" t="inlineStr">
        <is>
          <t>c09e17fd29fe57a109e8a8aee2a37844e927020f60a456112e2ca335f9b481fa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dota2-tiered-elo-v6</t>
        </is>
      </c>
      <c r="BH121" s="24" t="inlineStr">
        <is>
          <t>2026-09-22T04:50:59.506283Z</t>
        </is>
      </c>
      <c r="BI121" s="24" t="inlineStr">
        <is>
          <t>["same_event","same_team_same_day","same_league_same_day"]</t>
        </is>
      </c>
      <c r="BJ121" s="25" t="n"/>
      <c r="BK121" s="26" t="n">
        <v>144</v>
      </c>
      <c r="BL121" s="27" t="n">
        <v>2.44</v>
      </c>
      <c r="BM121" s="28" t="n">
        <v>0.409836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0.409836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"c09e17fd29fe57a109e8a8aee2a37844e927020f60a456112e2ca335f9b481fa", "away_team": "GamerLegion", "event_id": "121061", "event_start_utc": "2026-09-22T07:00:00Z", "features": {"away_elo": 1799.747312, "away_history_count": 93, "home_elo": 1888.237391, "home_history_count": 125}, "historical_source_observation_times_verified": false, "home_team": "Team Nemesis", "inference_inputs": {"book_state": {"games_played": {"bo3:4:20355": 125, "bo3:4:22027": 93}, "inactivity_half_life_days": null, "inactivity_max_pull": null, "k": 48.0, "last_match_utc": {"bo3:4:20355": "2026-09-21T10:30:00Z", "bo3:4:22027": "2026-09-21T07:00:00Z"}, "minimum_reliable_games": null, "platt_intercept": 0.09434386281116292, "platt_slope": 0.8355754143743471, "ratings": {"bo3:4:20355": 1888.237391, "bo3:4:22027": 1799.747312},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["bo3:4:20355", "bo3:4:22027"]}, "market_type": "moneyline", "model_version": "dota2-tiered-elo-v6", "observed_at_utc": "2026-09-22T04:50:53.638197+00:00", "probabilities": {"away": 0.3918, "home": 0.6082}, "replay_scope": "Exact serving book state, calibration, temperature, inactivity reference and thin-history adjustments; training provenance not certified.", "schema": "esports-elo-replay-v1", "snapshot_hash": "3c6406ddda0bfd7e42170197c67139e28c66d9a8fa7bf8c1eaa56483a176f78e", "sport": "DOTA2"}</t>
        </is>
      </c>
    </row>
    <row r="122" ht="36" customHeight="1">
      <c r="A122" s="24" t="inlineStr">
        <is>
          <t>35b668dac134485e</t>
        </is>
      </c>
      <c r="B122" s="24" t="inlineStr">
        <is>
          <t>2026-09-22T04:51:57.173975Z</t>
        </is>
      </c>
      <c r="C122" s="24" t="inlineStr">
        <is>
          <t>2026-09-22T09:00:00Z</t>
        </is>
      </c>
      <c r="D122" s="24" t="inlineStr">
        <is>
          <t>121226</t>
        </is>
      </c>
      <c r="E122" s="24" t="inlineStr">
        <is>
          <t>DOTA2</t>
        </is>
      </c>
      <c r="F122" s="24" t="inlineStr">
        <is>
          <t>Team Lynx</t>
        </is>
      </c>
      <c r="G122" s="24" t="inlineStr">
        <is>
          <t>Zero Tenacity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104</v>
      </c>
      <c r="M122" s="27" t="n">
        <v>2.04</v>
      </c>
      <c r="N122" s="28" t="n">
        <v>0.490196</v>
      </c>
      <c r="O122" s="28" t="n">
        <v>0.505142</v>
      </c>
      <c r="P122" s="28" t="n"/>
      <c r="Q122" s="28" t="n">
        <v>0.014946</v>
      </c>
      <c r="R122" s="26" t="n">
        <v>27</v>
      </c>
      <c r="S122" s="29" t="n">
        <v>1</v>
      </c>
      <c r="T122" s="24" t="inlineStr">
        <is>
          <t>dota2-tiered-elo-v6</t>
        </is>
      </c>
      <c r="U122" s="24" t="inlineStr">
        <is>
          <t>settled</t>
        </is>
      </c>
      <c r="V122" s="24" t="inlineStr">
        <is>
          <t>loss</t>
        </is>
      </c>
      <c r="W122" s="26" t="n">
        <v>1</v>
      </c>
      <c r="X122" s="26" t="n">
        <v>0</v>
      </c>
      <c r="Y122" s="25" t="n"/>
      <c r="Z122" s="26" t="n"/>
      <c r="AA122" s="28" t="n"/>
      <c r="AB122" s="28" t="n"/>
      <c r="AC122" s="30" t="n">
        <v>-1</v>
      </c>
      <c r="AD122" s="24" t="inlineStr">
        <is>
          <t>2026-09-22T16:01:02.785732Z</t>
        </is>
      </c>
      <c r="AE122" s="31" t="inlineStr">
        <is>
          <t>Neutral Elo baseline; executable ask 0.4900 (market_slug=aec-dota2-z10-lynx-2026-09-22).</t>
        </is>
      </c>
      <c r="AF122" s="31" t="inlineStr">
        <is>
          <t>Config-promoted esports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Team Lynx</t>
        </is>
      </c>
      <c r="AQ122" s="24" t="inlineStr">
        <is>
          <t>Team Lynx</t>
        </is>
      </c>
      <c r="AR122" s="24" t="inlineStr">
        <is>
          <t>Team Lynx</t>
        </is>
      </c>
      <c r="AS122" s="24" t="inlineStr">
        <is>
          <t>Zero Tenacity</t>
        </is>
      </c>
      <c r="AT122" s="24" t="inlineStr">
        <is>
          <t>Zero Tenacity</t>
        </is>
      </c>
      <c r="AU122" s="24" t="inlineStr">
        <is>
          <t>Zero Tenacity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c09e17fd29fe57a109e8a8aee2a37844e927020f60a456112e2ca335f9b481fa</t>
        </is>
      </c>
      <c r="BB122" s="24" t="inlineStr">
        <is>
          <t>neutral_elo</t>
        </is>
      </c>
      <c r="BC122" s="24" t="inlineStr">
        <is>
          <t>dota2-tiered-elo-v6</t>
        </is>
      </c>
      <c r="BD122" s="24" t="inlineStr">
        <is>
          <t>c09e17fd29fe57a109e8a8aee2a37844e927020f60a456112e2ca335f9b481fa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dota2-tiered-elo-v6</t>
        </is>
      </c>
      <c r="BH122" s="24" t="inlineStr">
        <is>
          <t>2026-09-22T04:50:59.576052Z</t>
        </is>
      </c>
      <c r="BI122" s="24" t="inlineStr">
        <is>
          <t>["same_event","same_team_same_day","same_league_same_day"]</t>
        </is>
      </c>
      <c r="BJ122" s="25" t="n"/>
      <c r="BK122" s="26" t="n">
        <v>104</v>
      </c>
      <c r="BL122" s="27" t="n">
        <v>2.04</v>
      </c>
      <c r="BM122" s="28" t="n">
        <v>0.490196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0.490196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"c09e17fd29fe57a109e8a8aee2a37844e927020f60a456112e2ca335f9b481fa", "away_team": "Team Lynx", "event_id": "121226", "event_start_utc": "2026-09-22T09:00:00Z", "features": {"away_elo": 1626.36317, "away_history_count": 179, "home_elo": 1611.991722, "home_history_count": 345}, "historical_source_observation_times_verified": false, "home_team": "Zero Tenacity", "inference_inputs": {"book_state": {"games_played": {"bo3:4:18713": 345, "bo3:4:19913": 179}, "inactivity_half_life_days": null, "inactivity_max_pull": null, "k": 48.0, "last_match_utc": {"bo3:4:18713": "2026-09-21T12:00:00Z", "bo3:4:19913": "2026-09-21T18:00:00Z"}, "minimum_reliable_games": null, "platt_intercept": 0.09434386281116292, "platt_slope": 0.8355754143743471, "ratings": {"bo3:4:18713": 1611.991722, "bo3:4:19913": 1626.36317},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["bo3:4:18713", "bo3:4:19913"]}, "market_type": "moneyline", "model_version": "dota2-tiered-elo-v6", "observed_at_utc": "2026-09-22T04:50:53.638197+00:00", "probabilities": {"away": 0.494858, "home": 0.505142}, "replay_scope": "Exact serving book state, calibration, temperature, inactivity reference and thin-history adjustments; training provenance not certified.", "schema": "esports-elo-replay-v1", "snapshot_hash": "2a240843081dcc75791f286fd8204d27e113a09188cb8f25f45550d8ab6e733c", "sport": "DOTA2"}</t>
        </is>
      </c>
    </row>
    <row r="123" ht="36" customHeight="1">
      <c r="A123" s="24" t="inlineStr">
        <is>
          <t>13d409386ae347f2</t>
        </is>
      </c>
      <c r="B123" s="24" t="inlineStr">
        <is>
          <t>2026-09-22T10:10:23.479065Z</t>
        </is>
      </c>
      <c r="C123" s="24" t="inlineStr">
        <is>
          <t>2026-09-22T13:00:00Z</t>
        </is>
      </c>
      <c r="D123" s="24" t="inlineStr">
        <is>
          <t>119818</t>
        </is>
      </c>
      <c r="E123" s="24" t="inlineStr">
        <is>
          <t>DOTA2</t>
        </is>
      </c>
      <c r="F123" s="24" t="inlineStr">
        <is>
          <t>Daxak Team</t>
        </is>
      </c>
      <c r="G123" s="24" t="inlineStr">
        <is>
          <t>avice Team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127</v>
      </c>
      <c r="M123" s="27" t="n">
        <v>2.27</v>
      </c>
      <c r="N123" s="28" t="n">
        <v>0.440529</v>
      </c>
      <c r="O123" s="28" t="n">
        <v>0.51023</v>
      </c>
      <c r="P123" s="28" t="n"/>
      <c r="Q123" s="28" t="n">
        <v>0.069701</v>
      </c>
      <c r="R123" s="26" t="n">
        <v>55</v>
      </c>
      <c r="S123" s="29" t="n">
        <v>1.25</v>
      </c>
      <c r="T123" s="24" t="inlineStr">
        <is>
          <t>dota2-tiered-elo-v6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/>
      <c r="AA123" s="28" t="n"/>
      <c r="AB123" s="28" t="n"/>
      <c r="AC123" s="30" t="n">
        <v>-1.25</v>
      </c>
      <c r="AD123" s="24" t="inlineStr">
        <is>
          <t>2026-09-22T16:01:03.319286Z</t>
        </is>
      </c>
      <c r="AE123" s="31" t="inlineStr">
        <is>
          <t>Neutral Elo baseline; executable ask 0.4400 (market_slug=aec-dota2-avi-dxk-2026-09-22).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PAPER_CALL_MODEL_UNVALIDATED</t>
        </is>
      </c>
      <c r="AP123" s="24" t="inlineStr">
        <is>
          <t>Daxak Team</t>
        </is>
      </c>
      <c r="AQ123" s="24" t="inlineStr">
        <is>
          <t>Daxak Team</t>
        </is>
      </c>
      <c r="AR123" s="24" t="inlineStr">
        <is>
          <t>Daxak Team</t>
        </is>
      </c>
      <c r="AS123" s="24" t="inlineStr">
        <is>
          <t>avice Team</t>
        </is>
      </c>
      <c r="AT123" s="24" t="inlineStr">
        <is>
          <t>avice Team</t>
        </is>
      </c>
      <c r="AU123" s="24" t="inlineStr">
        <is>
          <t>avice Team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79c42233d7ac5e8ac077a230b9b526ae8b0162c9260dd58ed98acf7dcb151c06</t>
        </is>
      </c>
      <c r="BB123" s="24" t="inlineStr">
        <is>
          <t>neutral_elo</t>
        </is>
      </c>
      <c r="BC123" s="24" t="inlineStr">
        <is>
          <t>dota2-tiered-elo-v6</t>
        </is>
      </c>
      <c r="BD123" s="24" t="inlineStr">
        <is>
          <t>79c42233d7ac5e8ac077a230b9b526ae8b0162c9260dd58ed98acf7dcb151c06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dota2-tiered-elo-v6</t>
        </is>
      </c>
      <c r="BH123" s="24" t="inlineStr">
        <is>
          <t>2026-09-22T10:09:44.481284Z</t>
        </is>
      </c>
      <c r="BI123" s="24" t="inlineStr">
        <is>
          <t>["same_event","same_team_same_day","same_league_same_day"]</t>
        </is>
      </c>
      <c r="BJ123" s="25" t="n"/>
      <c r="BK123" s="26" t="n">
        <v>127</v>
      </c>
      <c r="BL123" s="27" t="n">
        <v>2.27</v>
      </c>
      <c r="BM123" s="28" t="n">
        <v>0.440529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0.440529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"79c42233d7ac5e8ac077a230b9b526ae8b0162c9260dd58ed98acf7dcb151c06", "away_team": "Daxak Team", "event_id": "119818", "event_start_utc": "2026-09-22T13:00:00Z",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0.09662439842567334, "platt_slope": 0.8360853180634342,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["unknown:aviceteam", "unknown:daxakteam"]}, "market_type": "moneyline", "model_version": "dota2-tiered-elo-v6", "observed_at_utc": "2026-09-22T10:09:34.796288+00:00", "probabilities": {"away": 0.48977, "home": 0.51023}, "replay_scope": "Exact serving book state, calibration, temperature, inactivity reference and thin-history adjustments; training provenance not certified.", "schema": "esports-elo-replay-v1", "snapshot_hash": "7dc11af330089d04a46aefc009aa7ffc8bae33bcd8453defac0f47d81733637a", "sport": "DOTA2"}</t>
        </is>
      </c>
    </row>
    <row r="124" ht="36" customHeight="1">
      <c r="A124" s="24" t="inlineStr">
        <is>
          <t>4644a8b70677431d</t>
        </is>
      </c>
      <c r="B124" s="24" t="inlineStr">
        <is>
          <t>2026-09-22T10:10:23.479065Z</t>
        </is>
      </c>
      <c r="C124" s="24" t="inlineStr">
        <is>
          <t>2026-09-22T15:00:00Z</t>
        </is>
      </c>
      <c r="D124" s="24" t="inlineStr">
        <is>
          <t>121227</t>
        </is>
      </c>
      <c r="E124" s="24" t="inlineStr">
        <is>
          <t>DOTA2</t>
        </is>
      </c>
      <c r="F124" s="24" t="inlineStr">
        <is>
          <t>Yellow Submarine</t>
        </is>
      </c>
      <c r="G124" s="24" t="inlineStr">
        <is>
          <t>Two Move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-113</v>
      </c>
      <c r="M124" s="27" t="n">
        <v>1.884956</v>
      </c>
      <c r="N124" s="28" t="n">
        <v>0.530516</v>
      </c>
      <c r="O124" s="28" t="n">
        <v>0.573434</v>
      </c>
      <c r="P124" s="28" t="n"/>
      <c r="Q124" s="28" t="n">
        <v>0.042918</v>
      </c>
      <c r="R124" s="26" t="n">
        <v>41</v>
      </c>
      <c r="S124" s="29" t="n">
        <v>1</v>
      </c>
      <c r="T124" s="24" t="inlineStr">
        <is>
          <t>dota2-tiered-elo-v6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0</v>
      </c>
      <c r="Y124" s="25" t="n"/>
      <c r="Z124" s="26" t="n"/>
      <c r="AA124" s="28" t="n"/>
      <c r="AB124" s="28" t="n"/>
      <c r="AC124" s="30" t="n">
        <v>0.885</v>
      </c>
      <c r="AD124" s="24" t="inlineStr">
        <is>
          <t>2026-09-23T04:32:29.342783Z</t>
        </is>
      </c>
      <c r="AE124" s="31" t="inlineStr">
        <is>
          <t>Neutral Elo baseline; executable ask 0.5300 (market_slug=aec-dota2-tm-yes-2026-09-22).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Yellow Submarine</t>
        </is>
      </c>
      <c r="AQ124" s="24" t="inlineStr">
        <is>
          <t>Yellow Submarine</t>
        </is>
      </c>
      <c r="AR124" s="24" t="inlineStr">
        <is>
          <t>Yellow Submarine</t>
        </is>
      </c>
      <c r="AS124" s="24" t="inlineStr">
        <is>
          <t>Two Move</t>
        </is>
      </c>
      <c r="AT124" s="24" t="inlineStr">
        <is>
          <t>Two Move</t>
        </is>
      </c>
      <c r="AU124" s="24" t="inlineStr">
        <is>
          <t>Two Move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79c42233d7ac5e8ac077a230b9b526ae8b0162c9260dd58ed98acf7dcb151c06</t>
        </is>
      </c>
      <c r="BB124" s="24" t="inlineStr">
        <is>
          <t>neutral_elo</t>
        </is>
      </c>
      <c r="BC124" s="24" t="inlineStr">
        <is>
          <t>dota2-tiered-elo-v6</t>
        </is>
      </c>
      <c r="BD124" s="24" t="inlineStr">
        <is>
          <t>79c42233d7ac5e8ac077a230b9b526ae8b0162c9260dd58ed98acf7dcb151c06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dota2-tiered-elo-v6</t>
        </is>
      </c>
      <c r="BH124" s="24" t="inlineStr">
        <is>
          <t>2026-09-22T10:09:55.013172Z</t>
        </is>
      </c>
      <c r="BI124" s="24" t="inlineStr">
        <is>
          <t>["same_event","same_team_same_day","same_league_same_day"]</t>
        </is>
      </c>
      <c r="BJ124" s="25" t="n"/>
      <c r="BK124" s="26" t="n">
        <v>-113</v>
      </c>
      <c r="BL124" s="27" t="n">
        <v>1.884956</v>
      </c>
      <c r="BM124" s="28" t="n">
        <v>0.530516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0.530516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"79c42233d7ac5e8ac077a230b9b526ae8b0162c9260dd58ed98acf7dcb151c06", "away_team": "Yellow Submarine", "event_id": "121227", "event_start_utc": "2026-09-22T15:00:00Z", "features": {"away_elo": 1792.51459, "away_history_count": 280, "home_elo": 1699.779467, "home_history_count": 14}, "historical_source_observation_times_verified": false, "home_team": "Two Move", "inference_inputs": {"book_state": {"games_played": {"bo3:4:16486": 280, "bo3:4:23662": 14}, "inactivity_half_life_days": null, "inactivity_max_pull": null, "k": 48.0, "last_match_utc": {"bo3:4:16486": "2026-09-21T18:00:00Z", "bo3:4:23662": "2026-09-21T12:00:00Z"}, "minimum_reliable_games": null, "platt_intercept": 0.09662439842567334, "platt_slope": 0.8360853180634342, "ratings": {"bo3:4:16486": 1792.51459, "bo3:4:23662": 1699.779467},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["bo3:4:23662", "bo3:4:16486"]}, "market_type": "moneyline", "model_version": "dota2-tiered-elo-v6", "observed_at_utc": "2026-09-22T10:09:34.796288+00:00", "probabilities": {"away": 0.573434, "home": 0.426566}, "replay_scope": "Exact serving book state, calibration, temperature, inactivity reference and thin-history adjustments; training provenance not certified.", "schema": "esports-elo-replay-v1", "snapshot_hash": "861160f68e8b7b1ec5f0f73a9a6a632ef81f0f7074ef606965ab62b2dc4bb2bc", "sport": "DOTA2"}</t>
        </is>
      </c>
    </row>
    <row r="125" ht="36" customHeight="1">
      <c r="A125" s="24" t="inlineStr">
        <is>
          <t>6a2c9032b2b748f4</t>
        </is>
      </c>
      <c r="B125" s="24" t="inlineStr">
        <is>
          <t>2026-09-23T10:11:28.398177Z</t>
        </is>
      </c>
      <c r="C125" s="24" t="inlineStr">
        <is>
          <t>2026-09-23T15:00:00Z</t>
        </is>
      </c>
      <c r="D125" s="24" t="inlineStr">
        <is>
          <t>119830</t>
        </is>
      </c>
      <c r="E125" s="24" t="inlineStr">
        <is>
          <t>DOTA2</t>
        </is>
      </c>
      <c r="F125" s="24" t="inlineStr">
        <is>
          <t>gpk Team</t>
        </is>
      </c>
      <c r="G125" s="24" t="inlineStr">
        <is>
          <t>avice Team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-133</v>
      </c>
      <c r="M125" s="27" t="n">
        <v>1.75188</v>
      </c>
      <c r="N125" s="28" t="n">
        <v>0.570815</v>
      </c>
      <c r="O125" s="28" t="n">
        <v>0.510778</v>
      </c>
      <c r="P125" s="28" t="n"/>
      <c r="Q125" s="28" t="n">
        <v>-0.060037</v>
      </c>
      <c r="R125" s="26" t="n">
        <v>0</v>
      </c>
      <c r="S125" s="29" t="n">
        <v>1</v>
      </c>
      <c r="T125" s="24" t="inlineStr">
        <is>
          <t>dota2-tiered-elo-v6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-133</v>
      </c>
      <c r="AA125" s="28" t="n">
        <v>0.57</v>
      </c>
      <c r="AB125" s="28" t="n">
        <v>-0.000815</v>
      </c>
      <c r="AC125" s="30" t="n">
        <v>0.7519</v>
      </c>
      <c r="AD125" s="24" t="inlineStr">
        <is>
          <t>2026-09-23T22:25:55.222616Z</t>
        </is>
      </c>
      <c r="AE125" s="31" t="inlineStr">
        <is>
          <t>Neutral Elo baseline; executable ask 0.5700 (market_slug=aec-dota2-avi-gpk-2026-09-23).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PAPER_CALL_MODEL_UNVALIDATED</t>
        </is>
      </c>
      <c r="AP125" s="24" t="inlineStr">
        <is>
          <t>gpk Team</t>
        </is>
      </c>
      <c r="AQ125" s="24" t="inlineStr">
        <is>
          <t>gpk Team</t>
        </is>
      </c>
      <c r="AR125" s="24" t="inlineStr">
        <is>
          <t>gpk Team</t>
        </is>
      </c>
      <c r="AS125" s="24" t="inlineStr">
        <is>
          <t>avice Team</t>
        </is>
      </c>
      <c r="AT125" s="24" t="inlineStr">
        <is>
          <t>avice Team</t>
        </is>
      </c>
      <c r="AU125" s="24" t="inlineStr">
        <is>
          <t>avice Team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7c88b128c38a813c3c7d9705b1cdee3cd223333ed1d85d46c7f84fca9e8c7723</t>
        </is>
      </c>
      <c r="BB125" s="24" t="inlineStr">
        <is>
          <t>neutral_elo</t>
        </is>
      </c>
      <c r="BC125" s="24" t="inlineStr">
        <is>
          <t>dota2-tiered-elo-v6</t>
        </is>
      </c>
      <c r="BD125" s="24" t="inlineStr">
        <is>
          <t>7c88b128c38a813c3c7d9705b1cdee3cd223333ed1d85d46c7f84fca9e8c7723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dota2-tiered-elo-v6</t>
        </is>
      </c>
      <c r="BH125" s="24" t="inlineStr">
        <is>
          <t>2026-09-23T10:11:04.878348Z</t>
        </is>
      </c>
      <c r="BI125" s="24" t="inlineStr">
        <is>
          <t>["same_event","same_team_same_day","same_league_same_day"]</t>
        </is>
      </c>
      <c r="BJ125" s="25" t="n"/>
      <c r="BK125" s="26" t="n">
        <v>-133</v>
      </c>
      <c r="BL125" s="27" t="n">
        <v>1.75188</v>
      </c>
      <c r="BM125" s="28" t="n">
        <v>0.570815</v>
      </c>
      <c r="BN125" s="28" t="n"/>
      <c r="BO125" s="28" t="n"/>
      <c r="BP125" s="25" t="n"/>
      <c r="BQ125" s="27" t="n">
        <v>1.75188</v>
      </c>
      <c r="BR125" s="28" t="n">
        <v>0.57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0.570815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"7c88b128c38a813c3c7d9705b1cdee3cd223333ed1d85d46c7f84fca9e8c7723", "away_team": "gpk Team", "event_id": "119830", "event_start_utc": "2026-09-23T15:00:00Z",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0.10181087300023718, "platt_slope": 0.8287939113369333,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"2026-09-23T10:10:42.871427+00:00", "team_ids": ["unknown:aviceteam", "unknown:gpkteam"]}, "market_type": "moneyline", "model_version": "dota2-tiered-elo-v6", "observed_at_utc": "2026-09-23T10:10:42.871427+00:00", "probabilities": {"away": 0.489222, "home": 0.510778}, "replay_scope": "Exact serving book state, calibration, temperature, inactivity reference and thin-history adjustments; training provenance not certified.", "schema": "esports-elo-replay-v1", "snapshot_hash": "d8187bd45ec14be61b4b1abb8809746c75b405702535096ff84484248fbb6d1b", "sport": "DOTA2"}</t>
        </is>
      </c>
    </row>
    <row r="126" ht="36" customHeight="1">
      <c r="A126" s="24" t="inlineStr">
        <is>
          <t>e025ee337a024649</t>
        </is>
      </c>
      <c r="B126" s="24" t="inlineStr">
        <is>
          <t>2026-09-24T10:13:11.600549Z</t>
        </is>
      </c>
      <c r="C126" s="24" t="inlineStr">
        <is>
          <t>2026-09-24T12:00:00Z</t>
        </is>
      </c>
      <c r="D126" s="24" t="inlineStr">
        <is>
          <t>124246</t>
        </is>
      </c>
      <c r="E126" s="24" t="inlineStr">
        <is>
          <t>DOTA2</t>
        </is>
      </c>
      <c r="F126" s="24" t="inlineStr">
        <is>
          <t>Team Lynx</t>
        </is>
      </c>
      <c r="G126" s="24" t="inlineStr">
        <is>
          <t>Two Move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-150</v>
      </c>
      <c r="M126" s="27" t="n">
        <v>1.666667</v>
      </c>
      <c r="N126" s="28" t="n">
        <v>0.6</v>
      </c>
      <c r="O126" s="28" t="n">
        <v>0.525774</v>
      </c>
      <c r="P126" s="28" t="n"/>
      <c r="Q126" s="28" t="n">
        <v>-0.074226</v>
      </c>
      <c r="R126" s="26" t="n">
        <v>0</v>
      </c>
      <c r="S126" s="29" t="n">
        <v>1</v>
      </c>
      <c r="T126" s="24" t="inlineStr">
        <is>
          <t>dota2-tiered-elo-v6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/>
      <c r="AA126" s="28" t="n"/>
      <c r="AB126" s="28" t="n"/>
      <c r="AC126" s="30" t="n">
        <v>-1</v>
      </c>
      <c r="AD126" s="24" t="inlineStr">
        <is>
          <t>2026-09-24T16:03:41.766372Z</t>
        </is>
      </c>
      <c r="AE126" s="31" t="inlineStr">
        <is>
          <t>Neutral Elo baseline; executable ask 0.6000 (market_slug=aec-dota2-tm-lynx-2026-09-24).</t>
        </is>
      </c>
      <c r="AF126" s="31" t="inlineStr">
        <is>
          <t>Config-promoted esports baseline; gates enforced at log time.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Team Lynx</t>
        </is>
      </c>
      <c r="AQ126" s="24" t="inlineStr">
        <is>
          <t>Team Lynx</t>
        </is>
      </c>
      <c r="AR126" s="24" t="inlineStr">
        <is>
          <t>Team Lynx</t>
        </is>
      </c>
      <c r="AS126" s="24" t="inlineStr">
        <is>
          <t>Two Move</t>
        </is>
      </c>
      <c r="AT126" s="24" t="inlineStr">
        <is>
          <t>Two Move</t>
        </is>
      </c>
      <c r="AU126" s="24" t="inlineStr">
        <is>
          <t>Two Move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ab0452bbd2cf0571de0537d905095d35e90f4bf16b3f835e6af9ef290ed7236d</t>
        </is>
      </c>
      <c r="BB126" s="24" t="inlineStr">
        <is>
          <t>neutral_elo</t>
        </is>
      </c>
      <c r="BC126" s="24" t="inlineStr">
        <is>
          <t>dota2-tiered-elo-v6</t>
        </is>
      </c>
      <c r="BD126" s="24" t="inlineStr">
        <is>
          <t>ab0452bbd2cf0571de0537d905095d35e90f4bf16b3f835e6af9ef290ed7236d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dota2-tiered-elo-v6</t>
        </is>
      </c>
      <c r="BH126" s="24" t="inlineStr">
        <is>
          <t>2026-09-24T10:12:33.185500Z</t>
        </is>
      </c>
      <c r="BI126" s="24" t="inlineStr">
        <is>
          <t>["same_event","same_team_same_day","same_league_same_day"]</t>
        </is>
      </c>
      <c r="BJ126" s="25" t="n"/>
      <c r="BK126" s="26" t="n">
        <v>-150</v>
      </c>
      <c r="BL126" s="27" t="n">
        <v>1.666667</v>
      </c>
      <c r="BM126" s="28" t="n">
        <v>0.6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0.6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"ab0452bbd2cf0571de0537d905095d35e90f4bf16b3f835e6af9ef290ed7236d", "away_team": "Team Lynx", "event_id": "124246", "event_start_utc": "2026-09-24T12:00:00Z", "features": {"away_elo": 1686.375386, "away_history_count": 181, "home_elo": 1691.660045, "home_history_count": 16}, "historical_source_observation_times_verified": false, "home_team": "Two Move", "inference_inputs": {"book_state": {"games_played": {"bo3:4:19913": 181, "bo3:4:23662": 16}, "inactivity_half_life_days": null, "inactivity_max_pull": null, "k": 48.0, "last_match_utc": {"bo3:4:19913": "2026-09-23T19:00:00Z", "bo3:4:23662": "2026-09-23T12:00:00Z"}, "minimum_reliable_games": null, "platt_intercept": 0.09902869403602561, "platt_slope": 0.8326167106195069, "ratings": {"bo3:4:19913": 1686.375386, "bo3:4:23662": 1691.660045},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"2026-09-24T10:12:26.706231+00:00", "team_ids": ["bo3:4:23662", "bo3:4:19913"]}, "market_type": "moneyline", "model_version": "dota2-tiered-elo-v6", "observed_at_utc": "2026-09-24T10:12:26.706231+00:00", "probabilities": {"away": 0.474226, "home": 0.525774}, "replay_scope": "Exact serving book state, calibration, temperature, inactivity reference and thin-history adjustments; training provenance not certified.", "schema": "esports-elo-replay-v1", "snapshot_hash": "9a9d1a2cbacf7e91b10dfb376cc23cb16c3c530b9ecbcf29fd42cec976a9faa6", "sport": "DOTA2"}</t>
        </is>
      </c>
    </row>
    <row r="127" ht="36" customHeight="1">
      <c r="A127" s="24" t="inlineStr">
        <is>
          <t>64215bff122b4986</t>
        </is>
      </c>
      <c r="B127" s="24" t="inlineStr">
        <is>
          <t>2026-09-24T16:14:43.893271Z</t>
        </is>
      </c>
      <c r="C127" s="24" t="inlineStr">
        <is>
          <t>2026-09-24T18:00:00Z</t>
        </is>
      </c>
      <c r="D127" s="24" t="inlineStr">
        <is>
          <t>120727</t>
        </is>
      </c>
      <c r="E127" s="24" t="inlineStr">
        <is>
          <t>DOTA2</t>
        </is>
      </c>
      <c r="F127" s="24" t="inlineStr">
        <is>
          <t>Stray Team</t>
        </is>
      </c>
      <c r="G127" s="24" t="inlineStr">
        <is>
          <t>Travoman Team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-150</v>
      </c>
      <c r="M127" s="27" t="n">
        <v>1.666667</v>
      </c>
      <c r="N127" s="28" t="n">
        <v>0.6</v>
      </c>
      <c r="O127" s="28" t="n">
        <v>0.548746</v>
      </c>
      <c r="P127" s="28" t="n"/>
      <c r="Q127" s="28" t="n">
        <v>-0.051254</v>
      </c>
      <c r="R127" s="26" t="n">
        <v>0</v>
      </c>
      <c r="S127" s="29" t="n">
        <v>1</v>
      </c>
      <c r="T127" s="24" t="inlineStr">
        <is>
          <t>dota2-tiered-elo-v6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1</v>
      </c>
      <c r="Y127" s="25" t="n"/>
      <c r="Z127" s="26" t="n">
        <v>-150</v>
      </c>
      <c r="AA127" s="28" t="n">
        <v>0.6</v>
      </c>
      <c r="AB127" s="28" t="n">
        <v>0</v>
      </c>
      <c r="AC127" s="30" t="n">
        <v>0.6667</v>
      </c>
      <c r="AD127" s="24" t="inlineStr">
        <is>
          <t>2026-09-24T22:01:31.319515Z</t>
        </is>
      </c>
      <c r="AE127" s="31" t="inlineStr">
        <is>
          <t>Neutral Elo baseline; executable ask 0.6000 (market_slug=aec-dota2-tt-stray-2026-09-24).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Stray Team</t>
        </is>
      </c>
      <c r="AQ127" s="24" t="inlineStr">
        <is>
          <t>Stray Team</t>
        </is>
      </c>
      <c r="AR127" s="24" t="inlineStr">
        <is>
          <t>Stray Team</t>
        </is>
      </c>
      <c r="AS127" s="24" t="inlineStr">
        <is>
          <t>Travoman Team</t>
        </is>
      </c>
      <c r="AT127" s="24" t="inlineStr">
        <is>
          <t>Travoman Team</t>
        </is>
      </c>
      <c r="AU127" s="24" t="inlineStr">
        <is>
          <t>Travoman Team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5cf7264d0ffcef8bab742124c824f7f4ae66a570fdce89e1a9f82f11ab2c5588</t>
        </is>
      </c>
      <c r="BB127" s="24" t="inlineStr">
        <is>
          <t>neutral_elo</t>
        </is>
      </c>
      <c r="BC127" s="24" t="inlineStr">
        <is>
          <t>dota2-tiered-elo-v6</t>
        </is>
      </c>
      <c r="BD127" s="24" t="inlineStr">
        <is>
          <t>5cf7264d0ffcef8bab742124c824f7f4ae66a570fdce89e1a9f82f11ab2c5588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dota2-tiered-elo-v6</t>
        </is>
      </c>
      <c r="BH127" s="24" t="inlineStr">
        <is>
          <t>2026-09-24T16:14:23.537100Z</t>
        </is>
      </c>
      <c r="BI127" s="24" t="inlineStr">
        <is>
          <t>["same_event","same_team_same_day","same_league_same_day"]</t>
        </is>
      </c>
      <c r="BJ127" s="25" t="n"/>
      <c r="BK127" s="26" t="n">
        <v>-150</v>
      </c>
      <c r="BL127" s="27" t="n">
        <v>1.666667</v>
      </c>
      <c r="BM127" s="28" t="n">
        <v>0.6</v>
      </c>
      <c r="BN127" s="28" t="n"/>
      <c r="BO127" s="28" t="n"/>
      <c r="BP127" s="25" t="n"/>
      <c r="BQ127" s="27" t="n">
        <v>1.666667</v>
      </c>
      <c r="BR127" s="28" t="n">
        <v>0.6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"5cf7264d0ffcef8bab742124c824f7f4ae66a570fdce89e1a9f82f11ab2c5588", "away_team": "Stray Team", "event_id": "120727", "event_start_utc": "2026-09-24T18:00:00Z", "features": {"away_elo": 1487.796227, "away_history_count": 19, "home_elo": 1555.793574, "home_history_count": 21}, "historical_source_observation_times_verified": false, "home_team": "Travoman Team", "inference_inputs": {"book_state": {"games_played": {"bo3:4:20839": 21, "bo3:4:20840": 19}, "inactivity_half_life_days": null, "inactivity_max_pull": null, "k": 48.0, "last_match_utc": {"bo3:4:20839": "2025-11-30T08:00:00Z", "bo3:4:20840": "2025-11-25T14:20:00Z"}, "minimum_reliable_games": null, "platt_intercept": 0.09846766276949492, "platt_slope": 0.832846919284567, "ratings": {"bo3:4:20839": 1555.793574, "bo3:4:20840": 1487.796227},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"2026-09-24T16:14:23.429815+00:00", "team_ids": ["bo3:4:20839", "bo3:4:20840"]}, "market_type": "moneyline", "model_version": "dota2-tiered-elo-v6", "observed_at_utc": "2026-09-24T16:14:23.429815+00:00", "probabilities": {"away": 0.451254, "home": 0.548746}, "replay_scope": "Exact serving book state, calibration, temperature, inactivity reference and thin-history adjustments; training provenance not certified.", "schema": "esports-elo-replay-v1", "snapshot_hash": "fd85ff22ea90f0eaf6db8faa55014ca9f66981ecfca9c911dbb3627cd2013a91", "sport": "DOTA2"}</t>
        </is>
      </c>
    </row>
    <row r="128" ht="36" customHeight="1">
      <c r="A128" s="24" t="inlineStr">
        <is>
          <t>a3bdd02e09a34ecc</t>
        </is>
      </c>
      <c r="B128" s="24" t="inlineStr">
        <is>
          <t>2026-09-25T10:13:30.283607Z</t>
        </is>
      </c>
      <c r="C128" s="24" t="inlineStr">
        <is>
          <t>2026-09-25T13:00:00Z</t>
        </is>
      </c>
      <c r="D128" s="24" t="inlineStr">
        <is>
          <t>125285</t>
        </is>
      </c>
      <c r="E128" s="24" t="inlineStr">
        <is>
          <t>DOTA2</t>
        </is>
      </c>
      <c r="F128" s="24" t="inlineStr">
        <is>
          <t>Yellow Submarine</t>
        </is>
      </c>
      <c r="G128" s="24" t="inlineStr">
        <is>
          <t>Team Synapse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-108</v>
      </c>
      <c r="M128" s="27" t="n">
        <v>1.925926</v>
      </c>
      <c r="N128" s="28" t="n">
        <v>0.519231</v>
      </c>
      <c r="O128" s="28" t="n">
        <v>0.527456</v>
      </c>
      <c r="P128" s="28" t="n"/>
      <c r="Q128" s="28" t="n">
        <v>0.008225</v>
      </c>
      <c r="R128" s="26" t="n">
        <v>24</v>
      </c>
      <c r="S128" s="29" t="n">
        <v>1</v>
      </c>
      <c r="T128" s="24" t="inlineStr">
        <is>
          <t>dota2-tiered-elo-v6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/>
      <c r="AA128" s="28" t="n"/>
      <c r="AB128" s="28" t="n"/>
      <c r="AC128" s="30" t="n">
        <v>0.9258999999999999</v>
      </c>
      <c r="AD128" s="24" t="inlineStr">
        <is>
          <t>2026-09-25T22:00:53.263811Z</t>
        </is>
      </c>
      <c r="AE128" s="31" t="inlineStr">
        <is>
          <t>Neutral Elo baseline; executable ask 0.5200 (market_slug=aec-dota2-tsea-yes-2026-09-25).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Yellow Submarine</t>
        </is>
      </c>
      <c r="AQ128" s="24" t="inlineStr">
        <is>
          <t>Yellow Submarine</t>
        </is>
      </c>
      <c r="AR128" s="24" t="inlineStr">
        <is>
          <t>Yellow Submarine</t>
        </is>
      </c>
      <c r="AS128" s="24" t="inlineStr">
        <is>
          <t>Team Synapse</t>
        </is>
      </c>
      <c r="AT128" s="24" t="inlineStr">
        <is>
          <t>Team Synapse</t>
        </is>
      </c>
      <c r="AU128" s="24" t="inlineStr">
        <is>
          <t>Team Synapse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3c04f0ec177f9a4c0b286f22b87c7e218553671e50e0b2fe31909d47a2019f8a</t>
        </is>
      </c>
      <c r="BB128" s="24" t="inlineStr">
        <is>
          <t>neutral_elo</t>
        </is>
      </c>
      <c r="BC128" s="24" t="inlineStr">
        <is>
          <t>dota2-tiered-elo-v6</t>
        </is>
      </c>
      <c r="BD128" s="24" t="inlineStr">
        <is>
          <t>3c04f0ec177f9a4c0b286f22b87c7e218553671e50e0b2fe31909d47a2019f8a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dota2-tiered-elo-v6</t>
        </is>
      </c>
      <c r="BH128" s="24" t="inlineStr">
        <is>
          <t>2026-09-25T10:13:19.860868Z</t>
        </is>
      </c>
      <c r="BI128" s="24" t="inlineStr">
        <is>
          <t>["same_event","same_team_same_day","same_league_same_day"]</t>
        </is>
      </c>
      <c r="BJ128" s="25" t="n"/>
      <c r="BK128" s="26" t="n">
        <v>-108</v>
      </c>
      <c r="BL128" s="27" t="n">
        <v>1.925926</v>
      </c>
      <c r="BM128" s="28" t="n">
        <v>0.519231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0.519231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"3c04f0ec177f9a4c0b286f22b87c7e218553671e50e0b2fe31909d47a2019f8a", "away_team": "Yellow Submarine", "event_id": "125285", "event_start_utc": "2026-09-25T13:00:00Z", "features": {"away_elo": 1806.75852, "away_history_count": 283, "home_elo": 1816.190895, "home_history_count": 21}, "historical_source_observation_times_verified": false, "home_team": "Team Synapse", "inference_inputs": {"book_state": {"games_played": {"bo3:4:16486": 283, "bo3:4:25201": 21}, "inactivity_half_life_days": null, "inactivity_max_pull": null, "k": 48.0, "last_match_utc": {"bo3:4:16486": "2026-09-24T15:00:00Z", "bo3:4:25201": "2026-09-23T15:00:00Z"}, "minimum_reliable_games": null, "platt_intercept": 0.09857743268315498, "platt_slope": 0.8325769809770426, "ratings": {"bo3:4:16486": 1806.75852, "bo3:4:25201": 1816.190895},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"2026-09-25T10:13:05.443744+00:00", "team_ids": ["bo3:4:25201", "bo3:4:16486"]}, "market_type": "moneyline", "model_version": "dota2-tiered-elo-v6", "observed_at_utc": "2026-09-25T10:13:05.443744+00:00", "probabilities": {"away": 0.472544, "home": 0.527456}, "replay_scope": "Exact serving book state, calibration, temperature, inactivity reference and thin-history adjustments; training provenance not certified.", "schema": "esports-elo-replay-v1", "snapshot_hash": "5a17d34367d065c7b9fa57fcedb1ad60416bafca651ac759b7cee79873c122e6", "sport": "DOTA2"}</t>
        </is>
      </c>
    </row>
    <row r="129" ht="36" customHeight="1">
      <c r="A129" s="24" t="inlineStr">
        <is>
          <t>9a5e917ea0424f59</t>
        </is>
      </c>
      <c r="B129" s="24" t="inlineStr">
        <is>
          <t>2026-09-25T16:12:21.607564Z</t>
        </is>
      </c>
      <c r="C129" s="24" t="inlineStr">
        <is>
          <t>2026-09-25T18:00:00Z</t>
        </is>
      </c>
      <c r="D129" s="24" t="inlineStr">
        <is>
          <t>122313</t>
        </is>
      </c>
      <c r="E129" s="24" t="inlineStr">
        <is>
          <t>DOTA2</t>
        </is>
      </c>
      <c r="F129" s="24" t="inlineStr">
        <is>
          <t>Travoman Team</t>
        </is>
      </c>
      <c r="G129" s="24" t="inlineStr">
        <is>
          <t>YBN Team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186</v>
      </c>
      <c r="M129" s="27" t="n">
        <v>2.86</v>
      </c>
      <c r="N129" s="28" t="n">
        <v>0.34965</v>
      </c>
      <c r="O129" s="28" t="n">
        <v>0.551061</v>
      </c>
      <c r="P129" s="28" t="n"/>
      <c r="Q129" s="28" t="n">
        <v>0.201411</v>
      </c>
      <c r="R129" s="26" t="n">
        <v>100</v>
      </c>
      <c r="S129" s="29" t="n">
        <v>2</v>
      </c>
      <c r="T129" s="24" t="inlineStr">
        <is>
          <t>dota2-tiered-elo-v6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/>
      <c r="AA129" s="28" t="n"/>
      <c r="AB129" s="28" t="n"/>
      <c r="AC129" s="30" t="n">
        <v>3.72</v>
      </c>
      <c r="AD129" s="24" t="inlineStr">
        <is>
          <t>2026-09-25T22:00:53.777082Z</t>
        </is>
      </c>
      <c r="AE129" s="31" t="inlineStr">
        <is>
          <t>Neutral Elo baseline; executable ask 0.3500 (market_slug=aec-dota2-ybn-tt-2026-09-25).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4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Travoman Team</t>
        </is>
      </c>
      <c r="AQ129" s="24" t="inlineStr">
        <is>
          <t>Travoman Team</t>
        </is>
      </c>
      <c r="AR129" s="24" t="inlineStr">
        <is>
          <t>Travoman Team</t>
        </is>
      </c>
      <c r="AS129" s="24" t="inlineStr">
        <is>
          <t>YBN Team</t>
        </is>
      </c>
      <c r="AT129" s="24" t="inlineStr">
        <is>
          <t>YBN Team</t>
        </is>
      </c>
      <c r="AU129" s="24" t="inlineStr">
        <is>
          <t>YBN Team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f99b90a90a2dde03f829d5c925c578c929e58306af0d82ee9fbc42dff6b990ad</t>
        </is>
      </c>
      <c r="BB129" s="24" t="inlineStr">
        <is>
          <t>neutral_elo</t>
        </is>
      </c>
      <c r="BC129" s="24" t="inlineStr">
        <is>
          <t>dota2-tiered-elo-v6</t>
        </is>
      </c>
      <c r="BD129" s="24" t="inlineStr">
        <is>
          <t>f99b90a90a2dde03f829d5c925c578c929e58306af0d82ee9fbc42dff6b990ad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dota2-tiered-elo-v6</t>
        </is>
      </c>
      <c r="BH129" s="24" t="inlineStr">
        <is>
          <t>2026-09-25T16:12:21.590970Z</t>
        </is>
      </c>
      <c r="BI129" s="24" t="inlineStr">
        <is>
          <t>["same_event","same_team_same_day","same_league_same_day"]</t>
        </is>
      </c>
      <c r="BJ129" s="25" t="n"/>
      <c r="BK129" s="26" t="n">
        <v>186</v>
      </c>
      <c r="BL129" s="27" t="n">
        <v>2.86</v>
      </c>
      <c r="BM129" s="28" t="n">
        <v>0.34965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0.34965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"f99b90a90a2dde03f829d5c925c578c929e58306af0d82ee9fbc42dff6b990ad", "away_team": "Travoman Team", "event_id": "122313", "event_start_utc": "2026-09-25T18:00:00Z", "features": {"away_elo": 1555.786033, "away_history_count": 21, "home_elo": 1631.082716, "home_history_count": 15}, "historical_source_observation_times_verified": false, "home_team": "YBN Team", "inference_inputs": {"book_state": {"games_played": {"bo3:4:20839": 21, "bo3:4:20842": 15}, "inactivity_half_life_days": null, "inactivity_max_pull": null, "k": 48.0, "last_match_utc": {"bo3:4:20839": "2025-11-30T08:00:00Z", "bo3:4:20842": "2025-10-05T17:00:00Z"}, "minimum_reliable_games": null, "platt_intercept": 0.09796976366084133, "platt_slope": 0.8299092330973148, "ratings": {"bo3:4:20839": 1555.786033, "bo3:4:20842": 1631.082716},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"2026-09-25T16:12:21.521157+00:00", "team_ids": ["bo3:4:20842", "bo3:4:20839"]}, "market_type": "moneyline", "model_version": "dota2-tiered-elo-v6", "observed_at_utc": "2026-09-25T16:12:21.521157+00:00", "probabilities": {"away": 0.448939, "home": 0.551061}, "replay_scope": "Exact serving book state, calibration, temperature, inactivity reference and thin-history adjustments; training provenance not certified.", "schema": "esports-elo-replay-v1", "snapshot_hash": "1c92064526d07c0baedc999c995676823a09f55763494b4ef84dbfb0245a4a66", "sport": "DOTA2"}</t>
        </is>
      </c>
    </row>
    <row r="130" ht="36" customHeight="1">
      <c r="A130" s="24" t="inlineStr">
        <is>
          <t>a19fa4396ab241a8</t>
        </is>
      </c>
      <c r="B130" s="24" t="inlineStr">
        <is>
          <t>2026-09-27T05:04:23.654791Z</t>
        </is>
      </c>
      <c r="C130" s="24" t="inlineStr">
        <is>
          <t>2026-09-27T08:00:00Z</t>
        </is>
      </c>
      <c r="D130" s="24" t="inlineStr">
        <is>
          <t>128436</t>
        </is>
      </c>
      <c r="E130" s="24" t="inlineStr">
        <is>
          <t>DOTA2</t>
        </is>
      </c>
      <c r="F130" s="24" t="inlineStr">
        <is>
          <t>Natus Vincere</t>
        </is>
      </c>
      <c r="G130" s="24" t="inlineStr">
        <is>
          <t>LGD Gaming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-170</v>
      </c>
      <c r="M130" s="27" t="n">
        <v>1.588235</v>
      </c>
      <c r="N130" s="28" t="n">
        <v>0.62963</v>
      </c>
      <c r="O130" s="28" t="n">
        <v>0.592374</v>
      </c>
      <c r="P130" s="28" t="n"/>
      <c r="Q130" s="28" t="n">
        <v>-0.037256</v>
      </c>
      <c r="R130" s="26" t="n">
        <v>1</v>
      </c>
      <c r="S130" s="29" t="n">
        <v>1</v>
      </c>
      <c r="T130" s="24" t="inlineStr">
        <is>
          <t>dota2-tiered-elo-v6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1</v>
      </c>
      <c r="X130" s="26" t="n">
        <v>0</v>
      </c>
      <c r="Y130" s="25" t="n"/>
      <c r="Z130" s="26" t="n">
        <v>-163</v>
      </c>
      <c r="AA130" s="28" t="n">
        <v>0.62</v>
      </c>
      <c r="AB130" s="28" t="n">
        <v>-0.00963</v>
      </c>
      <c r="AC130" s="30" t="n">
        <v>0.5881999999999999</v>
      </c>
      <c r="AD130" s="24" t="inlineStr">
        <is>
          <t>2026-09-27T16:00:42.652577Z</t>
        </is>
      </c>
      <c r="AE130" s="31" t="inlineStr">
        <is>
          <t>Neutral Elo baseline; executable ask 0.6300 (market_slug=aec-dota2-lgd-navi-2026-09-27).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Natus Vincere</t>
        </is>
      </c>
      <c r="AQ130" s="24" t="inlineStr">
        <is>
          <t>Natus Vincere</t>
        </is>
      </c>
      <c r="AR130" s="24" t="inlineStr">
        <is>
          <t>Natus Vincere</t>
        </is>
      </c>
      <c r="AS130" s="24" t="inlineStr">
        <is>
          <t>LGD Gaming</t>
        </is>
      </c>
      <c r="AT130" s="24" t="inlineStr">
        <is>
          <t>LGD Gaming</t>
        </is>
      </c>
      <c r="AU130" s="24" t="inlineStr">
        <is>
          <t>LGD Gaming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090d803278e9431d4239fd624e5e15a153668a7c26b8ced639f6e5f6c4c46c0c</t>
        </is>
      </c>
      <c r="BB130" s="24" t="inlineStr">
        <is>
          <t>neutral_elo</t>
        </is>
      </c>
      <c r="BC130" s="24" t="inlineStr">
        <is>
          <t>dota2-tiered-elo-v6</t>
        </is>
      </c>
      <c r="BD130" s="24" t="inlineStr">
        <is>
          <t>090d803278e9431d4239fd624e5e15a153668a7c26b8ced639f6e5f6c4c46c0c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dota2-tiered-elo-v6</t>
        </is>
      </c>
      <c r="BH130" s="24" t="inlineStr">
        <is>
          <t>2026-09-27T05:03:51.376801Z</t>
        </is>
      </c>
      <c r="BI130" s="24" t="inlineStr">
        <is>
          <t>["same_event","same_team_same_day","same_league_same_day"]</t>
        </is>
      </c>
      <c r="BJ130" s="25" t="n"/>
      <c r="BK130" s="26" t="n">
        <v>-170</v>
      </c>
      <c r="BL130" s="27" t="n">
        <v>1.588235</v>
      </c>
      <c r="BM130" s="28" t="n">
        <v>0.62963</v>
      </c>
      <c r="BN130" s="28" t="n"/>
      <c r="BO130" s="28" t="n"/>
      <c r="BP130" s="25" t="n"/>
      <c r="BQ130" s="27" t="n">
        <v>1.613497</v>
      </c>
      <c r="BR130" s="28" t="n">
        <v>0.62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0.62963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"090d803278e9431d4239fd624e5e15a153668a7c26b8ced639f6e5f6c4c46c0c", "away_team": "Natus Vincere", "event_id": "128436", "event_start_utc": "2026-09-27T08:00:00Z", "features": {"away_elo": 2078.81291, "away_history_count": 246, "home_elo": 1965.499326, "home_history_count": 97}, "historical_source_observation_times_verified": false, "home_team": "LGD Gaming", "inference_inputs": {"book_state": {"games_played": {"bo3:4:16676": 246, "bo3:4:16711": 97}, "inactivity_half_life_days": null, "inactivity_max_pull": null, "k": 48.0, "last_match_utc": {"bo3:4:16676": "2026-09-26T14:50:00Z", "bo3:4:16711": "2026-09-26T12:10:00Z"}, "minimum_reliable_games": null, "platt_intercept": 0.09901132313441624, "platt_slope": 0.8290404158109227, "ratings": {"bo3:4:16676": 2078.81291, "bo3:4:16711": 1965.499326},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"2026-09-27T05:03:51.110509+00:00", "team_ids": ["bo3:4:16711", "bo3:4:16676"]}, "market_type": "moneyline", "model_version": "dota2-tiered-elo-v6", "observed_at_utc": "2026-09-27T05:03:51.110509+00:00", "probabilities": {"away": 0.592374, "home": 0.407626}, "replay_scope": "Exact serving book state, calibration, temperature, inactivity reference and thin-history adjustments; training provenance not certified.", "schema": "esports-elo-replay-v1", "snapshot_hash": "c2c5992a564291746b75a6a62cc4bfebe3c15e4d7a8ea2c4ad2120f0a12b9136", "sport": "DOTA2"}</t>
        </is>
      </c>
    </row>
    <row r="131" ht="36" customHeight="1">
      <c r="A131" s="24" t="inlineStr">
        <is>
          <t>25fb0fbd1f744826</t>
        </is>
      </c>
      <c r="B131" s="24" t="inlineStr">
        <is>
          <t>2026-09-27T10:31:52.408013Z</t>
        </is>
      </c>
      <c r="C131" s="24" t="inlineStr">
        <is>
          <t>2026-09-27T12:00:00Z</t>
        </is>
      </c>
      <c r="D131" s="24" t="inlineStr">
        <is>
          <t>129114</t>
        </is>
      </c>
      <c r="E131" s="24" t="inlineStr">
        <is>
          <t>DOTA2</t>
        </is>
      </c>
      <c r="F131" s="24" t="inlineStr">
        <is>
          <t>avice Team</t>
        </is>
      </c>
      <c r="G131" s="24" t="inlineStr">
        <is>
          <t>Cake Team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-104</v>
      </c>
      <c r="M131" s="27" t="n">
        <v>1.961538</v>
      </c>
      <c r="N131" s="28" t="n">
        <v>0.509804</v>
      </c>
      <c r="O131" s="28" t="n">
        <v>0.510314</v>
      </c>
      <c r="P131" s="28" t="n"/>
      <c r="Q131" s="28" t="n">
        <v>0.00051</v>
      </c>
      <c r="R131" s="26" t="n">
        <v>20</v>
      </c>
      <c r="S131" s="29" t="n">
        <v>1</v>
      </c>
      <c r="T131" s="24" t="inlineStr">
        <is>
          <t>dota2-tiered-elo-v6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/>
      <c r="AA131" s="28" t="n"/>
      <c r="AB131" s="28" t="n"/>
      <c r="AC131" s="30" t="n">
        <v>0.9615</v>
      </c>
      <c r="AD131" s="24" t="inlineStr">
        <is>
          <t>2026-09-27T16:00:42.992106Z</t>
        </is>
      </c>
      <c r="AE131" s="31" t="inlineStr">
        <is>
          <t>Neutral Elo baseline; executable ask 0.5100 (market_slug=aec-dota2-cake-avi-2026-09-27).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PAPER_CALL_MODEL_UNVALIDATED</t>
        </is>
      </c>
      <c r="AP131" s="24" t="inlineStr">
        <is>
          <t>avice Team</t>
        </is>
      </c>
      <c r="AQ131" s="24" t="inlineStr">
        <is>
          <t>avice Team</t>
        </is>
      </c>
      <c r="AR131" s="24" t="inlineStr">
        <is>
          <t>avice Team</t>
        </is>
      </c>
      <c r="AS131" s="24" t="inlineStr">
        <is>
          <t>Cake Team</t>
        </is>
      </c>
      <c r="AT131" s="24" t="inlineStr">
        <is>
          <t>Cake Team</t>
        </is>
      </c>
      <c r="AU131" s="24" t="inlineStr">
        <is>
          <t>Cake Team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83ec443e6025807886c03f9da9e0403aa920f17c6463b063330254056d7a45b4</t>
        </is>
      </c>
      <c r="BB131" s="24" t="inlineStr">
        <is>
          <t>neutral_elo</t>
        </is>
      </c>
      <c r="BC131" s="24" t="inlineStr">
        <is>
          <t>dota2-tiered-elo-v6</t>
        </is>
      </c>
      <c r="BD131" s="24" t="inlineStr">
        <is>
          <t>83ec443e6025807886c03f9da9e0403aa920f17c6463b063330254056d7a45b4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dota2-tiered-elo-v6</t>
        </is>
      </c>
      <c r="BH131" s="24" t="inlineStr">
        <is>
          <t>2026-09-27T10:31:30.989757Z</t>
        </is>
      </c>
      <c r="BI131" s="24" t="inlineStr">
        <is>
          <t>["same_event","same_team_same_day","same_league_same_day"]</t>
        </is>
      </c>
      <c r="BJ131" s="25" t="n"/>
      <c r="BK131" s="26" t="n">
        <v>-104</v>
      </c>
      <c r="BL131" s="27" t="n">
        <v>1.961538</v>
      </c>
      <c r="BM131" s="28" t="n">
        <v>0.509804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0.509804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"83ec443e6025807886c03f9da9e0403aa920f17c6463b063330254056d7a45b4", "away_team": "avice Team", "event_id": "129114", "event_start_utc": "2026-09-27T12:00:00Z", "features": {"away_elo": 1500.0, "away_history_count": 0, "home_elo": 1500.0, "home_history_count": 0}, "historical_source_observation_times_verified": false, "home_team": "Cake Team", "inference_inputs": {"book_state": {"games_played": {}, "inactivity_half_life_days": null, "inactivity_max_pull": null, "k": 48.0, "last_match_utc": {}, "minimum_reliable_games": null, "platt_intercept": 0.09742005459066362, "platt_slope": 0.8275859819996193,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["unknown:caketeam", "unknown:aviceteam"]}, "market_type": "moneyline", "model_version": "dota2-tiered-elo-v6", "observed_at_utc": "2026-09-27T10:31:30.918990+00:00", "probabilities": {"away": 0.489686, "home": 0.510314}, "replay_scope": "Exact serving book state, calibration, temperature, inactivity reference and thin-history adjustments; training provenance not certified.", "schema": "esports-elo-replay-v1", "snapshot_hash": "e2e8966f590c240b3a690ea9cb6e2a233e3a78bf94c5d84c4a425c4463ee23d0", "sport": "DOTA2"}</t>
        </is>
      </c>
    </row>
    <row r="132" ht="36" customHeight="1">
      <c r="A132" s="24" t="inlineStr">
        <is>
          <t>173ea79e432040ce</t>
        </is>
      </c>
      <c r="B132" s="24" t="inlineStr">
        <is>
          <t>2026-09-27T10:31:52.408013Z</t>
        </is>
      </c>
      <c r="C132" s="24" t="inlineStr">
        <is>
          <t>2026-09-27T12:00:00Z</t>
        </is>
      </c>
      <c r="D132" s="24" t="inlineStr">
        <is>
          <t>128674</t>
        </is>
      </c>
      <c r="E132" s="24" t="inlineStr">
        <is>
          <t>DOTA2</t>
        </is>
      </c>
      <c r="F132" s="24" t="inlineStr">
        <is>
          <t>Stray Team</t>
        </is>
      </c>
      <c r="G132" s="24" t="inlineStr">
        <is>
          <t>YBN Team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163</v>
      </c>
      <c r="M132" s="27" t="n">
        <v>2.63</v>
      </c>
      <c r="N132" s="28" t="n">
        <v>0.380228</v>
      </c>
      <c r="O132" s="28" t="n">
        <v>0.578214</v>
      </c>
      <c r="P132" s="28" t="n"/>
      <c r="Q132" s="28" t="n">
        <v>0.197986</v>
      </c>
      <c r="R132" s="26" t="n">
        <v>100</v>
      </c>
      <c r="S132" s="29" t="n">
        <v>2</v>
      </c>
      <c r="T132" s="24" t="inlineStr">
        <is>
          <t>dota2-tiered-elo-v6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/>
      <c r="AA132" s="28" t="n"/>
      <c r="AB132" s="28" t="n"/>
      <c r="AC132" s="30" t="n">
        <v>3.26</v>
      </c>
      <c r="AD132" s="24" t="inlineStr">
        <is>
          <t>2026-09-27T22:01:59.874070Z</t>
        </is>
      </c>
      <c r="AE132" s="31" t="inlineStr">
        <is>
          <t>Neutral Elo baseline; executable ask 0.3800 (market_slug=aec-dota2-ybn-stray-2026-09-26).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4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Stray Team</t>
        </is>
      </c>
      <c r="AQ132" s="24" t="inlineStr">
        <is>
          <t>Stray Team</t>
        </is>
      </c>
      <c r="AR132" s="24" t="inlineStr">
        <is>
          <t>Stray Team</t>
        </is>
      </c>
      <c r="AS132" s="24" t="inlineStr">
        <is>
          <t>YBN Team</t>
        </is>
      </c>
      <c r="AT132" s="24" t="inlineStr">
        <is>
          <t>YBN Team</t>
        </is>
      </c>
      <c r="AU132" s="24" t="inlineStr">
        <is>
          <t>YBN Team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83ec443e6025807886c03f9da9e0403aa920f17c6463b063330254056d7a45b4</t>
        </is>
      </c>
      <c r="BB132" s="24" t="inlineStr">
        <is>
          <t>neutral_elo</t>
        </is>
      </c>
      <c r="BC132" s="24" t="inlineStr">
        <is>
          <t>dota2-tiered-elo-v6</t>
        </is>
      </c>
      <c r="BD132" s="24" t="inlineStr">
        <is>
          <t>83ec443e6025807886c03f9da9e0403aa920f17c6463b063330254056d7a45b4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dota2-tiered-elo-v6</t>
        </is>
      </c>
      <c r="BH132" s="24" t="inlineStr">
        <is>
          <t>2026-09-27T10:31:31.038369Z</t>
        </is>
      </c>
      <c r="BI132" s="24" t="inlineStr">
        <is>
          <t>["same_event","same_team_same_day","same_league_same_day"]</t>
        </is>
      </c>
      <c r="BJ132" s="25" t="n"/>
      <c r="BK132" s="26" t="n">
        <v>163</v>
      </c>
      <c r="BL132" s="27" t="n">
        <v>2.63</v>
      </c>
      <c r="BM132" s="28" t="n">
        <v>0.380228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0.380228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"83ec443e6025807886c03f9da9e0403aa920f17c6463b063330254056d7a45b4", "away_team": "Stray Team", "event_id": "128674", "event_start_utc": "2026-09-27T12:00:00Z", "features": {"away_elo": 1487.819824, "away_history_count": 19, "home_elo": 1631.05837, "home_history_count": 15}, "historical_source_observation_times_verified": false, "home_team": "YBN Team", "inference_inputs": {"book_state": {"games_played": {"bo3:4:20840": 19, "bo3:4:20842": 15}, "inactivity_half_life_days": null, "inactivity_max_pull": null, "k": 48.0, "last_match_utc": {"bo3:4:20840": "2025-11-25T14:20:00Z", "bo3:4:20842": "2025-10-05T17:00:00Z"}, "minimum_reliable_games": null, "platt_intercept": 0.09742005459066362, "platt_slope": 0.8275859819996193, "ratings": {"bo3:4:20840": 1487.819824, "bo3:4:20842": 1631.05837},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["bo3:4:20842", "bo3:4:20840"]}, "market_type": "moneyline", "model_version": "dota2-tiered-elo-v6", "observed_at_utc": "2026-09-27T10:31:30.918990+00:00", "probabilities": {"away": 0.421786, "home": 0.578214}, "replay_scope": "Exact serving book state, calibration, temperature, inactivity reference and thin-history adjustments; training provenance not certified.", "schema": "esports-elo-replay-v1", "snapshot_hash": "a20c1f8715c9730f825bd1211797a22c919c1ea476dd9b92d834d07e99891dad", "sport": "DOTA2"}</t>
        </is>
      </c>
    </row>
    <row r="133" ht="36" customHeight="1">
      <c r="A133" s="24" t="inlineStr">
        <is>
          <t>705c138e97904c82</t>
        </is>
      </c>
      <c r="B133" s="24" t="inlineStr">
        <is>
          <t>2026-09-28T04:42:38.292579Z</t>
        </is>
      </c>
      <c r="C133" s="24" t="inlineStr">
        <is>
          <t>2026-09-28T09:00:00Z</t>
        </is>
      </c>
      <c r="D133" s="24" t="inlineStr">
        <is>
          <t>126495</t>
        </is>
      </c>
      <c r="E133" s="24" t="inlineStr">
        <is>
          <t>DOTA2</t>
        </is>
      </c>
      <c r="F133" s="24" t="inlineStr">
        <is>
          <t>InterActive Philippines</t>
        </is>
      </c>
      <c r="G133" s="24" t="inlineStr">
        <is>
          <t>ЯЧЁ123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0.533924</v>
      </c>
      <c r="P133" s="28" t="n"/>
      <c r="Q133" s="28" t="n">
        <v>-0.095706</v>
      </c>
      <c r="R133" s="26" t="n">
        <v>0</v>
      </c>
      <c r="S133" s="29" t="n">
        <v>1</v>
      </c>
      <c r="T133" s="24" t="inlineStr">
        <is>
          <t>dota2-tiered-elo-v6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1</v>
      </c>
      <c r="X133" s="26" t="n">
        <v>0</v>
      </c>
      <c r="Y133" s="25" t="n"/>
      <c r="Z133" s="26" t="n"/>
      <c r="AA133" s="28" t="n"/>
      <c r="AB133" s="28" t="n"/>
      <c r="AC133" s="30" t="n">
        <v>-1</v>
      </c>
      <c r="AD133" s="24" t="inlineStr">
        <is>
          <t>2026-09-28T22:00:52.908506Z</t>
        </is>
      </c>
      <c r="AE133" s="31" t="inlineStr">
        <is>
          <t>Neutral Elo baseline; executable ask 0.6300 (market_slug=aec-dota2-y123-iac-2026-09-28).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PAPER_CALL_MODEL_UNVALIDATED</t>
        </is>
      </c>
      <c r="AP133" s="24" t="inlineStr">
        <is>
          <t>InterActive Philippines</t>
        </is>
      </c>
      <c r="AQ133" s="24" t="inlineStr">
        <is>
          <t>InterActive Philippines</t>
        </is>
      </c>
      <c r="AR133" s="24" t="inlineStr">
        <is>
          <t>InterActive Philippines</t>
        </is>
      </c>
      <c r="AS133" s="24" t="inlineStr">
        <is>
          <t>ЯЧЁ123</t>
        </is>
      </c>
      <c r="AT133" s="24" t="inlineStr">
        <is>
          <t>ЯЧЁ123</t>
        </is>
      </c>
      <c r="AU133" s="24" t="inlineStr">
        <is>
          <t>ЯЧЁ123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4d2937503b19921375d4411f4872e6719b11a976dc8cdf19e6cd8273e81ef9bb</t>
        </is>
      </c>
      <c r="BB133" s="24" t="inlineStr">
        <is>
          <t>neutral_elo</t>
        </is>
      </c>
      <c r="BC133" s="24" t="inlineStr">
        <is>
          <t>dota2-tiered-elo-v6</t>
        </is>
      </c>
      <c r="BD133" s="24" t="inlineStr">
        <is>
          <t>4d2937503b19921375d4411f4872e6719b11a976dc8cdf19e6cd8273e81ef9bb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dota2-tiered-elo-v6</t>
        </is>
      </c>
      <c r="BH133" s="24" t="inlineStr">
        <is>
          <t>2026-09-28T04:42:10.361444Z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0.62963</t>
        </is>
      </c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"4d2937503b19921375d4411f4872e6719b11a976dc8cdf19e6cd8273e81ef9bb", "away_team": "InterActive Philippines", "event_id": "126495", "event_start_utc": "2026-09-28T09:00:00Z", "features": {"away_elo": 1446.468772, "away_history_count": 187, "home_elo": 1500.0, "home_history_count": 0}, "historical_source_observation_times_verified": false, "home_team": "\u042f\u0427\u0401123", "inference_inputs": {"book_state": {"games_played": {"bo3:4:15612": 187}, "inactivity_half_life_days": null, "inactivity_max_pull": null, "k": 48.0, "last_match_utc": {"bo3:4:15612": "2026-09-14T09:00:00Z"}, "minimum_reliable_games": null, "platt_intercept": 0.09633838853798223, "platt_slope": 0.8283651520997185, "ratings": {"bo3:4:15612": 1446.468772},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"2026-09-28T04:42:10.256594+00:00", "team_ids": ["unknown:\u044f\u0447\u0435123", "bo3:4:15612"]}, "market_type": "moneyline", "model_version": "dota2-tiered-elo-v6", "observed_at_utc": "2026-09-28T04:42:10.256594+00:00", "probabilities": {"away": 0.466076, "home": 0.533924}, "replay_scope": "Exact serving book state, calibration, temperature, inactivity reference and thin-history adjustments; training provenance not certified.", "schema": "esports-elo-replay-v1", "snapshot_hash": "aacee033bbc439ae746d66e53fb9cc45aaa9a37b02a1ffa00e81d3e90e6144f1", "sport": "DOTA2"}</t>
        </is>
      </c>
    </row>
    <row r="134" ht="36" customHeight="1">
      <c r="A134" s="24" t="inlineStr">
        <is>
          <t>ac370820ac3b4b16</t>
        </is>
      </c>
      <c r="B134" s="24" t="inlineStr">
        <is>
          <t>2026-09-29T04:40:57.839344Z</t>
        </is>
      </c>
      <c r="C134" s="24" t="inlineStr">
        <is>
          <t>2026-09-29T06:00:00Z</t>
        </is>
      </c>
      <c r="D134" s="24" t="inlineStr">
        <is>
          <t>127872</t>
        </is>
      </c>
      <c r="E134" s="24" t="inlineStr">
        <is>
          <t>DOTA2</t>
        </is>
      </c>
      <c r="F134" s="24" t="inlineStr">
        <is>
          <t>InterActive Philippines</t>
        </is>
      </c>
      <c r="G134" s="24" t="inlineStr">
        <is>
          <t>Yangon Galacticos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-178</v>
      </c>
      <c r="M134" s="27" t="n">
        <v>1.561798</v>
      </c>
      <c r="N134" s="28" t="n">
        <v>0.640288</v>
      </c>
      <c r="O134" s="28" t="n">
        <v>0.551577</v>
      </c>
      <c r="P134" s="28" t="n"/>
      <c r="Q134" s="28" t="n">
        <v>-0.088711</v>
      </c>
      <c r="R134" s="26" t="n">
        <v>0</v>
      </c>
      <c r="S134" s="29" t="n">
        <v>1</v>
      </c>
      <c r="T134" s="24" t="inlineStr">
        <is>
          <t>dota2-tiered-elo-v6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2026-09-29T10:00:33.383302Z</t>
        </is>
      </c>
      <c r="AE134" s="31" t="inlineStr">
        <is>
          <t>Neutral Elo baseline; executable ask 0.6400 (market_slug=aec-dota2-yg-iac-2026-09-29).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InterActive Philippines</t>
        </is>
      </c>
      <c r="AQ134" s="24" t="inlineStr">
        <is>
          <t>InterActive Philippines</t>
        </is>
      </c>
      <c r="AR134" s="24" t="inlineStr">
        <is>
          <t>InterActive Philippines</t>
        </is>
      </c>
      <c r="AS134" s="24" t="inlineStr">
        <is>
          <t>Yangon Galacticos</t>
        </is>
      </c>
      <c r="AT134" s="24" t="inlineStr">
        <is>
          <t>Yangon Galacticos</t>
        </is>
      </c>
      <c r="AU134" s="24" t="inlineStr">
        <is>
          <t>Yangon Galacticos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7ee1ccafa8ea770b25b5ee7d196addf2422f6f87bd71431d014cea252e68788f</t>
        </is>
      </c>
      <c r="BB134" s="24" t="inlineStr">
        <is>
          <t>neutral_elo</t>
        </is>
      </c>
      <c r="BC134" s="24" t="inlineStr">
        <is>
          <t>dota2-tiered-elo-v6</t>
        </is>
      </c>
      <c r="BD134" s="24" t="inlineStr">
        <is>
          <t>7ee1ccafa8ea770b25b5ee7d196addf2422f6f87bd71431d014cea252e68788f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dota2-tiered-elo-v6</t>
        </is>
      </c>
      <c r="BH134" s="24" t="inlineStr">
        <is>
          <t>2026-09-29T04:40:09.183200Z</t>
        </is>
      </c>
      <c r="BI134" s="24" t="inlineStr">
        <is>
          <t>["same_event","same_team_same_day","same_league_same_day"]</t>
        </is>
      </c>
      <c r="BJ134" s="25" t="n"/>
      <c r="BK134" s="26" t="n">
        <v>-178</v>
      </c>
      <c r="BL134" s="27" t="n">
        <v>1.561798</v>
      </c>
      <c r="BM134" s="28" t="n">
        <v>0.640288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0.640288</t>
        </is>
      </c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"7ee1ccafa8ea770b25b5ee7d196addf2422f6f87bd71431d014cea252e68788f", "away_team": "InterActive Philippines", "event_id": "127872", "event_start_utc": "2026-09-29T06:00:00Z", "features": {"away_elo": 1485.950454, "away_history_count": 188, "home_elo": 1517.080113, "home_history_count": 244}, "historical_source_observation_times_verified": false, "home_team": "Yangon Galacticos", "inference_inputs": {"book_state": {"games_played": {"bo3:4:15612": 188, "bo3:4:15805": 244}, "inactivity_half_life_days": null, "inactivity_max_pull": null, "k": 48.0, "last_match_utc": {"bo3:4:15612": "2026-09-28T10:50:00Z", "bo3:4:15805": "2026-09-28T06:35:00Z"}, "minimum_reliable_games": null, "platt_intercept": 0.09667974043404251, "platt_slope": 0.830269983399214, "ratings": {"bo3:4:15612": 1485.950454, "bo3:4:15805": 1517.080113},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"2026-09-29T04:40:09.090216+00:00", "team_ids": ["bo3:4:15805", "bo3:4:15612"]}, "market_type": "moneyline", "model_version": "dota2-tiered-elo-v6", "observed_at_utc": "2026-09-29T04:40:09.090216+00:00", "probabilities": {"away": 0.448423, "home": 0.551577}, "replay_scope": "Exact serving book state, calibration, temperature, inactivity reference and thin-history adjustments; training provenance not certified.", "schema": "esports-elo-replay-v1", "snapshot_hash": "623945fe3633a9b7cfad8b8f8e7bb5fc0df1a5270d4c9b17ec0bca7fab69adac", "sport": "DOTA2"}</t>
        </is>
      </c>
    </row>
    <row r="135" ht="36" customHeight="1">
      <c r="A135" s="24" t="inlineStr">
        <is>
          <t>a61e42b71df44f65</t>
        </is>
      </c>
      <c r="B135" s="24" t="inlineStr">
        <is>
          <t>2026-09-29T10:09:55.475254Z</t>
        </is>
      </c>
      <c r="C135" s="24" t="inlineStr">
        <is>
          <t>2026-09-29T13:00:00Z</t>
        </is>
      </c>
      <c r="D135" s="24" t="inlineStr">
        <is>
          <t>128113</t>
        </is>
      </c>
      <c r="E135" s="24" t="inlineStr">
        <is>
          <t>DOTA2</t>
        </is>
      </c>
      <c r="F135" s="24" t="inlineStr">
        <is>
          <t>Natus Vincere</t>
        </is>
      </c>
      <c r="G135" s="24" t="inlineStr">
        <is>
          <t>1win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-108</v>
      </c>
      <c r="M135" s="27" t="n">
        <v>1.925926</v>
      </c>
      <c r="N135" s="28" t="n">
        <v>0.519231</v>
      </c>
      <c r="O135" s="28" t="n">
        <v>0.6667149999999999</v>
      </c>
      <c r="P135" s="28" t="n"/>
      <c r="Q135" s="28" t="n">
        <v>0.147484</v>
      </c>
      <c r="R135" s="26" t="n">
        <v>94</v>
      </c>
      <c r="S135" s="29" t="n">
        <v>1.75</v>
      </c>
      <c r="T135" s="24" t="inlineStr">
        <is>
          <t>dota2-tiered-elo-v6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0</v>
      </c>
      <c r="X135" s="26" t="n">
        <v>1</v>
      </c>
      <c r="Y135" s="25" t="n"/>
      <c r="Z135" s="26" t="n">
        <v>-133</v>
      </c>
      <c r="AA135" s="28" t="n">
        <v>0.57</v>
      </c>
      <c r="AB135" s="28" t="n">
        <v>0.050769</v>
      </c>
      <c r="AC135" s="30" t="n">
        <v>-1.75</v>
      </c>
      <c r="AD135" s="24" t="inlineStr">
        <is>
          <t>2026-09-29T22:01:16.536050Z</t>
        </is>
      </c>
      <c r="AE135" s="31" t="inlineStr">
        <is>
          <t>Neutral Elo baseline; executable ask 0.5200 (market_slug=aec-dota2-1win-navi-2026-09-29).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4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Natus Vincere</t>
        </is>
      </c>
      <c r="AQ135" s="24" t="inlineStr">
        <is>
          <t>Natus Vincere</t>
        </is>
      </c>
      <c r="AR135" s="24" t="inlineStr">
        <is>
          <t>Natus Vincere</t>
        </is>
      </c>
      <c r="AS135" s="24" t="inlineStr">
        <is>
          <t>1win</t>
        </is>
      </c>
      <c r="AT135" s="24" t="inlineStr">
        <is>
          <t>1win</t>
        </is>
      </c>
      <c r="AU135" s="24" t="inlineStr">
        <is>
          <t>1win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b1a26dea478b6d88f3db41c7d9495ed066d1f6305853462a749bb76e646a6a70</t>
        </is>
      </c>
      <c r="BB135" s="24" t="inlineStr">
        <is>
          <t>neutral_elo</t>
        </is>
      </c>
      <c r="BC135" s="24" t="inlineStr">
        <is>
          <t>dota2-tiered-elo-v6</t>
        </is>
      </c>
      <c r="BD135" s="24" t="inlineStr">
        <is>
          <t>b1a26dea478b6d88f3db41c7d9495ed066d1f6305853462a749bb76e646a6a70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dota2-tiered-elo-v6</t>
        </is>
      </c>
      <c r="BH135" s="24" t="inlineStr">
        <is>
          <t>2026-09-29T10:09:22.884006Z</t>
        </is>
      </c>
      <c r="BI135" s="24" t="inlineStr">
        <is>
          <t>["same_event","same_team_same_day","same_league_same_day"]</t>
        </is>
      </c>
      <c r="BJ135" s="25" t="n"/>
      <c r="BK135" s="26" t="n">
        <v>-108</v>
      </c>
      <c r="BL135" s="27" t="n">
        <v>1.925926</v>
      </c>
      <c r="BM135" s="28" t="n">
        <v>0.519231</v>
      </c>
      <c r="BN135" s="28" t="n"/>
      <c r="BO135" s="28" t="n"/>
      <c r="BP135" s="25" t="n"/>
      <c r="BQ135" s="27" t="n">
        <v>1.75188</v>
      </c>
      <c r="BR135" s="28" t="n">
        <v>0.57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0.519231</t>
        </is>
      </c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"b1a26dea478b6d88f3db41c7d9495ed066d1f6305853462a749bb76e646a6a70", "away_team": "Natus Vincere", "event_id": "128113", "event_start_utc": "2026-09-29T13:00:00Z", "features": {"away_elo": 2078.067203, "away_history_count": 248, "home_elo": 1891.516748, "home_history_count": 313}, "historical_source_observation_times_verified": false, "home_team": "1win", "inference_inputs": {"book_state": {"games_played": {"bo3:4:15038": 313, "bo3:4:16676": 248}, "inactivity_half_life_days": null, "inactivity_max_pull": null, "k": 48.0, "last_match_utc": {"bo3:4:15038": "2026-09-25T10:40:00Z", "bo3:4:16676": "2026-09-27T12:55:00Z"}, "minimum_reliable_games": null, "platt_intercept": 0.09713158419530922, "platt_slope": 0.8342788609126892, "ratings": {"bo3:4:15038": 1891.516748, "bo3:4:16676": 2078.067203},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["bo3:4:15038", "bo3:4:16676"]}, "market_type": "moneyline", "model_version": "dota2-tiered-elo-v6", "observed_at_utc": "2026-09-29T10:09:22.817922+00:00", "probabilities": {"away": 0.666715, "home": 0.333285}, "replay_scope": "Exact serving book state, calibration, temperature, inactivity reference and thin-history adjustments; training provenance not certified.", "schema": "esports-elo-replay-v1", "snapshot_hash": "7aea391311a5d450dfc769e79439c0c5508c6c0cc3a4598fb6bb7c5db33c93df", "sport": "DOTA2"}</t>
        </is>
      </c>
    </row>
    <row r="136" ht="36" customHeight="1">
      <c r="A136" s="24" t="inlineStr">
        <is>
          <t>35363696d6294d7b</t>
        </is>
      </c>
      <c r="B136" s="24" t="inlineStr">
        <is>
          <t>2026-09-29T10:09:55.475254Z</t>
        </is>
      </c>
      <c r="C136" s="24" t="inlineStr">
        <is>
          <t>2026-09-29T13:00:00Z</t>
        </is>
      </c>
      <c r="D136" s="24" t="inlineStr">
        <is>
          <t>128114</t>
        </is>
      </c>
      <c r="E136" s="24" t="inlineStr">
        <is>
          <t>DOTA2</t>
        </is>
      </c>
      <c r="F136" s="24" t="inlineStr">
        <is>
          <t>Xtreme Gaming</t>
        </is>
      </c>
      <c r="G136" s="24" t="inlineStr">
        <is>
          <t>LGD Gaming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-203</v>
      </c>
      <c r="M136" s="27" t="n">
        <v>1.492611</v>
      </c>
      <c r="N136" s="28" t="n">
        <v>0.669967</v>
      </c>
      <c r="O136" s="28" t="n">
        <v>0.621147</v>
      </c>
      <c r="P136" s="28" t="n"/>
      <c r="Q136" s="28" t="n">
        <v>-0.04882</v>
      </c>
      <c r="R136" s="26" t="n">
        <v>0</v>
      </c>
      <c r="S136" s="29" t="n">
        <v>1</v>
      </c>
      <c r="T136" s="24" t="inlineStr">
        <is>
          <t>dota2-tiered-elo-v6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0</v>
      </c>
      <c r="X136" s="26" t="n">
        <v>1</v>
      </c>
      <c r="Y136" s="25" t="n"/>
      <c r="Z136" s="26" t="n">
        <v>-203</v>
      </c>
      <c r="AA136" s="28" t="n">
        <v>0.67</v>
      </c>
      <c r="AB136" s="28" t="n">
        <v>3.3e-05</v>
      </c>
      <c r="AC136" s="30" t="n">
        <v>0.4926</v>
      </c>
      <c r="AD136" s="24" t="inlineStr">
        <is>
          <t>2026-09-29T22:01:17.063573Z</t>
        </is>
      </c>
      <c r="AE136" s="31" t="inlineStr">
        <is>
          <t>Neutral Elo baseline; executable ask 0.6700 (market_slug=aec-dota2-lgd-xtreme-2026-09-29).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Xtreme Gaming</t>
        </is>
      </c>
      <c r="AQ136" s="24" t="inlineStr">
        <is>
          <t>Xtreme Gaming</t>
        </is>
      </c>
      <c r="AR136" s="24" t="inlineStr">
        <is>
          <t>Xtreme Gaming</t>
        </is>
      </c>
      <c r="AS136" s="24" t="inlineStr">
        <is>
          <t>LGD Gaming</t>
        </is>
      </c>
      <c r="AT136" s="24" t="inlineStr">
        <is>
          <t>LGD Gaming</t>
        </is>
      </c>
      <c r="AU136" s="24" t="inlineStr">
        <is>
          <t>LGD Gaming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b1a26dea478b6d88f3db41c7d9495ed066d1f6305853462a749bb76e646a6a70</t>
        </is>
      </c>
      <c r="BB136" s="24" t="inlineStr">
        <is>
          <t>neutral_elo</t>
        </is>
      </c>
      <c r="BC136" s="24" t="inlineStr">
        <is>
          <t>dota2-tiered-elo-v6</t>
        </is>
      </c>
      <c r="BD136" s="24" t="inlineStr">
        <is>
          <t>b1a26dea478b6d88f3db41c7d9495ed066d1f6305853462a749bb76e646a6a70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dota2-tiered-elo-v6</t>
        </is>
      </c>
      <c r="BH136" s="24" t="inlineStr">
        <is>
          <t>2026-09-29T10:09:22.949421Z</t>
        </is>
      </c>
      <c r="BI136" s="24" t="inlineStr">
        <is>
          <t>["same_event","same_team_same_day","same_league_same_day"]</t>
        </is>
      </c>
      <c r="BJ136" s="25" t="n"/>
      <c r="BK136" s="26" t="n">
        <v>-203</v>
      </c>
      <c r="BL136" s="27" t="n">
        <v>1.492611</v>
      </c>
      <c r="BM136" s="28" t="n">
        <v>0.669967</v>
      </c>
      <c r="BN136" s="28" t="n"/>
      <c r="BO136" s="28" t="n"/>
      <c r="BP136" s="25" t="n"/>
      <c r="BQ136" s="27" t="n">
        <v>1.492611</v>
      </c>
      <c r="BR136" s="28" t="n">
        <v>0.67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0.669967</t>
        </is>
      </c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"b1a26dea478b6d88f3db41c7d9495ed066d1f6305853462a749bb76e646a6a70", "away_team": "Xtreme Gaming", "event_id": "128114", "event_start_utc": "2026-09-29T13:00:00Z", "features": {"away_elo": 1841.873081, "away_history_count": 302, "home_elo": 1942.873195, "home_history_count": 98}, "historical_source_observation_times_verified": false, "home_team": "LGD Gaming", "inference_inputs": {"book_state": {"games_played": {"bo3:4:15776": 302, "bo3:4:16711": 98}, "inactivity_half_life_days": null, "inactivity_max_pull": null, "k": 48.0, "last_match_utc": {"bo3:4:15776": "2026-09-26T14:50:00Z", "bo3:4:16711": "2026-09-27T08:00:00Z"}, "minimum_reliable_games": null, "platt_intercept": 0.09713158419530922, "platt_slope": 0.8342788609126892, "ratings": {"bo3:4:15776": 1841.873081, "bo3:4:16711": 1942.873195},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["bo3:4:16711", "bo3:4:15776"]}, "market_type": "moneyline", "model_version": "dota2-tiered-elo-v6", "observed_at_utc": "2026-09-29T10:09:22.817922+00:00", "probabilities": {"away": 0.378853, "home": 0.621147}, "replay_scope": "Exact serving book state, calibration, temperature, inactivity reference and thin-history adjustments; training provenance not certified.", "schema": "esports-elo-replay-v1", "snapshot_hash": "49fa699a1373430aa0ad7a94f278001df79467c20e34deb5a641ea94a2ff7ce1", "sport": "DOTA2"}</t>
        </is>
      </c>
    </row>
    <row r="137" ht="36" customHeight="1">
      <c r="A137" s="24" t="inlineStr">
        <is>
          <t>34231554e4d14e56</t>
        </is>
      </c>
      <c r="B137" s="24" t="inlineStr">
        <is>
          <t>2026-09-30T04:40:37.904872Z</t>
        </is>
      </c>
      <c r="C137" s="24" t="inlineStr">
        <is>
          <t>2026-09-30T06:00:00Z</t>
        </is>
      </c>
      <c r="D137" s="24" t="inlineStr">
        <is>
          <t>129645</t>
        </is>
      </c>
      <c r="E137" s="24" t="inlineStr">
        <is>
          <t>DOTA2</t>
        </is>
      </c>
      <c r="F137" s="24" t="inlineStr">
        <is>
          <t>InterActive Philippines</t>
        </is>
      </c>
      <c r="G137" s="24" t="inlineStr">
        <is>
          <t>Direborn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-186</v>
      </c>
      <c r="M137" s="27" t="n">
        <v>1.537634</v>
      </c>
      <c r="N137" s="28" t="n">
        <v>0.65035</v>
      </c>
      <c r="O137" s="28" t="n">
        <v>0.661806</v>
      </c>
      <c r="P137" s="28" t="n"/>
      <c r="Q137" s="28" t="n">
        <v>0.011456</v>
      </c>
      <c r="R137" s="26" t="n">
        <v>26</v>
      </c>
      <c r="S137" s="29" t="n">
        <v>1</v>
      </c>
      <c r="T137" s="24" t="inlineStr">
        <is>
          <t>dota2-tiered-elo-v6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2026-09-30T16:01:16.785458Z</t>
        </is>
      </c>
      <c r="AE137" s="31" t="inlineStr">
        <is>
          <t>Neutral Elo baseline; executable ask 0.6500 (market_slug=aec-dota2-db-iac-2026-09-30).</t>
        </is>
      </c>
      <c r="AF137" s="31" t="inlineStr">
        <is>
          <t>Config-promoted esports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InterActive Philippines</t>
        </is>
      </c>
      <c r="AQ137" s="24" t="inlineStr">
        <is>
          <t>InterActive Philippines</t>
        </is>
      </c>
      <c r="AR137" s="24" t="inlineStr">
        <is>
          <t>InterActive Philippines</t>
        </is>
      </c>
      <c r="AS137" s="24" t="inlineStr">
        <is>
          <t>Direborn</t>
        </is>
      </c>
      <c r="AT137" s="24" t="inlineStr">
        <is>
          <t>Direborn</t>
        </is>
      </c>
      <c r="AU137" s="24" t="inlineStr">
        <is>
          <t>Direborn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f07e71c6956f7d8d90f8a785133d75fbb6d07f1ec0d43d6c3a662954c2fd2e89</t>
        </is>
      </c>
      <c r="BB137" s="24" t="inlineStr">
        <is>
          <t>neutral_elo</t>
        </is>
      </c>
      <c r="BC137" s="24" t="inlineStr">
        <is>
          <t>dota2-tiered-elo-v6</t>
        </is>
      </c>
      <c r="BD137" s="24" t="inlineStr">
        <is>
          <t>f07e71c6956f7d8d90f8a785133d75fbb6d07f1ec0d43d6c3a662954c2fd2e89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dota2-tiered-elo-v6</t>
        </is>
      </c>
      <c r="BH137" s="24" t="inlineStr">
        <is>
          <t>2026-09-30T04:39:54.573327Z</t>
        </is>
      </c>
      <c r="BI137" s="24" t="inlineStr">
        <is>
          <t>["same_event","same_team_same_day","same_league_same_day"]</t>
        </is>
      </c>
      <c r="BJ137" s="25" t="n"/>
      <c r="BK137" s="26" t="n">
        <v>-186</v>
      </c>
      <c r="BL137" s="27" t="n">
        <v>1.537634</v>
      </c>
      <c r="BM137" s="28" t="n">
        <v>0.65035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0.65035</t>
        </is>
      </c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"f07e71c6956f7d8d90f8a785133d75fbb6d07f1ec0d43d6c3a662954c2fd2e89", "away_team": "InterActive Philippines", "event_id": "129645", "event_start_utc": "2026-09-30T06:00:00Z", "features": {"away_elo": 1519.91215, "away_history_count": 189, "home_elo": 1664.15545, "home_history_count": 32}, "historical_source_observation_times_verified": false, "home_team": "Direborn", "inference_inputs": {"book_state": {"games_played": {"bo3:4:15612": 189, "bo3:4:24344": 32}, "inactivity_half_life_days": null, "inactivity_max_pull": null, "k": 48.0, "last_match_utc": {"bo3:4:15612": "2026-09-29T06:15:00Z", "bo3:4:24344": "2026-09-29T10:00:00Z"}, "minimum_reliable_games": null, "platt_intercept": 0.10018384309661339, "platt_slope": 0.8392502526543549, "ratings": {"bo3:4:15612": 1519.91215, "bo3:4:24344": 1664.15545},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"2026-09-30T04:39:54.506837+00:00", "team_ids": ["bo3:4:24344", "bo3:4:15612"]}, "market_type": "moneyline", "model_version": "dota2-tiered-elo-v6", "observed_at_utc": "2026-09-30T04:39:54.506837+00:00", "probabilities": {"away": 0.338194, "home": 0.661806}, "replay_scope": "Exact serving book state, calibration, temperature, inactivity reference and thin-history adjustments; training provenance not certified.", "schema": "esports-elo-replay-v1", "snapshot_hash": "bd5a7775b8a777dcad4c41b1d4b864c4c58507f00e89ae926838ba65efa37308", "sport": "DOTA2"}</t>
        </is>
      </c>
    </row>
    <row r="138" ht="36" customHeight="1">
      <c r="A138" s="24" t="inlineStr">
        <is>
          <t>f1635040ac3e4ffd</t>
        </is>
      </c>
      <c r="B138" s="24" t="inlineStr">
        <is>
          <t>2026-09-30T22:05:53.131178Z</t>
        </is>
      </c>
      <c r="C138" s="24" t="inlineStr">
        <is>
          <t>2026-10-01T03:00:00Z</t>
        </is>
      </c>
      <c r="D138" s="24" t="inlineStr">
        <is>
          <t>131078</t>
        </is>
      </c>
      <c r="E138" s="24" t="inlineStr">
        <is>
          <t>DOTA2</t>
        </is>
      </c>
      <c r="F138" s="24" t="inlineStr">
        <is>
          <t>Yangon Galacticos</t>
        </is>
      </c>
      <c r="G138" s="24" t="inlineStr">
        <is>
          <t>Ivory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-233</v>
      </c>
      <c r="M138" s="27" t="n">
        <v>1.429185</v>
      </c>
      <c r="N138" s="28" t="n">
        <v>0.6997</v>
      </c>
      <c r="O138" s="28" t="n">
        <v>0.617195</v>
      </c>
      <c r="P138" s="28" t="n"/>
      <c r="Q138" s="28" t="n">
        <v>-0.082505</v>
      </c>
      <c r="R138" s="26" t="n">
        <v>0</v>
      </c>
      <c r="S138" s="29" t="n">
        <v>1</v>
      </c>
      <c r="T138" s="24" t="inlineStr">
        <is>
          <t>dota2-tiered-elo-v6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/>
      <c r="AA138" s="28" t="n"/>
      <c r="AB138" s="28" t="n"/>
      <c r="AC138" s="30" t="n">
        <v>0.4292</v>
      </c>
      <c r="AD138" s="24" t="inlineStr">
        <is>
          <t>2026-10-01T10:00:46.140233Z</t>
        </is>
      </c>
      <c r="AE138" s="31" t="inlineStr">
        <is>
          <t>Neutral Elo baseline; executable ask 0.7000 (market_slug=aec-dota2-ivo-yg-2026-10-01).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Yangon Galacticos</t>
        </is>
      </c>
      <c r="AQ138" s="24" t="inlineStr">
        <is>
          <t>Yangon Galacticos</t>
        </is>
      </c>
      <c r="AR138" s="24" t="inlineStr">
        <is>
          <t>Yangon Galacticos</t>
        </is>
      </c>
      <c r="AS138" s="24" t="inlineStr">
        <is>
          <t>Ivory</t>
        </is>
      </c>
      <c r="AT138" s="24" t="inlineStr">
        <is>
          <t>Ivory</t>
        </is>
      </c>
      <c r="AU138" s="24" t="inlineStr">
        <is>
          <t>Ivory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b88b8be66f0f7db2bb467515781c986e426e60992a882fa29c727502ef349f63</t>
        </is>
      </c>
      <c r="BB138" s="24" t="inlineStr">
        <is>
          <t>neutral_elo</t>
        </is>
      </c>
      <c r="BC138" s="24" t="inlineStr">
        <is>
          <t>dota2-tiered-elo-v6</t>
        </is>
      </c>
      <c r="BD138" s="24" t="inlineStr">
        <is>
          <t>b88b8be66f0f7db2bb467515781c986e426e60992a882fa29c727502ef349f63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dota2-tiered-elo-v6</t>
        </is>
      </c>
      <c r="BH138" s="24" t="inlineStr">
        <is>
          <t>2026-09-30T22:05:28.331679Z</t>
        </is>
      </c>
      <c r="BI138" s="24" t="inlineStr">
        <is>
          <t>["same_event","same_team_same_day","same_league_same_day"]</t>
        </is>
      </c>
      <c r="BJ138" s="25" t="n"/>
      <c r="BK138" s="26" t="n">
        <v>-233</v>
      </c>
      <c r="BL138" s="27" t="n">
        <v>1.429185</v>
      </c>
      <c r="BM138" s="28" t="n">
        <v>0.6997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0.6997</t>
        </is>
      </c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"b88b8be66f0f7db2bb467515781c986e426e60992a882fa29c727502ef349f63", "away_team": "Yangon Galacticos", "event_id": "131078", "event_start_utc": "2026-10-01T03:00:00Z", "features": {"away_elo": 1547.596175, "away_history_count": 247, "home_elo": 1410.398116, "home_history_count": 231}, "historical_source_observation_times_verified": false, "home_team": "Ivory", "inference_inputs": {"book_state": {"games_played": {"bo3:4:15805": 247, "bo3:4:18393": 231}, "inactivity_half_life_days": null, "inactivity_max_pull": null, "k": 48.0, "last_match_utc": {"bo3:4:15805": "2026-09-30T03:00:00Z", "bo3:4:18393": "2026-09-30T10:10:00Z"}, "minimum_reliable_games": null, "platt_intercept": 0.09331094880844892, "platt_slope": 0.8364342780228805, "ratings": {"bo3:4:15805": 1547.596175, "bo3:4:18393": 1410.398116},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"2026-09-30T22:05:28.229542+00:00", "team_ids": ["bo3:4:18393", "bo3:4:15805"]}, "market_type": "moneyline", "model_version": "dota2-tiered-elo-v6", "observed_at_utc": "2026-09-30T22:05:28.229542+00:00", "probabilities": {"away": 0.617195, "home": 0.382805}, "replay_scope": "Exact serving book state, calibration, temperature, inactivity reference and thin-history adjustments; training provenance not certified.", "schema": "esports-elo-replay-v1", "snapshot_hash": "41dd59ab8aa383c6694eee946fe4bce6ff1196a80d2078ee31f7f4b23d9920a5", "sport": "DOTA2"}</t>
        </is>
      </c>
    </row>
    <row r="139" ht="36" customHeight="1">
      <c r="A139" s="24" t="inlineStr">
        <is>
          <t>f035967382ef4098</t>
        </is>
      </c>
      <c r="B139" s="24" t="inlineStr">
        <is>
          <t>2026-10-02T04:41:05.197642Z</t>
        </is>
      </c>
      <c r="C139" s="24" t="inlineStr">
        <is>
          <t>2026-10-02T06:00:00Z</t>
        </is>
      </c>
      <c r="D139" s="24" t="inlineStr">
        <is>
          <t>132825</t>
        </is>
      </c>
      <c r="E139" s="24" t="inlineStr">
        <is>
          <t>DOTA2</t>
        </is>
      </c>
      <c r="F139" s="24" t="inlineStr">
        <is>
          <t>Team Kinetix</t>
        </is>
      </c>
      <c r="G139" s="24" t="inlineStr">
        <is>
          <t>InterActive Philippines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-133</v>
      </c>
      <c r="M139" s="27" t="n">
        <v>1.75188</v>
      </c>
      <c r="N139" s="28" t="n">
        <v>0.570815</v>
      </c>
      <c r="O139" s="28" t="n">
        <v>0.607835</v>
      </c>
      <c r="P139" s="28" t="n"/>
      <c r="Q139" s="28" t="n">
        <v>0.03702</v>
      </c>
      <c r="R139" s="26" t="n">
        <v>39</v>
      </c>
      <c r="S139" s="29" t="n">
        <v>1</v>
      </c>
      <c r="T139" s="24" t="inlineStr">
        <is>
          <t>dota2-tiered-elo-v6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/>
      <c r="AA139" s="28" t="n"/>
      <c r="AB139" s="28" t="n"/>
      <c r="AC139" s="30" t="n">
        <v>0.7519</v>
      </c>
      <c r="AD139" s="24" t="inlineStr">
        <is>
          <t>2026-10-02T10:00:37.839695Z</t>
        </is>
      </c>
      <c r="AE139" s="31" t="inlineStr">
        <is>
          <t>Neutral Elo baseline; executable ask 0.5700 (market_slug=aec-dota2-iac-tke-2026-10-02).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4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Team Kinetix</t>
        </is>
      </c>
      <c r="AQ139" s="24" t="inlineStr">
        <is>
          <t>Team Kinetix</t>
        </is>
      </c>
      <c r="AR139" s="24" t="inlineStr">
        <is>
          <t>Team Kinetix</t>
        </is>
      </c>
      <c r="AS139" s="24" t="inlineStr">
        <is>
          <t>InterActive Philippines</t>
        </is>
      </c>
      <c r="AT139" s="24" t="inlineStr">
        <is>
          <t>InterActive Philippines</t>
        </is>
      </c>
      <c r="AU139" s="24" t="inlineStr">
        <is>
          <t>InterActive Philippines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c356324d3d49d10e91212b5de455409b0e84f46b1109ea2afbdc501186aaeb11</t>
        </is>
      </c>
      <c r="BB139" s="24" t="inlineStr">
        <is>
          <t>neutral_elo</t>
        </is>
      </c>
      <c r="BC139" s="24" t="inlineStr">
        <is>
          <t>dota2-tiered-elo-v6</t>
        </is>
      </c>
      <c r="BD139" s="24" t="inlineStr">
        <is>
          <t>c356324d3d49d10e91212b5de455409b0e84f46b1109ea2afbdc501186aaeb11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dota2-tiered-elo-v6</t>
        </is>
      </c>
      <c r="BH139" s="24" t="inlineStr">
        <is>
          <t>2026-10-02T04:40:29.177908Z</t>
        </is>
      </c>
      <c r="BI139" s="24" t="inlineStr">
        <is>
          <t>["same_event","same_team_same_day","same_league_same_day"]</t>
        </is>
      </c>
      <c r="BJ139" s="25" t="n"/>
      <c r="BK139" s="26" t="n">
        <v>-133</v>
      </c>
      <c r="BL139" s="27" t="n">
        <v>1.75188</v>
      </c>
      <c r="BM139" s="28" t="n">
        <v>0.570815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0.570815</t>
        </is>
      </c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"c356324d3d49d10e91212b5de455409b0e84f46b1109ea2afbdc501186aaeb11", "away_team": "Team Kinetix", "event_id": "132825", "event_start_utc": "2026-10-02T06:00:00Z", "features": {"away_elo": 1473.189104, "away_history_count": 14, "home_elo": 1563.11174, "home_history_count": 190}, "historical_source_observation_times_verified": false, "home_team": "InterActive Philippines", "inference_inputs": {"book_state": {"games_played": {"bo3:4:15612": 190, "bo3:4:25225": 14}, "inactivity_half_life_days": null, "inactivity_max_pull": null, "k": 48.0, "last_match_utc": {"bo3:4:15612": "2026-09-30T06:15:00Z", "bo3:4:25225": "2026-10-01T06:10:00Z"}, "minimum_reliable_games": null, "platt_intercept": 0.08701373953913812, "platt_slope": 0.8434576923320389, "ratings": {"bo3:4:15612": 1563.11174, "bo3:4:25225": 1473.189104},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"2026-10-02T04:40:29.112644+00:00", "team_ids": ["bo3:4:15612", "bo3:4:25225"]}, "market_type": "moneyline", "model_version": "dota2-tiered-elo-v6", "observed_at_utc": "2026-10-02T04:40:29.112644+00:00", "probabilities": {"away": 0.392165, "home": 0.607835}, "replay_scope": "Exact serving book state, calibration, temperature, inactivity reference and thin-history adjustments; training provenance not certified.", "schema": "esports-elo-replay-v1", "snapshot_hash": "78bc7bb9b53df6015b8a72091f56da179a03572cfcce75d29be3397e5138d8e1", "sport": "DOTA2"}</t>
        </is>
      </c>
    </row>
    <row r="140" ht="36" customHeight="1">
      <c r="A140" s="24" t="inlineStr">
        <is>
          <t>1feb1c996fba491a</t>
        </is>
      </c>
      <c r="B140" s="24" t="inlineStr">
        <is>
          <t>2026-10-02T10:10:08.916186Z</t>
        </is>
      </c>
      <c r="C140" s="24" t="inlineStr">
        <is>
          <t>2026-10-02T16:00:00Z</t>
        </is>
      </c>
      <c r="D140" s="24" t="inlineStr">
        <is>
          <t>136781</t>
        </is>
      </c>
      <c r="E140" s="24" t="inlineStr">
        <is>
          <t>DOTA2</t>
        </is>
      </c>
      <c r="F140" s="24" t="inlineStr">
        <is>
          <t>OG</t>
        </is>
      </c>
      <c r="G140" s="24" t="inlineStr">
        <is>
          <t>BetBoom Team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-194</v>
      </c>
      <c r="M140" s="27" t="n">
        <v>1.515464</v>
      </c>
      <c r="N140" s="28" t="n">
        <v>0.659864</v>
      </c>
      <c r="O140" s="28" t="n">
        <v>0.779894</v>
      </c>
      <c r="P140" s="28" t="n"/>
      <c r="Q140" s="28" t="n">
        <v>0.12003</v>
      </c>
      <c r="R140" s="26" t="n">
        <v>80</v>
      </c>
      <c r="S140" s="29" t="n">
        <v>1.5</v>
      </c>
      <c r="T140" s="24" t="inlineStr">
        <is>
          <t>dota2-tiered-elo-v6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/>
      <c r="AA140" s="28" t="n"/>
      <c r="AB140" s="28" t="n"/>
      <c r="AC140" s="30" t="n">
        <v>-1.5</v>
      </c>
      <c r="AD140" s="24" t="inlineStr">
        <is>
          <t>2026-10-02T22:00:48.249215Z</t>
        </is>
      </c>
      <c r="AE140" s="31" t="inlineStr">
        <is>
          <t>Neutral Elo baseline; executable ask 0.6600 (market_slug=aec-dota2-bb-og-2026-10-02).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4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OG</t>
        </is>
      </c>
      <c r="AQ140" s="24" t="inlineStr">
        <is>
          <t>OG</t>
        </is>
      </c>
      <c r="AR140" s="24" t="inlineStr">
        <is>
          <t>OG</t>
        </is>
      </c>
      <c r="AS140" s="24" t="inlineStr">
        <is>
          <t>BetBoom Team</t>
        </is>
      </c>
      <c r="AT140" s="24" t="inlineStr">
        <is>
          <t>BetBoom Team</t>
        </is>
      </c>
      <c r="AU140" s="24" t="inlineStr">
        <is>
          <t>BetBoom Team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b77cdd3d085142de948716f738dbce0e5b803bc667106b347d235c1818d4fa5d</t>
        </is>
      </c>
      <c r="BB140" s="24" t="inlineStr">
        <is>
          <t>neutral_elo</t>
        </is>
      </c>
      <c r="BC140" s="24" t="inlineStr">
        <is>
          <t>dota2-tiered-elo-v6</t>
        </is>
      </c>
      <c r="BD140" s="24" t="inlineStr">
        <is>
          <t>b77cdd3d085142de948716f738dbce0e5b803bc667106b347d235c1818d4fa5d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dota2-tiered-elo-v6</t>
        </is>
      </c>
      <c r="BH140" s="24" t="inlineStr">
        <is>
          <t>2026-10-02T10:09:56.822137Z</t>
        </is>
      </c>
      <c r="BI140" s="24" t="inlineStr">
        <is>
          <t>["same_event","same_team_same_day","same_league_same_day"]</t>
        </is>
      </c>
      <c r="BJ140" s="25" t="n"/>
      <c r="BK140" s="26" t="n">
        <v>-194</v>
      </c>
      <c r="BL140" s="27" t="n">
        <v>1.515464</v>
      </c>
      <c r="BM140" s="28" t="n">
        <v>0.659864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0.659864</t>
        </is>
      </c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"b77cdd3d085142de948716f738dbce0e5b803bc667106b347d235c1818d4fa5d", "away_team": "OG", "event_id": "136781", "event_start_utc": "2026-10-02T16:00:00Z", "features": {"away_elo": 1774.264283, "away_history_count": 285, "home_elo": 2066.322693, "home_history_count": 357}, "historical_source_observation_times_verified": false, "home_team": "BetBoom Team", "inference_inputs": {"book_state": {"games_played": {"bo3:4:15526": 357, "bo3:4:16714": 285}, "inactivity_half_life_days": null, "inactivity_max_pull": null, "k": 48.0, "last_match_utc": {"bo3:4:15526": "2026-10-01T13:00:00Z", "bo3:4:16714": "2026-10-01T13:00:00Z"}, "minimum_reliable_games": null, "platt_intercept": 0.088276715548926, "platt_slope": 0.8422091626583235, "ratings": {"bo3:4:15526": 2066.322693, "bo3:4:16714": 1774.264283},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"2026-10-02T10:09:44.934276+00:00", "team_ids": ["bo3:4:15526", "bo3:4:16714"]}, "market_type": "moneyline", "model_version": "dota2-tiered-elo-v6", "observed_at_utc": "2026-10-02T10:09:44.934276+00:00", "probabilities": {"away": 0.220106, "home": 0.779894}, "replay_scope": "Exact serving book state, calibration, temperature, inactivity reference and thin-history adjustments; training provenance not certified.", "schema": "esports-elo-replay-v1", "snapshot_hash": "bd309a7704b5d8aabc82dae45cdf6907de89e39b44d993d0fece2cd69063ecdc", "sport": "DOTA2"}</t>
        </is>
      </c>
    </row>
    <row r="141" ht="36" customHeight="1">
      <c r="A141" s="24" t="inlineStr">
        <is>
          <t>ed8cc8af306b4c53</t>
        </is>
      </c>
      <c r="B141" s="24" t="inlineStr">
        <is>
          <t>2026-10-03T16:52:58.525044Z</t>
        </is>
      </c>
      <c r="C141" s="24" t="inlineStr">
        <is>
          <t>2026-10-03T17:30:00Z</t>
        </is>
      </c>
      <c r="D141" s="24" t="inlineStr">
        <is>
          <t>136824</t>
        </is>
      </c>
      <c r="E141" s="24" t="inlineStr">
        <is>
          <t>DOTA2</t>
        </is>
      </c>
      <c r="F141" s="24" t="inlineStr">
        <is>
          <t>Team Yandex</t>
        </is>
      </c>
      <c r="G141" s="24" t="inlineStr">
        <is>
          <t>Team Spirit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212</v>
      </c>
      <c r="M141" s="27" t="n">
        <v>3.12</v>
      </c>
      <c r="N141" s="28" t="n">
        <v>0.320513</v>
      </c>
      <c r="O141" s="28" t="n">
        <v>0.516653</v>
      </c>
      <c r="P141" s="28" t="n"/>
      <c r="Q141" s="28" t="n">
        <v>0.19614</v>
      </c>
      <c r="R141" s="26" t="n">
        <v>100</v>
      </c>
      <c r="S141" s="29" t="n">
        <v>2</v>
      </c>
      <c r="T141" s="24" t="inlineStr">
        <is>
          <t>dota2-tiered-elo-v6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/>
      <c r="AA141" s="28" t="n"/>
      <c r="AB141" s="28" t="n"/>
      <c r="AC141" s="30" t="n">
        <v>4.24</v>
      </c>
      <c r="AD141" s="24" t="inlineStr">
        <is>
          <t>2026-10-03T22:01:42.953970Z</t>
        </is>
      </c>
      <c r="AE141" s="31" t="inlineStr">
        <is>
          <t>Neutral Elo baseline; executable ask 0.3200 (market_slug=aec-dota2-ts-ty-2026-10-03).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Team Yandex</t>
        </is>
      </c>
      <c r="AQ141" s="24" t="inlineStr">
        <is>
          <t>Team Yandex</t>
        </is>
      </c>
      <c r="AR141" s="24" t="inlineStr">
        <is>
          <t>Team Yandex</t>
        </is>
      </c>
      <c r="AS141" s="24" t="inlineStr">
        <is>
          <t>Team Spirit</t>
        </is>
      </c>
      <c r="AT141" s="24" t="inlineStr">
        <is>
          <t>Team Spirit</t>
        </is>
      </c>
      <c r="AU141" s="24" t="inlineStr">
        <is>
          <t>Team Spirit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d6d5693de809ab897100211dfdbcdb859d6cfcd715f34e18c15a22869e71fecc</t>
        </is>
      </c>
      <c r="BB141" s="24" t="inlineStr">
        <is>
          <t>neutral_elo</t>
        </is>
      </c>
      <c r="BC141" s="24" t="inlineStr">
        <is>
          <t>dota2-tiered-elo-v6</t>
        </is>
      </c>
      <c r="BD141" s="24" t="inlineStr">
        <is>
          <t>d6d5693de809ab897100211dfdbcdb859d6cfcd715f34e18c15a22869e71fecc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dota2-tiered-elo-v6</t>
        </is>
      </c>
      <c r="BH141" s="24" t="inlineStr">
        <is>
          <t>2026-10-03T16:52:49.746040Z</t>
        </is>
      </c>
      <c r="BI141" s="24" t="inlineStr">
        <is>
          <t>["same_event","same_team_same_day","same_league_same_day"]</t>
        </is>
      </c>
      <c r="BJ141" s="25" t="n"/>
      <c r="BK141" s="26" t="n">
        <v>212</v>
      </c>
      <c r="BL141" s="27" t="n">
        <v>3.12</v>
      </c>
      <c r="BM141" s="28" t="n">
        <v>0.320513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0.320513</t>
        </is>
      </c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"d6d5693de809ab897100211dfdbcdb859d6cfcd715f34e18c15a22869e71fecc", "away_team": "Team Yandex", "event_id": "136824", "event_start_utc": "2026-10-03T17:30:00Z", "features": {"away_elo": 2256.098028, "away_history_count": 154, "home_elo": 2261.066851, "home_history_count": 341}, "historical_source_observation_times_verified": false, "home_team": "Team Spirit", "inference_inputs": {"book_state": {"games_played": {"bo3:4:16704": 341, "bo3:4:20951": 154}, "inactivity_half_life_days": null, "inactivity_max_pull": null, "k": 48.0, "last_match_utc": {"bo3:4:16704": "2026-09-30T12:20:00Z", "bo3:4:20951": "2026-10-01T13:00:00Z"}, "minimum_reliable_games": null, "platt_intercept": 0.08863373221037604, "platt_slope": 0.8410053464923916, "ratings": {"bo3:4:16704": 2261.066851, "bo3:4:20951": 2256.098028},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"2026-10-03T16:52:49.510872+00:00", "team_ids": ["bo3:4:16704", "bo3:4:20951"]}, "market_type": "moneyline", "model_version": "dota2-tiered-elo-v6", "observed_at_utc": "2026-10-03T16:52:49.510872+00:00", "probabilities": {"away": 0.483347, "home": 0.516653}, "replay_scope": "Exact serving book state, calibration, temperature, inactivity reference and thin-history adjustments; training provenance not certified.", "schema": "esports-elo-replay-v1", "snapshot_hash": "bd6d7925341730bf894f35aa7625467bff027203ccb846b36608e3c86a400596", "sport": "DOTA2"}</t>
        </is>
      </c>
    </row>
    <row r="142" ht="36" customHeight="1">
      <c r="A142" s="24" t="inlineStr">
        <is>
          <t>a25c0b03e769471e</t>
        </is>
      </c>
      <c r="B142" s="24" t="inlineStr">
        <is>
          <t>2026-10-05T10:49:55.663984Z</t>
        </is>
      </c>
      <c r="C142" s="24" t="inlineStr">
        <is>
          <t>2026-10-05T14:00:00Z</t>
        </is>
      </c>
      <c r="D142" s="24" t="inlineStr">
        <is>
          <t>141593</t>
        </is>
      </c>
      <c r="E142" s="24" t="inlineStr">
        <is>
          <t>DOTA2</t>
        </is>
      </c>
      <c r="F142" s="24" t="inlineStr">
        <is>
          <t>Blasterbl</t>
        </is>
      </c>
      <c r="G142" s="24" t="inlineStr">
        <is>
          <t>LEGION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-104</v>
      </c>
      <c r="M142" s="27" t="n">
        <v>1.961538</v>
      </c>
      <c r="N142" s="28" t="n">
        <v>0.509804</v>
      </c>
      <c r="O142" s="28" t="n">
        <v>0.508722</v>
      </c>
      <c r="P142" s="28" t="n"/>
      <c r="Q142" s="28" t="n">
        <v>-0.001082</v>
      </c>
      <c r="R142" s="26" t="n">
        <v>19</v>
      </c>
      <c r="S142" s="29" t="n">
        <v>1</v>
      </c>
      <c r="T142" s="24" t="inlineStr">
        <is>
          <t>dota2-tiered-elo-v6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0.9615</v>
      </c>
      <c r="AD142" s="24" t="inlineStr">
        <is>
          <t>2026-10-05T22:02:46.184004Z</t>
        </is>
      </c>
      <c r="AE142" s="31" t="inlineStr">
        <is>
          <t>Neutral Elo baseline; executable ask 0.5100 (market_slug=aec-dota2-leg-bbl-2026-10-05).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Blasterbl</t>
        </is>
      </c>
      <c r="AQ142" s="24" t="inlineStr">
        <is>
          <t>Blasterbl</t>
        </is>
      </c>
      <c r="AR142" s="24" t="inlineStr">
        <is>
          <t>Blasterbl</t>
        </is>
      </c>
      <c r="AS142" s="24" t="inlineStr">
        <is>
          <t>LEGION</t>
        </is>
      </c>
      <c r="AT142" s="24" t="inlineStr">
        <is>
          <t>LEGION</t>
        </is>
      </c>
      <c r="AU142" s="24" t="inlineStr">
        <is>
          <t>LEGION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428426ebc9eeb4105cb3b79f9872095d184939901c73d71c96a615834769b513</t>
        </is>
      </c>
      <c r="BB142" s="24" t="inlineStr">
        <is>
          <t>neutral_elo</t>
        </is>
      </c>
      <c r="BC142" s="24" t="inlineStr">
        <is>
          <t>dota2-tiered-elo-v6</t>
        </is>
      </c>
      <c r="BD142" s="24" t="inlineStr">
        <is>
          <t>428426ebc9eeb4105cb3b79f9872095d184939901c73d71c96a615834769b513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dota2-tiered-elo-v6</t>
        </is>
      </c>
      <c r="BH142" s="24" t="inlineStr">
        <is>
          <t>2026-10-05T10:49:45.500379Z</t>
        </is>
      </c>
      <c r="BI142" s="24" t="inlineStr">
        <is>
          <t>["same_event","same_team_same_day","same_league_same_day"]</t>
        </is>
      </c>
      <c r="BJ142" s="25" t="n"/>
      <c r="BK142" s="26" t="n">
        <v>-104</v>
      </c>
      <c r="BL142" s="27" t="n">
        <v>1.961538</v>
      </c>
      <c r="BM142" s="28" t="n">
        <v>0.509804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"428426ebc9eeb4105cb3b79f9872095d184939901c73d71c96a615834769b513", "away_team": "Blasterbl", "event_id": "141593", "event_start_utc": "2026-10-05T14:00:00Z", "features": {"away_elo": 1500.0, "away_history_count": 0, "home_elo": 1500.0, "home_history_count": 0}, "historical_source_observation_times_verified": false, "home_team": "LEGION", "inference_inputs": {"book_state": {"games_played": {}, "inactivity_half_life_days": null, "inactivity_max_pull": null, "k": 48.0, "last_match_utc": {}, "minimum_reliable_games": null, "platt_intercept": 0.08237337059525511, "platt_slope": 0.8453566708226753,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"2026-10-05T10:49:35.308280+00:00", "team_ids": ["unknown:legion", "unknown:blasterbl"]}, "market_type": "moneyline", "model_version": "dota2-tiered-elo-v6", "observed_at_utc": "2026-10-05T10:49:35.308280+00:00", "probabilities": {"away": 0.491278, "home": 0.508722}, "replay_scope": "Exact serving book state, calibration, temperature, inactivity reference and thin-history adjustments; training provenance not certified.", "schema": "esports-elo-replay-v1", "snapshot_hash": "ddc448ef43e25a9df9eef845cc87d1cfd62c7f335ce13265bff202f4bb3ce858", "sport": "DOTA2"}</t>
        </is>
      </c>
    </row>
    <row r="143" ht="36" customHeight="1">
      <c r="A143" s="24" t="inlineStr">
        <is>
          <t>6754815580954e41</t>
        </is>
      </c>
      <c r="B143" s="24" t="inlineStr">
        <is>
          <t>2026-10-05T22:25:55.486296Z</t>
        </is>
      </c>
      <c r="C143" s="24" t="inlineStr">
        <is>
          <t>2026-10-06T03:00:00Z</t>
        </is>
      </c>
      <c r="D143" s="24" t="inlineStr">
        <is>
          <t>143516</t>
        </is>
      </c>
      <c r="E143" s="24" t="inlineStr">
        <is>
          <t>DOTA2</t>
        </is>
      </c>
      <c r="F143" s="24" t="inlineStr">
        <is>
          <t>InterActive Philippines</t>
        </is>
      </c>
      <c r="G143" s="24" t="inlineStr">
        <is>
          <t>Yangon Galacticos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-133</v>
      </c>
      <c r="M143" s="27" t="n">
        <v>1.75188</v>
      </c>
      <c r="N143" s="28" t="n">
        <v>0.570815</v>
      </c>
      <c r="O143" s="28" t="n">
        <v>0.506171</v>
      </c>
      <c r="P143" s="28" t="n"/>
      <c r="Q143" s="28" t="n">
        <v>-0.06464399999999999</v>
      </c>
      <c r="R143" s="26" t="n">
        <v>0</v>
      </c>
      <c r="S143" s="29" t="n">
        <v>1</v>
      </c>
      <c r="T143" s="24" t="inlineStr">
        <is>
          <t>dota2-tiered-elo-v6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-133</v>
      </c>
      <c r="AA143" s="28" t="n">
        <v>0.57</v>
      </c>
      <c r="AB143" s="28" t="n">
        <v>-0.000815</v>
      </c>
      <c r="AC143" s="30" t="n">
        <v>0.7519</v>
      </c>
      <c r="AD143" s="24" t="inlineStr">
        <is>
          <t>2026-10-06T10:01:10.196234Z</t>
        </is>
      </c>
      <c r="AE143" s="31" t="inlineStr">
        <is>
          <t>Neutral Elo baseline; executable ask 0.5700 (market_slug=aec-dota2-yg-iac-2026-10-06).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InterActive Philippines</t>
        </is>
      </c>
      <c r="AQ143" s="24" t="inlineStr">
        <is>
          <t>InterActive Philippines</t>
        </is>
      </c>
      <c r="AR143" s="24" t="inlineStr">
        <is>
          <t>InterActive Philippines</t>
        </is>
      </c>
      <c r="AS143" s="24" t="inlineStr">
        <is>
          <t>Yangon Galacticos</t>
        </is>
      </c>
      <c r="AT143" s="24" t="inlineStr">
        <is>
          <t>Yangon Galacticos</t>
        </is>
      </c>
      <c r="AU143" s="24" t="inlineStr">
        <is>
          <t>Yangon Galacticos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8fd316347e24d5faa7a92e7ef89a639c490973a25d2b8dbb2af706a2af5abf92</t>
        </is>
      </c>
      <c r="BB143" s="24" t="inlineStr">
        <is>
          <t>neutral_elo</t>
        </is>
      </c>
      <c r="BC143" s="24" t="inlineStr">
        <is>
          <t>dota2-tiered-elo-v6</t>
        </is>
      </c>
      <c r="BD143" s="24" t="inlineStr">
        <is>
          <t>8fd316347e24d5faa7a92e7ef89a639c490973a25d2b8dbb2af706a2af5abf92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dota2-tiered-elo-v6</t>
        </is>
      </c>
      <c r="BH143" s="24" t="inlineStr">
        <is>
          <t>2026-10-05T22:25:23.814001Z</t>
        </is>
      </c>
      <c r="BI143" s="24" t="inlineStr">
        <is>
          <t>["same_event","same_team_same_day","same_league_same_day"]</t>
        </is>
      </c>
      <c r="BJ143" s="25" t="n"/>
      <c r="BK143" s="26" t="n">
        <v>-133</v>
      </c>
      <c r="BL143" s="27" t="n">
        <v>1.75188</v>
      </c>
      <c r="BM143" s="28" t="n">
        <v>0.570815</v>
      </c>
      <c r="BN143" s="28" t="n"/>
      <c r="BO143" s="28" t="n"/>
      <c r="BP143" s="25" t="n"/>
      <c r="BQ143" s="27" t="n">
        <v>1.75188</v>
      </c>
      <c r="BR143" s="28" t="n">
        <v>0.57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"8fd316347e24d5faa7a92e7ef89a639c490973a25d2b8dbb2af706a2af5abf92", "away_team": "InterActive Philippines", "event_id": "143516", "event_start_utc": "2026-10-06T03:00:00Z", "features": {"away_elo": 1587.691293, "away_history_count": 194, "home_elo": 1566.553099, "home_history_count": 248}, "historical_source_observation_times_verified": false, "home_team": "Yangon Galacticos", "inference_inputs": {"book_state": {"games_played": {"bo3:4:15612": 194, "bo3:4:15805": 248}, "inactivity_half_life_days": null, "inactivity_max_pull": null, "k": 48.0, "last_match_utc": {"bo3:4:15612": "2026-10-04T06:20:00Z", "bo3:4:15805": "2026-10-01T03:10:00Z"}, "minimum_reliable_games": null, "platt_intercept": 0.08103315066152637, "platt_slope": 0.8449481325411426, "ratings": {"bo3:4:15612": 1587.691293, "bo3:4:15805": 1566.553099},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["bo3:4:15805", "bo3:4:15612"]}, "market_type": "moneyline", "model_version": "dota2-tiered-elo-v6", "observed_at_utc": "2026-10-05T22:25:23.694580+00:00", "probabilities": {"away": 0.506171, "home": 0.493829}, "replay_scope": "Exact serving book state, calibration, temperature, inactivity reference and thin-history adjustments; training provenance not certified.", "schema": "esports-elo-replay-v1", "snapshot_hash": "2172ba463ba0686ecf088107e2b9e2f84c07dd92910d87a7583d9f5082a7d563", "sport": "DOTA2"}</t>
        </is>
      </c>
    </row>
    <row r="144" ht="36" customHeight="1">
      <c r="A144" s="24" t="inlineStr">
        <is>
          <t>8d5b805d9c6949e6</t>
        </is>
      </c>
      <c r="B144" s="24" t="inlineStr">
        <is>
          <t>2026-10-05T22:25:55.486296Z</t>
        </is>
      </c>
      <c r="C144" s="24" t="inlineStr">
        <is>
          <t>2026-10-06T08:00:00Z</t>
        </is>
      </c>
      <c r="D144" s="24" t="inlineStr">
        <is>
          <t>143561</t>
        </is>
      </c>
      <c r="E144" s="24" t="inlineStr">
        <is>
          <t>DOTA2</t>
        </is>
      </c>
      <c r="F144" s="24" t="inlineStr">
        <is>
          <t>CyberHero</t>
        </is>
      </c>
      <c r="G144" s="24" t="inlineStr">
        <is>
          <t>HULIGANI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-144</v>
      </c>
      <c r="M144" s="27" t="n">
        <v>1.694444</v>
      </c>
      <c r="N144" s="28" t="n">
        <v>0.590164</v>
      </c>
      <c r="O144" s="28" t="n">
        <v>0.562428</v>
      </c>
      <c r="P144" s="28" t="n"/>
      <c r="Q144" s="28" t="n">
        <v>-0.027736</v>
      </c>
      <c r="R144" s="26" t="n">
        <v>6</v>
      </c>
      <c r="S144" s="29" t="n">
        <v>1</v>
      </c>
      <c r="T144" s="24" t="inlineStr">
        <is>
          <t>dota2-tiered-elo-v6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-900</v>
      </c>
      <c r="AA144" s="28" t="n">
        <v>0.9</v>
      </c>
      <c r="AB144" s="28" t="n">
        <v>0.309836</v>
      </c>
      <c r="AC144" s="30" t="n">
        <v>-1</v>
      </c>
      <c r="AD144" s="24" t="inlineStr">
        <is>
          <t>2026-10-06T16:02:46.753236Z</t>
        </is>
      </c>
      <c r="AE144" s="31" t="inlineStr">
        <is>
          <t>Neutral Elo baseline; executable ask 0.5900 (market_slug=aec-dota2-hul-ch-2026-10-06).</t>
        </is>
      </c>
      <c r="AF144" s="31" t="inlineStr">
        <is>
          <t>Config-promoted esports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CyberHero</t>
        </is>
      </c>
      <c r="AQ144" s="24" t="inlineStr">
        <is>
          <t>CyberHero</t>
        </is>
      </c>
      <c r="AR144" s="24" t="inlineStr">
        <is>
          <t>CyberHero</t>
        </is>
      </c>
      <c r="AS144" s="24" t="inlineStr">
        <is>
          <t>HULIGANI</t>
        </is>
      </c>
      <c r="AT144" s="24" t="inlineStr">
        <is>
          <t>HULIGANI</t>
        </is>
      </c>
      <c r="AU144" s="24" t="inlineStr">
        <is>
          <t>HULIGANI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8fd316347e24d5faa7a92e7ef89a639c490973a25d2b8dbb2af706a2af5abf92</t>
        </is>
      </c>
      <c r="BB144" s="24" t="inlineStr">
        <is>
          <t>neutral_elo</t>
        </is>
      </c>
      <c r="BC144" s="24" t="inlineStr">
        <is>
          <t>dota2-tiered-elo-v6</t>
        </is>
      </c>
      <c r="BD144" s="24" t="inlineStr">
        <is>
          <t>8fd316347e24d5faa7a92e7ef89a639c490973a25d2b8dbb2af706a2af5abf92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dota2-tiered-elo-v6</t>
        </is>
      </c>
      <c r="BH144" s="24" t="inlineStr">
        <is>
          <t>2026-10-05T22:25:34.131544Z</t>
        </is>
      </c>
      <c r="BI144" s="24" t="inlineStr">
        <is>
          <t>["same_event","same_team_same_day","same_league_same_day"]</t>
        </is>
      </c>
      <c r="BJ144" s="25" t="n"/>
      <c r="BK144" s="26" t="n">
        <v>-144</v>
      </c>
      <c r="BL144" s="27" t="n">
        <v>1.694444</v>
      </c>
      <c r="BM144" s="28" t="n">
        <v>0.590164</v>
      </c>
      <c r="BN144" s="28" t="n"/>
      <c r="BO144" s="28" t="n"/>
      <c r="BP144" s="25" t="n"/>
      <c r="BQ144" s="27" t="n">
        <v>1.111111</v>
      </c>
      <c r="BR144" s="28" t="n">
        <v>0.9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"8fd316347e24d5faa7a92e7ef89a639c490973a25d2b8dbb2af706a2af5abf92", "away_team": "CyberHero", "event_id": "143561", "event_start_utc": "2026-10-06T08:00:00Z", "features": {"away_elo": 1488.83224, "away_history_count": 1, "home_elo": 1584.789817, "home_history_count": 336}, "historical_source_observation_times_verified": false, "home_team": "HULIGANI", "inference_inputs": {"book_state": {"games_played": {"bo3:4:15098": 336, "bo3:4:25398": 1}, "inactivity_half_life_days": null, "inactivity_max_pull": null, "k": 48.0, "last_match_utc": {"bo3:4:15098": "2026-10-05T08:00:00Z", "bo3:4:25398": "2026-10-05T11:10:00Z"}, "minimum_reliable_games": null, "platt_intercept": 0.08103315066152637, "platt_slope": 0.8449481325411426, "ratings": {"bo3:4:15098": 1584.789817, "bo3:4:25398": 1488.83224},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["bo3:4:15098", "bo3:4:25398"]}, "market_type": "moneyline", "model_version": "dota2-tiered-elo-v6", "observed_at_utc": "2026-10-05T22:25:23.694580+00:00", "probabilities": {"away": 0.437572, "home": 0.562428}, "replay_scope": "Exact serving book state, calibration, temperature, inactivity reference and thin-history adjustments; training provenance not certified.", "schema": "esports-elo-replay-v1", "snapshot_hash": "c44a835116c1677c2c2a584e22677bccdb7b9a22eb4bf8f09044d36880847ee7", "sport": "DOTA2"}</t>
        </is>
      </c>
    </row>
    <row r="145" ht="36" customHeight="1">
      <c r="A145" s="24" t="inlineStr">
        <is>
          <t>6084828cb57b4b7c</t>
        </is>
      </c>
      <c r="B145" s="24" t="inlineStr">
        <is>
          <t>2026-10-06T10:51:23.725681Z</t>
        </is>
      </c>
      <c r="C145" s="24" t="inlineStr">
        <is>
          <t>2026-10-06T14:00:00Z</t>
        </is>
      </c>
      <c r="D145" s="24" t="inlineStr">
        <is>
          <t>143565</t>
        </is>
      </c>
      <c r="E145" s="24" t="inlineStr">
        <is>
          <t>DOTA2</t>
        </is>
      </c>
      <c r="F145" s="24" t="inlineStr">
        <is>
          <t>Yellow Submarine</t>
        </is>
      </c>
      <c r="G145" s="24" t="inlineStr">
        <is>
          <t>Team Synapse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122</v>
      </c>
      <c r="M145" s="27" t="n">
        <v>2.22</v>
      </c>
      <c r="N145" s="28" t="n">
        <v>0.45045</v>
      </c>
      <c r="O145" s="28" t="n">
        <v>0.586581</v>
      </c>
      <c r="P145" s="28" t="n"/>
      <c r="Q145" s="28" t="n">
        <v>0.136131</v>
      </c>
      <c r="R145" s="26" t="n">
        <v>88</v>
      </c>
      <c r="S145" s="29" t="n">
        <v>1.5</v>
      </c>
      <c r="T145" s="24" t="inlineStr">
        <is>
          <t>dota2-tiered-elo-v6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>
        <v>122</v>
      </c>
      <c r="AA145" s="28" t="n">
        <v>0.45</v>
      </c>
      <c r="AB145" s="28" t="n">
        <v>-0.00045</v>
      </c>
      <c r="AC145" s="30" t="n">
        <v>1.83</v>
      </c>
      <c r="AD145" s="24" t="inlineStr">
        <is>
          <t>2026-10-06T22:02:46.998047Z</t>
        </is>
      </c>
      <c r="AE145" s="31" t="inlineStr">
        <is>
          <t>Neutral Elo baseline; executable ask 0.4500 (market_slug=aec-dota2-tsea-yes-2026-10-06).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Yellow Submarine</t>
        </is>
      </c>
      <c r="AQ145" s="24" t="inlineStr">
        <is>
          <t>Yellow Submarine</t>
        </is>
      </c>
      <c r="AR145" s="24" t="inlineStr">
        <is>
          <t>Yellow Submarine</t>
        </is>
      </c>
      <c r="AS145" s="24" t="inlineStr">
        <is>
          <t>Team Synapse</t>
        </is>
      </c>
      <c r="AT145" s="24" t="inlineStr">
        <is>
          <t>Team Synapse</t>
        </is>
      </c>
      <c r="AU145" s="24" t="inlineStr">
        <is>
          <t>Team Synapse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6759e71c6db4f5d9b0ec78bb2474758963eb5552e8a6657a0edf8ae49f26fe3d</t>
        </is>
      </c>
      <c r="BB145" s="24" t="inlineStr">
        <is>
          <t>neutral_elo</t>
        </is>
      </c>
      <c r="BC145" s="24" t="inlineStr">
        <is>
          <t>dota2-tiered-elo-v6</t>
        </is>
      </c>
      <c r="BD145" s="24" t="inlineStr">
        <is>
          <t>6759e71c6db4f5d9b0ec78bb2474758963eb5552e8a6657a0edf8ae49f26fe3d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dota2-tiered-elo-v6</t>
        </is>
      </c>
      <c r="BH145" s="24" t="inlineStr">
        <is>
          <t>2026-10-06T10:51:03.361802Z</t>
        </is>
      </c>
      <c r="BI145" s="24" t="inlineStr">
        <is>
          <t>["same_event","same_team_same_day","same_league_same_day"]</t>
        </is>
      </c>
      <c r="BJ145" s="25" t="n"/>
      <c r="BK145" s="26" t="n">
        <v>122</v>
      </c>
      <c r="BL145" s="27" t="n">
        <v>2.22</v>
      </c>
      <c r="BM145" s="28" t="n">
        <v>0.45045</v>
      </c>
      <c r="BN145" s="28" t="n"/>
      <c r="BO145" s="28" t="n"/>
      <c r="BP145" s="25" t="n"/>
      <c r="BQ145" s="27" t="n">
        <v>2.22</v>
      </c>
      <c r="BR145" s="28" t="n">
        <v>0.45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"6759e71c6db4f5d9b0ec78bb2474758963eb5552e8a6657a0edf8ae49f26fe3d", "away_team": "Yellow Submarine", "event_id": "143565", "event_start_utc": "2026-10-06T14:00:00Z", "features": {"away_elo": 1786.028424, "away_history_count": 285, "home_elo": 1855.458017, "home_history_count": 23}, "historical_source_observation_times_verified": false, "home_team": "Team Synapse", "inference_inputs": {"book_state": {"games_played": {"bo3:4:16486": 285, "bo3:4:25201": 23}, "inactivity_half_life_days": null, "inactivity_max_pull": null, "k": 48.0, "last_match_utc": {"bo3:4:16486": "2026-10-05T11:10:00Z", "bo3:4:25201": "2026-10-05T08:00:00Z"}, "minimum_reliable_games": null, "platt_intercept": 0.0806649303548175, "platt_slope": 0.8439015098774778, "ratings": {"bo3:4:16486": 1786.028424, "bo3:4:25201": 1855.458017},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"2026-10-06T10:50:53.111088+00:00", "team_ids": ["bo3:4:25201", "bo3:4:16486"]}, "market_type": "moneyline", "model_version": "dota2-tiered-elo-v6", "observed_at_utc": "2026-10-06T10:50:53.111088+00:00", "probabilities": {"away": 0.413419, "home": 0.586581}, "replay_scope": "Exact serving book state, calibration, temperature, inactivity reference and thin-history adjustments; training provenance not certified.", "schema": "esports-elo-replay-v1", "snapshot_hash": "2d95927cb9101c0d665d6d64969b5ac62cd066f6a48af941c35e0f56d54aa876", "sport": "DOTA2"}</t>
        </is>
      </c>
    </row>
    <row r="146" ht="36" customHeight="1">
      <c r="A146" s="24" t="inlineStr">
        <is>
          <t>dfcb0d3ca334487c</t>
        </is>
      </c>
      <c r="B146" s="24" t="inlineStr">
        <is>
          <t>2026-10-06T16:34:32.687894Z</t>
        </is>
      </c>
      <c r="C146" s="24" t="inlineStr">
        <is>
          <t>2026-10-06T17:00:00Z</t>
        </is>
      </c>
      <c r="D146" s="24" t="inlineStr">
        <is>
          <t>144500</t>
        </is>
      </c>
      <c r="E146" s="24" t="inlineStr">
        <is>
          <t>DOTA2</t>
        </is>
      </c>
      <c r="F146" s="24" t="inlineStr">
        <is>
          <t>MOUZ</t>
        </is>
      </c>
      <c r="G146" s="24" t="inlineStr">
        <is>
          <t>LEGION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-117</v>
      </c>
      <c r="M146" s="27" t="n">
        <v>1.854701</v>
      </c>
      <c r="N146" s="28" t="n">
        <v>0.539171</v>
      </c>
      <c r="O146" s="28" t="n">
        <v>0.552316</v>
      </c>
      <c r="P146" s="28" t="n"/>
      <c r="Q146" s="28" t="n">
        <v>0.013145</v>
      </c>
      <c r="R146" s="26" t="n">
        <v>27</v>
      </c>
      <c r="S146" s="29" t="n">
        <v>1</v>
      </c>
      <c r="T146" s="24" t="inlineStr">
        <is>
          <t>dota2-tiered-elo-v6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0</v>
      </c>
      <c r="X146" s="26" t="n">
        <v>1</v>
      </c>
      <c r="Y146" s="25" t="n"/>
      <c r="Z146" s="26" t="n">
        <v>-117</v>
      </c>
      <c r="AA146" s="28" t="n">
        <v>0.54</v>
      </c>
      <c r="AB146" s="28" t="n">
        <v>0.000829</v>
      </c>
      <c r="AC146" s="30" t="n">
        <v>-1</v>
      </c>
      <c r="AD146" s="24" t="inlineStr">
        <is>
          <t>2026-10-06T22:02:49.440470Z</t>
        </is>
      </c>
      <c r="AE146" s="31" t="inlineStr">
        <is>
          <t>Neutral Elo baseline; executable ask 0.5400 (market_slug=aec-dota2-leg-mouz-2026-10-06).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MOUZ</t>
        </is>
      </c>
      <c r="AQ146" s="24" t="inlineStr">
        <is>
          <t>MOUZ</t>
        </is>
      </c>
      <c r="AR146" s="24" t="inlineStr">
        <is>
          <t>MOUZ</t>
        </is>
      </c>
      <c r="AS146" s="24" t="inlineStr">
        <is>
          <t>LEGION</t>
        </is>
      </c>
      <c r="AT146" s="24" t="inlineStr">
        <is>
          <t>LEGION</t>
        </is>
      </c>
      <c r="AU146" s="24" t="inlineStr">
        <is>
          <t>LEGION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4690b99c58f0ec38c0a7f8871260c2693630b47ca56007141cc547de632674ee</t>
        </is>
      </c>
      <c r="BB146" s="24" t="inlineStr">
        <is>
          <t>neutral_elo</t>
        </is>
      </c>
      <c r="BC146" s="24" t="inlineStr">
        <is>
          <t>dota2-tiered-elo-v6</t>
        </is>
      </c>
      <c r="BD146" s="24" t="inlineStr">
        <is>
          <t>4690b99c58f0ec38c0a7f8871260c2693630b47ca56007141cc547de632674ee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dota2-tiered-elo-v6</t>
        </is>
      </c>
      <c r="BH146" s="24" t="inlineStr">
        <is>
          <t>2026-10-06T16:34:12.398493Z</t>
        </is>
      </c>
      <c r="BI146" s="24" t="inlineStr">
        <is>
          <t>["same_event","same_team_same_day","same_league_same_day"]</t>
        </is>
      </c>
      <c r="BJ146" s="25" t="n"/>
      <c r="BK146" s="26" t="n">
        <v>-117</v>
      </c>
      <c r="BL146" s="27" t="n">
        <v>1.854701</v>
      </c>
      <c r="BM146" s="28" t="n">
        <v>0.539171</v>
      </c>
      <c r="BN146" s="28" t="n"/>
      <c r="BO146" s="28" t="n"/>
      <c r="BP146" s="25" t="n"/>
      <c r="BQ146" s="27" t="n">
        <v>1.854701</v>
      </c>
      <c r="BR146" s="28" t="n">
        <v>0.54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"4690b99c58f0ec38c0a7f8871260c2693630b47ca56007141cc547de632674ee", "away_team": "MOUZ", "event_id": "144500", "event_start_utc": "2026-10-06T17:00:00Z", "features": {"away_elo": 1644.197963, "away_history_count": 363, "home_elo": 1532.76, "home_history_count": 1}, "historical_source_observation_times_verified": false, "home_team": "LEGION", "inference_inputs": {"book_state": {"games_played": {"bo3:4:15032": 363, "bo3:4:25401": 1}, "inactivity_half_life_days": null, "inactivity_max_pull": null, "k": 48.0, "last_match_utc": {"bo3:4:15032": "2026-10-05T18:00:00Z", "bo3:4:25401": "2026-10-05T14:00:00Z"}, "minimum_reliable_games": null, "platt_intercept": 0.08111949537955908, "platt_slope": 0.8418535477548365, "ratings": {"bo3:4:15032": 1644.197963, "bo3:4:25401": 1532.76},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"2026-10-06T16:34:12.325280+00:00", "team_ids": ["bo3:4:25401", "bo3:4:15032"]}, "market_type": "moneyline", "model_version": "dota2-tiered-elo-v6", "observed_at_utc": "2026-10-06T16:34:12.325280+00:00", "probabilities": {"away": 0.552316, "home": 0.447684}, "replay_scope": "Exact serving book state, calibration, temperature, inactivity reference and thin-history adjustments; training provenance not certified.", "schema": "esports-elo-replay-v1", "snapshot_hash": "d7ab51a4f880e3c1e54ff9e61bc180831b900208cf5f6dcb73682f2580b1dd3d", "sport": "DOTA2"}</t>
        </is>
      </c>
    </row>
    <row r="147" ht="36" customHeight="1">
      <c r="A147" s="24" t="inlineStr">
        <is>
          <t>dc9dc5e2c86f41bb</t>
        </is>
      </c>
      <c r="B147" s="24" t="inlineStr">
        <is>
          <t>2026-10-06T22:25:56.390271Z</t>
        </is>
      </c>
      <c r="C147" s="24" t="inlineStr">
        <is>
          <t>2026-10-07T03:00:00Z</t>
        </is>
      </c>
      <c r="D147" s="24" t="inlineStr">
        <is>
          <t>145226</t>
        </is>
      </c>
      <c r="E147" s="24" t="inlineStr">
        <is>
          <t>DOTA2</t>
        </is>
      </c>
      <c r="F147" s="24" t="inlineStr">
        <is>
          <t>ЯЧЁ123</t>
        </is>
      </c>
      <c r="G147" s="24" t="inlineStr">
        <is>
          <t>Direborn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-233</v>
      </c>
      <c r="M147" s="27" t="n">
        <v>1.429185</v>
      </c>
      <c r="N147" s="28" t="n">
        <v>0.6997</v>
      </c>
      <c r="O147" s="28" t="n">
        <v>0.550796</v>
      </c>
      <c r="P147" s="28" t="n"/>
      <c r="Q147" s="28" t="n">
        <v>-0.148904</v>
      </c>
      <c r="R147" s="26" t="n">
        <v>0</v>
      </c>
      <c r="S147" s="29" t="n">
        <v>1</v>
      </c>
      <c r="T147" s="24" t="inlineStr">
        <is>
          <t>dota2-tiered-elo-v6</t>
        </is>
      </c>
      <c r="U147" s="24" t="inlineStr">
        <is>
          <t>open</t>
        </is>
      </c>
      <c r="V147" s="24" t="n"/>
      <c r="W147" s="26" t="n"/>
      <c r="X147" s="26" t="n"/>
      <c r="Y147" s="25" t="n"/>
      <c r="Z147" s="26" t="n"/>
      <c r="AA147" s="28" t="n"/>
      <c r="AB147" s="28" t="n"/>
      <c r="AC147" s="30" t="n"/>
      <c r="AD147" s="24" t="n"/>
      <c r="AE147" s="31" t="inlineStr">
        <is>
          <t>Neutral Elo baseline; executable ask 0.7000 (market_slug=aec-dota2-db-y123-2026-10-07).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PAPER_CALL_MODEL_UNVALIDATED</t>
        </is>
      </c>
      <c r="AP147" s="24" t="inlineStr">
        <is>
          <t>ЯЧЁ123</t>
        </is>
      </c>
      <c r="AQ147" s="24" t="inlineStr">
        <is>
          <t>ЯЧЁ123</t>
        </is>
      </c>
      <c r="AR147" s="24" t="inlineStr">
        <is>
          <t>ЯЧЁ123</t>
        </is>
      </c>
      <c r="AS147" s="24" t="inlineStr">
        <is>
          <t>Direborn</t>
        </is>
      </c>
      <c r="AT147" s="24" t="inlineStr">
        <is>
          <t>Direborn</t>
        </is>
      </c>
      <c r="AU147" s="24" t="inlineStr">
        <is>
          <t>Direborn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c6996bf486b3088429204679c4a6b5d24c63cbcf4cadb3e51613f46a7fcb8642</t>
        </is>
      </c>
      <c r="BB147" s="24" t="inlineStr">
        <is>
          <t>neutral_elo</t>
        </is>
      </c>
      <c r="BC147" s="24" t="inlineStr">
        <is>
          <t>dota2-tiered-elo-v6</t>
        </is>
      </c>
      <c r="BD147" s="24" t="inlineStr">
        <is>
          <t>c6996bf486b3088429204679c4a6b5d24c63cbcf4cadb3e51613f46a7fcb8642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dota2-tiered-elo-v6</t>
        </is>
      </c>
      <c r="BH147" s="24" t="inlineStr">
        <is>
          <t>2026-10-06T22:25:25.556351Z</t>
        </is>
      </c>
      <c r="BI147" s="24" t="inlineStr">
        <is>
          <t>["same_event","same_team_same_day","same_league_same_day"]</t>
        </is>
      </c>
      <c r="BJ147" s="25" t="n"/>
      <c r="BK147" s="26" t="n">
        <v>-233</v>
      </c>
      <c r="BL147" s="27" t="n">
        <v>1.429185</v>
      </c>
      <c r="BM147" s="28" t="n">
        <v>0.6997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n"/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"c6996bf486b3088429204679c4a6b5d24c63cbcf4cadb3e51613f46a7fcb8642", "away_team": "\u042f\u0427\u0401123", "event_id": "145226", "event_start_utc": "2026-10-07T03:00:00Z", "features": {"away_elo": 1500.0, "away_history_count": 0, "home_elo": 1584.551416, "home_history_count": 37}, "historical_source_observation_times_verified": false, "home_team": "Direborn", "inference_inputs": {"book_state": {"games_played": {"bo3:4:24344": 37}, "inactivity_half_life_days": null, "inactivity_max_pull": null, "k": 48.0, "last_match_utc": {"bo3:4:24344": "2026-10-06T06:30:00Z"}, "minimum_reliable_games": null, "platt_intercept": 0.07646024717646603, "platt_slope": 0.8471774676108041, "ratings": {"bo3:4:24344": 1584.551416},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"2026-10-06T22:25:25.483347+00:00", "team_ids": ["bo3:4:24344", "unknown:\u044f\u0447\u0435123"]}, "market_type": "moneyline", "model_version": "dota2-tiered-elo-v6", "observed_at_utc": "2026-10-06T22:25:25.483347+00:00", "probabilities": {"away": 0.449204, "home": 0.550796}, "replay_scope": "Exact serving book state, calibration, temperature, inactivity reference and thin-history adjustments; training provenance not certified.", "schema": "esports-elo-replay-v1", "snapshot_hash": "dc330291efd584143729f621ac5b58f7d873a090a9b0f169c927e0ebb9493b25", "sport": "DOTA2"}</t>
        </is>
      </c>
    </row>
    <row r="148" ht="36" customHeight="1">
      <c r="A148" s="24" t="inlineStr">
        <is>
          <t>380c7106e0754118</t>
        </is>
      </c>
      <c r="B148" s="24" t="inlineStr">
        <is>
          <t>2026-10-06T22:25:56.390271Z</t>
        </is>
      </c>
      <c r="C148" s="24" t="inlineStr">
        <is>
          <t>2026-10-07T09:00:00Z</t>
        </is>
      </c>
      <c r="D148" s="24" t="inlineStr">
        <is>
          <t>145796</t>
        </is>
      </c>
      <c r="E148" s="24" t="inlineStr">
        <is>
          <t>DOTA2</t>
        </is>
      </c>
      <c r="F148" s="24" t="inlineStr">
        <is>
          <t>Yellow Submarine</t>
        </is>
      </c>
      <c r="G148" s="24" t="inlineStr">
        <is>
          <t>Blasterbl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0.640253</v>
      </c>
      <c r="P148" s="28" t="n"/>
      <c r="Q148" s="28" t="n">
        <v>0.030878</v>
      </c>
      <c r="R148" s="26" t="n">
        <v>35</v>
      </c>
      <c r="S148" s="29" t="n">
        <v>1</v>
      </c>
      <c r="T148" s="24" t="inlineStr">
        <is>
          <t>dota2-tiered-elo-v6</t>
        </is>
      </c>
      <c r="U148" s="24" t="inlineStr">
        <is>
          <t>open</t>
        </is>
      </c>
      <c r="V148" s="24" t="n"/>
      <c r="W148" s="26" t="n"/>
      <c r="X148" s="26" t="n"/>
      <c r="Y148" s="25" t="n"/>
      <c r="Z148" s="26" t="n"/>
      <c r="AA148" s="28" t="n"/>
      <c r="AB148" s="28" t="n"/>
      <c r="AC148" s="30" t="n"/>
      <c r="AD148" s="24" t="n"/>
      <c r="AE148" s="31" t="inlineStr">
        <is>
          <t>Neutral Elo baseline; executable ask 0.6100 (market_slug=aec-dota2-bbl-yes-2026-10-07).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Yellow Submarine</t>
        </is>
      </c>
      <c r="AQ148" s="24" t="inlineStr">
        <is>
          <t>Yellow Submarine</t>
        </is>
      </c>
      <c r="AR148" s="24" t="inlineStr">
        <is>
          <t>Yellow Submarine</t>
        </is>
      </c>
      <c r="AS148" s="24" t="inlineStr">
        <is>
          <t>Blasterbl</t>
        </is>
      </c>
      <c r="AT148" s="24" t="inlineStr">
        <is>
          <t>Blasterbl</t>
        </is>
      </c>
      <c r="AU148" s="24" t="inlineStr">
        <is>
          <t>Blasterbl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c6996bf486b3088429204679c4a6b5d24c63cbcf4cadb3e51613f46a7fcb8642</t>
        </is>
      </c>
      <c r="BB148" s="24" t="inlineStr">
        <is>
          <t>neutral_elo</t>
        </is>
      </c>
      <c r="BC148" s="24" t="inlineStr">
        <is>
          <t>dota2-tiered-elo-v6</t>
        </is>
      </c>
      <c r="BD148" s="24" t="inlineStr">
        <is>
          <t>c6996bf486b3088429204679c4a6b5d24c63cbcf4cadb3e51613f46a7fcb8642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dota2-tiered-elo-v6</t>
        </is>
      </c>
      <c r="BH148" s="24" t="inlineStr">
        <is>
          <t>2026-10-06T22:25:25.683597Z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n"/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"c6996bf486b3088429204679c4a6b5d24c63cbcf4cadb3e51613f46a7fcb8642", "away_team": "Yellow Submarine", "event_id": "145796", "event_start_utc": "2026-10-07T09:00:00Z", "features": {"away_elo": 1759.660919, "away_history_count": 286, "home_elo": 1497.898695, "home_history_count": 2}, "historical_source_observation_times_verified": false, "home_team": "Blasterbl", "inference_inputs": {"book_state": {"games_played": {"bo3:4:16486": 286, "bo3:4:23832": 2}, "inactivity_half_life_days": null, "inactivity_max_pull": null, "k": 48.0, "last_match_utc": {"bo3:4:16486": "2026-10-06T14:35:00Z", "bo3:4:23832": "2026-10-06T12:20:00Z"}, "minimum_reliable_games": null, "platt_intercept": 0.07646024717646603, "platt_slope": 0.8471774676108041, "ratings": {"bo3:4:16486": 1759.660919, "bo3:4:23832": 1497.898695},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"2026-10-06T22:25:25.483347+00:00", "team_ids": ["bo3:4:23832", "bo3:4:16486"]}, "market_type": "moneyline", "model_version": "dota2-tiered-elo-v6", "observed_at_utc": "2026-10-06T22:25:25.483347+00:00", "probabilities": {"away": 0.640253, "home": 0.359747}, "replay_scope": "Exact serving book state, calibration, temperature, inactivity reference and thin-history adjustments; training provenance not certified.", "schema": "esports-elo-replay-v1", "snapshot_hash": "72c0f4514c8da658b54751da2293583b1dca94c0c2906e7fcb514d3472bc5bc3", "sport": "DOTA2"}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2026-10-06T22:27:57Z</dcterms:created>
  <dcterms:modified xmlns:dcterms="http://purl.org/dc/terms/" xmlns:xsi="http://www.w3.org/2001/XMLSchema-instance" xsi:type="dcterms:W3CDTF">2026-10-06T22:27:57Z</dcterms:modified>
</cp:coreProperties>
</file>