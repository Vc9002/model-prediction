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57" headerRowCount="1">
  <autoFilter ref="A1:DQ57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COUNTA('Picks'!$A$2:$A$57)</f>
        <v/>
      </c>
      <c r="C4" s="6">
        <f>COUNTIF('Picks'!$U$2:$U$57,"open")</f>
        <v/>
      </c>
      <c r="E4" s="6">
        <f>COUNTIF('Picks'!$U$2:$U$57,"settled")</f>
        <v/>
      </c>
      <c r="G4" s="6">
        <f>IF(COUNTIFS('Picks'!$U$2:$U$57,"settled",'Picks'!$V$2:$V$57,"win")+COUNTIFS('Picks'!$U$2:$U$57,"settled",'Picks'!$V$2:$V$57,"loss")&gt;=$L$2,"Ready","Insufficient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COUNTIF('Picks'!$BX$2:$BX$57,"&gt;0")</f>
        <v/>
      </c>
      <c r="C7" s="6">
        <f>COUNTIFS('Picks'!$BX$2:$BX$57,"&gt;0",'Picks'!$V$2:$V$57,"win")&amp;"-"&amp;COUNTIFS('Picks'!$BX$2:$BX$57,"&gt;0",'Picks'!$V$2:$V$57,"loss")</f>
        <v/>
      </c>
      <c r="E7" s="7">
        <f>IFERROR(COUNTIFS('Picks'!$BX$2:$BX$57,"&gt;0",'Picks'!$V$2:$V$57,"win")/(COUNTIFS('Picks'!$BX$2:$BX$57,"&gt;0",'Picks'!$V$2:$V$57,"win")+COUNTIFS('Picks'!$BX$2:$BX$57,"&gt;0",'Picks'!$V$2:$V$57,"loss")),0)</f>
        <v/>
      </c>
      <c r="G7" s="7">
        <f>IFERROR(SUM('Picks'!$BY$2:$BY$57)/SUM('Picks'!$BX$2:$BX$57),0)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SUM('Picks'!$BY$2:$BY$57)</f>
        <v/>
      </c>
      <c r="C10" s="9">
        <f>IFERROR(AVERAGEIF('Picks'!$AB$2:$AB$57,"&lt;&gt;",'Picks'!$AB$2:$AB$57),0)</f>
        <v/>
      </c>
      <c r="E10" s="6">
        <f>COUNTIFS('Picks'!$AM$2:$AM$57,"QUALIFIED_SHADOW_CALL",'Picks'!$U$2:$U$57,"settled")</f>
        <v/>
      </c>
      <c r="G10" s="8">
        <f>SUMIFS('Picks'!$AC$2:$AC$57,'Picks'!$AM$2:$AM$57,"QUALIFIED_SHADOW_CALL")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COUNTIFS('Picks'!$H$2:$H$57,$A14,'Picks'!$U$2:$U$57,"settled")</f>
        <v/>
      </c>
      <c r="C14" s="13">
        <f>COUNTIFS('Picks'!$H$2:$H$57,$A14,'Picks'!$U$2:$U$57,"settled",'Picks'!$V$2:$V$57,"win")</f>
        <v/>
      </c>
      <c r="D14" s="13">
        <f>COUNTIFS('Picks'!$H$2:$H$57,$A14,'Picks'!$U$2:$U$57,"settled",'Picks'!$V$2:$V$57,"loss")</f>
        <v/>
      </c>
      <c r="E14" s="14">
        <f>IFERROR(C14/(C14+D14),0)</f>
        <v/>
      </c>
      <c r="F14" s="15">
        <f>SUMIFS('Picks'!$BY$2:$BY$57,'Picks'!$H$2:$H$57,$A14)</f>
        <v/>
      </c>
      <c r="G14" s="16">
        <f>IFERROR(AVERAGEIFS('Picks'!$AB$2:$AB$57,'Picks'!$H$2:$H$57,$A14,'Picks'!$U$2:$U$57,"settled"),0)</f>
        <v/>
      </c>
    </row>
    <row r="15">
      <c r="A15" s="17" t="inlineStr">
        <is>
          <t>spread</t>
        </is>
      </c>
      <c r="B15" s="18">
        <f>COUNTIFS('Picks'!$H$2:$H$57,$A15,'Picks'!$U$2:$U$57,"settled")</f>
        <v/>
      </c>
      <c r="C15" s="18">
        <f>COUNTIFS('Picks'!$H$2:$H$57,$A15,'Picks'!$U$2:$U$57,"settled",'Picks'!$V$2:$V$57,"win")</f>
        <v/>
      </c>
      <c r="D15" s="18">
        <f>COUNTIFS('Picks'!$H$2:$H$57,$A15,'Picks'!$U$2:$U$57,"settled",'Picks'!$V$2:$V$57,"loss")</f>
        <v/>
      </c>
      <c r="E15" s="19">
        <f>IFERROR(C15/(C15+D15),0)</f>
        <v/>
      </c>
      <c r="F15" s="20">
        <f>SUMIFS('Picks'!$BY$2:$BY$57,'Picks'!$H$2:$H$57,$A15)</f>
        <v/>
      </c>
      <c r="G15" s="21">
        <f>IFERROR(AVERAGEIFS('Picks'!$AB$2:$AB$57,'Picks'!$H$2:$H$57,$A15,'Picks'!$U$2:$U$57,"settled"),0)</f>
        <v/>
      </c>
    </row>
    <row r="16">
      <c r="A16" s="12" t="inlineStr">
        <is>
          <t>total</t>
        </is>
      </c>
      <c r="B16" s="13">
        <f>COUNTIFS('Picks'!$H$2:$H$57,$A16,'Picks'!$U$2:$U$57,"settled")</f>
        <v/>
      </c>
      <c r="C16" s="13">
        <f>COUNTIFS('Picks'!$H$2:$H$57,$A16,'Picks'!$U$2:$U$57,"settled",'Picks'!$V$2:$V$57,"win")</f>
        <v/>
      </c>
      <c r="D16" s="13">
        <f>COUNTIFS('Picks'!$H$2:$H$57,$A16,'Picks'!$U$2:$U$57,"settled",'Picks'!$V$2:$V$57,"loss")</f>
        <v/>
      </c>
      <c r="E16" s="14">
        <f>IFERROR(C16/(C16+D16),0)</f>
        <v/>
      </c>
      <c r="F16" s="15">
        <f>SUMIFS('Picks'!$BY$2:$BY$57,'Picks'!$H$2:$H$57,$A16)</f>
        <v/>
      </c>
      <c r="G16" s="16">
        <f>IFERROR(AVERAGEIFS('Picks'!$AB$2:$AB$57,'Picks'!$H$2:$H$57,$A16,'Picks'!$U$2:$U$57,"settled"),0)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16e8a60d60bb4213</t>
        </is>
      </c>
      <c r="B2" s="24" t="inlineStr">
        <is>
          <t>2026-09-22T16:06:53.251135Z</t>
        </is>
      </c>
      <c r="C2" s="24" t="inlineStr">
        <is>
          <t>2026-09-22T18:35:00-0400</t>
        </is>
      </c>
      <c r="D2" s="24" t="inlineStr">
        <is>
          <t>401817035</t>
        </is>
      </c>
      <c r="E2" s="24" t="inlineStr">
        <is>
          <t>MLB</t>
        </is>
      </c>
      <c r="F2" s="24" t="inlineStr">
        <is>
          <t>Toronto Blue Jays</t>
        </is>
      </c>
      <c r="G2" s="24" t="inlineStr">
        <is>
          <t>Baltimore Orioles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espn</t>
        </is>
      </c>
      <c r="L2" s="26" t="n">
        <v>-110</v>
      </c>
      <c r="M2" s="27" t="n">
        <v>1.909091</v>
      </c>
      <c r="N2" s="28" t="n">
        <v>0.52381</v>
      </c>
      <c r="O2" s="28" t="n">
        <v>0.51771</v>
      </c>
      <c r="P2" s="28" t="n"/>
      <c r="Q2" s="28" t="n">
        <v>-0.0061</v>
      </c>
      <c r="R2" s="26" t="n">
        <v>47</v>
      </c>
      <c r="S2" s="29" t="n">
        <v>1</v>
      </c>
      <c r="T2" s="24" t="inlineStr">
        <is>
          <t>mlb-elo-trend-lr-v8</t>
        </is>
      </c>
      <c r="U2" s="24" t="inlineStr">
        <is>
          <t>settled</t>
        </is>
      </c>
      <c r="V2" s="24" t="inlineStr">
        <is>
          <t>push</t>
        </is>
      </c>
      <c r="W2" s="26" t="n"/>
      <c r="X2" s="26" t="n"/>
      <c r="Y2" s="25" t="n"/>
      <c r="Z2" s="26" t="n"/>
      <c r="AA2" s="28" t="n"/>
      <c r="AB2" s="28" t="n"/>
      <c r="AC2" s="30" t="n">
        <v>0</v>
      </c>
      <c r="AD2" s="24" t="inlineStr">
        <is>
          <t>2026-10-06T05:33:04.360497Z</t>
        </is>
      </c>
      <c r="AE2" s="31" t="inlineStr">
        <is>
          <t>Learned LR call at threshold 0.6197; no Polymarket quote available — using -110 default odds.</t>
        </is>
      </c>
      <c r="AF2" s="31" t="inlineStr">
        <is>
          <t>Learned model; shadow-qualified via operator override.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paper_call</t>
        </is>
      </c>
      <c r="AL2" s="26" t="n">
        <v>4</v>
      </c>
      <c r="AM2" s="24" t="inlineStr">
        <is>
          <t>RESEARCH_OBSERVATION</t>
        </is>
      </c>
      <c r="AN2" s="24" t="inlineStr">
        <is>
          <t>CALL</t>
        </is>
      </c>
      <c r="AO2" s="24" t="inlineStr">
        <is>
          <t>PAPER_CALL_BELOW_LEARNED_CONFIDENCE</t>
        </is>
      </c>
      <c r="AP2" s="24" t="inlineStr">
        <is>
          <t>mlb-tor</t>
        </is>
      </c>
      <c r="AQ2" s="24" t="inlineStr">
        <is>
          <t>Toronto Blue Jays</t>
        </is>
      </c>
      <c r="AR2" s="24" t="inlineStr">
        <is>
          <t>Toronto Blue Jays</t>
        </is>
      </c>
      <c r="AS2" s="24" t="inlineStr">
        <is>
          <t>mlb-bal</t>
        </is>
      </c>
      <c r="AT2" s="24" t="inlineStr">
        <is>
          <t>Baltimore Orioles</t>
        </is>
      </c>
      <c r="AU2" s="24" t="inlineStr">
        <is>
          <t>Baltimore Orioles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3b345499bd6bad9bcf65367a07fe0c668fb5817d4f016a0a865c01d9212fdeb8</t>
        </is>
      </c>
      <c r="BB2" s="24" t="inlineStr">
        <is>
          <t>learned_lr</t>
        </is>
      </c>
      <c r="BC2" s="24" t="inlineStr">
        <is>
          <t>mlb-elo-trend-lr-v8</t>
        </is>
      </c>
      <c r="BD2" s="24" t="inlineStr">
        <is>
          <t>3b345499bd6bad9bcf65367a07fe0c668fb5817d4f016a0a865c01d9212fdeb8</t>
        </is>
      </c>
      <c r="BE2" s="24" t="inlineStr">
        <is>
          <t>d5b6c4c1957534ef</t>
        </is>
      </c>
      <c r="BF2" s="24" t="inlineStr">
        <is>
          <t>1</t>
        </is>
      </c>
      <c r="BG2" s="24" t="inlineStr">
        <is>
          <t>mlb-elo-trend-lr-v8</t>
        </is>
      </c>
      <c r="BH2" s="24" t="inlineStr">
        <is>
          <t>2026-09-22T16:06:53.251135Z</t>
        </is>
      </c>
      <c r="BI2" s="24" t="inlineStr">
        <is>
          <t>["same_event","same_team_same_day","same_league_same_day"]</t>
        </is>
      </c>
      <c r="BJ2" s="25" t="n"/>
      <c r="BK2" s="26" t="n">
        <v>-110</v>
      </c>
      <c r="BL2" s="27" t="n">
        <v>1.909091</v>
      </c>
      <c r="BM2" s="28" t="n">
        <v>0.52381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inlineStr">
        <is>
          <t>event status_postponed</t>
        </is>
      </c>
      <c r="BX2" s="30" t="n"/>
      <c r="BY2" s="27" t="n"/>
      <c r="BZ2" s="24" t="n"/>
      <c r="CA2" s="31" t="n"/>
      <c r="CB2" s="24" t="n"/>
      <c r="CC2" s="24" t="inlineStr">
        <is>
          <t>0.5139787518</t>
        </is>
      </c>
      <c r="CD2" s="24" t="inlineStr">
        <is>
          <t>-0.557171</t>
        </is>
      </c>
      <c r="CE2" s="24" t="inlineStr">
        <is>
          <t>1.014</t>
        </is>
      </c>
      <c r="CF2" s="24" t="inlineStr">
        <is>
          <t>0.9894</t>
        </is>
      </c>
      <c r="CG2" s="24" t="n"/>
      <c r="CH2" s="24" t="n"/>
      <c r="CI2" s="24" t="n"/>
      <c r="CJ2" s="24" t="inlineStr">
        <is>
          <t>1.174555</t>
        </is>
      </c>
      <c r="CK2" s="24" t="n"/>
      <c r="CL2" s="24" t="inlineStr">
        <is>
          <t>-0.121081</t>
        </is>
      </c>
      <c r="CM2" s="24" t="inlineStr">
        <is>
          <t>-0.2632</t>
        </is>
      </c>
      <c r="CN2" s="24" t="n"/>
      <c r="CO2" s="24" t="n"/>
      <c r="CP2" s="24" t="n"/>
      <c r="CQ2" s="24" t="n"/>
      <c r="CR2" s="24" t="n"/>
      <c r="CS2" s="24" t="inlineStr">
        <is>
          <t>False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0.52381</t>
        </is>
      </c>
      <c r="DK2" s="24" t="n"/>
      <c r="DL2" s="24" t="n"/>
      <c r="DM2" s="24" t="n"/>
      <c r="DN2" s="24" t="n"/>
      <c r="DO2" s="24" t="n"/>
      <c r="DP2" s="24" t="n"/>
      <c r="DQ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0.5177101212075694, "event_id": "401817035", "event_start_utc": "2026-09-22T22:35:00+00:00", "features": {"bullpen_weakness_gap": -0.121081, "elo_probability": 0.5139787517563803, "park_factor": 1.014, "starter_era_gap": -0.2632, "trend_gap": -0.5571710000000001, "weather_factor": 0.9894}, "historical_source_observation_times_verified": false, "model_version": "mlb-elo-trend-lr-v8", "observed_at_utc": "2026-09-22T16:06:53.251135+00:00", "schema": "learned-moneyline-replay-v1", "served_home_probability": 0.5177101212075694, "snapshot_hash": "deda01fb9532ad87b7778167bdf0a23d2131a8c8a6d80ee39d587ffaf809220a"}</t>
        </is>
      </c>
    </row>
    <row r="3" ht="36" customHeight="1">
      <c r="A3" s="24" t="inlineStr">
        <is>
          <t>41017f2e5c5b400f</t>
        </is>
      </c>
      <c r="B3" s="24" t="inlineStr">
        <is>
          <t>2026-09-22T16:07:38.446006Z</t>
        </is>
      </c>
      <c r="C3" s="24" t="inlineStr">
        <is>
          <t>2026-09-22T22:35Z</t>
        </is>
      </c>
      <c r="D3" s="24" t="inlineStr">
        <is>
          <t>401817035</t>
        </is>
      </c>
      <c r="E3" s="24" t="inlineStr">
        <is>
          <t>MLB</t>
        </is>
      </c>
      <c r="F3" s="24" t="inlineStr">
        <is>
          <t>Toronto Blue Jays</t>
        </is>
      </c>
      <c r="G3" s="24" t="inlineStr">
        <is>
          <t>Baltimore Orioles</t>
        </is>
      </c>
      <c r="H3" s="24" t="inlineStr">
        <is>
          <t>spread</t>
        </is>
      </c>
      <c r="I3" s="24" t="inlineStr">
        <is>
          <t>away</t>
        </is>
      </c>
      <c r="J3" s="25" t="n">
        <v>1.5</v>
      </c>
      <c r="K3" s="24" t="inlineStr">
        <is>
          <t>espn_market_consensus</t>
        </is>
      </c>
      <c r="L3" s="26" t="n">
        <v>-207</v>
      </c>
      <c r="M3" s="27" t="n">
        <v>1.483092</v>
      </c>
      <c r="N3" s="28" t="n">
        <v>0.6742669999999999</v>
      </c>
      <c r="O3" s="28" t="n">
        <v>0.5874239999999999</v>
      </c>
      <c r="P3" s="28" t="n">
        <v>0.042131</v>
      </c>
      <c r="Q3" s="28" t="n">
        <v>-0.086843</v>
      </c>
      <c r="R3" s="26" t="n">
        <v>0</v>
      </c>
      <c r="S3" s="29" t="n">
        <v>1</v>
      </c>
      <c r="T3" s="24" t="inlineStr">
        <is>
          <t>measured-edge-margin-v3</t>
        </is>
      </c>
      <c r="U3" s="24" t="inlineStr">
        <is>
          <t>settled</t>
        </is>
      </c>
      <c r="V3" s="24" t="inlineStr">
        <is>
          <t>push</t>
        </is>
      </c>
      <c r="W3" s="26" t="n"/>
      <c r="X3" s="26" t="n"/>
      <c r="Y3" s="25" t="n"/>
      <c r="Z3" s="26" t="n"/>
      <c r="AA3" s="28" t="n"/>
      <c r="AB3" s="28" t="n"/>
      <c r="AC3" s="30" t="n">
        <v>0</v>
      </c>
      <c r="AD3" s="24" t="inlineStr">
        <is>
          <t>2026-10-06T05:33:15.022938Z</t>
        </is>
      </c>
      <c r="AE3" s="31" t="inlineStr">
        <is>
          <t>Measured Edge Margin: Trend Engine projected 4.46-4.85; raw selected-side p=0.6283, calibrated p=0.5874.</t>
        </is>
      </c>
      <c r="AF3" s="31" t="inlineStr">
        <is>
          <t>Research-only; lineup, bullpen, park, weather, xFIP, and wRC+ may be neutral fallbacks; market availability and BBO depth may change before first pitch.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4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mlb-tor</t>
        </is>
      </c>
      <c r="AQ3" s="24" t="inlineStr">
        <is>
          <t>Toronto Blue Jays</t>
        </is>
      </c>
      <c r="AR3" s="24" t="inlineStr">
        <is>
          <t>Toronto Blue Jays</t>
        </is>
      </c>
      <c r="AS3" s="24" t="inlineStr">
        <is>
          <t>mlb-bal</t>
        </is>
      </c>
      <c r="AT3" s="24" t="inlineStr">
        <is>
          <t>Baltimore Orioles</t>
        </is>
      </c>
      <c r="AU3" s="24" t="inlineStr">
        <is>
          <t>Baltimore Orioles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research</t>
        </is>
      </c>
      <c r="BA3" s="24" t="inlineStr">
        <is>
          <t>dd339a2eed50d7d83ab2127837995ddab82e879afd27f5414bb6c1f9cd60ba4c</t>
        </is>
      </c>
      <c r="BB3" s="24" t="inlineStr">
        <is>
          <t>flat_probability_shrinkage_toward_half</t>
        </is>
      </c>
      <c r="BC3" s="24" t="inlineStr">
        <is>
          <t>measured-edge-margin-v3</t>
        </is>
      </c>
      <c r="BD3" s="24" t="inlineStr">
        <is>
          <t>dd339a2eed50d7d83ab2127837995ddab82e879afd27f5414bb6c1f9cd60ba4c</t>
        </is>
      </c>
      <c r="BE3" s="24" t="inlineStr">
        <is>
          <t>v3</t>
        </is>
      </c>
      <c r="BF3" s="24" t="inlineStr">
        <is>
          <t>1</t>
        </is>
      </c>
      <c r="BG3" s="24" t="inlineStr">
        <is>
          <t>measured-edge-paired-v1</t>
        </is>
      </c>
      <c r="BH3" s="24" t="inlineStr">
        <is>
          <t>2026-09-22T16:07:38.446006Z</t>
        </is>
      </c>
      <c r="BI3" s="24" t="inlineStr">
        <is>
          <t>["same_event","same_team_same_day","same_league_same_day"]</t>
        </is>
      </c>
      <c r="BJ3" s="25" t="n">
        <v>1.5</v>
      </c>
      <c r="BK3" s="26" t="n">
        <v>-207</v>
      </c>
      <c r="BL3" s="27" t="n">
        <v>1.483092</v>
      </c>
      <c r="BM3" s="28" t="n">
        <v>0.6742669999999999</v>
      </c>
      <c r="BN3" s="28" t="n">
        <v>0.644606</v>
      </c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inlineStr">
        <is>
          <t>event status_postponed</t>
        </is>
      </c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False</t>
        </is>
      </c>
      <c r="CT3" s="24" t="inlineStr">
        <is>
          <t>6996251611d984f5d783c55874d6184a0285e0269f72e23eb18d19f2328b1a28</t>
        </is>
      </c>
      <c r="CU3" s="24" t="inlineStr">
        <is>
          <t>429f55c97f0c127ef03b3dd4f923e3940849b3e48138212e33261c4f90c9f15d</t>
        </is>
      </c>
      <c r="CV3" s="24" t="inlineStr">
        <is>
          <t>/Users/vincentc9002/model-prediction/config/model.yaml</t>
        </is>
      </c>
      <c r="CW3" s="24" t="inlineStr">
        <is>
          <t>1ac81f4be213944a7cce95cbe9a52520e640a9cc5ea1424409aeda60b059f716</t>
        </is>
      </c>
      <c r="CX3" s="24" t="inlineStr">
        <is>
          <t>/Users/vincentc9002/model-prediction/config/models/measured-edge-margin-v3.json</t>
        </is>
      </c>
      <c r="CY3" s="24" t="inlineStr">
        <is>
          <t>2026-09-22T16:07:38.446006Z</t>
        </is>
      </c>
      <c r="CZ3" s="24" t="inlineStr">
        <is>
          <t>True</t>
        </is>
      </c>
      <c r="DA3" s="24" t="inlineStr">
        <is>
          <t>espn_market_consensus</t>
        </is>
      </c>
      <c r="DB3" s="24" t="inlineStr">
        <is>
          <t>decision_time_sportsbook_quote</t>
        </is>
      </c>
      <c r="DC3" s="24" t="n"/>
      <c r="DD3" s="24" t="inlineStr">
        <is>
          <t>1459cc51ccd422b13464d82644058465f1a88c878080025c4c2255df8060a1f9</t>
        </is>
      </c>
      <c r="DE3" s="24" t="inlineStr">
        <is>
          <t>/Users/vincentc9002/model-prediction/data/market_odds_snapshots.jsonl</t>
        </is>
      </c>
      <c r="DF3" s="24" t="inlineStr">
        <is>
          <t>1459cc51ccd422b13464d82644058465f1a88c878080025c4c2255df8060a1f9</t>
        </is>
      </c>
      <c r="DG3" s="24" t="inlineStr">
        <is>
          <t>live_forecast</t>
        </is>
      </c>
      <c r="DH3" s="24" t="inlineStr">
        <is>
          <t>False</t>
        </is>
      </c>
      <c r="DI3" s="24" t="inlineStr">
        <is>
          <t>0.587424</t>
        </is>
      </c>
      <c r="DJ3" s="24" t="inlineStr">
        <is>
          <t>0.6742671009771988</t>
        </is>
      </c>
      <c r="DK3" s="24" t="inlineStr">
        <is>
          <t>0.587424</t>
        </is>
      </c>
      <c r="DL3" s="24" t="n"/>
      <c r="DM3" s="24" t="n"/>
      <c r="DN3" s="24" t="n"/>
      <c r="DO3" s="24" t="n"/>
      <c r="DP3" s="24" t="n"/>
      <c r="DQ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"401817035", "event_start_utc": "2026-09-22T22:35Z", "features": {"away_bullpen_status": "available", "away_bullpen_weakness": 0.93224, "away_form": {"losses": 6, "runs_allowed": [7, 3, 1, 6, 10, 1, 7, 6, 2, 4], "runs_scored": [4, 7, 8, 5, 1, 5, 1, 2, 7, 3], "status": "available", "wins": 4}, "away_starter": {"last_five_batters_faced": 113, "last_five_earned_runs": 12, "last_five_innings": 27.666666666666668, "last_five_strikeouts": 22, "last_five_walks": 11, "name": "Max Scherzer", "player_id": "28976", "season_batters_faced": 315, "season_earned_runs": 49, "season_innings": 72.66666666666667, "season_strikeouts": 54, "season_walks": 31, "starts_before_game": 16, "status": "available", "throwing_hand": "Right", "xfip": null, "xfip_status": "unavailable_from_source"}, "away_team": "Toronto Blue Jays", "decision_timestamp_utc": "2026-09-22T20:35:00Z", "event_id": "401817035", "event_start_utc": "2026-09-22T22:35Z", "feature_snapshot_hash": "93a1360032125536854db6b1b195bb67b1ef416dacd9d3013a7f58d8d515713a", "home_bullpen_status": "available", "home_bullpen_weakness": 0.811159, "home_form": {"losses": 5, "runs_allowed": [4, 7, 8, 1, 5, 1, 6, 1, 3, 3], "runs_scored": [7, 3, 1, 2, 7, 7, 5, 0, 0, 4], "status": "available", "wins": 5}, "home_starter": {"last_five_batters_faced": 129, "last_five_earned_runs": 12, "last_five_innings": 29.666666666666668, "last_five_strikeouts": 26, "last_five_walks": 11, "name": "Chris Bassitt", "player_id": "33148", "season_batters_faced": 438, "season_earned_runs": 50, "season_innings": 97.0, "season_strikeouts": 72, "season_walks": 37, "starts_before_game": 19, "status": "available", "throwing_hand": "Right", "xfip": null, "xfip_status": "unavailable_from_source"}, "home_team": "Baltimore Orioles", "lineup_status": "unavailable_from_source", "market_snapshot_hash": "1459cc51ccd422b13464d82644058465f1a88c878080025c4c2255df8060a1f9", "park_factor": 1.014, "park_factor_status": "available", "source_snapshot_ids": ["9f0078e9f59f022b09ec440f74a6028c0c06b0a4249b9dba409c9eae23571f59", "d3ad7ee2393747efcb79971670cb0bae0a7d657c74a94a8e78e6060fbe1ac9ed", "20da0f903e5cb4c8653d495f903e0a9f49563f8989669321a86e6acd89ab2517", "8a82cc484fb214dfc9f9eef373e70bc2ee00ffcfe9678227a825ab7f357553fd", "d30dae89233f6e2d1d8162bf3432c80101453df869b7ab2d24b78e0dd57606f5"], "starter_confirmed": false, "starter_status": "probable", "weather_factor": 0.9894, "weather_status": "available", "wrc_plus_status": "unavailable_from_source"}, "formula_spec": {"away_field_run_factor": 1.0, "bullpen_elasticity": 0.069018, "configuration_hash": "4956642cd381be0fec9ed6a9fe779873ea55c3e32777de0ec08562c0a51849b0",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4.5409, "league_starter_era": 4.1974,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"2026-09-22T16:07:38.446006+00:00", "raw_probabilities": {"away": 0.6283, "home": 0.3717, "push": 0.0}, "replay_scope": "Exact features, formula and deterministic Monte Carlo seed inputs; independently calibrated sides are not a joint distribution.", "run_estimate": {"away_expected_runs": 4.461584, "configuration_hash": "4956642cd381be0fec9ed6a9fe779873ea55c3e32777de0ec08562c0a51849b0", "factors": {"away_bullpen_weakness_index": 0.93224, "away_field_run_factor": 1.0, "away_offense_index": 0.9606417293818778, "away_starter_weakness_index": 1.146377943327128, "home_bullpen_weakness_index": 0.811159, "home_field_run_factor": 1.04, "home_offense_index": 0.8903501065285964, "home_starter_weakness_index": 0.9900690796022253, "park_factor": 1.014, "weather_factor": 0.9894}, "feature_schema_version": "v3", "formula_version": "mlb-analyst-poisson-trend-v0.3", "home_expected_runs": 4.849273, "uncertainty": 0.042131, "uncertainty_components": {"base": 0.02, "lineup": 0.025, "missing_wrc_plus": 0.01, "missing_xfip": 0.01, "model_form": 0.01, "pitcher": 0.015, "starter_confirmation": 0.015}}, "schema": "mlb-margin-replay-v1", "served_probabilities": {"away": 0.587424, "home": 0.412576}, "snapshot_hash": "7d0eb5942ec87b5ba051a794d7b3c384996d68a15ff315112720056db1a56b26", "sport": "MLB"}</t>
        </is>
      </c>
    </row>
    <row r="4" ht="36" customHeight="1">
      <c r="A4" s="24" t="inlineStr">
        <is>
          <t>b2b1805305d649bb</t>
        </is>
      </c>
      <c r="B4" s="24" t="inlineStr">
        <is>
          <t>2026-09-22T16:07:38.446006Z</t>
        </is>
      </c>
      <c r="C4" s="24" t="inlineStr">
        <is>
          <t>2026-09-22T22:35Z</t>
        </is>
      </c>
      <c r="D4" s="24" t="inlineStr">
        <is>
          <t>401817035</t>
        </is>
      </c>
      <c r="E4" s="24" t="inlineStr">
        <is>
          <t>MLB</t>
        </is>
      </c>
      <c r="F4" s="24" t="inlineStr">
        <is>
          <t>Toronto Blue Jays</t>
        </is>
      </c>
      <c r="G4" s="24" t="inlineStr">
        <is>
          <t>Baltimore Orioles</t>
        </is>
      </c>
      <c r="H4" s="24" t="inlineStr">
        <is>
          <t>total</t>
        </is>
      </c>
      <c r="I4" s="24" t="inlineStr">
        <is>
          <t>over</t>
        </is>
      </c>
      <c r="J4" s="25" t="n">
        <v>7.5</v>
      </c>
      <c r="K4" s="24" t="inlineStr">
        <is>
          <t>espn_market_consensus</t>
        </is>
      </c>
      <c r="L4" s="26" t="n">
        <v>-110</v>
      </c>
      <c r="M4" s="27" t="n">
        <v>1.909091</v>
      </c>
      <c r="N4" s="28" t="n">
        <v>0.52381</v>
      </c>
      <c r="O4" s="28" t="n">
        <v>0.534999</v>
      </c>
      <c r="P4" s="28" t="n">
        <v>0.042131</v>
      </c>
      <c r="Q4" s="28" t="n">
        <v>0.011189</v>
      </c>
      <c r="R4" s="26" t="n">
        <v>42</v>
      </c>
      <c r="S4" s="29" t="n">
        <v>1</v>
      </c>
      <c r="T4" s="24" t="inlineStr">
        <is>
          <t>measured-edge-totals-v3</t>
        </is>
      </c>
      <c r="U4" s="24" t="inlineStr">
        <is>
          <t>settled</t>
        </is>
      </c>
      <c r="V4" s="24" t="inlineStr">
        <is>
          <t>push</t>
        </is>
      </c>
      <c r="W4" s="26" t="n"/>
      <c r="X4" s="26" t="n"/>
      <c r="Y4" s="25" t="n"/>
      <c r="Z4" s="26" t="n"/>
      <c r="AA4" s="28" t="n"/>
      <c r="AB4" s="28" t="n"/>
      <c r="AC4" s="30" t="n">
        <v>0</v>
      </c>
      <c r="AD4" s="24" t="inlineStr">
        <is>
          <t>2026-10-06T05:33:24.151870Z</t>
        </is>
      </c>
      <c r="AE4" s="31" t="inlineStr">
        <is>
          <t>Measured Edge Totals: Trend Engine projected 4.46-4.85; raw selected-side p=0.6176, calibrated p=0.5350.</t>
        </is>
      </c>
      <c r="AF4" s="31" t="inlineStr">
        <is>
          <t>Research-only; lineup, bullpen, park, weather, xFIP, and wRC+ may be neutral fallbacks; market availability and BBO depth may change before first pitch.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paper_call</t>
        </is>
      </c>
      <c r="AL4" s="26" t="n">
        <v>4</v>
      </c>
      <c r="AM4" s="24" t="inlineStr">
        <is>
          <t>RESEARCH_OBSERVATION</t>
        </is>
      </c>
      <c r="AN4" s="24" t="inlineStr">
        <is>
          <t>CALL</t>
        </is>
      </c>
      <c r="AO4" s="24" t="inlineStr">
        <is>
          <t>PAPER_CALL_MODEL_UNVALIDATED</t>
        </is>
      </c>
      <c r="AP4" s="24" t="inlineStr">
        <is>
          <t>mlb-tor</t>
        </is>
      </c>
      <c r="AQ4" s="24" t="inlineStr">
        <is>
          <t>Toronto Blue Jays</t>
        </is>
      </c>
      <c r="AR4" s="24" t="inlineStr">
        <is>
          <t>Toronto Blue Jays</t>
        </is>
      </c>
      <c r="AS4" s="24" t="inlineStr">
        <is>
          <t>mlb-bal</t>
        </is>
      </c>
      <c r="AT4" s="24" t="inlineStr">
        <is>
          <t>Baltimore Orioles</t>
        </is>
      </c>
      <c r="AU4" s="24" t="inlineStr">
        <is>
          <t>Baltimore Orioles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research</t>
        </is>
      </c>
      <c r="BA4" s="24" t="inlineStr">
        <is>
          <t>95b84332c75d2ce54036eb8de6ada9c78d0f80228c50825c0347281a8b9b49c7</t>
        </is>
      </c>
      <c r="BB4" s="24" t="inlineStr">
        <is>
          <t>flat_probability_shrinkage_toward_half</t>
        </is>
      </c>
      <c r="BC4" s="24" t="inlineStr">
        <is>
          <t>measured-edge-totals-v3</t>
        </is>
      </c>
      <c r="BD4" s="24" t="inlineStr">
        <is>
          <t>95b84332c75d2ce54036eb8de6ada9c78d0f80228c50825c0347281a8b9b49c7</t>
        </is>
      </c>
      <c r="BE4" s="24" t="inlineStr">
        <is>
          <t>v3</t>
        </is>
      </c>
      <c r="BF4" s="24" t="inlineStr">
        <is>
          <t>1</t>
        </is>
      </c>
      <c r="BG4" s="24" t="inlineStr">
        <is>
          <t>measured-edge-paired-v1</t>
        </is>
      </c>
      <c r="BH4" s="24" t="inlineStr">
        <is>
          <t>2026-09-22T16:07:38.446006Z</t>
        </is>
      </c>
      <c r="BI4" s="24" t="inlineStr">
        <is>
          <t>["same_event","same_team_same_day","same_league_same_day"]</t>
        </is>
      </c>
      <c r="BJ4" s="25" t="n">
        <v>7.5</v>
      </c>
      <c r="BK4" s="26" t="n">
        <v>-110</v>
      </c>
      <c r="BL4" s="27" t="n">
        <v>1.909091</v>
      </c>
      <c r="BM4" s="28" t="n">
        <v>0.52381</v>
      </c>
      <c r="BN4" s="28" t="n">
        <v>0.5</v>
      </c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inlineStr">
        <is>
          <t>event status_postponed</t>
        </is>
      </c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inlineStr">
        <is>
          <t>6996251611d984f5d783c55874d6184a0285e0269f72e23eb18d19f2328b1a28</t>
        </is>
      </c>
      <c r="CU4" s="24" t="inlineStr">
        <is>
          <t>429f55c97f0c127ef03b3dd4f923e3940849b3e48138212e33261c4f90c9f15d</t>
        </is>
      </c>
      <c r="CV4" s="24" t="inlineStr">
        <is>
          <t>/Users/vincentc9002/model-prediction/config/model.yaml</t>
        </is>
      </c>
      <c r="CW4" s="24" t="inlineStr">
        <is>
          <t>1dad20b56ac0a94181b31c5f71abe66cc0ee1acd8c8792d0aacf42b7a6fc32e6</t>
        </is>
      </c>
      <c r="CX4" s="24" t="inlineStr">
        <is>
          <t>/Users/vincentc9002/model-prediction/config/models/measured-edge-totals-v3.json</t>
        </is>
      </c>
      <c r="CY4" s="24" t="inlineStr">
        <is>
          <t>2026-09-22T16:07:38.446006Z</t>
        </is>
      </c>
      <c r="CZ4" s="24" t="inlineStr">
        <is>
          <t>True</t>
        </is>
      </c>
      <c r="DA4" s="24" t="inlineStr">
        <is>
          <t>espn_market_consensus</t>
        </is>
      </c>
      <c r="DB4" s="24" t="inlineStr">
        <is>
          <t>decision_time_sportsbook_quote</t>
        </is>
      </c>
      <c r="DC4" s="24" t="n"/>
      <c r="DD4" s="24" t="inlineStr">
        <is>
          <t>1459cc51ccd422b13464d82644058465f1a88c878080025c4c2255df8060a1f9</t>
        </is>
      </c>
      <c r="DE4" s="24" t="inlineStr">
        <is>
          <t>/Users/vincentc9002/model-prediction/data/market_odds_snapshots.jsonl</t>
        </is>
      </c>
      <c r="DF4" s="24" t="inlineStr">
        <is>
          <t>1459cc51ccd422b13464d82644058465f1a88c878080025c4c2255df8060a1f9</t>
        </is>
      </c>
      <c r="DG4" s="24" t="inlineStr">
        <is>
          <t>live_forecast</t>
        </is>
      </c>
      <c r="DH4" s="24" t="inlineStr">
        <is>
          <t>False</t>
        </is>
      </c>
      <c r="DI4" s="24" t="inlineStr">
        <is>
          <t>0.534999</t>
        </is>
      </c>
      <c r="DJ4" s="24" t="inlineStr">
        <is>
          <t>0.5238095238095238</t>
        </is>
      </c>
      <c r="DK4" s="24" t="inlineStr">
        <is>
          <t>0.534999</t>
        </is>
      </c>
      <c r="DL4" s="24" t="n"/>
      <c r="DM4" s="24" t="n"/>
      <c r="DN4" s="24" t="n"/>
      <c r="DO4" s="24" t="n"/>
      <c r="DP4" s="24" t="n"/>
      <c r="DQ4" s="24" t="n"/>
    </row>
    <row r="5" ht="36" customHeight="1">
      <c r="A5" s="24" t="inlineStr">
        <is>
          <t>3d6b5fe09b964216</t>
        </is>
      </c>
      <c r="B5" s="24" t="inlineStr">
        <is>
          <t>2026-09-22T16:07:38.642492Z</t>
        </is>
      </c>
      <c r="C5" s="24" t="inlineStr">
        <is>
          <t>2026-09-22T22:35Z</t>
        </is>
      </c>
      <c r="D5" s="24" t="inlineStr">
        <is>
          <t>401817035</t>
        </is>
      </c>
      <c r="E5" s="24" t="inlineStr">
        <is>
          <t>MLB</t>
        </is>
      </c>
      <c r="F5" s="24" t="inlineStr">
        <is>
          <t>Toronto Blue Jays</t>
        </is>
      </c>
      <c r="G5" s="24" t="inlineStr">
        <is>
          <t>Baltimore Orioles</t>
        </is>
      </c>
      <c r="H5" s="24" t="inlineStr">
        <is>
          <t>nrfi</t>
        </is>
      </c>
      <c r="I5" s="24" t="inlineStr">
        <is>
          <t>nrfi</t>
        </is>
      </c>
      <c r="J5" s="25" t="n">
        <v>0.5</v>
      </c>
      <c r="K5" s="24" t="inlineStr">
        <is>
          <t>model_fair</t>
        </is>
      </c>
      <c r="L5" s="26" t="n">
        <v>-107</v>
      </c>
      <c r="M5" s="27" t="n">
        <v>1.934579</v>
      </c>
      <c r="N5" s="28" t="n">
        <v>0.516908</v>
      </c>
      <c r="O5" s="28" t="n">
        <v>0.5175</v>
      </c>
      <c r="P5" s="28" t="n">
        <v>0.04</v>
      </c>
      <c r="Q5" s="28" t="n">
        <v>0.000592</v>
      </c>
      <c r="R5" s="26" t="n">
        <v>26</v>
      </c>
      <c r="S5" s="29" t="n">
        <v>1</v>
      </c>
      <c r="T5" s="24" t="inlineStr">
        <is>
          <t>mlb-nrfi-v2</t>
        </is>
      </c>
      <c r="U5" s="24" t="inlineStr">
        <is>
          <t>settled</t>
        </is>
      </c>
      <c r="V5" s="24" t="inlineStr">
        <is>
          <t>push</t>
        </is>
      </c>
      <c r="W5" s="26" t="n"/>
      <c r="X5" s="26" t="n"/>
      <c r="Y5" s="25" t="n"/>
      <c r="Z5" s="26" t="n"/>
      <c r="AA5" s="28" t="n"/>
      <c r="AB5" s="28" t="n"/>
      <c r="AC5" s="30" t="n">
        <v>0</v>
      </c>
      <c r="AD5" s="24" t="inlineStr">
        <is>
          <t>2026-10-06T05:33:33.197702Z</t>
        </is>
      </c>
      <c r="AE5" s="31" t="inlineStr">
        <is>
          <t>MLB 1st Inning NRFI: p=0.517 (mlb-nrfi-v2, 4050 training games)</t>
        </is>
      </c>
      <c r="AF5" s="31" t="inlineStr">
        <is>
          <t>1st inning variance, leadoff home run risk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paper_call</t>
        </is>
      </c>
      <c r="AL5" s="26" t="n">
        <v>4</v>
      </c>
      <c r="AM5" s="24" t="inlineStr">
        <is>
          <t>RESEARCH_OBSERVATION</t>
        </is>
      </c>
      <c r="AN5" s="24" t="inlineStr">
        <is>
          <t>CALL</t>
        </is>
      </c>
      <c r="AO5" s="24" t="inlineStr">
        <is>
          <t>PAPER_CALL_MODEL_UNVALIDATED</t>
        </is>
      </c>
      <c r="AP5" s="24" t="inlineStr">
        <is>
          <t>mlb-tor</t>
        </is>
      </c>
      <c r="AQ5" s="24" t="inlineStr">
        <is>
          <t>Toronto Blue Jays</t>
        </is>
      </c>
      <c r="AR5" s="24" t="inlineStr">
        <is>
          <t>Toronto Blue Jays</t>
        </is>
      </c>
      <c r="AS5" s="24" t="inlineStr">
        <is>
          <t>mlb-bal</t>
        </is>
      </c>
      <c r="AT5" s="24" t="inlineStr">
        <is>
          <t>Baltimore Orioles</t>
        </is>
      </c>
      <c r="AU5" s="24" t="inlineStr">
        <is>
          <t>Baltimore Orioles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2909cd421e057ee98f16cafaabeaf26a1e00b4d7d36eb86e9d93b45d584700ec</t>
        </is>
      </c>
      <c r="BB5" s="24" t="inlineStr">
        <is>
          <t>identity</t>
        </is>
      </c>
      <c r="BC5" s="24" t="inlineStr">
        <is>
          <t>identity-v1</t>
        </is>
      </c>
      <c r="BD5" s="24" t="n"/>
      <c r="BE5" s="24" t="inlineStr">
        <is>
          <t>1</t>
        </is>
      </c>
      <c r="BF5" s="24" t="inlineStr">
        <is>
          <t>1</t>
        </is>
      </c>
      <c r="BG5" s="24" t="inlineStr">
        <is>
          <t>unknown</t>
        </is>
      </c>
      <c r="BH5" s="24" t="inlineStr">
        <is>
          <t>2026-09-22T16:07:38.642492+00:00</t>
        </is>
      </c>
      <c r="BI5" s="24" t="inlineStr">
        <is>
          <t>["same_event","same_team_same_day","same_league_same_day"]</t>
        </is>
      </c>
      <c r="BJ5" s="25" t="n">
        <v>0.5</v>
      </c>
      <c r="BK5" s="26" t="n">
        <v>-107</v>
      </c>
      <c r="BL5" s="27" t="n">
        <v>1.934579</v>
      </c>
      <c r="BM5" s="28" t="n">
        <v>0.516908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inlineStr">
        <is>
          <t>event status_postponed</t>
        </is>
      </c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0.516908</t>
        </is>
      </c>
      <c r="DK5" s="24" t="n"/>
      <c r="DL5" s="24" t="n"/>
      <c r="DM5" s="24" t="n"/>
      <c r="DN5" s="24" t="n"/>
      <c r="DO5" s="24" t="n"/>
      <c r="DP5" s="24" t="n"/>
      <c r="DQ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"401817035", "event_start_utc": "2026-09-22T22:35Z", "features": {"away_starter_bb_pct": 0.0731, "away_starter_days_rest": 6.0, "away_starter_fip": 4.91, "away_starter_k_pct": 0.206, "away_starter_opp_1st_runs": 0.8758, "away_starter_starts": 3.7377, "away_team_1st_allowed_away": 0.5427, "away_team_1st_scored_away": 0.4661, "away_top3_composite": 0.11101, "home_starter_bb_pct": 0.0838, "home_starter_days_rest": 6.0, "home_starter_fip": 3.882, "home_starter_k_pct": 0.2094, "home_starter_opp_1st_runs": 0.5271, "home_starter_starts": 4.382, "home_team_1st_allowed_home": 0.5094, "home_team_1st_scored_home": 0.5035, "home_top3_composite": 0.106, "park_1st_runs": 0.9877}, "historical_source_observation_times_verified": false, "inference_inputs": {}, "model_version": "mlb-nrfi-v2", "observed_at_utc": "2026-09-22T16:07:38.642492+00:00", "replay_scope": "Exact final classifier/distribution inputs and artifact. Upstream historical feature construction not certified.", "schema": "scalar-artifact-replay-v1", "snapshot_hash": "bb6b13ce92d0fdc2d6bf480157f4f575eede1d69d1abbdb2abb8099a70f9fb77"}</t>
        </is>
      </c>
    </row>
    <row r="6" ht="36" customHeight="1">
      <c r="A6" s="24" t="inlineStr">
        <is>
          <t>5dcdec4ae9914a01</t>
        </is>
      </c>
      <c r="B6" s="24" t="inlineStr">
        <is>
          <t>2026-09-27T16:24:34.658073Z</t>
        </is>
      </c>
      <c r="C6" s="24" t="inlineStr">
        <is>
          <t>2026-09-27T13:05:00-0400</t>
        </is>
      </c>
      <c r="D6" s="24" t="inlineStr">
        <is>
          <t>401817103</t>
        </is>
      </c>
      <c r="E6" s="24" t="inlineStr">
        <is>
          <t>MLB</t>
        </is>
      </c>
      <c r="F6" s="24" t="inlineStr">
        <is>
          <t>Baltimore Orioles</t>
        </is>
      </c>
      <c r="G6" s="24" t="inlineStr">
        <is>
          <t>New York Yankees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espn</t>
        </is>
      </c>
      <c r="L6" s="26" t="n">
        <v>-110</v>
      </c>
      <c r="M6" s="27" t="n">
        <v>1.909091</v>
      </c>
      <c r="N6" s="28" t="n">
        <v>0.52381</v>
      </c>
      <c r="O6" s="28" t="n">
        <v>0.586753</v>
      </c>
      <c r="P6" s="28" t="n"/>
      <c r="Q6" s="28" t="n">
        <v>0.062943</v>
      </c>
      <c r="R6" s="26" t="n">
        <v>81</v>
      </c>
      <c r="S6" s="29" t="n">
        <v>1</v>
      </c>
      <c r="T6" s="24" t="inlineStr">
        <is>
          <t>mlb-elo-trend-lr-v8</t>
        </is>
      </c>
      <c r="U6" s="24" t="inlineStr">
        <is>
          <t>settled</t>
        </is>
      </c>
      <c r="V6" s="24" t="inlineStr">
        <is>
          <t>push</t>
        </is>
      </c>
      <c r="W6" s="26" t="n"/>
      <c r="X6" s="26" t="n"/>
      <c r="Y6" s="25" t="n"/>
      <c r="Z6" s="26" t="n"/>
      <c r="AA6" s="28" t="n"/>
      <c r="AB6" s="28" t="n"/>
      <c r="AC6" s="30" t="n">
        <v>0</v>
      </c>
      <c r="AD6" s="24" t="inlineStr">
        <is>
          <t>2026-10-06T05:33:41.461926Z</t>
        </is>
      </c>
      <c r="AE6" s="31" t="inlineStr">
        <is>
          <t>Learned LR call at threshold 0.6197; no Polymarket quote available — using -110 default odds.</t>
        </is>
      </c>
      <c r="AF6" s="31" t="inlineStr">
        <is>
          <t>Learned model; shadow-qualified via operator override.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paper_call</t>
        </is>
      </c>
      <c r="AL6" s="26" t="n">
        <v>4</v>
      </c>
      <c r="AM6" s="24" t="inlineStr">
        <is>
          <t>RESEARCH_OBSERVATION</t>
        </is>
      </c>
      <c r="AN6" s="24" t="inlineStr">
        <is>
          <t>CALL</t>
        </is>
      </c>
      <c r="AO6" s="24" t="inlineStr">
        <is>
          <t>PAPER_CALL_BELOW_LEARNED_CONFIDENCE</t>
        </is>
      </c>
      <c r="AP6" s="24" t="inlineStr">
        <is>
          <t>mlb-bal</t>
        </is>
      </c>
      <c r="AQ6" s="24" t="inlineStr">
        <is>
          <t>Baltimore Orioles</t>
        </is>
      </c>
      <c r="AR6" s="24" t="inlineStr">
        <is>
          <t>Baltimore Orioles</t>
        </is>
      </c>
      <c r="AS6" s="24" t="inlineStr">
        <is>
          <t>mlb-nyy</t>
        </is>
      </c>
      <c r="AT6" s="24" t="inlineStr">
        <is>
          <t>New York Yankees</t>
        </is>
      </c>
      <c r="AU6" s="24" t="inlineStr">
        <is>
          <t>New York Yankees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3b345499bd6bad9bcf65367a07fe0c668fb5817d4f016a0a865c01d9212fdeb8</t>
        </is>
      </c>
      <c r="BB6" s="24" t="inlineStr">
        <is>
          <t>learned_lr</t>
        </is>
      </c>
      <c r="BC6" s="24" t="inlineStr">
        <is>
          <t>mlb-elo-trend-lr-v8</t>
        </is>
      </c>
      <c r="BD6" s="24" t="inlineStr">
        <is>
          <t>3b345499bd6bad9bcf65367a07fe0c668fb5817d4f016a0a865c01d9212fdeb8</t>
        </is>
      </c>
      <c r="BE6" s="24" t="inlineStr">
        <is>
          <t>042217e84101c645</t>
        </is>
      </c>
      <c r="BF6" s="24" t="inlineStr">
        <is>
          <t>1</t>
        </is>
      </c>
      <c r="BG6" s="24" t="inlineStr">
        <is>
          <t>mlb-elo-trend-lr-v8</t>
        </is>
      </c>
      <c r="BH6" s="24" t="inlineStr">
        <is>
          <t>2026-09-27T16:24:34.658073Z</t>
        </is>
      </c>
      <c r="BI6" s="24" t="inlineStr">
        <is>
          <t>["same_event","same_team_same_day","same_league_same_day"]</t>
        </is>
      </c>
      <c r="BJ6" s="25" t="n"/>
      <c r="BK6" s="26" t="n">
        <v>-110</v>
      </c>
      <c r="BL6" s="27" t="n">
        <v>1.909091</v>
      </c>
      <c r="BM6" s="28" t="n">
        <v>0.52381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inlineStr">
        <is>
          <t>event status_canceled</t>
        </is>
      </c>
      <c r="BX6" s="30" t="n"/>
      <c r="BY6" s="27" t="n"/>
      <c r="BZ6" s="24" t="n"/>
      <c r="CA6" s="31" t="n"/>
      <c r="CB6" s="24" t="n"/>
      <c r="CC6" s="24" t="inlineStr">
        <is>
          <t>0.6041273824</t>
        </is>
      </c>
      <c r="CD6" s="24" t="inlineStr">
        <is>
          <t>-0.065599</t>
        </is>
      </c>
      <c r="CE6" s="24" t="inlineStr">
        <is>
          <t>1.005</t>
        </is>
      </c>
      <c r="CF6" s="24" t="inlineStr">
        <is>
          <t>1.0019</t>
        </is>
      </c>
      <c r="CG6" s="24" t="n"/>
      <c r="CH6" s="24" t="n"/>
      <c r="CI6" s="24" t="n"/>
      <c r="CJ6" s="24" t="inlineStr">
        <is>
          <t>-1.666919</t>
        </is>
      </c>
      <c r="CK6" s="24" t="n"/>
      <c r="CL6" s="24" t="inlineStr">
        <is>
          <t>0.139416</t>
        </is>
      </c>
      <c r="CM6" s="24" t="inlineStr">
        <is>
          <t>1.1117</t>
        </is>
      </c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0.52381</t>
        </is>
      </c>
      <c r="DK6" s="24" t="n"/>
      <c r="DL6" s="24" t="n"/>
      <c r="DM6" s="24" t="n"/>
      <c r="DN6" s="24" t="n"/>
      <c r="DO6" s="24" t="n"/>
      <c r="DP6" s="24" t="n"/>
      <c r="DQ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0.5867528191502196, "event_id": "401817103", "event_start_utc": "2026-09-27T17:05:00+00:00", "features": {"bullpen_weakness_gap": 0.139416, "elo_probability": 0.604127382399869, "park_factor": 1.005, "starter_era_gap": 1.1117, "trend_gap": -0.06559899999999996, "weather_factor": 1.0019}, "historical_source_observation_times_verified": false, "model_version": "mlb-elo-trend-lr-v8", "observed_at_utc": "2026-09-27T16:24:34.658073+00:00", "schema": "learned-moneyline-replay-v1", "served_home_probability": 0.5867528191502196, "snapshot_hash": "581245e2df736d5081f1b149b024cd0427dd88d4da32d2da61756338f8563584"}</t>
        </is>
      </c>
    </row>
    <row r="7" ht="36" customHeight="1">
      <c r="A7" s="24" t="inlineStr">
        <is>
          <t>9bc810a69dee42c6</t>
        </is>
      </c>
      <c r="B7" s="24" t="inlineStr">
        <is>
          <t>2026-09-27T16:25:17.395829Z</t>
        </is>
      </c>
      <c r="C7" s="24" t="inlineStr">
        <is>
          <t>2026-09-27T17:05Z</t>
        </is>
      </c>
      <c r="D7" s="24" t="inlineStr">
        <is>
          <t>401817103</t>
        </is>
      </c>
      <c r="E7" s="24" t="inlineStr">
        <is>
          <t>MLB</t>
        </is>
      </c>
      <c r="F7" s="24" t="inlineStr">
        <is>
          <t>Baltimore Orioles</t>
        </is>
      </c>
      <c r="G7" s="24" t="inlineStr">
        <is>
          <t>New York Yankees</t>
        </is>
      </c>
      <c r="H7" s="24" t="inlineStr">
        <is>
          <t>spread</t>
        </is>
      </c>
      <c r="I7" s="24" t="inlineStr">
        <is>
          <t>home</t>
        </is>
      </c>
      <c r="J7" s="25" t="n">
        <v>1.5</v>
      </c>
      <c r="K7" s="24" t="inlineStr">
        <is>
          <t>polymarket_us</t>
        </is>
      </c>
      <c r="L7" s="26" t="n">
        <v>-190</v>
      </c>
      <c r="M7" s="27" t="n">
        <v>1.526316</v>
      </c>
      <c r="N7" s="28" t="n">
        <v>0.655172</v>
      </c>
      <c r="O7" s="28" t="n">
        <v>0.607695</v>
      </c>
      <c r="P7" s="28" t="n">
        <v>0.05172</v>
      </c>
      <c r="Q7" s="28" t="n">
        <v>-0.047477</v>
      </c>
      <c r="R7" s="26" t="n">
        <v>0</v>
      </c>
      <c r="S7" s="29" t="n">
        <v>1</v>
      </c>
      <c r="T7" s="24" t="inlineStr">
        <is>
          <t>measured-edge-margin-v3</t>
        </is>
      </c>
      <c r="U7" s="24" t="inlineStr">
        <is>
          <t>settled</t>
        </is>
      </c>
      <c r="V7" s="24" t="inlineStr">
        <is>
          <t>push</t>
        </is>
      </c>
      <c r="W7" s="26" t="n"/>
      <c r="X7" s="26" t="n"/>
      <c r="Y7" s="25" t="n"/>
      <c r="Z7" s="26" t="n"/>
      <c r="AA7" s="28" t="n"/>
      <c r="AB7" s="28" t="n"/>
      <c r="AC7" s="30" t="n">
        <v>0</v>
      </c>
      <c r="AD7" s="24" t="inlineStr">
        <is>
          <t>2026-10-06T05:33:49.478602Z</t>
        </is>
      </c>
      <c r="AE7" s="31" t="inlineStr">
        <is>
          <t>Measured Edge Margin: Trend Engine projected 4.75-4.68; raw selected-side p=0.6581, calibrated p=0.6077.</t>
        </is>
      </c>
      <c r="AF7" s="31" t="inlineStr">
        <is>
          <t>Research-only; lineup, bullpen, park, weather, xFIP, and wRC+ may be neutral fallbacks; market availability and BBO depth may change before first pitch.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model_qualified</t>
        </is>
      </c>
      <c r="AL7" s="26" t="n">
        <v>4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mlb-bal</t>
        </is>
      </c>
      <c r="AQ7" s="24" t="inlineStr">
        <is>
          <t>Baltimore Orioles</t>
        </is>
      </c>
      <c r="AR7" s="24" t="inlineStr">
        <is>
          <t>Baltimore Orioles</t>
        </is>
      </c>
      <c r="AS7" s="24" t="inlineStr">
        <is>
          <t>mlb-nyy</t>
        </is>
      </c>
      <c r="AT7" s="24" t="inlineStr">
        <is>
          <t>New York Yankees</t>
        </is>
      </c>
      <c r="AU7" s="24" t="inlineStr">
        <is>
          <t>New York Yankees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research</t>
        </is>
      </c>
      <c r="BA7" s="24" t="inlineStr">
        <is>
          <t>dd339a2eed50d7d83ab2127837995ddab82e879afd27f5414bb6c1f9cd60ba4c</t>
        </is>
      </c>
      <c r="BB7" s="24" t="inlineStr">
        <is>
          <t>flat_probability_shrinkage_toward_half</t>
        </is>
      </c>
      <c r="BC7" s="24" t="inlineStr">
        <is>
          <t>measured-edge-margin-v3</t>
        </is>
      </c>
      <c r="BD7" s="24" t="inlineStr">
        <is>
          <t>dd339a2eed50d7d83ab2127837995ddab82e879afd27f5414bb6c1f9cd60ba4c</t>
        </is>
      </c>
      <c r="BE7" s="24" t="inlineStr">
        <is>
          <t>v3</t>
        </is>
      </c>
      <c r="BF7" s="24" t="inlineStr">
        <is>
          <t>1</t>
        </is>
      </c>
      <c r="BG7" s="24" t="inlineStr">
        <is>
          <t>measured-edge-paired-v1</t>
        </is>
      </c>
      <c r="BH7" s="24" t="inlineStr">
        <is>
          <t>2026-09-27T16:25:17.395829Z</t>
        </is>
      </c>
      <c r="BI7" s="24" t="inlineStr">
        <is>
          <t>["same_event","same_team_same_day","same_league_same_day"]</t>
        </is>
      </c>
      <c r="BJ7" s="25" t="n">
        <v>1.5</v>
      </c>
      <c r="BK7" s="26" t="n">
        <v>-190</v>
      </c>
      <c r="BL7" s="27" t="n">
        <v>1.526316</v>
      </c>
      <c r="BM7" s="28" t="n">
        <v>0.655172</v>
      </c>
      <c r="BN7" s="28" t="n">
        <v>0.651741</v>
      </c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inlineStr">
        <is>
          <t>event status_canceled</t>
        </is>
      </c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False</t>
        </is>
      </c>
      <c r="CT7" s="24" t="inlineStr">
        <is>
          <t>6996251611d984f5d783c55874d6184a0285e0269f72e23eb18d19f2328b1a28</t>
        </is>
      </c>
      <c r="CU7" s="24" t="inlineStr">
        <is>
          <t>429f55c97f0c127ef03b3dd4f923e3940849b3e48138212e33261c4f90c9f15d</t>
        </is>
      </c>
      <c r="CV7" s="24" t="inlineStr">
        <is>
          <t>/Users/vincentc9002/model-prediction/config/model.yaml</t>
        </is>
      </c>
      <c r="CW7" s="24" t="inlineStr">
        <is>
          <t>1ac81f4be213944a7cce95cbe9a52520e640a9cc5ea1424409aeda60b059f716</t>
        </is>
      </c>
      <c r="CX7" s="24" t="inlineStr">
        <is>
          <t>/Users/vincentc9002/model-prediction/config/models/measured-edge-margin-v3.json</t>
        </is>
      </c>
      <c r="CY7" s="24" t="inlineStr">
        <is>
          <t>2026-09-27T16:25:17.395829Z</t>
        </is>
      </c>
      <c r="CZ7" s="24" t="inlineStr">
        <is>
          <t>True</t>
        </is>
      </c>
      <c r="DA7" s="24" t="inlineStr">
        <is>
          <t>polymarket_us</t>
        </is>
      </c>
      <c r="DB7" s="24" t="inlineStr">
        <is>
          <t>decision_time_executable_quote</t>
        </is>
      </c>
      <c r="DC7" s="24" t="inlineStr">
        <is>
          <t>False</t>
        </is>
      </c>
      <c r="DD7" s="24" t="inlineStr">
        <is>
          <t>d3ad0366b867933ece6d5ecfb94a4906d67ad39746dc6ced69d4dc8575be2e25</t>
        </is>
      </c>
      <c r="DE7" s="24" t="inlineStr">
        <is>
          <t>/Users/vincentc9002/model-prediction/data/market_odds_snapshots.jsonl</t>
        </is>
      </c>
      <c r="DF7" s="24" t="inlineStr">
        <is>
          <t>d3ad0366b867933ece6d5ecfb94a4906d67ad39746dc6ced69d4dc8575be2e25</t>
        </is>
      </c>
      <c r="DG7" s="24" t="inlineStr">
        <is>
          <t>live_forecast</t>
        </is>
      </c>
      <c r="DH7" s="24" t="inlineStr">
        <is>
          <t>False</t>
        </is>
      </c>
      <c r="DI7" s="24" t="inlineStr">
        <is>
          <t>0.607695</t>
        </is>
      </c>
      <c r="DJ7" s="24" t="inlineStr">
        <is>
          <t>0.6551724137931035</t>
        </is>
      </c>
      <c r="DK7" s="24" t="inlineStr">
        <is>
          <t>0.607695</t>
        </is>
      </c>
      <c r="DL7" s="24" t="n"/>
      <c r="DM7" s="24" t="n"/>
      <c r="DN7" s="24" t="n"/>
      <c r="DO7" s="24" t="n"/>
      <c r="DP7" s="24" t="n"/>
      <c r="DQ7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"401817103", "event_start_utc": "2026-09-27T17:05Z", "features": {"away_bullpen_status": "available", "away_bullpen_weakness": 0.786956, "away_form": {"losses": 4, "runs_allowed": [5, 1, 6, 1, 3, 3, 2, 2, 2, 6], "runs_scored": [7, 7, 5, 0, 0, 4, 4, 4, 10, 3], "status": "available", "wins": 6}, "away_starter": {"last_five_batters_faced": 124, "last_five_earned_runs": 14, "last_five_innings": 28.333333333333336, "last_five_strikeouts": 19, "last_five_walks": 11, "name": "Shane Baz", "player_id": "39639", "season_batters_faced": 769, "season_earned_runs": 82, "season_innings": 179.66666666666666, "season_strikeouts": 154, "season_walks": 63, "starts_before_game": 31, "status": "available", "throwing_hand": "Right", "xfip": null, "xfip_status": "unavailable_from_source"}, "away_team": "Baltimore Orioles", "decision_timestamp_utc": "2026-09-27T15:05:00Z", "event_id": "401817103", "event_start_utc": "2026-09-27T17:05Z", "feature_snapshot_hash": "7479e7f1ad24de1b9fe404414b04c0d03522827771d20a0bfbea9f8a7534fd06", "home_bullpen_status": "available", "home_bullpen_weakness": 0.926372, "home_form": {"losses": 5, "runs_allowed": [5, 2, 5, 8, 0, 6, 2, 4, 10, 3], "runs_scored": [4, 9, 3, 4, 2, 1, 9, 6, 2, 6], "status": "available", "wins": 5}, "home_starter": {"last_five_batters_faced": 105, "last_five_earned_runs": 14, "last_five_innings": 22.666666666666668, "last_five_strikeouts": 18, "last_five_walks": 12, "name": "Elmer Rodriguez", "player_id": "5194637", "season_batters_faced": 125, "season_earned_runs": 16, "season_innings": 26.666666666666668, "season_strikeouts": 21, "season_walks": 16, "starts_before_game": 6, "status": "available", "throwing_hand": "Right", "xfip": null, "xfip_status": "unavailable_from_source"}, "home_team": "New York Yankees", "lineup_status": "unavailable_from_source", "market_snapshot_hash": "d3ad0366b867933ece6d5ecfb94a4906d67ad39746dc6ced69d4dc8575be2e25", "park_factor": 1.005, "park_factor_status": "available", "source_snapshot_ids": ["4beb6cba8d870c5bac12fe06e24522b5da87b2130a98902b90c6b64267143e33", "397de014570df529b18aa368dae551aaae7e5740f0e181660c6dd4add1fa4bbd", "52b39b63e1610ff9ce759c01e3004e6b35423eb77f264085909a709848dadbdb", "9d3538c2e98ffcd30d392c1375d6fc4f927b94a38e44c0403ff242f57f894f97", "16cbbb43cdf44ecf899fc6a16a6a0a269c0ea97d8cceb15f19c29f9bdf6f758f"], "starter_confirmed": false, "starter_status": "probable", "weather_factor": 1.0019, "weather_status": "available", "wrc_plus_status": "unavailable_from_source"}, "formula_spec": {"away_field_run_factor": 1.0, "bullpen_elasticity": 0.069018, "configuration_hash": "afe77c4cc13f7e68c727bd5d8b3385ebe4415157a626cff1f7735b767b2fafd3",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4.5364, "league_starter_era": 4.2002,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"2026-09-27T16:25:17.395829+00:00", "raw_probabilities": {"away": 0.34195, "home": 0.65805, "push": 0.0}, "replay_scope": "Exact features, formula and deterministic Monte Carlo seed inputs; independently calibrated sides are not a joint distribution.", "run_estimate": {"away_expected_runs": 4.751236, "configuration_hash": "afe77c4cc13f7e68c727bd5d8b3385ebe4415157a626cff1f7735b767b2fafd3", "factors": {"away_bullpen_weakness_index": 0.786956, "away_field_run_factor": 1.0, "away_offense_index": 0.987547158859256, "away_starter_weakness_index": 1.0208870835441228, "home_bullpen_weakness_index": 0.926372, "home_field_run_factor": 1.04, "home_offense_index": 1.0067063799091263, "home_starter_weakness_index": 1.2001491445184154, "park_factor": 1.005, "weather_factor": 1.0019}, "feature_schema_version": "v3", "formula_version": "mlb-analyst-poisson-trend-v0.3", "home_expected_runs": 4.676679,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0.392305, "home": 0.607695}, "snapshot_hash": "8bf09eac910921a024087c5f69bac9c20209cc1d37fb565c03a82fd8d16ec69a", "sport": "MLB"}</t>
        </is>
      </c>
    </row>
    <row r="8" ht="36" customHeight="1">
      <c r="A8" s="24" t="inlineStr">
        <is>
          <t>574fead820c144fd</t>
        </is>
      </c>
      <c r="B8" s="24" t="inlineStr">
        <is>
          <t>2026-09-27T16:25:17.395829Z</t>
        </is>
      </c>
      <c r="C8" s="24" t="inlineStr">
        <is>
          <t>2026-09-27T17:05Z</t>
        </is>
      </c>
      <c r="D8" s="24" t="inlineStr">
        <is>
          <t>401817103</t>
        </is>
      </c>
      <c r="E8" s="24" t="inlineStr">
        <is>
          <t>MLB</t>
        </is>
      </c>
      <c r="F8" s="24" t="inlineStr">
        <is>
          <t>Baltimore Orioles</t>
        </is>
      </c>
      <c r="G8" s="24" t="inlineStr">
        <is>
          <t>New York Yankees</t>
        </is>
      </c>
      <c r="H8" s="24" t="inlineStr">
        <is>
          <t>total</t>
        </is>
      </c>
      <c r="I8" s="24" t="inlineStr">
        <is>
          <t>over</t>
        </is>
      </c>
      <c r="J8" s="25" t="n">
        <v>7.5</v>
      </c>
      <c r="K8" s="24" t="inlineStr">
        <is>
          <t>polymarket_us</t>
        </is>
      </c>
      <c r="L8" s="26" t="n">
        <v>115</v>
      </c>
      <c r="M8" s="27" t="n">
        <v>2.15</v>
      </c>
      <c r="N8" s="28" t="n">
        <v>0.465116</v>
      </c>
      <c r="O8" s="28" t="n">
        <v>0.537682</v>
      </c>
      <c r="P8" s="28" t="n">
        <v>0.05172</v>
      </c>
      <c r="Q8" s="28" t="n">
        <v>0.07256600000000001</v>
      </c>
      <c r="R8" s="26" t="n">
        <v>56</v>
      </c>
      <c r="S8" s="29" t="n">
        <v>1.25</v>
      </c>
      <c r="T8" s="24" t="inlineStr">
        <is>
          <t>measured-edge-totals-v3</t>
        </is>
      </c>
      <c r="U8" s="24" t="inlineStr">
        <is>
          <t>settled</t>
        </is>
      </c>
      <c r="V8" s="24" t="inlineStr">
        <is>
          <t>push</t>
        </is>
      </c>
      <c r="W8" s="26" t="n"/>
      <c r="X8" s="26" t="n"/>
      <c r="Y8" s="25" t="n"/>
      <c r="Z8" s="26" t="n"/>
      <c r="AA8" s="28" t="n"/>
      <c r="AB8" s="28" t="n"/>
      <c r="AC8" s="30" t="n">
        <v>0</v>
      </c>
      <c r="AD8" s="24" t="inlineStr">
        <is>
          <t>2026-10-06T05:33:57.573732Z</t>
        </is>
      </c>
      <c r="AE8" s="31" t="inlineStr">
        <is>
          <t>Measured Edge Totals: Trend Engine projected 4.75-4.68; raw selected-side p=0.6283, calibrated p=0.5377.</t>
        </is>
      </c>
      <c r="AF8" s="31" t="inlineStr">
        <is>
          <t>Research-only; lineup, bullpen, park, weather, xFIP, and wRC+ may be neutral fallbacks; market availability and BBO depth may change before first pitch.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paper_call</t>
        </is>
      </c>
      <c r="AL8" s="26" t="n">
        <v>4</v>
      </c>
      <c r="AM8" s="24" t="inlineStr">
        <is>
          <t>RESEARCH_OBSERVATION</t>
        </is>
      </c>
      <c r="AN8" s="24" t="inlineStr">
        <is>
          <t>CALL</t>
        </is>
      </c>
      <c r="AO8" s="24" t="inlineStr">
        <is>
          <t>PAPER_CALL_MODEL_UNVALIDATED</t>
        </is>
      </c>
      <c r="AP8" s="24" t="inlineStr">
        <is>
          <t>mlb-bal</t>
        </is>
      </c>
      <c r="AQ8" s="24" t="inlineStr">
        <is>
          <t>Baltimore Orioles</t>
        </is>
      </c>
      <c r="AR8" s="24" t="inlineStr">
        <is>
          <t>Baltimore Orioles</t>
        </is>
      </c>
      <c r="AS8" s="24" t="inlineStr">
        <is>
          <t>mlb-nyy</t>
        </is>
      </c>
      <c r="AT8" s="24" t="inlineStr">
        <is>
          <t>New York Yankees</t>
        </is>
      </c>
      <c r="AU8" s="24" t="inlineStr">
        <is>
          <t>New York Yankees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research</t>
        </is>
      </c>
      <c r="BA8" s="24" t="inlineStr">
        <is>
          <t>95b84332c75d2ce54036eb8de6ada9c78d0f80228c50825c0347281a8b9b49c7</t>
        </is>
      </c>
      <c r="BB8" s="24" t="inlineStr">
        <is>
          <t>flat_probability_shrinkage_toward_half</t>
        </is>
      </c>
      <c r="BC8" s="24" t="inlineStr">
        <is>
          <t>measured-edge-totals-v3</t>
        </is>
      </c>
      <c r="BD8" s="24" t="inlineStr">
        <is>
          <t>95b84332c75d2ce54036eb8de6ada9c78d0f80228c50825c0347281a8b9b49c7</t>
        </is>
      </c>
      <c r="BE8" s="24" t="inlineStr">
        <is>
          <t>v3</t>
        </is>
      </c>
      <c r="BF8" s="24" t="inlineStr">
        <is>
          <t>1</t>
        </is>
      </c>
      <c r="BG8" s="24" t="inlineStr">
        <is>
          <t>measured-edge-paired-v1</t>
        </is>
      </c>
      <c r="BH8" s="24" t="inlineStr">
        <is>
          <t>2026-09-27T16:25:17.395829Z</t>
        </is>
      </c>
      <c r="BI8" s="24" t="inlineStr">
        <is>
          <t>["same_event","same_team_same_day","same_league_same_day"]</t>
        </is>
      </c>
      <c r="BJ8" s="25" t="n">
        <v>7.5</v>
      </c>
      <c r="BK8" s="26" t="n">
        <v>115</v>
      </c>
      <c r="BL8" s="27" t="n">
        <v>2.15</v>
      </c>
      <c r="BM8" s="28" t="n">
        <v>0.465116</v>
      </c>
      <c r="BN8" s="28" t="n">
        <v>0.462687</v>
      </c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inlineStr">
        <is>
          <t>event status_canceled</t>
        </is>
      </c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inlineStr">
        <is>
          <t>6996251611d984f5d783c55874d6184a0285e0269f72e23eb18d19f2328b1a28</t>
        </is>
      </c>
      <c r="CU8" s="24" t="inlineStr">
        <is>
          <t>429f55c97f0c127ef03b3dd4f923e3940849b3e48138212e33261c4f90c9f15d</t>
        </is>
      </c>
      <c r="CV8" s="24" t="inlineStr">
        <is>
          <t>/Users/vincentc9002/model-prediction/config/model.yaml</t>
        </is>
      </c>
      <c r="CW8" s="24" t="inlineStr">
        <is>
          <t>1dad20b56ac0a94181b31c5f71abe66cc0ee1acd8c8792d0aacf42b7a6fc32e6</t>
        </is>
      </c>
      <c r="CX8" s="24" t="inlineStr">
        <is>
          <t>/Users/vincentc9002/model-prediction/config/models/measured-edge-totals-v3.json</t>
        </is>
      </c>
      <c r="CY8" s="24" t="inlineStr">
        <is>
          <t>2026-09-27T16:25:17.395829Z</t>
        </is>
      </c>
      <c r="CZ8" s="24" t="inlineStr">
        <is>
          <t>True</t>
        </is>
      </c>
      <c r="DA8" s="24" t="inlineStr">
        <is>
          <t>polymarket_us</t>
        </is>
      </c>
      <c r="DB8" s="24" t="inlineStr">
        <is>
          <t>decision_time_executable_quote</t>
        </is>
      </c>
      <c r="DC8" s="24" t="inlineStr">
        <is>
          <t>False</t>
        </is>
      </c>
      <c r="DD8" s="24" t="inlineStr">
        <is>
          <t>d3ad0366b867933ece6d5ecfb94a4906d67ad39746dc6ced69d4dc8575be2e25</t>
        </is>
      </c>
      <c r="DE8" s="24" t="inlineStr">
        <is>
          <t>/Users/vincentc9002/model-prediction/data/market_odds_snapshots.jsonl</t>
        </is>
      </c>
      <c r="DF8" s="24" t="inlineStr">
        <is>
          <t>d3ad0366b867933ece6d5ecfb94a4906d67ad39746dc6ced69d4dc8575be2e25</t>
        </is>
      </c>
      <c r="DG8" s="24" t="inlineStr">
        <is>
          <t>live_forecast</t>
        </is>
      </c>
      <c r="DH8" s="24" t="inlineStr">
        <is>
          <t>False</t>
        </is>
      </c>
      <c r="DI8" s="24" t="inlineStr">
        <is>
          <t>0.537682</t>
        </is>
      </c>
      <c r="DJ8" s="24" t="inlineStr">
        <is>
          <t>0.46511627906976744</t>
        </is>
      </c>
      <c r="DK8" s="24" t="inlineStr">
        <is>
          <t>0.537682</t>
        </is>
      </c>
      <c r="DL8" s="24" t="n"/>
      <c r="DM8" s="24" t="n"/>
      <c r="DN8" s="24" t="n"/>
      <c r="DO8" s="24" t="n"/>
      <c r="DP8" s="24" t="n"/>
      <c r="DQ8" s="24" t="n"/>
    </row>
    <row r="9" ht="36" customHeight="1">
      <c r="A9" s="24" t="inlineStr">
        <is>
          <t>51b95f1270dd405a</t>
        </is>
      </c>
      <c r="B9" s="24" t="inlineStr">
        <is>
          <t>2026-09-27T16:25:17.650420Z</t>
        </is>
      </c>
      <c r="C9" s="24" t="inlineStr">
        <is>
          <t>2026-09-27T17:05Z</t>
        </is>
      </c>
      <c r="D9" s="24" t="inlineStr">
        <is>
          <t>401817103</t>
        </is>
      </c>
      <c r="E9" s="24" t="inlineStr">
        <is>
          <t>MLB</t>
        </is>
      </c>
      <c r="F9" s="24" t="inlineStr">
        <is>
          <t>Baltimore Orioles</t>
        </is>
      </c>
      <c r="G9" s="24" t="inlineStr">
        <is>
          <t>New York Yankees</t>
        </is>
      </c>
      <c r="H9" s="24" t="inlineStr">
        <is>
          <t>nrfi</t>
        </is>
      </c>
      <c r="I9" s="24" t="inlineStr">
        <is>
          <t>nrfi</t>
        </is>
      </c>
      <c r="J9" s="25" t="n">
        <v>0.5</v>
      </c>
      <c r="K9" s="24" t="inlineStr">
        <is>
          <t>model_fair</t>
        </is>
      </c>
      <c r="L9" s="26" t="n">
        <v>-102</v>
      </c>
      <c r="M9" s="27" t="n">
        <v>1.980392</v>
      </c>
      <c r="N9" s="28" t="n">
        <v>0.50495</v>
      </c>
      <c r="O9" s="28" t="n">
        <v>0.5047</v>
      </c>
      <c r="P9" s="28" t="n">
        <v>0.04</v>
      </c>
      <c r="Q9" s="28" t="n">
        <v>-0.00025</v>
      </c>
      <c r="R9" s="26" t="n">
        <v>26</v>
      </c>
      <c r="S9" s="29" t="n">
        <v>1</v>
      </c>
      <c r="T9" s="24" t="inlineStr">
        <is>
          <t>mlb-nrfi-v2</t>
        </is>
      </c>
      <c r="U9" s="24" t="inlineStr">
        <is>
          <t>settled</t>
        </is>
      </c>
      <c r="V9" s="24" t="inlineStr">
        <is>
          <t>push</t>
        </is>
      </c>
      <c r="W9" s="26" t="n"/>
      <c r="X9" s="26" t="n"/>
      <c r="Y9" s="25" t="n"/>
      <c r="Z9" s="26" t="n"/>
      <c r="AA9" s="28" t="n"/>
      <c r="AB9" s="28" t="n"/>
      <c r="AC9" s="30" t="n">
        <v>0</v>
      </c>
      <c r="AD9" s="24" t="inlineStr">
        <is>
          <t>2026-10-06T05:34:08.617712Z</t>
        </is>
      </c>
      <c r="AE9" s="31" t="inlineStr">
        <is>
          <t>MLB 1st Inning NRFI: p=0.505 (mlb-nrfi-v2, 4050 training games)</t>
        </is>
      </c>
      <c r="AF9" s="31" t="inlineStr">
        <is>
          <t>1st inning variance, leadoff home run risk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paper_call</t>
        </is>
      </c>
      <c r="AL9" s="26" t="n">
        <v>4</v>
      </c>
      <c r="AM9" s="24" t="inlineStr">
        <is>
          <t>RESEARCH_OBSERVATION</t>
        </is>
      </c>
      <c r="AN9" s="24" t="inlineStr">
        <is>
          <t>CALL</t>
        </is>
      </c>
      <c r="AO9" s="24" t="inlineStr">
        <is>
          <t>PAPER_CALL_MODEL_UNVALIDATED</t>
        </is>
      </c>
      <c r="AP9" s="24" t="inlineStr">
        <is>
          <t>mlb-bal</t>
        </is>
      </c>
      <c r="AQ9" s="24" t="inlineStr">
        <is>
          <t>Baltimore Orioles</t>
        </is>
      </c>
      <c r="AR9" s="24" t="inlineStr">
        <is>
          <t>Baltimore Orioles</t>
        </is>
      </c>
      <c r="AS9" s="24" t="inlineStr">
        <is>
          <t>mlb-nyy</t>
        </is>
      </c>
      <c r="AT9" s="24" t="inlineStr">
        <is>
          <t>New York Yankees</t>
        </is>
      </c>
      <c r="AU9" s="24" t="inlineStr">
        <is>
          <t>New York Yankees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2909cd421e057ee98f16cafaabeaf26a1e00b4d7d36eb86e9d93b45d584700ec</t>
        </is>
      </c>
      <c r="BB9" s="24" t="inlineStr">
        <is>
          <t>identity</t>
        </is>
      </c>
      <c r="BC9" s="24" t="inlineStr">
        <is>
          <t>identity-v1</t>
        </is>
      </c>
      <c r="BD9" s="24" t="n"/>
      <c r="BE9" s="24" t="inlineStr">
        <is>
          <t>1</t>
        </is>
      </c>
      <c r="BF9" s="24" t="inlineStr">
        <is>
          <t>1</t>
        </is>
      </c>
      <c r="BG9" s="24" t="inlineStr">
        <is>
          <t>unknown</t>
        </is>
      </c>
      <c r="BH9" s="24" t="inlineStr">
        <is>
          <t>2026-09-27T16:25:17.650420+00:00</t>
        </is>
      </c>
      <c r="BI9" s="24" t="inlineStr">
        <is>
          <t>["same_event","same_team_same_day","same_league_same_day"]</t>
        </is>
      </c>
      <c r="BJ9" s="25" t="n">
        <v>0.5</v>
      </c>
      <c r="BK9" s="26" t="n">
        <v>-102</v>
      </c>
      <c r="BL9" s="27" t="n">
        <v>1.980392</v>
      </c>
      <c r="BM9" s="28" t="n">
        <v>0.50495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inlineStr">
        <is>
          <t>event status_canceled</t>
        </is>
      </c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False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0.50495</t>
        </is>
      </c>
      <c r="DK9" s="24" t="n"/>
      <c r="DL9" s="24" t="n"/>
      <c r="DM9" s="24" t="n"/>
      <c r="DN9" s="24" t="n"/>
      <c r="DO9" s="24" t="n"/>
      <c r="DP9" s="24" t="n"/>
      <c r="DQ9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"401817103", "event_start_utc": "2026-09-27T17:05Z", "features": {"away_starter_bb_pct": 0.0866, "away_starter_days_rest": 6.0, "away_starter_fip": 3.881, "away_starter_k_pct": 0.2228, "away_starter_opp_1st_runs": 0.5625, "away_starter_starts": 4.3175, "away_team_1st_allowed_away": 0.4802, "away_team_1st_scored_away": 0.4509, "away_top3_composite": 0.10322, "home_starter_bb_pct": 0.128, "home_starter_days_rest": 6.0, "home_starter_fip": 4.3, "home_starter_k_pct": 0.168, "home_starter_opp_1st_runs": 0.5963, "home_starter_starts": 1.9459, "home_team_1st_allowed_home": 0.4859, "home_team_1st_scored_home": 0.5844, "home_top3_composite": 0.10777, "park_1st_runs": 0.9945}, "historical_source_observation_times_verified": false, "inference_inputs": {}, "model_version": "mlb-nrfi-v2", "observed_at_utc": "2026-09-27T16:25:17.650420+00:00", "replay_scope": "Exact final classifier/distribution inputs and artifact. Upstream historical feature construction not certified.", "schema": "scalar-artifact-replay-v1", "snapshot_hash": "43757382c5d0d1ae84e5a077d49d0948b06d25a3daceef41d7770bda511f78c6"}</t>
        </is>
      </c>
    </row>
    <row r="10" ht="36" customHeight="1">
      <c r="A10" s="24" t="inlineStr">
        <is>
          <t>afa3c0c40757470c</t>
        </is>
      </c>
      <c r="B10" s="24" t="inlineStr">
        <is>
          <t>2026-10-05T16:31:33.192873Z</t>
        </is>
      </c>
      <c r="C10" s="24" t="inlineStr">
        <is>
          <t>2026-10-05T17:00:00-0400</t>
        </is>
      </c>
      <c r="D10" s="24" t="inlineStr">
        <is>
          <t>401907991</t>
        </is>
      </c>
      <c r="E10" s="24" t="inlineStr">
        <is>
          <t>MLB</t>
        </is>
      </c>
      <c r="F10" s="24" t="inlineStr">
        <is>
          <t>Chicago White Sox</t>
        </is>
      </c>
      <c r="G10" s="24" t="inlineStr">
        <is>
          <t>Cleveland Guardians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-147</v>
      </c>
      <c r="M10" s="27" t="n">
        <v>1.680272</v>
      </c>
      <c r="N10" s="28" t="n">
        <v>0.5951419999999999</v>
      </c>
      <c r="O10" s="28" t="n">
        <v>0.549114</v>
      </c>
      <c r="P10" s="28" t="n"/>
      <c r="Q10" s="28" t="n">
        <v>-0.046028</v>
      </c>
      <c r="R10" s="26" t="n">
        <v>0</v>
      </c>
      <c r="S10" s="29" t="n">
        <v>1</v>
      </c>
      <c r="T10" s="24" t="inlineStr">
        <is>
          <t>mlb-elo-trend-lr-v8</t>
        </is>
      </c>
      <c r="U10" s="24" t="inlineStr">
        <is>
          <t>settled</t>
        </is>
      </c>
      <c r="V10" s="24" t="inlineStr">
        <is>
          <t>loss</t>
        </is>
      </c>
      <c r="W10" s="26" t="n">
        <v>4</v>
      </c>
      <c r="X10" s="26" t="n">
        <v>3</v>
      </c>
      <c r="Y10" s="25" t="n"/>
      <c r="Z10" s="26" t="n">
        <v>-147</v>
      </c>
      <c r="AA10" s="28" t="n">
        <v>0.595</v>
      </c>
      <c r="AB10" s="28" t="n">
        <v>-0.000142</v>
      </c>
      <c r="AC10" s="30" t="n">
        <v>-1</v>
      </c>
      <c r="AD10" s="24" t="inlineStr">
        <is>
          <t>2026-10-06T05:34:21.762039Z</t>
        </is>
      </c>
      <c r="AE10" s="31" t="inlineStr">
        <is>
          <t>Learned LR call at threshold 0.6197; executable ask 0.5950 (aec-mlb-cws-cle-2026-10-05); model edge vs ask -0.0459.</t>
        </is>
      </c>
      <c r="AF10" s="31" t="inlineStr">
        <is>
          <t>Learned model; shadow-qualified via operator override.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paper_call</t>
        </is>
      </c>
      <c r="AL10" s="26" t="n">
        <v>4</v>
      </c>
      <c r="AM10" s="24" t="inlineStr">
        <is>
          <t>RESEARCH_OBSERVATION</t>
        </is>
      </c>
      <c r="AN10" s="24" t="inlineStr">
        <is>
          <t>CALL</t>
        </is>
      </c>
      <c r="AO10" s="24" t="inlineStr">
        <is>
          <t>PAPER_CALL_BELOW_LEARNED_CONFIDENCE</t>
        </is>
      </c>
      <c r="AP10" s="24" t="inlineStr">
        <is>
          <t>mlb-cws</t>
        </is>
      </c>
      <c r="AQ10" s="24" t="inlineStr">
        <is>
          <t>Chicago White Sox</t>
        </is>
      </c>
      <c r="AR10" s="24" t="inlineStr">
        <is>
          <t>Chicago White Sox</t>
        </is>
      </c>
      <c r="AS10" s="24" t="inlineStr">
        <is>
          <t>mlb-cle</t>
        </is>
      </c>
      <c r="AT10" s="24" t="inlineStr">
        <is>
          <t>Cleveland Guardians</t>
        </is>
      </c>
      <c r="AU10" s="24" t="inlineStr">
        <is>
          <t>Cleveland Guardians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3b345499bd6bad9bcf65367a07fe0c668fb5817d4f016a0a865c01d9212fdeb8</t>
        </is>
      </c>
      <c r="BB10" s="24" t="inlineStr">
        <is>
          <t>learned_lr</t>
        </is>
      </c>
      <c r="BC10" s="24" t="inlineStr">
        <is>
          <t>mlb-elo-trend-lr-v8</t>
        </is>
      </c>
      <c r="BD10" s="24" t="inlineStr">
        <is>
          <t>3b345499bd6bad9bcf65367a07fe0c668fb5817d4f016a0a865c01d9212fdeb8</t>
        </is>
      </c>
      <c r="BE10" s="24" t="inlineStr">
        <is>
          <t>38aeceea20445d7e</t>
        </is>
      </c>
      <c r="BF10" s="24" t="inlineStr">
        <is>
          <t>1</t>
        </is>
      </c>
      <c r="BG10" s="24" t="inlineStr">
        <is>
          <t>mlb-elo-trend-lr-v8</t>
        </is>
      </c>
      <c r="BH10" s="24" t="inlineStr">
        <is>
          <t>2026-10-05T16:06:51.722003Z</t>
        </is>
      </c>
      <c r="BI10" s="24" t="inlineStr">
        <is>
          <t>["same_event","same_team_same_day","same_league_same_day"]</t>
        </is>
      </c>
      <c r="BJ10" s="25" t="n"/>
      <c r="BK10" s="26" t="n">
        <v>-147</v>
      </c>
      <c r="BL10" s="27" t="n">
        <v>1.680272</v>
      </c>
      <c r="BM10" s="28" t="n">
        <v>0.5951419999999999</v>
      </c>
      <c r="BN10" s="28" t="n">
        <v>0.59204</v>
      </c>
      <c r="BO10" s="28" t="n"/>
      <c r="BP10" s="25" t="n"/>
      <c r="BQ10" s="27" t="n">
        <v>1.680272</v>
      </c>
      <c r="BR10" s="28" t="n">
        <v>0.595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inlineStr">
        <is>
          <t>0.5369360168</t>
        </is>
      </c>
      <c r="CD10" s="24" t="inlineStr">
        <is>
          <t>-0.453263</t>
        </is>
      </c>
      <c r="CE10" s="24" t="inlineStr">
        <is>
          <t>0.972</t>
        </is>
      </c>
      <c r="CF10" s="24" t="inlineStr">
        <is>
          <t>0.9952</t>
        </is>
      </c>
      <c r="CG10" s="24" t="n"/>
      <c r="CH10" s="24" t="n"/>
      <c r="CI10" s="24" t="n"/>
      <c r="CJ10" s="24" t="inlineStr">
        <is>
          <t>-0.796183</t>
        </is>
      </c>
      <c r="CK10" s="24" t="n"/>
      <c r="CL10" s="24" t="inlineStr">
        <is>
          <t>-0.306143</t>
        </is>
      </c>
      <c r="CM10" s="24" t="inlineStr">
        <is>
          <t>-2.9432</t>
        </is>
      </c>
      <c r="CN10" s="24" t="n"/>
      <c r="CO10" s="24" t="n"/>
      <c r="CP10" s="24" t="n"/>
      <c r="CQ10" s="24" t="n"/>
      <c r="CR10" s="24" t="inlineStr">
        <is>
          <t>0.549114</t>
        </is>
      </c>
      <c r="CS10" s="24" t="inlineStr">
        <is>
          <t>False</t>
        </is>
      </c>
      <c r="CT10" s="24" t="n"/>
      <c r="CU10" s="24" t="n"/>
      <c r="CV10" s="24" t="n"/>
      <c r="CW10" s="24" t="n"/>
      <c r="CX10" s="24" t="n"/>
      <c r="CY10" s="24" t="inlineStr">
        <is>
          <t>2026-10-05T16:06:51.722003Z</t>
        </is>
      </c>
      <c r="CZ10" s="24" t="inlineStr">
        <is>
          <t>True</t>
        </is>
      </c>
      <c r="DA10" s="24" t="inlineStr">
        <is>
          <t>polymarket_us</t>
        </is>
      </c>
      <c r="DB10" s="24" t="inlineStr">
        <is>
          <t>decision_time_executable_quote</t>
        </is>
      </c>
      <c r="DC10" s="24" t="inlineStr">
        <is>
          <t>False</t>
        </is>
      </c>
      <c r="DD10" s="24" t="inlineStr">
        <is>
          <t>abaab0fe79e5a98bfe4c178ca79101c9fe44d8898f8f3461a145150a7eb0f11a</t>
        </is>
      </c>
      <c r="DE10" s="24" t="inlineStr">
        <is>
          <t>E:\model-prediction\data\odds\mlb\2026-10-05\polymarket_snapshots.jsonl</t>
        </is>
      </c>
      <c r="DF10" s="24" t="inlineStr">
        <is>
          <t>abaab0fe79e5a98bfe4c178ca79101c9fe44d8898f8f3461a145150a7eb0f11a</t>
        </is>
      </c>
      <c r="DG10" s="24" t="n"/>
      <c r="DH10" s="24" t="n"/>
      <c r="DI10" s="24" t="n"/>
      <c r="DJ10" s="24" t="inlineStr">
        <is>
          <t>0.595142</t>
        </is>
      </c>
      <c r="DK10" s="24" t="n"/>
      <c r="DL10" s="24" t="n"/>
      <c r="DM10" s="24" t="n"/>
      <c r="DN10" s="24" t="n"/>
      <c r="DO10" s="24" t="n"/>
      <c r="DP10" s="24" t="n"/>
      <c r="DQ1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0.5491143296803058, "event_id": "401907991", "event_start_utc": "2026-10-05T21:00:00+00:00", "features": {"bullpen_weakness_gap": -0.306143, "elo_probability": 0.536936016762673, "park_factor": 0.972, "starter_era_gap": -2.9432, "trend_gap": -0.45326299999999997, "weather_factor": 0.9952}, "historical_source_observation_times_verified": false, "model_version": "mlb-elo-trend-lr-v8", "observed_at_utc": "2026-10-05T16:31:33.192873+00:00", "schema": "learned-moneyline-replay-v1", "served_home_probability": 0.5491143296803058, "snapshot_hash": "a690e6d6ff346745ef3421801f36341dea2507ced5f50b45e62092d7b6a529bb"}</t>
        </is>
      </c>
    </row>
    <row r="11" ht="36" customHeight="1">
      <c r="A11" s="24" t="inlineStr">
        <is>
          <t>c4263dce2c784275</t>
        </is>
      </c>
      <c r="B11" s="24" t="inlineStr">
        <is>
          <t>2026-10-05T16:32:50.098407Z</t>
        </is>
      </c>
      <c r="C11" s="24" t="inlineStr">
        <is>
          <t>2026-10-05T21:00Z</t>
        </is>
      </c>
      <c r="D11" s="24" t="inlineStr">
        <is>
          <t>401907991</t>
        </is>
      </c>
      <c r="E11" s="24" t="inlineStr">
        <is>
          <t>MLB</t>
        </is>
      </c>
      <c r="F11" s="24" t="inlineStr">
        <is>
          <t>Chicago White Sox</t>
        </is>
      </c>
      <c r="G11" s="24" t="inlineStr">
        <is>
          <t>Cleveland Guardians</t>
        </is>
      </c>
      <c r="H11" s="24" t="inlineStr">
        <is>
          <t>spread</t>
        </is>
      </c>
      <c r="I11" s="24" t="inlineStr">
        <is>
          <t>away</t>
        </is>
      </c>
      <c r="J11" s="25" t="n">
        <v>1.5</v>
      </c>
      <c r="K11" s="24" t="inlineStr">
        <is>
          <t>polymarket_us</t>
        </is>
      </c>
      <c r="L11" s="26" t="n">
        <v>-163</v>
      </c>
      <c r="M11" s="27" t="n">
        <v>1.613497</v>
      </c>
      <c r="N11" s="28" t="n">
        <v>0.619772</v>
      </c>
      <c r="O11" s="28" t="n">
        <v>0.582381</v>
      </c>
      <c r="P11" s="28" t="n">
        <v>0.042131</v>
      </c>
      <c r="Q11" s="28" t="n">
        <v>-0.037391</v>
      </c>
      <c r="R11" s="26" t="n">
        <v>7</v>
      </c>
      <c r="S11" s="29" t="n">
        <v>1</v>
      </c>
      <c r="T11" s="24" t="inlineStr">
        <is>
          <t>measured-edge-margin-v3</t>
        </is>
      </c>
      <c r="U11" s="24" t="inlineStr">
        <is>
          <t>settled</t>
        </is>
      </c>
      <c r="V11" s="24" t="inlineStr">
        <is>
          <t>win</t>
        </is>
      </c>
      <c r="W11" s="26" t="n">
        <v>4</v>
      </c>
      <c r="X11" s="26" t="n">
        <v>3</v>
      </c>
      <c r="Y11" s="25" t="n">
        <v>1.5</v>
      </c>
      <c r="Z11" s="26" t="n">
        <v>-163</v>
      </c>
      <c r="AA11" s="28" t="n">
        <v>0.62</v>
      </c>
      <c r="AB11" s="28" t="n">
        <v>0.000228</v>
      </c>
      <c r="AC11" s="30" t="n">
        <v>0.6135</v>
      </c>
      <c r="AD11" s="24" t="inlineStr">
        <is>
          <t>2026-10-06T05:34:32.015393Z</t>
        </is>
      </c>
      <c r="AE11" s="31" t="inlineStr">
        <is>
          <t>Measured Edge Margin: Trend Engine projected 4.10-4.58; raw selected-side p=0.6209, calibrated p=0.5824.</t>
        </is>
      </c>
      <c r="AF11" s="31" t="inlineStr">
        <is>
          <t>Research-only; lineup, bullpen, park, weather, xFIP, and wRC+ may be neutral fallbacks; market availability and BBO depth may change before first pitch.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4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mlb-cws</t>
        </is>
      </c>
      <c r="AQ11" s="24" t="inlineStr">
        <is>
          <t>Chicago White Sox</t>
        </is>
      </c>
      <c r="AR11" s="24" t="inlineStr">
        <is>
          <t>Chicago White Sox</t>
        </is>
      </c>
      <c r="AS11" s="24" t="inlineStr">
        <is>
          <t>mlb-cle</t>
        </is>
      </c>
      <c r="AT11" s="24" t="inlineStr">
        <is>
          <t>Cleveland Guardians</t>
        </is>
      </c>
      <c r="AU11" s="24" t="inlineStr">
        <is>
          <t>Cleveland Guardians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dd339a2eed50d7d83ab2127837995ddab82e879afd27f5414bb6c1f9cd60ba4c</t>
        </is>
      </c>
      <c r="BB11" s="24" t="inlineStr">
        <is>
          <t>flat_probability_shrinkage_toward_half</t>
        </is>
      </c>
      <c r="BC11" s="24" t="inlineStr">
        <is>
          <t>measured-edge-margin-v3</t>
        </is>
      </c>
      <c r="BD11" s="24" t="inlineStr">
        <is>
          <t>dd339a2eed50d7d83ab2127837995ddab82e879afd27f5414bb6c1f9cd60ba4c</t>
        </is>
      </c>
      <c r="BE11" s="24" t="inlineStr">
        <is>
          <t>v3</t>
        </is>
      </c>
      <c r="BF11" s="24" t="inlineStr">
        <is>
          <t>1</t>
        </is>
      </c>
      <c r="BG11" s="24" t="inlineStr">
        <is>
          <t>measured-edge-paired-v1</t>
        </is>
      </c>
      <c r="BH11" s="24" t="inlineStr">
        <is>
          <t>2026-10-05T16:32:50.098407Z</t>
        </is>
      </c>
      <c r="BI11" s="24" t="inlineStr">
        <is>
          <t>["same_event","same_team_same_day","same_league_same_day"]</t>
        </is>
      </c>
      <c r="BJ11" s="25" t="n">
        <v>1.5</v>
      </c>
      <c r="BK11" s="26" t="n">
        <v>-163</v>
      </c>
      <c r="BL11" s="27" t="n">
        <v>1.613497</v>
      </c>
      <c r="BM11" s="28" t="n">
        <v>0.619772</v>
      </c>
      <c r="BN11" s="28" t="n">
        <v>0.616915</v>
      </c>
      <c r="BO11" s="28" t="n"/>
      <c r="BP11" s="25" t="n"/>
      <c r="BQ11" s="27" t="n">
        <v>1.613497</v>
      </c>
      <c r="BR11" s="28" t="n">
        <v>0.62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False</t>
        </is>
      </c>
      <c r="CT11" s="24" t="inlineStr">
        <is>
          <t>6996251611d984f5d783c55874d6184a0285e0269f72e23eb18d19f2328b1a28</t>
        </is>
      </c>
      <c r="CU11" s="24" t="inlineStr">
        <is>
          <t>429f55c97f0c127ef03b3dd4f923e3940849b3e48138212e33261c4f90c9f15d</t>
        </is>
      </c>
      <c r="CV11" s="24" t="inlineStr">
        <is>
          <t>E:\model-prediction\config\model.yaml</t>
        </is>
      </c>
      <c r="CW11" s="24" t="inlineStr">
        <is>
          <t>1ac81f4be213944a7cce95cbe9a52520e640a9cc5ea1424409aeda60b059f716</t>
        </is>
      </c>
      <c r="CX11" s="24" t="inlineStr">
        <is>
          <t>E:\model-prediction\config\models\measured-edge-margin-v3.json</t>
        </is>
      </c>
      <c r="CY11" s="24" t="inlineStr">
        <is>
          <t>2026-10-05T16:32:50.098407Z</t>
        </is>
      </c>
      <c r="CZ11" s="24" t="inlineStr">
        <is>
          <t>True</t>
        </is>
      </c>
      <c r="DA11" s="24" t="inlineStr">
        <is>
          <t>polymarket_us</t>
        </is>
      </c>
      <c r="DB11" s="24" t="inlineStr">
        <is>
          <t>decision_time_executable_quote</t>
        </is>
      </c>
      <c r="DC11" s="24" t="inlineStr">
        <is>
          <t>False</t>
        </is>
      </c>
      <c r="DD11" s="24" t="inlineStr">
        <is>
          <t>98764ea7f3f58047d1b74070bbfd0712c62505d55e0826c13245eba15e6bc77a</t>
        </is>
      </c>
      <c r="DE11" s="24" t="inlineStr">
        <is>
          <t>E:\model-prediction\data\market_odds_snapshots.jsonl</t>
        </is>
      </c>
      <c r="DF11" s="24" t="inlineStr">
        <is>
          <t>98764ea7f3f58047d1b74070bbfd0712c62505d55e0826c13245eba15e6bc77a</t>
        </is>
      </c>
      <c r="DG11" s="24" t="inlineStr">
        <is>
          <t>live_forecast</t>
        </is>
      </c>
      <c r="DH11" s="24" t="inlineStr">
        <is>
          <t>False</t>
        </is>
      </c>
      <c r="DI11" s="24" t="inlineStr">
        <is>
          <t>0.582381</t>
        </is>
      </c>
      <c r="DJ11" s="24" t="inlineStr">
        <is>
          <t>0.6197718631178707</t>
        </is>
      </c>
      <c r="DK11" s="24" t="inlineStr">
        <is>
          <t>0.582381</t>
        </is>
      </c>
      <c r="DL11" s="24" t="n"/>
      <c r="DM11" s="24" t="n"/>
      <c r="DN11" s="24" t="n"/>
      <c r="DO11" s="24" t="n"/>
      <c r="DP11" s="24" t="n"/>
      <c r="DQ11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"401907991", "event_start_utc": "2026-10-05T21:00Z", "features": {"away_bullpen_status": "available", "away_bullpen_weakness": 1.002089, "away_form": {"losses": 0, "runs_allowed": [3, 3, 0], "runs_scored": [6, 7, 3], "status": "available", "wins": 3}, "away_starter": {"last_five_batters_faced": 67, "last_five_earned_runs": 5, "last_five_innings": 15.0, "last_five_strikeouts": 11, "last_five_walks": 7, "name": "Anthony Kay", "player_id": "40947", "season_batters_faced": 719, "season_earned_runs": 78, "season_innings": 160.0, "season_strikeouts": 129, "season_walks": 58, "starts_before_game": 35, "status": "available", "throwing_hand": "Left", "xfip": null, "xfip_status": "unavailable_from_source"}, "away_team": "Chicago White Sox", "decision_timestamp_utc": "2026-10-05T19:00:00Z", "event_id": "401907991", "event_start_utc": "2026-10-05T21:00Z", "feature_snapshot_hash": "1f68331de6589f096dd7aa0b99f9b151a8592d1ac78e046b0b5bb68082d4926a", "home_bullpen_status": "available", "home_bullpen_weakness": 0.695946, "home_form": {"losses": 1, "runs_allowed": [3], "runs_scored": [0], "status": "available", "wins": 0}, "home_starter": {"last_five_batters_faced": 114, "last_five_earned_runs": 8, "last_five_innings": 28.333333333333332, "last_five_strikeouts": 44, "last_five_walks": 12, "name": "Gavin Williams", "player_id": "4345076", "season_batters_faced": 746, "season_earned_runs": 77, "season_innings": 184.33333333333334, "season_strikeouts": 248, "season_walks": 61, "starts_before_game": 32, "status": "available", "throwing_hand": "Right", "xfip": null, "xfip_status": "unavailable_from_source"}, "home_team": "Cleveland Guardians", "lineup_status": "unavailable_from_source", "market_snapshot_hash": "98764ea7f3f58047d1b74070bbfd0712c62505d55e0826c13245eba15e6bc77a", "park_factor": 0.972, "park_factor_status": "available", "source_snapshot_ids": ["9cbe2e8925784168f682ac866898a32fe6ecb3f26c2cd290f553ea8f04fd4ac7", "44be6d82e6b8f93b363930d794b9d82dc2450b1ee936c44726bd8391841894fe", "0798f9bcaa447e8507315b28776f2949fd091b8d5da01707816f776c21f29918", "364484b35e49272bb119a007b9ef3bcd098f253ebe03e812346e87bec7dc97a5", "3dd72cc1921d64775169ecc45db17d4af5ad07d4b87d994a14fe1209dad13d0a"], "starter_confirmed": false, "starter_status": "probable", "weather_factor": 0.9952, "weather_status": "available", "wrc_plus_status": "unavailable_from_source"}, "formula_spec": {"away_field_run_factor": 1.0, "bullpen_elasticity": 0.069018, "configuration_hash": "ca5ee8c1fccc12d21de5d1755803d1be655b6083be01e5d7b5c57eecd4e9c6a0",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4.5368,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"2026-10-05T16:32:50.098407+00:00", "raw_probabilities": {"away": 0.6209, "home": 0.3791, "push": 0.0}, "replay_scope": "Exact features, formula and deterministic Monte Carlo seed inputs; independently calibrated sides are not a joint distribution.", "run_estimate": {"away_expected_runs": 4.099121, "configuration_hash": "ca5ee8c1fccc12d21de5d1755803d1be655b6083be01e5d7b5c57eecd4e9c6a0", "factors": {"away_bullpen_weakness_index": 1.002089, "away_field_run_factor": 1.0, "away_offense_index": 1.0320023395869693, "away_starter_weakness_index": 0.9439345970450527, "home_bullpen_weakness_index": 0.695946, "home_field_run_factor": 1.04, "home_offense_index": 0.9230769230769231, "home_starter_weakness_index": 0.7749772543960578, "park_factor": 0.972, "weather_factor": 0.9952}, "feature_schema_version": "v3", "formula_version": "mlb-analyst-poisson-trend-v0.3", "home_expected_runs": 4.575673, "uncertainty": 0.042131, "uncertainty_components": {"base": 0.02, "lineup": 0.025, "missing_wrc_plus": 0.01, "missing_xfip": 0.01, "model_form": 0.01, "pitcher": 0.015, "starter_confirmation": 0.015}}, "schema": "mlb-margin-replay-v1", "served_probabilities": {"away": 0.582381, "home": 0.417619}, "snapshot_hash": "721a0fda2c7c58d40f24833cd5e8c44efcff0a0432db3c4a630566b7c102160f", "sport": "MLB"}</t>
        </is>
      </c>
    </row>
    <row r="12" ht="36" customHeight="1">
      <c r="A12" s="24" t="inlineStr">
        <is>
          <t>4348c5442655482b</t>
        </is>
      </c>
      <c r="B12" s="24" t="inlineStr">
        <is>
          <t>2026-10-05T16:32:50.098407Z</t>
        </is>
      </c>
      <c r="C12" s="24" t="inlineStr">
        <is>
          <t>2026-10-05T21:00Z</t>
        </is>
      </c>
      <c r="D12" s="24" t="inlineStr">
        <is>
          <t>401907991</t>
        </is>
      </c>
      <c r="E12" s="24" t="inlineStr">
        <is>
          <t>MLB</t>
        </is>
      </c>
      <c r="F12" s="24" t="inlineStr">
        <is>
          <t>Chicago White Sox</t>
        </is>
      </c>
      <c r="G12" s="24" t="inlineStr">
        <is>
          <t>Cleveland Guardians</t>
        </is>
      </c>
      <c r="H12" s="24" t="inlineStr">
        <is>
          <t>total</t>
        </is>
      </c>
      <c r="I12" s="24" t="inlineStr">
        <is>
          <t>over</t>
        </is>
      </c>
      <c r="J12" s="25" t="n">
        <v>6.5</v>
      </c>
      <c r="K12" s="24" t="inlineStr">
        <is>
          <t>polymarket_us</t>
        </is>
      </c>
      <c r="L12" s="26" t="n">
        <v>-108</v>
      </c>
      <c r="M12" s="27" t="n">
        <v>1.925926</v>
      </c>
      <c r="N12" s="28" t="n">
        <v>0.519231</v>
      </c>
      <c r="O12" s="28" t="n">
        <v>0.553418</v>
      </c>
      <c r="P12" s="28" t="n">
        <v>0.042131</v>
      </c>
      <c r="Q12" s="28" t="n">
        <v>0.034187</v>
      </c>
      <c r="R12" s="26" t="n">
        <v>43</v>
      </c>
      <c r="S12" s="29" t="n">
        <v>1</v>
      </c>
      <c r="T12" s="24" t="inlineStr">
        <is>
          <t>measured-edge-totals-v3</t>
        </is>
      </c>
      <c r="U12" s="24" t="inlineStr">
        <is>
          <t>settled</t>
        </is>
      </c>
      <c r="V12" s="24" t="inlineStr">
        <is>
          <t>win</t>
        </is>
      </c>
      <c r="W12" s="26" t="n">
        <v>4</v>
      </c>
      <c r="X12" s="26" t="n">
        <v>3</v>
      </c>
      <c r="Y12" s="25" t="n">
        <v>6.5</v>
      </c>
      <c r="Z12" s="26" t="n">
        <v>-108</v>
      </c>
      <c r="AA12" s="28" t="n">
        <v>0.52</v>
      </c>
      <c r="AB12" s="28" t="n">
        <v>0.000769</v>
      </c>
      <c r="AC12" s="30" t="n">
        <v>0.9258999999999999</v>
      </c>
      <c r="AD12" s="24" t="inlineStr">
        <is>
          <t>2026-10-06T05:34:42.270834Z</t>
        </is>
      </c>
      <c r="AE12" s="31" t="inlineStr">
        <is>
          <t>Measured Edge Totals: Trend Engine projected 4.10-4.58; raw selected-side p=0.6917, calibrated p=0.5534.</t>
        </is>
      </c>
      <c r="AF12" s="31" t="inlineStr">
        <is>
          <t>Research-only; lineup, bullpen, park, weather, xFIP, and wRC+ may be neutral fallbacks; market availability and BBO depth may change before first pitch.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paper_call</t>
        </is>
      </c>
      <c r="AL12" s="26" t="n">
        <v>4</v>
      </c>
      <c r="AM12" s="24" t="inlineStr">
        <is>
          <t>RESEARCH_OBSERVATION</t>
        </is>
      </c>
      <c r="AN12" s="24" t="inlineStr">
        <is>
          <t>CALL</t>
        </is>
      </c>
      <c r="AO12" s="24" t="inlineStr">
        <is>
          <t>PAPER_CALL_MODEL_UNVALIDATED</t>
        </is>
      </c>
      <c r="AP12" s="24" t="inlineStr">
        <is>
          <t>mlb-cws</t>
        </is>
      </c>
      <c r="AQ12" s="24" t="inlineStr">
        <is>
          <t>Chicago White Sox</t>
        </is>
      </c>
      <c r="AR12" s="24" t="inlineStr">
        <is>
          <t>Chicago White Sox</t>
        </is>
      </c>
      <c r="AS12" s="24" t="inlineStr">
        <is>
          <t>mlb-cle</t>
        </is>
      </c>
      <c r="AT12" s="24" t="inlineStr">
        <is>
          <t>Cleveland Guardians</t>
        </is>
      </c>
      <c r="AU12" s="24" t="inlineStr">
        <is>
          <t>Cleveland Guardians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research</t>
        </is>
      </c>
      <c r="BA12" s="24" t="inlineStr">
        <is>
          <t>95b84332c75d2ce54036eb8de6ada9c78d0f80228c50825c0347281a8b9b49c7</t>
        </is>
      </c>
      <c r="BB12" s="24" t="inlineStr">
        <is>
          <t>flat_probability_shrinkage_toward_half</t>
        </is>
      </c>
      <c r="BC12" s="24" t="inlineStr">
        <is>
          <t>measured-edge-totals-v3</t>
        </is>
      </c>
      <c r="BD12" s="24" t="inlineStr">
        <is>
          <t>95b84332c75d2ce54036eb8de6ada9c78d0f80228c50825c0347281a8b9b49c7</t>
        </is>
      </c>
      <c r="BE12" s="24" t="inlineStr">
        <is>
          <t>v3</t>
        </is>
      </c>
      <c r="BF12" s="24" t="inlineStr">
        <is>
          <t>1</t>
        </is>
      </c>
      <c r="BG12" s="24" t="inlineStr">
        <is>
          <t>measured-edge-paired-v1</t>
        </is>
      </c>
      <c r="BH12" s="24" t="inlineStr">
        <is>
          <t>2026-10-05T16:32:50.098407Z</t>
        </is>
      </c>
      <c r="BI12" s="24" t="inlineStr">
        <is>
          <t>["same_event","same_team_same_day","same_league_same_day"]</t>
        </is>
      </c>
      <c r="BJ12" s="25" t="n">
        <v>6.5</v>
      </c>
      <c r="BK12" s="26" t="n">
        <v>-108</v>
      </c>
      <c r="BL12" s="27" t="n">
        <v>1.925926</v>
      </c>
      <c r="BM12" s="28" t="n">
        <v>0.519231</v>
      </c>
      <c r="BN12" s="28" t="n">
        <v>0.517413</v>
      </c>
      <c r="BO12" s="28" t="n"/>
      <c r="BP12" s="25" t="n"/>
      <c r="BQ12" s="27" t="n">
        <v>1.925926</v>
      </c>
      <c r="BR12" s="28" t="n">
        <v>0.52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inlineStr">
        <is>
          <t>6996251611d984f5d783c55874d6184a0285e0269f72e23eb18d19f2328b1a28</t>
        </is>
      </c>
      <c r="CU12" s="24" t="inlineStr">
        <is>
          <t>429f55c97f0c127ef03b3dd4f923e3940849b3e48138212e33261c4f90c9f15d</t>
        </is>
      </c>
      <c r="CV12" s="24" t="inlineStr">
        <is>
          <t>E:\model-prediction\config\model.yaml</t>
        </is>
      </c>
      <c r="CW12" s="24" t="inlineStr">
        <is>
          <t>1dad20b56ac0a94181b31c5f71abe66cc0ee1acd8c8792d0aacf42b7a6fc32e6</t>
        </is>
      </c>
      <c r="CX12" s="24" t="inlineStr">
        <is>
          <t>E:\model-prediction\config\models\measured-edge-totals-v3.json</t>
        </is>
      </c>
      <c r="CY12" s="24" t="inlineStr">
        <is>
          <t>2026-10-05T16:32:50.098407Z</t>
        </is>
      </c>
      <c r="CZ12" s="24" t="inlineStr">
        <is>
          <t>True</t>
        </is>
      </c>
      <c r="DA12" s="24" t="inlineStr">
        <is>
          <t>polymarket_us</t>
        </is>
      </c>
      <c r="DB12" s="24" t="inlineStr">
        <is>
          <t>decision_time_executable_quote</t>
        </is>
      </c>
      <c r="DC12" s="24" t="inlineStr">
        <is>
          <t>False</t>
        </is>
      </c>
      <c r="DD12" s="24" t="inlineStr">
        <is>
          <t>98764ea7f3f58047d1b74070bbfd0712c62505d55e0826c13245eba15e6bc77a</t>
        </is>
      </c>
      <c r="DE12" s="24" t="inlineStr">
        <is>
          <t>E:\model-prediction\data\market_odds_snapshots.jsonl</t>
        </is>
      </c>
      <c r="DF12" s="24" t="inlineStr">
        <is>
          <t>98764ea7f3f58047d1b74070bbfd0712c62505d55e0826c13245eba15e6bc77a</t>
        </is>
      </c>
      <c r="DG12" s="24" t="inlineStr">
        <is>
          <t>live_forecast</t>
        </is>
      </c>
      <c r="DH12" s="24" t="inlineStr">
        <is>
          <t>False</t>
        </is>
      </c>
      <c r="DI12" s="24" t="inlineStr">
        <is>
          <t>0.553418</t>
        </is>
      </c>
      <c r="DJ12" s="24" t="inlineStr">
        <is>
          <t>0.5192307692307692</t>
        </is>
      </c>
      <c r="DK12" s="24" t="inlineStr">
        <is>
          <t>0.553418</t>
        </is>
      </c>
      <c r="DL12" s="24" t="n"/>
      <c r="DM12" s="24" t="n"/>
      <c r="DN12" s="24" t="n"/>
      <c r="DO12" s="24" t="n"/>
      <c r="DP12" s="24" t="n"/>
      <c r="DQ12" s="24" t="n"/>
    </row>
    <row r="13" ht="36" customHeight="1">
      <c r="A13" s="24" t="inlineStr">
        <is>
          <t>1c1cf3a1219d42ff</t>
        </is>
      </c>
      <c r="B13" s="24" t="inlineStr">
        <is>
          <t>2026-10-05T16:32:50.537743Z</t>
        </is>
      </c>
      <c r="C13" s="24" t="inlineStr">
        <is>
          <t>2026-10-05T21:00Z</t>
        </is>
      </c>
      <c r="D13" s="24" t="inlineStr">
        <is>
          <t>401907991</t>
        </is>
      </c>
      <c r="E13" s="24" t="inlineStr">
        <is>
          <t>MLB</t>
        </is>
      </c>
      <c r="F13" s="24" t="inlineStr">
        <is>
          <t>Chicago White Sox</t>
        </is>
      </c>
      <c r="G13" s="24" t="inlineStr">
        <is>
          <t>Cleveland Guardians</t>
        </is>
      </c>
      <c r="H13" s="24" t="inlineStr">
        <is>
          <t>nrfi</t>
        </is>
      </c>
      <c r="I13" s="24" t="inlineStr">
        <is>
          <t>nrfi</t>
        </is>
      </c>
      <c r="J13" s="25" t="n">
        <v>0.5</v>
      </c>
      <c r="K13" s="24" t="inlineStr">
        <is>
          <t>model_fair</t>
        </is>
      </c>
      <c r="L13" s="26" t="n">
        <v>-113</v>
      </c>
      <c r="M13" s="27" t="n">
        <v>1.884956</v>
      </c>
      <c r="N13" s="28" t="n">
        <v>0.530516</v>
      </c>
      <c r="O13" s="28" t="n">
        <v>0.5296999999999999</v>
      </c>
      <c r="P13" s="28" t="n">
        <v>0.04</v>
      </c>
      <c r="Q13" s="28" t="n">
        <v>-0.000816</v>
      </c>
      <c r="R13" s="26" t="n">
        <v>26</v>
      </c>
      <c r="S13" s="29" t="n">
        <v>1</v>
      </c>
      <c r="T13" s="24" t="inlineStr">
        <is>
          <t>mlb-nrfi-v2</t>
        </is>
      </c>
      <c r="U13" s="24" t="inlineStr">
        <is>
          <t>settled</t>
        </is>
      </c>
      <c r="V13" s="24" t="inlineStr">
        <is>
          <t>loss</t>
        </is>
      </c>
      <c r="W13" s="26" t="n">
        <v>0</v>
      </c>
      <c r="X13" s="26" t="n">
        <v>2</v>
      </c>
      <c r="Y13" s="25" t="n"/>
      <c r="Z13" s="26" t="n"/>
      <c r="AA13" s="28" t="n"/>
      <c r="AB13" s="28" t="n"/>
      <c r="AC13" s="30" t="n">
        <v>-1</v>
      </c>
      <c r="AD13" s="24" t="inlineStr">
        <is>
          <t>2026-10-06T05:34:52.542861Z</t>
        </is>
      </c>
      <c r="AE13" s="31" t="inlineStr">
        <is>
          <t>MLB 1st Inning NRFI: p=0.530 (mlb-nrfi-v2, 4050 training games)</t>
        </is>
      </c>
      <c r="AF13" s="31" t="inlineStr">
        <is>
          <t>1st inning variance, leadoff home run risk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paper_call</t>
        </is>
      </c>
      <c r="AL13" s="26" t="n">
        <v>4</v>
      </c>
      <c r="AM13" s="24" t="inlineStr">
        <is>
          <t>RESEARCH_OBSERVATION</t>
        </is>
      </c>
      <c r="AN13" s="24" t="inlineStr">
        <is>
          <t>CALL</t>
        </is>
      </c>
      <c r="AO13" s="24" t="inlineStr">
        <is>
          <t>PAPER_CALL_MODEL_UNVALIDATED</t>
        </is>
      </c>
      <c r="AP13" s="24" t="inlineStr">
        <is>
          <t>mlb-cws</t>
        </is>
      </c>
      <c r="AQ13" s="24" t="inlineStr">
        <is>
          <t>Chicago White Sox</t>
        </is>
      </c>
      <c r="AR13" s="24" t="inlineStr">
        <is>
          <t>Chicago White Sox</t>
        </is>
      </c>
      <c r="AS13" s="24" t="inlineStr">
        <is>
          <t>mlb-cle</t>
        </is>
      </c>
      <c r="AT13" s="24" t="inlineStr">
        <is>
          <t>Cleveland Guardians</t>
        </is>
      </c>
      <c r="AU13" s="24" t="inlineStr">
        <is>
          <t>Cleveland Guardians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2909cd421e057ee98f16cafaabeaf26a1e00b4d7d36eb86e9d93b45d584700ec</t>
        </is>
      </c>
      <c r="BB13" s="24" t="inlineStr">
        <is>
          <t>identity</t>
        </is>
      </c>
      <c r="BC13" s="24" t="inlineStr">
        <is>
          <t>identity-v1</t>
        </is>
      </c>
      <c r="BD13" s="24" t="n"/>
      <c r="BE13" s="24" t="inlineStr">
        <is>
          <t>1</t>
        </is>
      </c>
      <c r="BF13" s="24" t="inlineStr">
        <is>
          <t>1</t>
        </is>
      </c>
      <c r="BG13" s="24" t="inlineStr">
        <is>
          <t>unknown</t>
        </is>
      </c>
      <c r="BH13" s="24" t="inlineStr">
        <is>
          <t>2026-10-05T16:32:50.537743+00:00</t>
        </is>
      </c>
      <c r="BI13" s="24" t="inlineStr">
        <is>
          <t>["same_event","same_team_same_day","same_league_same_day"]</t>
        </is>
      </c>
      <c r="BJ13" s="25" t="n">
        <v>0.5</v>
      </c>
      <c r="BK13" s="26" t="n">
        <v>-113</v>
      </c>
      <c r="BL13" s="27" t="n">
        <v>1.884956</v>
      </c>
      <c r="BM13" s="28" t="n">
        <v>0.530516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False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0.530516</t>
        </is>
      </c>
      <c r="DK13" s="24" t="n"/>
      <c r="DL13" s="24" t="n"/>
      <c r="DM13" s="24" t="n"/>
      <c r="DN13" s="24" t="n"/>
      <c r="DO13" s="24" t="n"/>
      <c r="DP13" s="24" t="n"/>
      <c r="DQ13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"401907991", "event_start_utc": "2026-10-05T21:00Z", "features": {"away_starter_bb_pct": 0.0791, "away_starter_days_rest": 6.0, "away_starter_fip": 4.259, "away_starter_k_pct": 0.1851, "away_starter_opp_1st_runs": 0.4104, "away_starter_starts": 3.4012, "away_team_1st_allowed_away": 0.517, "away_team_1st_scored_away": 0.519, "away_top3_composite": 0.11033, "home_starter_bb_pct": 0.1009, "home_starter_days_rest": 6.0, "home_starter_fip": 3.854, "home_starter_k_pct": 0.2749, "home_starter_opp_1st_runs": 0.5274, "home_starter_starts": 4.3567, "home_team_1st_allowed_home": 0.4157, "home_team_1st_scored_home": 0.5944, "home_top3_composite": 0.11093, "park_1st_runs": 1.0816}, "historical_source_observation_times_verified": false, "inference_inputs": {}, "model_version": "mlb-nrfi-v2", "observed_at_utc": "2026-10-05T16:32:50.537743+00:00", "replay_scope": "Exact final classifier/distribution inputs and artifact. Upstream historical feature construction not certified.", "schema": "scalar-artifact-replay-v1", "snapshot_hash": "e0ebea84363dc73b4af87583e926b4fc2803befd6b63476a768f201a68b21728"}</t>
        </is>
      </c>
    </row>
    <row r="14" ht="36" customHeight="1">
      <c r="A14" s="24" t="inlineStr">
        <is>
          <t>e730510193c64fd3</t>
        </is>
      </c>
      <c r="B14" s="24" t="inlineStr">
        <is>
          <t>2026-10-05T22:22:46.833786Z</t>
        </is>
      </c>
      <c r="C14" s="24" t="inlineStr">
        <is>
          <t>2026-10-05T20:00:00-0400</t>
        </is>
      </c>
      <c r="D14" s="24" t="inlineStr">
        <is>
          <t>401907986</t>
        </is>
      </c>
      <c r="E14" s="24" t="inlineStr">
        <is>
          <t>MLB</t>
        </is>
      </c>
      <c r="F14" s="24" t="inlineStr">
        <is>
          <t>New York Yankees</t>
        </is>
      </c>
      <c r="G14" s="24" t="inlineStr">
        <is>
          <t>Tampa Bay Rays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111</v>
      </c>
      <c r="M14" s="27" t="n">
        <v>2.11</v>
      </c>
      <c r="N14" s="28" t="n">
        <v>0.473934</v>
      </c>
      <c r="O14" s="28" t="n">
        <v>0.528797</v>
      </c>
      <c r="P14" s="28" t="n"/>
      <c r="Q14" s="28" t="n">
        <v>0.054863</v>
      </c>
      <c r="R14" s="26" t="n">
        <v>48</v>
      </c>
      <c r="S14" s="29" t="n">
        <v>1</v>
      </c>
      <c r="T14" s="24" t="inlineStr">
        <is>
          <t>mlb-elo-trend-lr-v8</t>
        </is>
      </c>
      <c r="U14" s="24" t="inlineStr">
        <is>
          <t>settled</t>
        </is>
      </c>
      <c r="V14" s="24" t="inlineStr">
        <is>
          <t>win</t>
        </is>
      </c>
      <c r="W14" s="26" t="n">
        <v>2</v>
      </c>
      <c r="X14" s="26" t="n">
        <v>5</v>
      </c>
      <c r="Y14" s="25" t="n"/>
      <c r="Z14" s="26" t="n">
        <v>111</v>
      </c>
      <c r="AA14" s="28" t="n">
        <v>0.475</v>
      </c>
      <c r="AB14" s="28" t="n">
        <v>0.001066</v>
      </c>
      <c r="AC14" s="30" t="n">
        <v>1.11</v>
      </c>
      <c r="AD14" s="24" t="inlineStr">
        <is>
          <t>2026-10-06T05:35:07.354924Z</t>
        </is>
      </c>
      <c r="AE14" s="31" t="inlineStr">
        <is>
          <t>Learned LR call at threshold 0.6197; executable ask 0.4750 (aec-mlb-nyy-tb-2026-10-05); model edge vs ask +0.0538.</t>
        </is>
      </c>
      <c r="AF14" s="31" t="inlineStr">
        <is>
          <t>Learned model; shadow-qualified via operator override.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paper_call</t>
        </is>
      </c>
      <c r="AL14" s="26" t="n">
        <v>4</v>
      </c>
      <c r="AM14" s="24" t="inlineStr">
        <is>
          <t>RESEARCH_OBSERVATION</t>
        </is>
      </c>
      <c r="AN14" s="24" t="inlineStr">
        <is>
          <t>CALL</t>
        </is>
      </c>
      <c r="AO14" s="24" t="inlineStr">
        <is>
          <t>PAPER_CALL_BELOW_LEARNED_CONFIDENCE</t>
        </is>
      </c>
      <c r="AP14" s="24" t="inlineStr">
        <is>
          <t>mlb-nyy</t>
        </is>
      </c>
      <c r="AQ14" s="24" t="inlineStr">
        <is>
          <t>New York Yankees</t>
        </is>
      </c>
      <c r="AR14" s="24" t="inlineStr">
        <is>
          <t>New York Yankees</t>
        </is>
      </c>
      <c r="AS14" s="24" t="inlineStr">
        <is>
          <t>mlb-tb</t>
        </is>
      </c>
      <c r="AT14" s="24" t="inlineStr">
        <is>
          <t>Tampa Bay Rays</t>
        </is>
      </c>
      <c r="AU14" s="24" t="inlineStr">
        <is>
          <t>Tampa Bay Rays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3b345499bd6bad9bcf65367a07fe0c668fb5817d4f016a0a865c01d9212fdeb8</t>
        </is>
      </c>
      <c r="BB14" s="24" t="inlineStr">
        <is>
          <t>learned_lr</t>
        </is>
      </c>
      <c r="BC14" s="24" t="inlineStr">
        <is>
          <t>mlb-elo-trend-lr-v8</t>
        </is>
      </c>
      <c r="BD14" s="24" t="inlineStr">
        <is>
          <t>3b345499bd6bad9bcf65367a07fe0c668fb5817d4f016a0a865c01d9212fdeb8</t>
        </is>
      </c>
      <c r="BE14" s="24" t="inlineStr">
        <is>
          <t>b0804370bc1dbf76</t>
        </is>
      </c>
      <c r="BF14" s="24" t="inlineStr">
        <is>
          <t>1</t>
        </is>
      </c>
      <c r="BG14" s="24" t="inlineStr">
        <is>
          <t>mlb-elo-trend-lr-v8</t>
        </is>
      </c>
      <c r="BH14" s="24" t="inlineStr">
        <is>
          <t>2026-10-05T16:07:52.188061Z</t>
        </is>
      </c>
      <c r="BI14" s="24" t="inlineStr">
        <is>
          <t>["same_event","same_team_same_day","same_league_same_day"]</t>
        </is>
      </c>
      <c r="BJ14" s="25" t="n"/>
      <c r="BK14" s="26" t="n">
        <v>111</v>
      </c>
      <c r="BL14" s="27" t="n">
        <v>2.11</v>
      </c>
      <c r="BM14" s="28" t="n">
        <v>0.473934</v>
      </c>
      <c r="BN14" s="28" t="n">
        <v>0.472637</v>
      </c>
      <c r="BO14" s="28" t="n"/>
      <c r="BP14" s="25" t="n"/>
      <c r="BQ14" s="27" t="n">
        <v>2.11</v>
      </c>
      <c r="BR14" s="28" t="n">
        <v>0.475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inlineStr">
        <is>
          <t>0.5157370912</t>
        </is>
      </c>
      <c r="CD14" s="24" t="inlineStr">
        <is>
          <t>-0.822158</t>
        </is>
      </c>
      <c r="CE14" s="24" t="inlineStr">
        <is>
          <t>0.958</t>
        </is>
      </c>
      <c r="CF14" s="24" t="inlineStr">
        <is>
          <t>1.0</t>
        </is>
      </c>
      <c r="CG14" s="24" t="n"/>
      <c r="CH14" s="24" t="n"/>
      <c r="CI14" s="24" t="n"/>
      <c r="CJ14" s="24" t="inlineStr">
        <is>
          <t>0.162356</t>
        </is>
      </c>
      <c r="CK14" s="24" t="n"/>
      <c r="CL14" s="24" t="inlineStr">
        <is>
          <t>-0.215182</t>
        </is>
      </c>
      <c r="CM14" s="24" t="inlineStr">
        <is>
          <t>-0.2357</t>
        </is>
      </c>
      <c r="CN14" s="24" t="n"/>
      <c r="CO14" s="24" t="n"/>
      <c r="CP14" s="24" t="n"/>
      <c r="CQ14" s="24" t="n"/>
      <c r="CR14" s="24" t="inlineStr">
        <is>
          <t>0.528797</t>
        </is>
      </c>
      <c r="CS14" s="24" t="inlineStr">
        <is>
          <t>True</t>
        </is>
      </c>
      <c r="CT14" s="24" t="n"/>
      <c r="CU14" s="24" t="n"/>
      <c r="CV14" s="24" t="n"/>
      <c r="CW14" s="24" t="n"/>
      <c r="CX14" s="24" t="n"/>
      <c r="CY14" s="24" t="inlineStr">
        <is>
          <t>2026-10-05T16:07:52.188061Z</t>
        </is>
      </c>
      <c r="CZ14" s="24" t="inlineStr">
        <is>
          <t>True</t>
        </is>
      </c>
      <c r="DA14" s="24" t="inlineStr">
        <is>
          <t>polymarket_us</t>
        </is>
      </c>
      <c r="DB14" s="24" t="inlineStr">
        <is>
          <t>decision_time_executable_quote</t>
        </is>
      </c>
      <c r="DC14" s="24" t="inlineStr">
        <is>
          <t>False</t>
        </is>
      </c>
      <c r="DD14" s="24" t="inlineStr">
        <is>
          <t>cde39193d2f5ded42cd143723b31b3566050d59cf2c03994f6fb9db734a31841</t>
        </is>
      </c>
      <c r="DE14" s="24" t="inlineStr">
        <is>
          <t>E:\model-prediction\data\odds\mlb\2026-10-05\polymarket_snapshots.jsonl</t>
        </is>
      </c>
      <c r="DF14" s="24" t="inlineStr">
        <is>
          <t>cde39193d2f5ded42cd143723b31b3566050d59cf2c03994f6fb9db734a31841</t>
        </is>
      </c>
      <c r="DG14" s="24" t="n"/>
      <c r="DH14" s="24" t="n"/>
      <c r="DI14" s="24" t="n"/>
      <c r="DJ14" s="24" t="inlineStr">
        <is>
          <t>0.473934</t>
        </is>
      </c>
      <c r="DK14" s="24" t="n"/>
      <c r="DL14" s="24" t="n"/>
      <c r="DM14" s="24" t="n"/>
      <c r="DN14" s="24" t="n"/>
      <c r="DO14" s="24" t="n"/>
      <c r="DP14" s="24" t="n"/>
      <c r="DQ1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0.5287974883491391, "event_id": "401907986", "event_start_utc": "2026-10-06T00:00:00+00:00", "features": {"bullpen_weakness_gap": -0.215182, "elo_probability": 0.5157370911932666, "park_factor": 0.958, "starter_era_gap": -0.2357, "trend_gap": -0.8221579999999999, "weather_factor": 1.0}, "historical_source_observation_times_verified": false, "model_version": "mlb-elo-trend-lr-v8", "observed_at_utc": "2026-10-05T22:22:46.833786+00:00", "schema": "learned-moneyline-replay-v1", "served_home_probability": 0.5287974883491391, "snapshot_hash": "1805b102a1231fdc1cb0067505ab4e1ab719cb134c0e9b8d58d0f90081a948f7"}</t>
        </is>
      </c>
    </row>
    <row r="15" ht="36" customHeight="1">
      <c r="A15" s="24" t="inlineStr">
        <is>
          <t>79265e3240844f40</t>
        </is>
      </c>
      <c r="B15" s="24" t="inlineStr">
        <is>
          <t>2026-10-05T22:23:41.496597Z</t>
        </is>
      </c>
      <c r="C15" s="24" t="inlineStr">
        <is>
          <t>2026-10-06T00:00Z</t>
        </is>
      </c>
      <c r="D15" s="24" t="inlineStr">
        <is>
          <t>401907986</t>
        </is>
      </c>
      <c r="E15" s="24" t="inlineStr">
        <is>
          <t>MLB</t>
        </is>
      </c>
      <c r="F15" s="24" t="inlineStr">
        <is>
          <t>New York Yankees</t>
        </is>
      </c>
      <c r="G15" s="24" t="inlineStr">
        <is>
          <t>Tampa Bay Rays</t>
        </is>
      </c>
      <c r="H15" s="24" t="inlineStr">
        <is>
          <t>spread</t>
        </is>
      </c>
      <c r="I15" s="24" t="inlineStr">
        <is>
          <t>home</t>
        </is>
      </c>
      <c r="J15" s="25" t="n">
        <v>1.5</v>
      </c>
      <c r="K15" s="24" t="inlineStr">
        <is>
          <t>polymarket_us</t>
        </is>
      </c>
      <c r="L15" s="26" t="n">
        <v>-160</v>
      </c>
      <c r="M15" s="27" t="n">
        <v>1.625</v>
      </c>
      <c r="N15" s="28" t="n">
        <v>0.615385</v>
      </c>
      <c r="O15" s="28" t="n">
        <v>0.611613</v>
      </c>
      <c r="P15" s="28" t="n">
        <v>0.042131</v>
      </c>
      <c r="Q15" s="28" t="n">
        <v>-0.003772</v>
      </c>
      <c r="R15" s="26" t="n">
        <v>25</v>
      </c>
      <c r="S15" s="29" t="n">
        <v>1</v>
      </c>
      <c r="T15" s="24" t="inlineStr">
        <is>
          <t>measured-edge-margin-v3</t>
        </is>
      </c>
      <c r="U15" s="24" t="inlineStr">
        <is>
          <t>settled</t>
        </is>
      </c>
      <c r="V15" s="24" t="inlineStr">
        <is>
          <t>win</t>
        </is>
      </c>
      <c r="W15" s="26" t="n">
        <v>2</v>
      </c>
      <c r="X15" s="26" t="n">
        <v>5</v>
      </c>
      <c r="Y15" s="25" t="n">
        <v>1.5</v>
      </c>
      <c r="Z15" s="26" t="n">
        <v>-160</v>
      </c>
      <c r="AA15" s="28" t="n">
        <v>0.615</v>
      </c>
      <c r="AB15" s="28" t="n">
        <v>-0.000385</v>
      </c>
      <c r="AC15" s="30" t="n">
        <v>0.625</v>
      </c>
      <c r="AD15" s="24" t="inlineStr">
        <is>
          <t>2026-10-06T05:35:17.844366Z</t>
        </is>
      </c>
      <c r="AE15" s="31" t="inlineStr">
        <is>
          <t>Measured Edge Margin: Trend Engine projected 4.03-3.82; raw selected-side p=0.6638, calibrated p=0.6116.</t>
        </is>
      </c>
      <c r="AF15" s="31" t="inlineStr">
        <is>
          <t>Research-only; lineup, bullpen, park, weather, xFIP, and wRC+ may be neutral fallbacks; market availability and BBO depth may change before first pitch.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4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mlb-nyy</t>
        </is>
      </c>
      <c r="AQ15" s="24" t="inlineStr">
        <is>
          <t>New York Yankees</t>
        </is>
      </c>
      <c r="AR15" s="24" t="inlineStr">
        <is>
          <t>New York Yankees</t>
        </is>
      </c>
      <c r="AS15" s="24" t="inlineStr">
        <is>
          <t>mlb-tb</t>
        </is>
      </c>
      <c r="AT15" s="24" t="inlineStr">
        <is>
          <t>Tampa Bay Rays</t>
        </is>
      </c>
      <c r="AU15" s="24" t="inlineStr">
        <is>
          <t>Tampa Bay Rays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research</t>
        </is>
      </c>
      <c r="BA15" s="24" t="inlineStr">
        <is>
          <t>dd339a2eed50d7d83ab2127837995ddab82e879afd27f5414bb6c1f9cd60ba4c</t>
        </is>
      </c>
      <c r="BB15" s="24" t="inlineStr">
        <is>
          <t>flat_probability_shrinkage_toward_half</t>
        </is>
      </c>
      <c r="BC15" s="24" t="inlineStr">
        <is>
          <t>measured-edge-margin-v3</t>
        </is>
      </c>
      <c r="BD15" s="24" t="inlineStr">
        <is>
          <t>dd339a2eed50d7d83ab2127837995ddab82e879afd27f5414bb6c1f9cd60ba4c</t>
        </is>
      </c>
      <c r="BE15" s="24" t="inlineStr">
        <is>
          <t>v3</t>
        </is>
      </c>
      <c r="BF15" s="24" t="inlineStr">
        <is>
          <t>1</t>
        </is>
      </c>
      <c r="BG15" s="24" t="inlineStr">
        <is>
          <t>measured-edge-paired-v1</t>
        </is>
      </c>
      <c r="BH15" s="24" t="inlineStr">
        <is>
          <t>2026-10-05T22:23:41.496597Z</t>
        </is>
      </c>
      <c r="BI15" s="24" t="inlineStr">
        <is>
          <t>["same_event","same_team_same_day","same_league_same_day"]</t>
        </is>
      </c>
      <c r="BJ15" s="25" t="n">
        <v>1.5</v>
      </c>
      <c r="BK15" s="26" t="n">
        <v>-160</v>
      </c>
      <c r="BL15" s="27" t="n">
        <v>1.625</v>
      </c>
      <c r="BM15" s="28" t="n">
        <v>0.615385</v>
      </c>
      <c r="BN15" s="28" t="n">
        <v>0.61194</v>
      </c>
      <c r="BO15" s="28" t="n"/>
      <c r="BP15" s="25" t="n"/>
      <c r="BQ15" s="27" t="n">
        <v>1.625</v>
      </c>
      <c r="BR15" s="28" t="n">
        <v>0.615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False</t>
        </is>
      </c>
      <c r="CT15" s="24" t="inlineStr">
        <is>
          <t>6996251611d984f5d783c55874d6184a0285e0269f72e23eb18d19f2328b1a28</t>
        </is>
      </c>
      <c r="CU15" s="24" t="inlineStr">
        <is>
          <t>429f55c97f0c127ef03b3dd4f923e3940849b3e48138212e33261c4f90c9f15d</t>
        </is>
      </c>
      <c r="CV15" s="24" t="inlineStr">
        <is>
          <t>E:\model-prediction\config\model.yaml</t>
        </is>
      </c>
      <c r="CW15" s="24" t="inlineStr">
        <is>
          <t>1ac81f4be213944a7cce95cbe9a52520e640a9cc5ea1424409aeda60b059f716</t>
        </is>
      </c>
      <c r="CX15" s="24" t="inlineStr">
        <is>
          <t>E:\model-prediction\config\models\measured-edge-margin-v3.json</t>
        </is>
      </c>
      <c r="CY15" s="24" t="inlineStr">
        <is>
          <t>2026-10-05T22:23:41.496597Z</t>
        </is>
      </c>
      <c r="CZ15" s="24" t="inlineStr">
        <is>
          <t>True</t>
        </is>
      </c>
      <c r="DA15" s="24" t="inlineStr">
        <is>
          <t>polymarket_us</t>
        </is>
      </c>
      <c r="DB15" s="24" t="inlineStr">
        <is>
          <t>decision_time_executable_quote</t>
        </is>
      </c>
      <c r="DC15" s="24" t="inlineStr">
        <is>
          <t>False</t>
        </is>
      </c>
      <c r="DD15" s="24" t="inlineStr">
        <is>
          <t>3b2db2d7c4f280a85860a3ef27b288c68c113f0f3e3e0f3119b6f082ce9d9e2a</t>
        </is>
      </c>
      <c r="DE15" s="24" t="inlineStr">
        <is>
          <t>E:\model-prediction\data\market_odds_snapshots.jsonl</t>
        </is>
      </c>
      <c r="DF15" s="24" t="inlineStr">
        <is>
          <t>3b2db2d7c4f280a85860a3ef27b288c68c113f0f3e3e0f3119b6f082ce9d9e2a</t>
        </is>
      </c>
      <c r="DG15" s="24" t="inlineStr">
        <is>
          <t>live_forecast</t>
        </is>
      </c>
      <c r="DH15" s="24" t="inlineStr">
        <is>
          <t>False</t>
        </is>
      </c>
      <c r="DI15" s="24" t="inlineStr">
        <is>
          <t>0.611613</t>
        </is>
      </c>
      <c r="DJ15" s="24" t="inlineStr">
        <is>
          <t>0.6153846153846154</t>
        </is>
      </c>
      <c r="DK15" s="24" t="inlineStr">
        <is>
          <t>0.611613</t>
        </is>
      </c>
      <c r="DL15" s="24" t="n"/>
      <c r="DM15" s="24" t="n"/>
      <c r="DN15" s="24" t="n"/>
      <c r="DO15" s="24" t="n"/>
      <c r="DP15" s="24" t="n"/>
      <c r="DQ1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"401907986", "event_start_utc": "2026-10-06T00:00Z", "features": {"away_bullpen_status": "available", "away_bullpen_weakness": 1.01541, "away_form": {"losses": 1, "runs_allowed": [0, 2, 1], "runs_scored": [9, 9, 0], "status": "available", "wins": 2}, "away_starter": {"last_five_batters_faced": 106, "last_five_earned_runs": 3, "last_five_innings": 28.333333333333332, "last_five_strikeouts": 39, "last_five_walks": 8, "name": "Cam Schlittler", "player_id": "5134581", "season_batters_faced": 783, "season_earned_runs": 42, "season_innings": 200.0, "season_strikeouts": 249, "season_walks": 50, "starts_before_game": 34, "status": "available", "throwing_hand": "Right", "xfip": null, "xfip_status": "unavailable_from_source"}, "away_team": "New York Yankees", "decision_timestamp_utc": "2026-10-05T22:00:00Z", "event_id": "401907986", "event_start_utc": "2026-10-06T00:00Z", "feature_snapshot_hash": "a18fdf2e2b907d13ebd5550b33efc156525a0a5c407dce685fac89c4b78140a7", "home_bullpen_status": "available", "home_bullpen_weakness": 0.800228, "home_form": {"losses": 0, "runs_allowed": [0], "runs_scored": [1], "status": "available", "wins": 1}, "home_starter": {"last_five_batters_faced": 109, "last_five_earned_runs": 3, "last_five_innings": 28.0, "last_five_strikeouts": 23, "last_five_walks": 9, "name": "Freddy Peralta", "player_id": "39825", "season_batters_faced": 730, "season_earned_runs": 83, "season_innings": 169.0, "season_strikeouts": 156, "season_walks": 63, "starts_before_game": 32, "status": "available", "throwing_hand": "Right", "xfip": null, "xfip_status": "unavailable_from_source"}, "home_team": "Tampa Bay Rays", "lineup_status": "unavailable_from_source", "market_snapshot_hash": "3b2db2d7c4f280a85860a3ef27b288c68c113f0f3e3e0f3119b6f082ce9d9e2a", "park_factor": 0.958, "park_factor_status": "available", "source_snapshot_ids": ["16bf235d46df0911fe0e061d02232828904ac85a6abc4108273a21ff957373b9", "f9ba3f2acda60bcaf74d94332747757f4c0803ea0d88ae9c1c2ef568d3f0bedd", "4964b7c95cb761166d12c6cbba9e5325ceb92672761ed023630c508a9ef2d5e2", "aebd41e24830db40f4a8e42762660c2d3220972a163b4b5fb2bef38da2369458", "dbd5693933349ad66b5ddc5dff6dfb51da5c19ffa33273d3c726f1e8548abd31"], "starter_confirmed": false, "starter_status": "probable", "weather_factor": 1.0, "weather_status": "dome", "wrc_plus_status": "unavailable_from_source"}, "formula_spec": {"away_field_run_factor": 1.0, "bullpen_elasticity": 0.069018, "configuration_hash": "ca5ee8c1fccc12d21de5d1755803d1be655b6083be01e5d7b5c57eecd4e9c6a0",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4.5368,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"2026-10-05T22:23:41.496597+00:00", "raw_probabilities": {"away": 0.3362, "home": 0.6638, "push": 0.0}, "replay_scope": "Exact features, formula and deterministic Monte Carlo seed inputs; independently calibrated sides are not a joint distribution.", "run_estimate": {"away_expected_runs": 4.032824, "configuration_hash": "ca5ee8c1fccc12d21de5d1755803d1be655b6083be01e5d7b5c57eecd4e9c6a0", "factors": {"away_bullpen_weakness_index": 1.01541, "away_field_run_factor": 1.0, "away_offense_index": 1.0552381767830683, "away_starter_weakness_index": 0.5, "home_bullpen_weakness_index": 0.800228, "home_field_run_factor": 1.04, "home_offense_index": 0.9400322830053036, "home_starter_weakness_index": 0.7106915124453321, "park_factor": 0.958, "weather_factor": 1.0}, "feature_schema_version": "v3", "formula_version": "mlb-analyst-poisson-trend-v0.3", "home_expected_runs": 3.823162, "uncertainty": 0.042131, "uncertainty_components": {"base": 0.02, "lineup": 0.025, "missing_wrc_plus": 0.01, "missing_xfip": 0.01, "model_form": 0.01, "pitcher": 0.015, "starter_confirmation": 0.015}}, "schema": "mlb-margin-replay-v1", "served_probabilities": {"away": 0.388387, "home": 0.611613}, "snapshot_hash": "ad59bbd52a85e39ab599fc4b7f687608ea6f5a5aca6608409ee2e01a835ce0c0", "sport": "MLB"}</t>
        </is>
      </c>
    </row>
    <row r="16" ht="36" customHeight="1">
      <c r="A16" s="24" t="inlineStr">
        <is>
          <t>369da1eae7314660</t>
        </is>
      </c>
      <c r="B16" s="24" t="inlineStr">
        <is>
          <t>2026-10-05T22:23:41.496597Z</t>
        </is>
      </c>
      <c r="C16" s="24" t="inlineStr">
        <is>
          <t>2026-10-06T00:00Z</t>
        </is>
      </c>
      <c r="D16" s="24" t="inlineStr">
        <is>
          <t>401907986</t>
        </is>
      </c>
      <c r="E16" s="24" t="inlineStr">
        <is>
          <t>MLB</t>
        </is>
      </c>
      <c r="F16" s="24" t="inlineStr">
        <is>
          <t>New York Yankees</t>
        </is>
      </c>
      <c r="G16" s="24" t="inlineStr">
        <is>
          <t>Tampa Bay Rays</t>
        </is>
      </c>
      <c r="H16" s="24" t="inlineStr">
        <is>
          <t>total</t>
        </is>
      </c>
      <c r="I16" s="24" t="inlineStr">
        <is>
          <t>over</t>
        </is>
      </c>
      <c r="J16" s="25" t="n">
        <v>6.5</v>
      </c>
      <c r="K16" s="24" t="inlineStr">
        <is>
          <t>polymarket_us</t>
        </is>
      </c>
      <c r="L16" s="26" t="n">
        <v>-104</v>
      </c>
      <c r="M16" s="27" t="n">
        <v>1.961538</v>
      </c>
      <c r="N16" s="28" t="n">
        <v>0.509804</v>
      </c>
      <c r="O16" s="28" t="n">
        <v>0.536117</v>
      </c>
      <c r="P16" s="28" t="n">
        <v>0.042131</v>
      </c>
      <c r="Q16" s="28" t="n">
        <v>0.026313</v>
      </c>
      <c r="R16" s="26" t="n">
        <v>39</v>
      </c>
      <c r="S16" s="29" t="n">
        <v>1</v>
      </c>
      <c r="T16" s="24" t="inlineStr">
        <is>
          <t>measured-edge-totals-v3</t>
        </is>
      </c>
      <c r="U16" s="24" t="inlineStr">
        <is>
          <t>settled</t>
        </is>
      </c>
      <c r="V16" s="24" t="inlineStr">
        <is>
          <t>win</t>
        </is>
      </c>
      <c r="W16" s="26" t="n">
        <v>2</v>
      </c>
      <c r="X16" s="26" t="n">
        <v>5</v>
      </c>
      <c r="Y16" s="25" t="n">
        <v>6.5</v>
      </c>
      <c r="Z16" s="26" t="n">
        <v>-104</v>
      </c>
      <c r="AA16" s="28" t="n">
        <v>0.51</v>
      </c>
      <c r="AB16" s="28" t="n">
        <v>0.000196</v>
      </c>
      <c r="AC16" s="30" t="n">
        <v>0.9615</v>
      </c>
      <c r="AD16" s="24" t="inlineStr">
        <is>
          <t>2026-10-06T05:35:27.960020Z</t>
        </is>
      </c>
      <c r="AE16" s="31" t="inlineStr">
        <is>
          <t>Measured Edge Totals: Trend Engine projected 4.03-3.82; raw selected-side p=0.6220, calibrated p=0.5361.</t>
        </is>
      </c>
      <c r="AF16" s="31" t="inlineStr">
        <is>
          <t>Research-only; lineup, bullpen, park, weather, xFIP, and wRC+ may be neutral fallbacks; market availability and BBO depth may change before first pitch.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paper_call</t>
        </is>
      </c>
      <c r="AL16" s="26" t="n">
        <v>4</v>
      </c>
      <c r="AM16" s="24" t="inlineStr">
        <is>
          <t>RESEARCH_OBSERVATION</t>
        </is>
      </c>
      <c r="AN16" s="24" t="inlineStr">
        <is>
          <t>CALL</t>
        </is>
      </c>
      <c r="AO16" s="24" t="inlineStr">
        <is>
          <t>PAPER_CALL_MODEL_UNVALIDATED</t>
        </is>
      </c>
      <c r="AP16" s="24" t="inlineStr">
        <is>
          <t>mlb-nyy</t>
        </is>
      </c>
      <c r="AQ16" s="24" t="inlineStr">
        <is>
          <t>New York Yankees</t>
        </is>
      </c>
      <c r="AR16" s="24" t="inlineStr">
        <is>
          <t>New York Yankees</t>
        </is>
      </c>
      <c r="AS16" s="24" t="inlineStr">
        <is>
          <t>mlb-tb</t>
        </is>
      </c>
      <c r="AT16" s="24" t="inlineStr">
        <is>
          <t>Tampa Bay Rays</t>
        </is>
      </c>
      <c r="AU16" s="24" t="inlineStr">
        <is>
          <t>Tampa Bay Rays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95b84332c75d2ce54036eb8de6ada9c78d0f80228c50825c0347281a8b9b49c7</t>
        </is>
      </c>
      <c r="BB16" s="24" t="inlineStr">
        <is>
          <t>flat_probability_shrinkage_toward_half</t>
        </is>
      </c>
      <c r="BC16" s="24" t="inlineStr">
        <is>
          <t>measured-edge-totals-v3</t>
        </is>
      </c>
      <c r="BD16" s="24" t="inlineStr">
        <is>
          <t>95b84332c75d2ce54036eb8de6ada9c78d0f80228c50825c0347281a8b9b49c7</t>
        </is>
      </c>
      <c r="BE16" s="24" t="inlineStr">
        <is>
          <t>v3</t>
        </is>
      </c>
      <c r="BF16" s="24" t="inlineStr">
        <is>
          <t>1</t>
        </is>
      </c>
      <c r="BG16" s="24" t="inlineStr">
        <is>
          <t>measured-edge-paired-v1</t>
        </is>
      </c>
      <c r="BH16" s="24" t="inlineStr">
        <is>
          <t>2026-10-05T22:23:41.496597Z</t>
        </is>
      </c>
      <c r="BI16" s="24" t="inlineStr">
        <is>
          <t>["same_event","same_team_same_day","same_league_same_day"]</t>
        </is>
      </c>
      <c r="BJ16" s="25" t="n">
        <v>6.5</v>
      </c>
      <c r="BK16" s="26" t="n">
        <v>-104</v>
      </c>
      <c r="BL16" s="27" t="n">
        <v>1.961538</v>
      </c>
      <c r="BM16" s="28" t="n">
        <v>0.509804</v>
      </c>
      <c r="BN16" s="28" t="n">
        <v>0.507463</v>
      </c>
      <c r="BO16" s="28" t="n"/>
      <c r="BP16" s="25" t="n"/>
      <c r="BQ16" s="27" t="n">
        <v>1.961538</v>
      </c>
      <c r="BR16" s="28" t="n">
        <v>0.51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  <c r="CT16" s="24" t="inlineStr">
        <is>
          <t>6996251611d984f5d783c55874d6184a0285e0269f72e23eb18d19f2328b1a28</t>
        </is>
      </c>
      <c r="CU16" s="24" t="inlineStr">
        <is>
          <t>429f55c97f0c127ef03b3dd4f923e3940849b3e48138212e33261c4f90c9f15d</t>
        </is>
      </c>
      <c r="CV16" s="24" t="inlineStr">
        <is>
          <t>E:\model-prediction\config\model.yaml</t>
        </is>
      </c>
      <c r="CW16" s="24" t="inlineStr">
        <is>
          <t>1dad20b56ac0a94181b31c5f71abe66cc0ee1acd8c8792d0aacf42b7a6fc32e6</t>
        </is>
      </c>
      <c r="CX16" s="24" t="inlineStr">
        <is>
          <t>E:\model-prediction\config\models\measured-edge-totals-v3.json</t>
        </is>
      </c>
      <c r="CY16" s="24" t="inlineStr">
        <is>
          <t>2026-10-05T22:23:41.496597Z</t>
        </is>
      </c>
      <c r="CZ16" s="24" t="inlineStr">
        <is>
          <t>True</t>
        </is>
      </c>
      <c r="DA16" s="24" t="inlineStr">
        <is>
          <t>polymarket_us</t>
        </is>
      </c>
      <c r="DB16" s="24" t="inlineStr">
        <is>
          <t>decision_time_executable_quote</t>
        </is>
      </c>
      <c r="DC16" s="24" t="inlineStr">
        <is>
          <t>False</t>
        </is>
      </c>
      <c r="DD16" s="24" t="inlineStr">
        <is>
          <t>3b2db2d7c4f280a85860a3ef27b288c68c113f0f3e3e0f3119b6f082ce9d9e2a</t>
        </is>
      </c>
      <c r="DE16" s="24" t="inlineStr">
        <is>
          <t>E:\model-prediction\data\market_odds_snapshots.jsonl</t>
        </is>
      </c>
      <c r="DF16" s="24" t="inlineStr">
        <is>
          <t>3b2db2d7c4f280a85860a3ef27b288c68c113f0f3e3e0f3119b6f082ce9d9e2a</t>
        </is>
      </c>
      <c r="DG16" s="24" t="inlineStr">
        <is>
          <t>live_forecast</t>
        </is>
      </c>
      <c r="DH16" s="24" t="inlineStr">
        <is>
          <t>False</t>
        </is>
      </c>
      <c r="DI16" s="24" t="inlineStr">
        <is>
          <t>0.536117</t>
        </is>
      </c>
      <c r="DJ16" s="24" t="inlineStr">
        <is>
          <t>0.5098039215686274</t>
        </is>
      </c>
      <c r="DK16" s="24" t="inlineStr">
        <is>
          <t>0.536117</t>
        </is>
      </c>
      <c r="DL16" s="24" t="n"/>
      <c r="DM16" s="24" t="n"/>
      <c r="DN16" s="24" t="n"/>
      <c r="DO16" s="24" t="n"/>
      <c r="DP16" s="24" t="n"/>
      <c r="DQ16" s="24" t="n"/>
    </row>
    <row r="17" ht="36" customHeight="1">
      <c r="A17" s="24" t="inlineStr">
        <is>
          <t>0b14907e7d964107</t>
        </is>
      </c>
      <c r="B17" s="24" t="inlineStr">
        <is>
          <t>2026-10-05T22:23:41.979302Z</t>
        </is>
      </c>
      <c r="C17" s="24" t="inlineStr">
        <is>
          <t>2026-10-06T00:00Z</t>
        </is>
      </c>
      <c r="D17" s="24" t="inlineStr">
        <is>
          <t>401907986</t>
        </is>
      </c>
      <c r="E17" s="24" t="inlineStr">
        <is>
          <t>MLB</t>
        </is>
      </c>
      <c r="F17" s="24" t="inlineStr">
        <is>
          <t>New York Yankees</t>
        </is>
      </c>
      <c r="G17" s="24" t="inlineStr">
        <is>
          <t>Tampa Bay Rays</t>
        </is>
      </c>
      <c r="H17" s="24" t="inlineStr">
        <is>
          <t>nrfi</t>
        </is>
      </c>
      <c r="I17" s="24" t="inlineStr">
        <is>
          <t>nrfi</t>
        </is>
      </c>
      <c r="J17" s="25" t="n">
        <v>0.5</v>
      </c>
      <c r="K17" s="24" t="inlineStr">
        <is>
          <t>model_fair</t>
        </is>
      </c>
      <c r="L17" s="26" t="n">
        <v>-117</v>
      </c>
      <c r="M17" s="27" t="n">
        <v>1.854701</v>
      </c>
      <c r="N17" s="28" t="n">
        <v>0.539171</v>
      </c>
      <c r="O17" s="28" t="n">
        <v>0.5397999999999999</v>
      </c>
      <c r="P17" s="28" t="n">
        <v>0.04</v>
      </c>
      <c r="Q17" s="28" t="n">
        <v>0.000629</v>
      </c>
      <c r="R17" s="26" t="n">
        <v>26</v>
      </c>
      <c r="S17" s="29" t="n">
        <v>1</v>
      </c>
      <c r="T17" s="24" t="inlineStr">
        <is>
          <t>mlb-nrfi-v2</t>
        </is>
      </c>
      <c r="U17" s="24" t="inlineStr">
        <is>
          <t>settled</t>
        </is>
      </c>
      <c r="V17" s="24" t="inlineStr">
        <is>
          <t>loss</t>
        </is>
      </c>
      <c r="W17" s="26" t="n">
        <v>0</v>
      </c>
      <c r="X17" s="26" t="n">
        <v>1</v>
      </c>
      <c r="Y17" s="25" t="n"/>
      <c r="Z17" s="26" t="n"/>
      <c r="AA17" s="28" t="n"/>
      <c r="AB17" s="28" t="n"/>
      <c r="AC17" s="30" t="n">
        <v>-1</v>
      </c>
      <c r="AD17" s="24" t="inlineStr">
        <is>
          <t>2026-10-06T05:35:40.069288Z</t>
        </is>
      </c>
      <c r="AE17" s="31" t="inlineStr">
        <is>
          <t>MLB 1st Inning NRFI: p=0.540 (mlb-nrfi-v2, 4050 training games)</t>
        </is>
      </c>
      <c r="AF17" s="31" t="inlineStr">
        <is>
          <t>1st inning variance, leadoff home run risk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paper_call</t>
        </is>
      </c>
      <c r="AL17" s="26" t="n">
        <v>4</v>
      </c>
      <c r="AM17" s="24" t="inlineStr">
        <is>
          <t>RESEARCH_OBSERVATION</t>
        </is>
      </c>
      <c r="AN17" s="24" t="inlineStr">
        <is>
          <t>CALL</t>
        </is>
      </c>
      <c r="AO17" s="24" t="inlineStr">
        <is>
          <t>PAPER_CALL_MODEL_UNVALIDATED</t>
        </is>
      </c>
      <c r="AP17" s="24" t="inlineStr">
        <is>
          <t>mlb-nyy</t>
        </is>
      </c>
      <c r="AQ17" s="24" t="inlineStr">
        <is>
          <t>New York Yankees</t>
        </is>
      </c>
      <c r="AR17" s="24" t="inlineStr">
        <is>
          <t>New York Yankees</t>
        </is>
      </c>
      <c r="AS17" s="24" t="inlineStr">
        <is>
          <t>mlb-tb</t>
        </is>
      </c>
      <c r="AT17" s="24" t="inlineStr">
        <is>
          <t>Tampa Bay Rays</t>
        </is>
      </c>
      <c r="AU17" s="24" t="inlineStr">
        <is>
          <t>Tampa Bay Rays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2909cd421e057ee98f16cafaabeaf26a1e00b4d7d36eb86e9d93b45d584700ec</t>
        </is>
      </c>
      <c r="BB17" s="24" t="inlineStr">
        <is>
          <t>identity</t>
        </is>
      </c>
      <c r="BC17" s="24" t="inlineStr">
        <is>
          <t>identity-v1</t>
        </is>
      </c>
      <c r="BD17" s="24" t="n"/>
      <c r="BE17" s="24" t="inlineStr">
        <is>
          <t>1</t>
        </is>
      </c>
      <c r="BF17" s="24" t="inlineStr">
        <is>
          <t>1</t>
        </is>
      </c>
      <c r="BG17" s="24" t="inlineStr">
        <is>
          <t>unknown</t>
        </is>
      </c>
      <c r="BH17" s="24" t="inlineStr">
        <is>
          <t>2026-10-05T22:23:41.979302+00:00</t>
        </is>
      </c>
      <c r="BI17" s="24" t="inlineStr">
        <is>
          <t>["same_event","same_team_same_day","same_league_same_day"]</t>
        </is>
      </c>
      <c r="BJ17" s="25" t="n">
        <v>0.5</v>
      </c>
      <c r="BK17" s="26" t="n">
        <v>-117</v>
      </c>
      <c r="BL17" s="27" t="n">
        <v>1.854701</v>
      </c>
      <c r="BM17" s="28" t="n">
        <v>0.539171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True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0.539171</t>
        </is>
      </c>
      <c r="DK17" s="24" t="n"/>
      <c r="DL17" s="24" t="n"/>
      <c r="DM17" s="24" t="n"/>
      <c r="DN17" s="24" t="n"/>
      <c r="DO17" s="24" t="n"/>
      <c r="DP17" s="24" t="n"/>
      <c r="DQ1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"401907986", "event_start_utc": "2026-10-06T00:00Z", "features": {"away_starter_bb_pct": 0.0778, "away_starter_days_rest": 6.0, "away_starter_fip": 2.875, "away_starter_k_pct": 0.2982, "away_starter_opp_1st_runs": 0.4343, "away_starter_starts": 3.8286, "away_team_1st_allowed_away": 0.4091, "away_team_1st_scored_away": 0.6394, "away_top3_composite": 0.10778, "home_starter_bb_pct": 0.0905, "home_starter_days_rest": 6.0, "home_starter_fip": 3.808, "home_starter_k_pct": 0.2584, "home_starter_opp_1st_runs": 0.4138, "home_starter_starts": 4.5643, "home_team_1st_allowed_home": 0.4765, "home_team_1st_scored_home": 0.5426, "home_top3_composite": 0.11074, "park_1st_runs": 0.941}, "historical_source_observation_times_verified": false, "inference_inputs": {}, "model_version": "mlb-nrfi-v2", "observed_at_utc": "2026-10-05T22:23:41.979302+00:00", "replay_scope": "Exact final classifier/distribution inputs and artifact. Upstream historical feature construction not certified.", "schema": "scalar-artifact-replay-v1", "snapshot_hash": "3edc1307b95a0df4d0a2b46f07c9442eb77b5cb4958c31ae0c3092fad2302874"}</t>
        </is>
      </c>
    </row>
    <row r="18" ht="36" customHeight="1">
      <c r="A18" s="24" t="inlineStr">
        <is>
          <t>1b3382b2072942f9</t>
        </is>
      </c>
      <c r="B18" s="24" t="inlineStr">
        <is>
          <t>2026-10-06T16:31:11.852485Z</t>
        </is>
      </c>
      <c r="C18" s="24" t="inlineStr">
        <is>
          <t>2026-10-06T18:00:00-0400</t>
        </is>
      </c>
      <c r="D18" s="24" t="inlineStr">
        <is>
          <t>401908015</t>
        </is>
      </c>
      <c r="E18" s="24" t="inlineStr">
        <is>
          <t>MLB</t>
        </is>
      </c>
      <c r="F18" s="24" t="inlineStr">
        <is>
          <t>Los Angeles Dodgers</t>
        </is>
      </c>
      <c r="G18" s="24" t="inlineStr">
        <is>
          <t>Atlanta Braves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100</v>
      </c>
      <c r="M18" s="27" t="n">
        <v>2</v>
      </c>
      <c r="N18" s="28" t="n">
        <v>0.5</v>
      </c>
      <c r="O18" s="28" t="n">
        <v>0.51873</v>
      </c>
      <c r="P18" s="28" t="n"/>
      <c r="Q18" s="28" t="n">
        <v>0.01873</v>
      </c>
      <c r="R18" s="26" t="n">
        <v>31</v>
      </c>
      <c r="S18" s="29" t="n">
        <v>1</v>
      </c>
      <c r="T18" s="24" t="inlineStr">
        <is>
          <t>mlb-elo-trend-lr-v8</t>
        </is>
      </c>
      <c r="U18" s="24" t="inlineStr">
        <is>
          <t>settled</t>
        </is>
      </c>
      <c r="V18" s="24" t="inlineStr">
        <is>
          <t>loss</t>
        </is>
      </c>
      <c r="W18" s="26" t="n">
        <v>3</v>
      </c>
      <c r="X18" s="26" t="n">
        <v>1</v>
      </c>
      <c r="Y18" s="25" t="n"/>
      <c r="Z18" s="26" t="n">
        <v>100</v>
      </c>
      <c r="AA18" s="28" t="n">
        <v>0.5</v>
      </c>
      <c r="AB18" s="28" t="n">
        <v>0</v>
      </c>
      <c r="AC18" s="30" t="n">
        <v>-1</v>
      </c>
      <c r="AD18" s="24" t="inlineStr">
        <is>
          <t>2026-10-07T03:36:13.474103Z</t>
        </is>
      </c>
      <c r="AE18" s="31" t="inlineStr">
        <is>
          <t>Learned LR call at threshold 0.6197; executable ask 0.5000 (aec-mlb-lad-atl-2026-10-06); model edge vs ask +0.0187.</t>
        </is>
      </c>
      <c r="AF18" s="31" t="inlineStr">
        <is>
          <t>Learned model; shadow-qualified via operator override.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paper_call</t>
        </is>
      </c>
      <c r="AL18" s="26" t="n">
        <v>4</v>
      </c>
      <c r="AM18" s="24" t="inlineStr">
        <is>
          <t>RESEARCH_OBSERVATION</t>
        </is>
      </c>
      <c r="AN18" s="24" t="inlineStr">
        <is>
          <t>CALL</t>
        </is>
      </c>
      <c r="AO18" s="24" t="inlineStr">
        <is>
          <t>PAPER_CALL_BELOW_LEARNED_CONFIDENCE</t>
        </is>
      </c>
      <c r="AP18" s="24" t="inlineStr">
        <is>
          <t>mlb-lad</t>
        </is>
      </c>
      <c r="AQ18" s="24" t="inlineStr">
        <is>
          <t>Los Angeles Dodgers</t>
        </is>
      </c>
      <c r="AR18" s="24" t="inlineStr">
        <is>
          <t>Los Angeles Dodgers</t>
        </is>
      </c>
      <c r="AS18" s="24" t="inlineStr">
        <is>
          <t>mlb-atl</t>
        </is>
      </c>
      <c r="AT18" s="24" t="inlineStr">
        <is>
          <t>Atlanta Braves</t>
        </is>
      </c>
      <c r="AU18" s="24" t="inlineStr">
        <is>
          <t>Atlanta Braves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3b345499bd6bad9bcf65367a07fe0c668fb5817d4f016a0a865c01d9212fdeb8</t>
        </is>
      </c>
      <c r="BB18" s="24" t="inlineStr">
        <is>
          <t>learned_lr</t>
        </is>
      </c>
      <c r="BC18" s="24" t="inlineStr">
        <is>
          <t>mlb-elo-trend-lr-v8</t>
        </is>
      </c>
      <c r="BD18" s="24" t="inlineStr">
        <is>
          <t>3b345499bd6bad9bcf65367a07fe0c668fb5817d4f016a0a865c01d9212fdeb8</t>
        </is>
      </c>
      <c r="BE18" s="24" t="inlineStr">
        <is>
          <t>c7450181e148a1e2</t>
        </is>
      </c>
      <c r="BF18" s="24" t="inlineStr">
        <is>
          <t>1</t>
        </is>
      </c>
      <c r="BG18" s="24" t="inlineStr">
        <is>
          <t>mlb-elo-trend-lr-v8</t>
        </is>
      </c>
      <c r="BH18" s="24" t="inlineStr">
        <is>
          <t>2026-10-06T16:07:37.752290Z</t>
        </is>
      </c>
      <c r="BI18" s="24" t="inlineStr">
        <is>
          <t>["same_event","same_team_same_day","same_league_same_day"]</t>
        </is>
      </c>
      <c r="BJ18" s="25" t="n"/>
      <c r="BK18" s="26" t="n">
        <v>100</v>
      </c>
      <c r="BL18" s="27" t="n">
        <v>2</v>
      </c>
      <c r="BM18" s="28" t="n">
        <v>0.5</v>
      </c>
      <c r="BN18" s="28" t="n">
        <v>0.497512</v>
      </c>
      <c r="BO18" s="28" t="n"/>
      <c r="BP18" s="25" t="n"/>
      <c r="BQ18" s="27" t="n">
        <v>2</v>
      </c>
      <c r="BR18" s="28" t="n">
        <v>0.5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inlineStr">
        <is>
          <t>0.4723870371</t>
        </is>
      </c>
      <c r="CD18" s="24" t="inlineStr">
        <is>
          <t>0.482947</t>
        </is>
      </c>
      <c r="CE18" s="24" t="inlineStr">
        <is>
          <t>0.929</t>
        </is>
      </c>
      <c r="CF18" s="24" t="inlineStr">
        <is>
          <t>1.0028</t>
        </is>
      </c>
      <c r="CG18" s="24" t="n"/>
      <c r="CH18" s="24" t="n"/>
      <c r="CI18" s="24" t="n"/>
      <c r="CJ18" s="24" t="inlineStr">
        <is>
          <t>-0.431748</t>
        </is>
      </c>
      <c r="CK18" s="24" t="n"/>
      <c r="CL18" s="24" t="inlineStr">
        <is>
          <t>0.46037</t>
        </is>
      </c>
      <c r="CM18" s="24" t="inlineStr">
        <is>
          <t>-0.0214</t>
        </is>
      </c>
      <c r="CN18" s="24" t="n"/>
      <c r="CO18" s="24" t="n"/>
      <c r="CP18" s="24" t="n"/>
      <c r="CQ18" s="24" t="n"/>
      <c r="CR18" s="24" t="inlineStr">
        <is>
          <t>0.51873</t>
        </is>
      </c>
      <c r="CS18" s="24" t="inlineStr">
        <is>
          <t>True</t>
        </is>
      </c>
      <c r="CT18" s="24" t="n"/>
      <c r="CU18" s="24" t="n"/>
      <c r="CV18" s="24" t="n"/>
      <c r="CW18" s="24" t="n"/>
      <c r="CX18" s="24" t="n"/>
      <c r="CY18" s="24" t="inlineStr">
        <is>
          <t>2026-10-06T16:07:37.752290Z</t>
        </is>
      </c>
      <c r="CZ18" s="24" t="inlineStr">
        <is>
          <t>True</t>
        </is>
      </c>
      <c r="DA18" s="24" t="inlineStr">
        <is>
          <t>polymarket_us</t>
        </is>
      </c>
      <c r="DB18" s="24" t="inlineStr">
        <is>
          <t>decision_time_executable_quote</t>
        </is>
      </c>
      <c r="DC18" s="24" t="inlineStr">
        <is>
          <t>False</t>
        </is>
      </c>
      <c r="DD18" s="24" t="inlineStr">
        <is>
          <t>d44e548a10e14d5217578a29c5583acf85fded49cd4c9bf3ccdbb5752ece8d45</t>
        </is>
      </c>
      <c r="DE18" s="24" t="inlineStr">
        <is>
          <t>E:\model-prediction\data\odds\mlb\2026-10-06\polymarket_snapshots.jsonl</t>
        </is>
      </c>
      <c r="DF18" s="24" t="inlineStr">
        <is>
          <t>d44e548a10e14d5217578a29c5583acf85fded49cd4c9bf3ccdbb5752ece8d45</t>
        </is>
      </c>
      <c r="DG18" s="24" t="n"/>
      <c r="DH18" s="24" t="n"/>
      <c r="DI18" s="24" t="n"/>
      <c r="DJ18" s="24" t="inlineStr">
        <is>
          <t>0.5</t>
        </is>
      </c>
      <c r="DK18" s="24" t="n"/>
      <c r="DL18" s="24" t="n"/>
      <c r="DM18" s="24" t="n"/>
      <c r="DN18" s="24" t="n"/>
      <c r="DO18" s="24" t="n"/>
      <c r="DP18" s="24" t="n"/>
      <c r="DQ1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0.5187298884174231, "event_id": "401908015", "event_start_utc": "2026-10-06T22:00:00+00:00", "features": {"bullpen_weakness_gap": 0.46037, "elo_probability": 0.4723870371128102, "park_factor": 0.929, "starter_era_gap": -0.0214, "trend_gap": 0.482947, "weather_factor": 1.0028}, "historical_source_observation_times_verified": false, "model_version": "mlb-elo-trend-lr-v8", "observed_at_utc": "2026-10-06T16:31:11.852485+00:00", "schema": "learned-moneyline-replay-v1", "served_home_probability": 0.5187298884174231, "snapshot_hash": "a3aad201ef8c63612dc86c864f8729417cc6eb977c2387bef9b90cf872e293df"}</t>
        </is>
      </c>
    </row>
    <row r="19" ht="36" customHeight="1">
      <c r="A19" s="24" t="inlineStr">
        <is>
          <t>2f377211565e4949</t>
        </is>
      </c>
      <c r="B19" s="24" t="inlineStr">
        <is>
          <t>2026-10-06T16:32:59.645006Z</t>
        </is>
      </c>
      <c r="C19" s="24" t="inlineStr">
        <is>
          <t>2026-10-06T22:00Z</t>
        </is>
      </c>
      <c r="D19" s="24" t="inlineStr">
        <is>
          <t>401908015</t>
        </is>
      </c>
      <c r="E19" s="24" t="inlineStr">
        <is>
          <t>MLB</t>
        </is>
      </c>
      <c r="F19" s="24" t="inlineStr">
        <is>
          <t>Los Angeles Dodgers</t>
        </is>
      </c>
      <c r="G19" s="24" t="inlineStr">
        <is>
          <t>Atlanta Braves</t>
        </is>
      </c>
      <c r="H19" s="24" t="inlineStr">
        <is>
          <t>spread</t>
        </is>
      </c>
      <c r="I19" s="24" t="inlineStr">
        <is>
          <t>home</t>
        </is>
      </c>
      <c r="J19" s="25" t="n">
        <v>1.5</v>
      </c>
      <c r="K19" s="24" t="inlineStr">
        <is>
          <t>polymarket_us</t>
        </is>
      </c>
      <c r="L19" s="26" t="n">
        <v>-182</v>
      </c>
      <c r="M19" s="27" t="n">
        <v>1.549451</v>
      </c>
      <c r="N19" s="28" t="n">
        <v>0.64539</v>
      </c>
      <c r="O19" s="28" t="n">
        <v>0.619313</v>
      </c>
      <c r="P19" s="28" t="n">
        <v>0.042131</v>
      </c>
      <c r="Q19" s="28" t="n">
        <v>-0.026077</v>
      </c>
      <c r="R19" s="26" t="n">
        <v>13</v>
      </c>
      <c r="S19" s="29" t="n">
        <v>1</v>
      </c>
      <c r="T19" s="24" t="inlineStr">
        <is>
          <t>measured-edge-margin-v3</t>
        </is>
      </c>
      <c r="U19" s="24" t="inlineStr">
        <is>
          <t>settled</t>
        </is>
      </c>
      <c r="V19" s="24" t="inlineStr">
        <is>
          <t>loss</t>
        </is>
      </c>
      <c r="W19" s="26" t="n">
        <v>3</v>
      </c>
      <c r="X19" s="26" t="n">
        <v>1</v>
      </c>
      <c r="Y19" s="25" t="n">
        <v>1.5</v>
      </c>
      <c r="Z19" s="26" t="n">
        <v>-182</v>
      </c>
      <c r="AA19" s="28" t="n">
        <v>0.645</v>
      </c>
      <c r="AB19" s="28" t="n">
        <v>-0.00039</v>
      </c>
      <c r="AC19" s="30" t="n">
        <v>-1</v>
      </c>
      <c r="AD19" s="24" t="inlineStr">
        <is>
          <t>2026-10-07T03:36:22.880323Z</t>
        </is>
      </c>
      <c r="AE19" s="31" t="inlineStr">
        <is>
          <t>Measured Edge Margin: Trend Engine projected 3.94-3.83; raw selected-side p=0.6751, calibrated p=0.6193.</t>
        </is>
      </c>
      <c r="AF19" s="31" t="inlineStr">
        <is>
          <t>Research-only; lineup, bullpen, park, weather, xFIP, and wRC+ may be neutral fallbacks; market availability and BBO depth may change before first pitch.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4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mlb-lad</t>
        </is>
      </c>
      <c r="AQ19" s="24" t="inlineStr">
        <is>
          <t>Los Angeles Dodgers</t>
        </is>
      </c>
      <c r="AR19" s="24" t="inlineStr">
        <is>
          <t>Los Angeles Dodgers</t>
        </is>
      </c>
      <c r="AS19" s="24" t="inlineStr">
        <is>
          <t>mlb-atl</t>
        </is>
      </c>
      <c r="AT19" s="24" t="inlineStr">
        <is>
          <t>Atlanta Braves</t>
        </is>
      </c>
      <c r="AU19" s="24" t="inlineStr">
        <is>
          <t>Atlanta Braves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dd339a2eed50d7d83ab2127837995ddab82e879afd27f5414bb6c1f9cd60ba4c</t>
        </is>
      </c>
      <c r="BB19" s="24" t="inlineStr">
        <is>
          <t>flat_probability_shrinkage_toward_half</t>
        </is>
      </c>
      <c r="BC19" s="24" t="inlineStr">
        <is>
          <t>measured-edge-margin-v3</t>
        </is>
      </c>
      <c r="BD19" s="24" t="inlineStr">
        <is>
          <t>dd339a2eed50d7d83ab2127837995ddab82e879afd27f5414bb6c1f9cd60ba4c</t>
        </is>
      </c>
      <c r="BE19" s="24" t="inlineStr">
        <is>
          <t>v3</t>
        </is>
      </c>
      <c r="BF19" s="24" t="inlineStr">
        <is>
          <t>1</t>
        </is>
      </c>
      <c r="BG19" s="24" t="inlineStr">
        <is>
          <t>measured-edge-paired-v1</t>
        </is>
      </c>
      <c r="BH19" s="24" t="inlineStr">
        <is>
          <t>2026-10-06T16:32:59.645006Z</t>
        </is>
      </c>
      <c r="BI19" s="24" t="inlineStr">
        <is>
          <t>["same_event","same_team_same_day","same_league_same_day"]</t>
        </is>
      </c>
      <c r="BJ19" s="25" t="n">
        <v>1.5</v>
      </c>
      <c r="BK19" s="26" t="n">
        <v>-182</v>
      </c>
      <c r="BL19" s="27" t="n">
        <v>1.549451</v>
      </c>
      <c r="BM19" s="28" t="n">
        <v>0.64539</v>
      </c>
      <c r="BN19" s="28" t="n">
        <v>0.641791</v>
      </c>
      <c r="BO19" s="28" t="n"/>
      <c r="BP19" s="25" t="n"/>
      <c r="BQ19" s="27" t="n">
        <v>1.549451</v>
      </c>
      <c r="BR19" s="28" t="n">
        <v>0.645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False</t>
        </is>
      </c>
      <c r="CT19" s="24" t="inlineStr">
        <is>
          <t>a58317b61e364f16537cd10ddc5af2db5569f760cec11319bdfb0570313fc628</t>
        </is>
      </c>
      <c r="CU19" s="24" t="inlineStr">
        <is>
          <t>b7a7e12c605ed1a2eb0eaa71195ac77be6260d55932b2f48d3474d09e281152a</t>
        </is>
      </c>
      <c r="CV19" s="24" t="inlineStr">
        <is>
          <t>E:\model-prediction\config\model.yaml</t>
        </is>
      </c>
      <c r="CW19" s="24" t="inlineStr">
        <is>
          <t>1ac81f4be213944a7cce95cbe9a52520e640a9cc5ea1424409aeda60b059f716</t>
        </is>
      </c>
      <c r="CX19" s="24" t="inlineStr">
        <is>
          <t>E:\model-prediction\config\models\measured-edge-margin-v3.json</t>
        </is>
      </c>
      <c r="CY19" s="24" t="inlineStr">
        <is>
          <t>2026-10-06T16:32:59.645006Z</t>
        </is>
      </c>
      <c r="CZ19" s="24" t="inlineStr">
        <is>
          <t>True</t>
        </is>
      </c>
      <c r="DA19" s="24" t="inlineStr">
        <is>
          <t>polymarket_us</t>
        </is>
      </c>
      <c r="DB19" s="24" t="inlineStr">
        <is>
          <t>decision_time_executable_quote</t>
        </is>
      </c>
      <c r="DC19" s="24" t="inlineStr">
        <is>
          <t>False</t>
        </is>
      </c>
      <c r="DD19" s="24" t="inlineStr">
        <is>
          <t>860e980c86aa197d7aaf24adb95d90369e34e97337b8c663ae168d7453ce976f</t>
        </is>
      </c>
      <c r="DE19" s="24" t="inlineStr">
        <is>
          <t>E:\model-prediction\data\market_odds_snapshots.jsonl</t>
        </is>
      </c>
      <c r="DF19" s="24" t="inlineStr">
        <is>
          <t>860e980c86aa197d7aaf24adb95d90369e34e97337b8c663ae168d7453ce976f</t>
        </is>
      </c>
      <c r="DG19" s="24" t="inlineStr">
        <is>
          <t>live_forecast</t>
        </is>
      </c>
      <c r="DH19" s="24" t="inlineStr">
        <is>
          <t>False</t>
        </is>
      </c>
      <c r="DI19" s="24" t="inlineStr">
        <is>
          <t>0.619313</t>
        </is>
      </c>
      <c r="DJ19" s="24" t="inlineStr">
        <is>
          <t>0.6453900709219857</t>
        </is>
      </c>
      <c r="DK19" s="24" t="inlineStr">
        <is>
          <t>0.619313</t>
        </is>
      </c>
      <c r="DL19" s="24" t="n"/>
      <c r="DM19" s="24" t="n"/>
      <c r="DN19" s="24" t="n"/>
      <c r="DO19" s="24" t="n"/>
      <c r="DP19" s="24" t="n"/>
      <c r="DQ19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"401908015", "event_start_utc": "2026-10-06T22:00Z", "features": {"away_bullpen_status": "available", "away_bullpen_weakness": 0.543735, "away_form": {"losses": 1, "runs_allowed": [3, 3], "runs_scored": [5, 2], "status": "available", "wins": 1}, "away_starter": {"last_five_batters_faced": 125, "last_five_earned_runs": 8, "last_five_innings": 33.333333333333336, "last_five_strikeouts": 37, "last_five_walks": 7, "name": "Yoshinobu Yamamoto", "player_id": "4872587", "season_batters_faced": 708, "season_earned_runs": 52, "season_innings": 185.0, "season_strikeouts": 182, "season_walks": 42, "starts_before_game": 28, "status": "available", "throwing_hand": "Right", "xfip": null, "xfip_status": "unavailable_from_source"}, "away_team": "Los Angeles Dodgers", "decision_timestamp_utc": "2026-10-06T20:00:00Z", "event_id": "401908015", "event_start_utc": "2026-10-06T22:00Z", "feature_snapshot_hash": "c02bbc5e393eda8fefd17d9544d5f72ceb6f58d4a708d4499689a0888d5551ce", "home_bullpen_status": "available", "home_bullpen_weakness": 1.004105, "home_form": {"losses": 2, "runs_allowed": [3, 4, 2, 5, 2], "runs_scored": [5, 3, 6, 3, 3], "status": "available", "wins": 3}, "home_starter": {"last_five_batters_faced": 102, "last_five_earned_runs": 9, "last_five_innings": 26.333333333333332, "last_five_strikeouts": 35, "last_five_walks": 4, "name": "Chris Sale", "player_id": "30948", "season_batters_faced": 678, "season_earned_runs": 42, "season_innings": 170.33333333333334, "season_strikeouts": 212, "season_walks": 32, "starts_before_game": 29, "status": "available", "throwing_hand": "Left", "xfip": null, "xfip_status": "unavailable_from_source"}, "home_team": "Atlanta Braves", "lineup_status": "unavailable_from_source", "market_snapshot_hash": "860e980c86aa197d7aaf24adb95d90369e34e97337b8c663ae168d7453ce976f", "park_factor": 0.929, "park_factor_status": "available", "source_snapshot_ids": ["a80568381d144572f269ef3a40e773af0cec620a57cadf6ff4198c413ccc86d1", "7f4871bd869f79149545246c553fec47dbbcda594733e1f1b77e817ef9792773", "9e45f741b20171ac5d36e5cf3818d4c48d2b5d68d6ee64ef303dd6ed339742de", "584b2540e70308df71de869ba752b668e8e4ba555f7173f55546eeb3028d5561", "062b841e6d8dcc6d72f5804bb38dc2931a2a137b362f4e65769d60d431e12dd6"], "starter_confirmed": false, "starter_status": "probable", "weather_factor": 1.0028, "weather_status": "available", "wrc_plus_status": "unavailable_from_source"}, "formula_spec": {"away_field_run_factor": 1.0, "bullpen_elasticity": 0.069018, "configuration_hash": "ca5ee8c1fccc12d21de5d1755803d1be655b6083be01e5d7b5c57eecd4e9c6a0",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4.5368,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"2026-10-06T16:32:59.645006+00:00", "raw_probabilities": {"away": 0.3249, "home": 0.6751, "push": 0.0}, "replay_scope": "Exact features, formula and deterministic Monte Carlo seed inputs; independently calibrated sides are not a joint distribution.", "run_estimate": {"away_expected_runs": 3.939024, "configuration_hash": "ca5ee8c1fccc12d21de5d1755803d1be655b6083be01e5d7b5c57eecd4e9c6a0", "factors": {"away_bullpen_weakness_index": 0.543735, "away_field_run_factor": 1.0, "away_offense_index": 0.9657163880615489, "away_starter_weakness_index": 0.5974959146985981, "home_bullpen_weakness_index": 1.004105, "home_field_run_factor": 1.04, "home_offense_index": 0.9615484424127766, "home_starter_weakness_index": 0.653635769321037, "park_factor": 0.929, "weather_factor": 1.0028}, "feature_schema_version": "v3", "formula_version": "mlb-analyst-poisson-trend-v0.3", "home_expected_runs": 3.827428, "uncertainty": 0.042131, "uncertainty_components": {"base": 0.02, "lineup": 0.025, "missing_wrc_plus": 0.01, "missing_xfip": 0.01, "model_form": 0.01, "pitcher": 0.015, "starter_confirmation": 0.015}}, "schema": "mlb-margin-replay-v1", "served_probabilities": {"away": 0.380687, "home": 0.619313}, "snapshot_hash": "c098cfc526c5ce7390fc7d367db77236cc71832970cf18a09dd8b2496f3576be", "sport": "MLB"}</t>
        </is>
      </c>
    </row>
    <row r="20" ht="36" customHeight="1">
      <c r="A20" s="24" t="inlineStr">
        <is>
          <t>29dbf9835e6d4dc6</t>
        </is>
      </c>
      <c r="B20" s="24" t="inlineStr">
        <is>
          <t>2026-10-06T16:32:59.645006Z</t>
        </is>
      </c>
      <c r="C20" s="24" t="inlineStr">
        <is>
          <t>2026-10-06T22:00Z</t>
        </is>
      </c>
      <c r="D20" s="24" t="inlineStr">
        <is>
          <t>401908015</t>
        </is>
      </c>
      <c r="E20" s="24" t="inlineStr">
        <is>
          <t>MLB</t>
        </is>
      </c>
      <c r="F20" s="24" t="inlineStr">
        <is>
          <t>Los Angeles Dodgers</t>
        </is>
      </c>
      <c r="G20" s="24" t="inlineStr">
        <is>
          <t>Atlanta Braves</t>
        </is>
      </c>
      <c r="H20" s="24" t="inlineStr">
        <is>
          <t>total</t>
        </is>
      </c>
      <c r="I20" s="24" t="inlineStr">
        <is>
          <t>over</t>
        </is>
      </c>
      <c r="J20" s="25" t="n">
        <v>6.5</v>
      </c>
      <c r="K20" s="24" t="inlineStr">
        <is>
          <t>polymarket_us</t>
        </is>
      </c>
      <c r="L20" s="26" t="n">
        <v>-106</v>
      </c>
      <c r="M20" s="27" t="n">
        <v>1.943396</v>
      </c>
      <c r="N20" s="28" t="n">
        <v>0.514563</v>
      </c>
      <c r="O20" s="28" t="n">
        <v>0.532255</v>
      </c>
      <c r="P20" s="28" t="n">
        <v>0.042131</v>
      </c>
      <c r="Q20" s="28" t="n">
        <v>0.017692</v>
      </c>
      <c r="R20" s="26" t="n">
        <v>35</v>
      </c>
      <c r="S20" s="29" t="n">
        <v>1</v>
      </c>
      <c r="T20" s="24" t="inlineStr">
        <is>
          <t>measured-edge-totals-v3</t>
        </is>
      </c>
      <c r="U20" s="24" t="inlineStr">
        <is>
          <t>settled</t>
        </is>
      </c>
      <c r="V20" s="24" t="inlineStr">
        <is>
          <t>loss</t>
        </is>
      </c>
      <c r="W20" s="26" t="n">
        <v>3</v>
      </c>
      <c r="X20" s="26" t="n">
        <v>1</v>
      </c>
      <c r="Y20" s="25" t="n">
        <v>6.5</v>
      </c>
      <c r="Z20" s="26" t="n">
        <v>-106</v>
      </c>
      <c r="AA20" s="28" t="n">
        <v>0.515</v>
      </c>
      <c r="AB20" s="28" t="n">
        <v>0.000437</v>
      </c>
      <c r="AC20" s="30" t="n">
        <v>-1</v>
      </c>
      <c r="AD20" s="24" t="inlineStr">
        <is>
          <t>2026-10-07T03:36:32.681771Z</t>
        </is>
      </c>
      <c r="AE20" s="31" t="inlineStr">
        <is>
          <t>Measured Edge Totals: Trend Engine projected 3.94-3.83; raw selected-side p=0.6065, calibrated p=0.5323.</t>
        </is>
      </c>
      <c r="AF20" s="31" t="inlineStr">
        <is>
          <t>Research-only; lineup, bullpen, park, weather, xFIP, and wRC+ may be neutral fallbacks; market availability and BBO depth may change before first pitch.</t>
        </is>
      </c>
      <c r="AG20" s="24" t="inlineStr">
        <is>
          <t>review_required</t>
        </is>
      </c>
      <c r="AH20" s="24" t="n"/>
      <c r="AI20" s="31" t="n"/>
      <c r="AJ20" s="31" t="n"/>
      <c r="AK20" s="24" t="inlineStr">
        <is>
          <t>paper_call</t>
        </is>
      </c>
      <c r="AL20" s="26" t="n">
        <v>4</v>
      </c>
      <c r="AM20" s="24" t="inlineStr">
        <is>
          <t>RESEARCH_OBSERVATION</t>
        </is>
      </c>
      <c r="AN20" s="24" t="inlineStr">
        <is>
          <t>CALL</t>
        </is>
      </c>
      <c r="AO20" s="24" t="inlineStr">
        <is>
          <t>PAPER_CALL_MODEL_UNVALIDATED</t>
        </is>
      </c>
      <c r="AP20" s="24" t="inlineStr">
        <is>
          <t>mlb-lad</t>
        </is>
      </c>
      <c r="AQ20" s="24" t="inlineStr">
        <is>
          <t>Los Angeles Dodgers</t>
        </is>
      </c>
      <c r="AR20" s="24" t="inlineStr">
        <is>
          <t>Los Angeles Dodgers</t>
        </is>
      </c>
      <c r="AS20" s="24" t="inlineStr">
        <is>
          <t>mlb-atl</t>
        </is>
      </c>
      <c r="AT20" s="24" t="inlineStr">
        <is>
          <t>Atlanta Braves</t>
        </is>
      </c>
      <c r="AU20" s="24" t="inlineStr">
        <is>
          <t>Atlanta Braves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research</t>
        </is>
      </c>
      <c r="BA20" s="24" t="inlineStr">
        <is>
          <t>95b84332c75d2ce54036eb8de6ada9c78d0f80228c50825c0347281a8b9b49c7</t>
        </is>
      </c>
      <c r="BB20" s="24" t="inlineStr">
        <is>
          <t>flat_probability_shrinkage_toward_half</t>
        </is>
      </c>
      <c r="BC20" s="24" t="inlineStr">
        <is>
          <t>measured-edge-totals-v3</t>
        </is>
      </c>
      <c r="BD20" s="24" t="inlineStr">
        <is>
          <t>95b84332c75d2ce54036eb8de6ada9c78d0f80228c50825c0347281a8b9b49c7</t>
        </is>
      </c>
      <c r="BE20" s="24" t="inlineStr">
        <is>
          <t>v3</t>
        </is>
      </c>
      <c r="BF20" s="24" t="inlineStr">
        <is>
          <t>1</t>
        </is>
      </c>
      <c r="BG20" s="24" t="inlineStr">
        <is>
          <t>measured-edge-paired-v1</t>
        </is>
      </c>
      <c r="BH20" s="24" t="inlineStr">
        <is>
          <t>2026-10-06T16:32:59.645006Z</t>
        </is>
      </c>
      <c r="BI20" s="24" t="inlineStr">
        <is>
          <t>["same_event","same_team_same_day","same_league_same_day"]</t>
        </is>
      </c>
      <c r="BJ20" s="25" t="n">
        <v>6.5</v>
      </c>
      <c r="BK20" s="26" t="n">
        <v>-106</v>
      </c>
      <c r="BL20" s="27" t="n">
        <v>1.943396</v>
      </c>
      <c r="BM20" s="28" t="n">
        <v>0.514563</v>
      </c>
      <c r="BN20" s="28" t="n">
        <v>0.5124379999999999</v>
      </c>
      <c r="BO20" s="28" t="n"/>
      <c r="BP20" s="25" t="n"/>
      <c r="BQ20" s="27" t="n">
        <v>1.943396</v>
      </c>
      <c r="BR20" s="28" t="n">
        <v>0.515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  <c r="CT20" s="24" t="inlineStr">
        <is>
          <t>a58317b61e364f16537cd10ddc5af2db5569f760cec11319bdfb0570313fc628</t>
        </is>
      </c>
      <c r="CU20" s="24" t="inlineStr">
        <is>
          <t>b7a7e12c605ed1a2eb0eaa71195ac77be6260d55932b2f48d3474d09e281152a</t>
        </is>
      </c>
      <c r="CV20" s="24" t="inlineStr">
        <is>
          <t>E:\model-prediction\config\model.yaml</t>
        </is>
      </c>
      <c r="CW20" s="24" t="inlineStr">
        <is>
          <t>1dad20b56ac0a94181b31c5f71abe66cc0ee1acd8c8792d0aacf42b7a6fc32e6</t>
        </is>
      </c>
      <c r="CX20" s="24" t="inlineStr">
        <is>
          <t>E:\model-prediction\config\models\measured-edge-totals-v3.json</t>
        </is>
      </c>
      <c r="CY20" s="24" t="inlineStr">
        <is>
          <t>2026-10-06T16:32:59.645006Z</t>
        </is>
      </c>
      <c r="CZ20" s="24" t="inlineStr">
        <is>
          <t>True</t>
        </is>
      </c>
      <c r="DA20" s="24" t="inlineStr">
        <is>
          <t>polymarket_us</t>
        </is>
      </c>
      <c r="DB20" s="24" t="inlineStr">
        <is>
          <t>decision_time_executable_quote</t>
        </is>
      </c>
      <c r="DC20" s="24" t="inlineStr">
        <is>
          <t>False</t>
        </is>
      </c>
      <c r="DD20" s="24" t="inlineStr">
        <is>
          <t>860e980c86aa197d7aaf24adb95d90369e34e97337b8c663ae168d7453ce976f</t>
        </is>
      </c>
      <c r="DE20" s="24" t="inlineStr">
        <is>
          <t>E:\model-prediction\data\market_odds_snapshots.jsonl</t>
        </is>
      </c>
      <c r="DF20" s="24" t="inlineStr">
        <is>
          <t>860e980c86aa197d7aaf24adb95d90369e34e97337b8c663ae168d7453ce976f</t>
        </is>
      </c>
      <c r="DG20" s="24" t="inlineStr">
        <is>
          <t>live_forecast</t>
        </is>
      </c>
      <c r="DH20" s="24" t="inlineStr">
        <is>
          <t>False</t>
        </is>
      </c>
      <c r="DI20" s="24" t="inlineStr">
        <is>
          <t>0.532255</t>
        </is>
      </c>
      <c r="DJ20" s="24" t="inlineStr">
        <is>
          <t>0.5145631067961165</t>
        </is>
      </c>
      <c r="DK20" s="24" t="inlineStr">
        <is>
          <t>0.532255</t>
        </is>
      </c>
      <c r="DL20" s="24" t="n"/>
      <c r="DM20" s="24" t="n"/>
      <c r="DN20" s="24" t="n"/>
      <c r="DO20" s="24" t="n"/>
      <c r="DP20" s="24" t="n"/>
      <c r="DQ20" s="24" t="n"/>
    </row>
    <row r="21" ht="36" customHeight="1">
      <c r="A21" s="24" t="inlineStr">
        <is>
          <t>fff2e88abe114df9</t>
        </is>
      </c>
      <c r="B21" s="24" t="inlineStr">
        <is>
          <t>2026-10-06T16:33:00.078284Z</t>
        </is>
      </c>
      <c r="C21" s="24" t="inlineStr">
        <is>
          <t>2026-10-06T22:00Z</t>
        </is>
      </c>
      <c r="D21" s="24" t="inlineStr">
        <is>
          <t>401908015</t>
        </is>
      </c>
      <c r="E21" s="24" t="inlineStr">
        <is>
          <t>MLB</t>
        </is>
      </c>
      <c r="F21" s="24" t="inlineStr">
        <is>
          <t>Los Angeles Dodgers</t>
        </is>
      </c>
      <c r="G21" s="24" t="inlineStr">
        <is>
          <t>Atlanta Braves</t>
        </is>
      </c>
      <c r="H21" s="24" t="inlineStr">
        <is>
          <t>nrfi</t>
        </is>
      </c>
      <c r="I21" s="24" t="inlineStr">
        <is>
          <t>nrfi</t>
        </is>
      </c>
      <c r="J21" s="25" t="n">
        <v>0.5</v>
      </c>
      <c r="K21" s="24" t="inlineStr">
        <is>
          <t>model_fair</t>
        </is>
      </c>
      <c r="L21" s="26" t="n">
        <v>-115</v>
      </c>
      <c r="M21" s="27" t="n">
        <v>1.869565</v>
      </c>
      <c r="N21" s="28" t="n">
        <v>0.534884</v>
      </c>
      <c r="O21" s="28" t="n">
        <v>0.5351</v>
      </c>
      <c r="P21" s="28" t="n">
        <v>0.04</v>
      </c>
      <c r="Q21" s="28" t="n">
        <v>0.000216</v>
      </c>
      <c r="R21" s="26" t="n">
        <v>26</v>
      </c>
      <c r="S21" s="29" t="n">
        <v>1</v>
      </c>
      <c r="T21" s="24" t="inlineStr">
        <is>
          <t>mlb-nrfi-v2</t>
        </is>
      </c>
      <c r="U21" s="24" t="inlineStr">
        <is>
          <t>settled</t>
        </is>
      </c>
      <c r="V21" s="24" t="inlineStr">
        <is>
          <t>win</t>
        </is>
      </c>
      <c r="W21" s="26" t="n">
        <v>0</v>
      </c>
      <c r="X21" s="26" t="n">
        <v>0</v>
      </c>
      <c r="Y21" s="25" t="n"/>
      <c r="Z21" s="26" t="n"/>
      <c r="AA21" s="28" t="n"/>
      <c r="AB21" s="28" t="n"/>
      <c r="AC21" s="30" t="n">
        <v>0.8696</v>
      </c>
      <c r="AD21" s="24" t="inlineStr">
        <is>
          <t>2026-10-07T03:36:42.810003Z</t>
        </is>
      </c>
      <c r="AE21" s="31" t="inlineStr">
        <is>
          <t>MLB 1st Inning NRFI: p=0.535 (mlb-nrfi-v2, 4050 training games)</t>
        </is>
      </c>
      <c r="AF21" s="31" t="inlineStr">
        <is>
          <t>1st inning variance, leadoff home run risk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paper_call</t>
        </is>
      </c>
      <c r="AL21" s="26" t="n">
        <v>4</v>
      </c>
      <c r="AM21" s="24" t="inlineStr">
        <is>
          <t>RESEARCH_OBSERVATION</t>
        </is>
      </c>
      <c r="AN21" s="24" t="inlineStr">
        <is>
          <t>CALL</t>
        </is>
      </c>
      <c r="AO21" s="24" t="inlineStr">
        <is>
          <t>PAPER_CALL_MODEL_UNVALIDATED</t>
        </is>
      </c>
      <c r="AP21" s="24" t="inlineStr">
        <is>
          <t>mlb-lad</t>
        </is>
      </c>
      <c r="AQ21" s="24" t="inlineStr">
        <is>
          <t>Los Angeles Dodgers</t>
        </is>
      </c>
      <c r="AR21" s="24" t="inlineStr">
        <is>
          <t>Los Angeles Dodgers</t>
        </is>
      </c>
      <c r="AS21" s="24" t="inlineStr">
        <is>
          <t>mlb-atl</t>
        </is>
      </c>
      <c r="AT21" s="24" t="inlineStr">
        <is>
          <t>Atlanta Braves</t>
        </is>
      </c>
      <c r="AU21" s="24" t="inlineStr">
        <is>
          <t>Atlanta Braves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2909cd421e057ee98f16cafaabeaf26a1e00b4d7d36eb86e9d93b45d584700ec</t>
        </is>
      </c>
      <c r="BB21" s="24" t="inlineStr">
        <is>
          <t>identity</t>
        </is>
      </c>
      <c r="BC21" s="24" t="inlineStr">
        <is>
          <t>identity-v1</t>
        </is>
      </c>
      <c r="BD21" s="24" t="n"/>
      <c r="BE21" s="24" t="inlineStr">
        <is>
          <t>1</t>
        </is>
      </c>
      <c r="BF21" s="24" t="inlineStr">
        <is>
          <t>1</t>
        </is>
      </c>
      <c r="BG21" s="24" t="inlineStr">
        <is>
          <t>unknown</t>
        </is>
      </c>
      <c r="BH21" s="24" t="inlineStr">
        <is>
          <t>2026-10-06T16:33:00.078284+00:00</t>
        </is>
      </c>
      <c r="BI21" s="24" t="inlineStr">
        <is>
          <t>["same_event","same_team_same_day","same_league_same_day"]</t>
        </is>
      </c>
      <c r="BJ21" s="25" t="n">
        <v>0.5</v>
      </c>
      <c r="BK21" s="26" t="n">
        <v>-115</v>
      </c>
      <c r="BL21" s="27" t="n">
        <v>1.869565</v>
      </c>
      <c r="BM21" s="28" t="n">
        <v>0.534884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0.534884</t>
        </is>
      </c>
      <c r="DK21" s="24" t="n"/>
      <c r="DL21" s="24" t="n"/>
      <c r="DM21" s="24" t="n"/>
      <c r="DN21" s="24" t="n"/>
      <c r="DO21" s="24" t="n"/>
      <c r="DP21" s="24" t="n"/>
      <c r="DQ2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"401908015", "event_start_utc": "2026-10-06T22:00Z", "features": {"away_starter_bb_pct": 0.069, "away_starter_days_rest": 6.0, "away_starter_fip": 2.937, "away_starter_k_pct": 0.2788, "away_starter_opp_1st_runs": 0.4276, "away_starter_starts": 4.3175, "away_team_1st_allowed_away": 0.4567, "away_team_1st_scored_away": 0.4685, "away_top3_composite": 0.11451, "home_starter_bb_pct": 0.0552, "home_starter_days_rest": 6.0, "home_starter_fip": 2.13, "home_starter_k_pct": 0.3129, "home_starter_opp_1st_runs": 0.3429, "home_starter_starts": 4.3175, "home_team_1st_allowed_home": 0.5349, "home_team_1st_scored_home": 0.6045, "home_top3_composite": 0.1106, "park_1st_runs": 1.0314}, "historical_source_observation_times_verified": false, "inference_inputs": {}, "model_version": "mlb-nrfi-v2", "observed_at_utc": "2026-10-06T16:33:00.078284+00:00", "replay_scope": "Exact final classifier/distribution inputs and artifact. Upstream historical feature construction not certified.", "schema": "scalar-artifact-replay-v1", "snapshot_hash": "5623b726cfaaef53244fa75a2fd010d0ac51c200bd5d27a5002329de9e0f967d"}</t>
        </is>
      </c>
    </row>
    <row r="22" ht="36" customHeight="1">
      <c r="A22" s="24" t="inlineStr">
        <is>
          <t>4a2cbd4810834720</t>
        </is>
      </c>
      <c r="B22" s="24" t="inlineStr">
        <is>
          <t>2026-10-06T22:22:38.272477Z</t>
        </is>
      </c>
      <c r="C22" s="24" t="inlineStr">
        <is>
          <t>2026-10-06T21:30:00-0400</t>
        </is>
      </c>
      <c r="D22" s="24" t="inlineStr">
        <is>
          <t>401908004</t>
        </is>
      </c>
      <c r="E22" s="24" t="inlineStr">
        <is>
          <t>MLB</t>
        </is>
      </c>
      <c r="F22" s="24" t="inlineStr">
        <is>
          <t>Milwaukee Brewers</t>
        </is>
      </c>
      <c r="G22" s="24" t="inlineStr">
        <is>
          <t>San Diego Padres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-125</v>
      </c>
      <c r="M22" s="27" t="n">
        <v>1.8</v>
      </c>
      <c r="N22" s="28" t="n">
        <v>0.555556</v>
      </c>
      <c r="O22" s="28" t="n">
        <v>0.51983</v>
      </c>
      <c r="P22" s="28" t="n"/>
      <c r="Q22" s="28" t="n">
        <v>-0.035726</v>
      </c>
      <c r="R22" s="26" t="n">
        <v>4</v>
      </c>
      <c r="S22" s="29" t="n">
        <v>1</v>
      </c>
      <c r="T22" s="24" t="inlineStr">
        <is>
          <t>mlb-elo-trend-lr-v8</t>
        </is>
      </c>
      <c r="U22" s="24" t="inlineStr">
        <is>
          <t>settled</t>
        </is>
      </c>
      <c r="V22" s="24" t="inlineStr">
        <is>
          <t>win</t>
        </is>
      </c>
      <c r="W22" s="26" t="n">
        <v>3</v>
      </c>
      <c r="X22" s="26" t="n">
        <v>4</v>
      </c>
      <c r="Y22" s="25" t="n"/>
      <c r="Z22" s="26" t="n">
        <v>-125</v>
      </c>
      <c r="AA22" s="28" t="n">
        <v>0.555</v>
      </c>
      <c r="AB22" s="28" t="n">
        <v>-0.000556</v>
      </c>
      <c r="AC22" s="30" t="n">
        <v>0.8</v>
      </c>
      <c r="AD22" s="24" t="inlineStr">
        <is>
          <t>2026-10-07T10:02:21.425691Z</t>
        </is>
      </c>
      <c r="AE22" s="31" t="inlineStr">
        <is>
          <t>Learned LR call at threshold 0.6197; executable ask 0.5550 (aec-mlb-mil-sd-2026-10-06); model edge vs ask -0.0352.</t>
        </is>
      </c>
      <c r="AF22" s="31" t="inlineStr">
        <is>
          <t>Learned model; shadow-qualified via operator override.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paper_call</t>
        </is>
      </c>
      <c r="AL22" s="26" t="n">
        <v>4</v>
      </c>
      <c r="AM22" s="24" t="inlineStr">
        <is>
          <t>RESEARCH_OBSERVATION</t>
        </is>
      </c>
      <c r="AN22" s="24" t="inlineStr">
        <is>
          <t>CALL</t>
        </is>
      </c>
      <c r="AO22" s="24" t="inlineStr">
        <is>
          <t>PAPER_CALL_BELOW_LEARNED_CONFIDENCE</t>
        </is>
      </c>
      <c r="AP22" s="24" t="inlineStr">
        <is>
          <t>mlb-mil</t>
        </is>
      </c>
      <c r="AQ22" s="24" t="inlineStr">
        <is>
          <t>Milwaukee Brewers</t>
        </is>
      </c>
      <c r="AR22" s="24" t="inlineStr">
        <is>
          <t>Milwaukee Brewers</t>
        </is>
      </c>
      <c r="AS22" s="24" t="inlineStr">
        <is>
          <t>mlb-sd</t>
        </is>
      </c>
      <c r="AT22" s="24" t="inlineStr">
        <is>
          <t>San Diego Padres</t>
        </is>
      </c>
      <c r="AU22" s="24" t="inlineStr">
        <is>
          <t>San Diego Padres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3b345499bd6bad9bcf65367a07fe0c668fb5817d4f016a0a865c01d9212fdeb8</t>
        </is>
      </c>
      <c r="BB22" s="24" t="inlineStr">
        <is>
          <t>learned_lr</t>
        </is>
      </c>
      <c r="BC22" s="24" t="inlineStr">
        <is>
          <t>mlb-elo-trend-lr-v8</t>
        </is>
      </c>
      <c r="BD22" s="24" t="inlineStr">
        <is>
          <t>3b345499bd6bad9bcf65367a07fe0c668fb5817d4f016a0a865c01d9212fdeb8</t>
        </is>
      </c>
      <c r="BE22" s="24" t="inlineStr">
        <is>
          <t>b7cb526d7d7f537b</t>
        </is>
      </c>
      <c r="BF22" s="24" t="inlineStr">
        <is>
          <t>1</t>
        </is>
      </c>
      <c r="BG22" s="24" t="inlineStr">
        <is>
          <t>mlb-elo-trend-lr-v8</t>
        </is>
      </c>
      <c r="BH22" s="24" t="inlineStr">
        <is>
          <t>2026-10-06T22:08:53.322022Z</t>
        </is>
      </c>
      <c r="BI22" s="24" t="inlineStr">
        <is>
          <t>["same_event","same_team_same_day","same_league_same_day"]</t>
        </is>
      </c>
      <c r="BJ22" s="25" t="n"/>
      <c r="BK22" s="26" t="n">
        <v>-125</v>
      </c>
      <c r="BL22" s="27" t="n">
        <v>1.8</v>
      </c>
      <c r="BM22" s="28" t="n">
        <v>0.555556</v>
      </c>
      <c r="BN22" s="28" t="n">
        <v>0.552239</v>
      </c>
      <c r="BO22" s="28" t="n"/>
      <c r="BP22" s="25" t="n"/>
      <c r="BQ22" s="27" t="n">
        <v>1.8</v>
      </c>
      <c r="BR22" s="28" t="n">
        <v>0.555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inlineStr">
        <is>
          <t>0.476607762</t>
        </is>
      </c>
      <c r="CD22" s="24" t="inlineStr">
        <is>
          <t>0.73848</t>
        </is>
      </c>
      <c r="CE22" s="24" t="inlineStr">
        <is>
          <t>0.946</t>
        </is>
      </c>
      <c r="CF22" s="24" t="inlineStr">
        <is>
          <t>1.0158</t>
        </is>
      </c>
      <c r="CG22" s="24" t="n"/>
      <c r="CH22" s="24" t="n"/>
      <c r="CI22" s="24" t="n"/>
      <c r="CJ22" s="24" t="inlineStr">
        <is>
          <t>-0.234611</t>
        </is>
      </c>
      <c r="CK22" s="24" t="n"/>
      <c r="CL22" s="24" t="inlineStr">
        <is>
          <t>0.13532</t>
        </is>
      </c>
      <c r="CM22" s="24" t="inlineStr">
        <is>
          <t>-3.5185</t>
        </is>
      </c>
      <c r="CN22" s="24" t="n"/>
      <c r="CO22" s="24" t="n"/>
      <c r="CP22" s="24" t="n"/>
      <c r="CQ22" s="24" t="n"/>
      <c r="CR22" s="24" t="inlineStr">
        <is>
          <t>0.51983</t>
        </is>
      </c>
      <c r="CS22" s="24" t="inlineStr">
        <is>
          <t>False</t>
        </is>
      </c>
      <c r="CT22" s="24" t="n"/>
      <c r="CU22" s="24" t="n"/>
      <c r="CV22" s="24" t="n"/>
      <c r="CW22" s="24" t="n"/>
      <c r="CX22" s="24" t="n"/>
      <c r="CY22" s="24" t="inlineStr">
        <is>
          <t>2026-10-06T22:08:53.322022Z</t>
        </is>
      </c>
      <c r="CZ22" s="24" t="inlineStr">
        <is>
          <t>True</t>
        </is>
      </c>
      <c r="DA22" s="24" t="inlineStr">
        <is>
          <t>polymarket_us</t>
        </is>
      </c>
      <c r="DB22" s="24" t="inlineStr">
        <is>
          <t>decision_time_executable_quote</t>
        </is>
      </c>
      <c r="DC22" s="24" t="inlineStr">
        <is>
          <t>False</t>
        </is>
      </c>
      <c r="DD22" s="24" t="inlineStr">
        <is>
          <t>b4cc5db802c69b65bae8cac60887b707a4e15ebd3163ab04fc6ec6249e57f9e4</t>
        </is>
      </c>
      <c r="DE22" s="24" t="inlineStr">
        <is>
          <t>E:\model-prediction\data\odds\mlb\2026-10-06\polymarket_snapshots.jsonl</t>
        </is>
      </c>
      <c r="DF22" s="24" t="inlineStr">
        <is>
          <t>b4cc5db802c69b65bae8cac60887b707a4e15ebd3163ab04fc6ec6249e57f9e4</t>
        </is>
      </c>
      <c r="DG22" s="24" t="n"/>
      <c r="DH22" s="24" t="n"/>
      <c r="DI22" s="24" t="n"/>
      <c r="DJ22" s="24" t="inlineStr">
        <is>
          <t>0.555556</t>
        </is>
      </c>
      <c r="DK22" s="24" t="n"/>
      <c r="DL22" s="24" t="n"/>
      <c r="DM22" s="24" t="n"/>
      <c r="DN22" s="24" t="n"/>
      <c r="DO22" s="24" t="n"/>
      <c r="DP22" s="24" t="n"/>
      <c r="DQ2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0.5198299135554377, "event_id": "401908004", "event_start_utc": "2026-10-07T01:30:00+00:00", "features": {"bullpen_weakness_gap": 0.13532, "elo_probability": 0.47660776197425553, "park_factor": 0.946, "starter_era_gap": -3.5185, "trend_gap": 0.73848, "weather_factor": 1.0158}, "historical_source_observation_times_verified": false, "model_version": "mlb-elo-trend-lr-v8", "observed_at_utc": "2026-10-06T22:22:38.272477+00:00", "schema": "learned-moneyline-replay-v1", "served_home_probability": 0.5198299135554377, "snapshot_hash": "1cde92b16fd923643fad0c1087da2bf390349c60f07487fa89341598b9f8a3a5"}</t>
        </is>
      </c>
    </row>
    <row r="23" ht="36" customHeight="1">
      <c r="A23" s="24" t="inlineStr">
        <is>
          <t>496e97bbd84c41a2</t>
        </is>
      </c>
      <c r="B23" s="24" t="inlineStr">
        <is>
          <t>2026-10-06T22:24:09.683826Z</t>
        </is>
      </c>
      <c r="C23" s="24" t="inlineStr">
        <is>
          <t>2026-10-07T01:30Z</t>
        </is>
      </c>
      <c r="D23" s="24" t="inlineStr">
        <is>
          <t>401908004</t>
        </is>
      </c>
      <c r="E23" s="24" t="inlineStr">
        <is>
          <t>MLB</t>
        </is>
      </c>
      <c r="F23" s="24" t="inlineStr">
        <is>
          <t>Milwaukee Brewers</t>
        </is>
      </c>
      <c r="G23" s="24" t="inlineStr">
        <is>
          <t>San Diego Padres</t>
        </is>
      </c>
      <c r="H23" s="24" t="inlineStr">
        <is>
          <t>spread</t>
        </is>
      </c>
      <c r="I23" s="24" t="inlineStr">
        <is>
          <t>away</t>
        </is>
      </c>
      <c r="J23" s="25" t="n">
        <v>1.5</v>
      </c>
      <c r="K23" s="24" t="inlineStr">
        <is>
          <t>polymarket_us</t>
        </is>
      </c>
      <c r="L23" s="26" t="n">
        <v>-174</v>
      </c>
      <c r="M23" s="27" t="n">
        <v>1.574713</v>
      </c>
      <c r="N23" s="28" t="n">
        <v>0.635036</v>
      </c>
      <c r="O23" s="28" t="n">
        <v>0.569673</v>
      </c>
      <c r="P23" s="28" t="n">
        <v>0.05172</v>
      </c>
      <c r="Q23" s="28" t="n">
        <v>-0.065363</v>
      </c>
      <c r="R23" s="26" t="n">
        <v>0</v>
      </c>
      <c r="S23" s="29" t="n">
        <v>1</v>
      </c>
      <c r="T23" s="24" t="inlineStr">
        <is>
          <t>measured-edge-margin-v3</t>
        </is>
      </c>
      <c r="U23" s="24" t="inlineStr">
        <is>
          <t>settled</t>
        </is>
      </c>
      <c r="V23" s="24" t="inlineStr">
        <is>
          <t>win</t>
        </is>
      </c>
      <c r="W23" s="26" t="n">
        <v>3</v>
      </c>
      <c r="X23" s="26" t="n">
        <v>4</v>
      </c>
      <c r="Y23" s="25" t="n">
        <v>1.5</v>
      </c>
      <c r="Z23" s="26" t="n">
        <v>-174</v>
      </c>
      <c r="AA23" s="28" t="n">
        <v>0.635</v>
      </c>
      <c r="AB23" s="28" t="n">
        <v>-3.6e-05</v>
      </c>
      <c r="AC23" s="30" t="n">
        <v>0.5747</v>
      </c>
      <c r="AD23" s="24" t="inlineStr">
        <is>
          <t>2026-10-07T10:02:31.408967Z</t>
        </is>
      </c>
      <c r="AE23" s="31" t="inlineStr">
        <is>
          <t>Measured Edge Margin: Trend Engine projected 3.96-4.67; raw selected-side p=0.6022, calibrated p=0.5697.</t>
        </is>
      </c>
      <c r="AF23" s="31" t="inlineStr">
        <is>
          <t>Research-only; lineup, bullpen, park, weather, xFIP, and wRC+ may be neutral fallbacks; market availability and BBO depth may change before first pitch.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4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mlb-mil</t>
        </is>
      </c>
      <c r="AQ23" s="24" t="inlineStr">
        <is>
          <t>Milwaukee Brewers</t>
        </is>
      </c>
      <c r="AR23" s="24" t="inlineStr">
        <is>
          <t>Milwaukee Brewers</t>
        </is>
      </c>
      <c r="AS23" s="24" t="inlineStr">
        <is>
          <t>mlb-sd</t>
        </is>
      </c>
      <c r="AT23" s="24" t="inlineStr">
        <is>
          <t>San Diego Padres</t>
        </is>
      </c>
      <c r="AU23" s="24" t="inlineStr">
        <is>
          <t>San Diego Padres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research</t>
        </is>
      </c>
      <c r="BA23" s="24" t="inlineStr">
        <is>
          <t>dd339a2eed50d7d83ab2127837995ddab82e879afd27f5414bb6c1f9cd60ba4c</t>
        </is>
      </c>
      <c r="BB23" s="24" t="inlineStr">
        <is>
          <t>flat_probability_shrinkage_toward_half</t>
        </is>
      </c>
      <c r="BC23" s="24" t="inlineStr">
        <is>
          <t>measured-edge-margin-v3</t>
        </is>
      </c>
      <c r="BD23" s="24" t="inlineStr">
        <is>
          <t>dd339a2eed50d7d83ab2127837995ddab82e879afd27f5414bb6c1f9cd60ba4c</t>
        </is>
      </c>
      <c r="BE23" s="24" t="inlineStr">
        <is>
          <t>v3</t>
        </is>
      </c>
      <c r="BF23" s="24" t="inlineStr">
        <is>
          <t>1</t>
        </is>
      </c>
      <c r="BG23" s="24" t="inlineStr">
        <is>
          <t>measured-edge-paired-v1</t>
        </is>
      </c>
      <c r="BH23" s="24" t="inlineStr">
        <is>
          <t>2026-10-06T22:24:09.683826Z</t>
        </is>
      </c>
      <c r="BI23" s="24" t="inlineStr">
        <is>
          <t>["same_event","same_team_same_day","same_league_same_day"]</t>
        </is>
      </c>
      <c r="BJ23" s="25" t="n">
        <v>1.5</v>
      </c>
      <c r="BK23" s="26" t="n">
        <v>-174</v>
      </c>
      <c r="BL23" s="27" t="n">
        <v>1.574713</v>
      </c>
      <c r="BM23" s="28" t="n">
        <v>0.635036</v>
      </c>
      <c r="BN23" s="28" t="n">
        <v>0.631841</v>
      </c>
      <c r="BO23" s="28" t="n"/>
      <c r="BP23" s="25" t="n"/>
      <c r="BQ23" s="27" t="n">
        <v>1.574713</v>
      </c>
      <c r="BR23" s="28" t="n">
        <v>0.635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False</t>
        </is>
      </c>
      <c r="CT23" s="24" t="inlineStr">
        <is>
          <t>a58317b61e364f16537cd10ddc5af2db5569f760cec11319bdfb0570313fc628</t>
        </is>
      </c>
      <c r="CU23" s="24" t="inlineStr">
        <is>
          <t>b7a7e12c605ed1a2eb0eaa71195ac77be6260d55932b2f48d3474d09e281152a</t>
        </is>
      </c>
      <c r="CV23" s="24" t="inlineStr">
        <is>
          <t>E:\model-prediction\config\model.yaml</t>
        </is>
      </c>
      <c r="CW23" s="24" t="inlineStr">
        <is>
          <t>1ac81f4be213944a7cce95cbe9a52520e640a9cc5ea1424409aeda60b059f716</t>
        </is>
      </c>
      <c r="CX23" s="24" t="inlineStr">
        <is>
          <t>E:\model-prediction\config\models\measured-edge-margin-v3.json</t>
        </is>
      </c>
      <c r="CY23" s="24" t="inlineStr">
        <is>
          <t>2026-10-06T22:24:09.683826Z</t>
        </is>
      </c>
      <c r="CZ23" s="24" t="inlineStr">
        <is>
          <t>True</t>
        </is>
      </c>
      <c r="DA23" s="24" t="inlineStr">
        <is>
          <t>polymarket_us</t>
        </is>
      </c>
      <c r="DB23" s="24" t="inlineStr">
        <is>
          <t>decision_time_executable_quote</t>
        </is>
      </c>
      <c r="DC23" s="24" t="inlineStr">
        <is>
          <t>False</t>
        </is>
      </c>
      <c r="DD23" s="24" t="inlineStr">
        <is>
          <t>05fedace7450f2ee9398f093baf18947ef71e99f091f13ad78d2c5cd8e95a026</t>
        </is>
      </c>
      <c r="DE23" s="24" t="inlineStr">
        <is>
          <t>E:\model-prediction\data\market_odds_snapshots.jsonl</t>
        </is>
      </c>
      <c r="DF23" s="24" t="inlineStr">
        <is>
          <t>05fedace7450f2ee9398f093baf18947ef71e99f091f13ad78d2c5cd8e95a026</t>
        </is>
      </c>
      <c r="DG23" s="24" t="inlineStr">
        <is>
          <t>live_forecast</t>
        </is>
      </c>
      <c r="DH23" s="24" t="inlineStr">
        <is>
          <t>False</t>
        </is>
      </c>
      <c r="DI23" s="24" t="inlineStr">
        <is>
          <t>0.569673</t>
        </is>
      </c>
      <c r="DJ23" s="24" t="inlineStr">
        <is>
          <t>0.635036496350365</t>
        </is>
      </c>
      <c r="DK23" s="24" t="inlineStr">
        <is>
          <t>0.569673</t>
        </is>
      </c>
      <c r="DL23" s="24" t="n"/>
      <c r="DM23" s="24" t="n"/>
      <c r="DN23" s="24" t="n"/>
      <c r="DO23" s="24" t="n"/>
      <c r="DP23" s="24" t="n"/>
      <c r="DQ23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"401908004", "event_start_utc": "2026-10-07T01:30Z", "features": {"away_bullpen_status": "available", "away_bullpen_weakness": 0.754003, "away_form": {"losses": 0, "runs_allowed": [2, 3], "runs_scored": [3, 4], "status": "available", "wins": 2}, "away_starter": {"last_five_batters_faced": 74, "last_five_earned_runs": 9, "last_five_innings": 17.0, "last_five_strikeouts": 22, "last_five_walks": 5, "name": "Dustin May", "player_id": "40937", "season_batters_faced": 621, "season_earned_runs": 76, "season_innings": 145.66666666666666, "season_strikeouts": 144, "season_walks": 50, "starts_before_game": 31, "status": "available", "throwing_hand": "Right", "xfip": null, "xfip_status": "unavailable_from_source"}, "away_team": "Milwaukee Brewers", "decision_timestamp_utc": "2026-10-06T23:30:00Z", "event_id": "401908004", "event_start_utc": "2026-10-07T01:30Z", "feature_snapshot_hash": "4ad8fe740ce8f81a30d0dc3e10e84d8c77e60bd53ad59f6549c0ee6ccb5a0c4f", "home_bullpen_status": "available", "home_bullpen_weakness": 0.889323, "home_form": {"losses": 2, "runs_allowed": [0, 1, 3, 4], "runs_scored": [8, 4, 2, 3], "status": "available", "wins": 2}, "home_starter": {"last_five_batters_faced": 89, "last_five_earned_runs": 4, "last_five_innings": 22.0, "last_five_strikeouts": 22, "last_five_walks": 4, "name": "Nick Pivetta", "player_id": "36071", "season_batters_faced": 155, "season_earned_runs": 12, "season_innings": 38.0, "season_strikeouts": 46, "season_walks": 10, "starts_before_game": 9, "status": "available", "throwing_hand": "Right", "xfip": null, "xfip_status": "unavailable_from_source"}, "home_team": "San Diego Padres", "lineup_status": "unavailable_from_source", "market_snapshot_hash": "05fedace7450f2ee9398f093baf18947ef71e99f091f13ad78d2c5cd8e95a026", "park_factor": 0.946, "park_factor_status": "available", "source_snapshot_ids": ["cacbaea02f20feb32230938ed9e089e68cf059f4db1025f493ff6beb72e08a02", "87a33afac86e1070590593989b5f67ef09d17ae77e44e4de077beab25d32df3a", "e18708a308c67f6f857cfaec1a72d7e3a232aced72c684c6e7c4d6d3220af97c", "b6daa8bf9e5aabd34920b188927e78a3b2211ed9867cbac9dc534e969c66fe53", "0cb259cab665726be4c840c0a6f879a67e2cde54cd94be4447cdf53c278bf3d5"], "starter_confirmed": false, "starter_status": "probable", "weather_factor": 1.0158, "weather_status": "available", "wrc_plus_status": "unavailable_from_source"}, "formula_spec": {"away_field_run_factor": 1.0, "bullpen_elasticity": 0.069018, "configuration_hash": "ca5ee8c1fccc12d21de5d1755803d1be655b6083be01e5d7b5c57eecd4e9c6a0",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4.5368,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"2026-10-06T22:24:09.683826+00:00", "raw_probabilities": {"away": 0.60225, "home": 0.39775, "push": 0.0}, "replay_scope": "Exact features, formula and deterministic Monte Carlo seed inputs; independently calibrated sides are not a joint distribution.", "run_estimate": {"away_expected_runs": 3.95982, "configuration_hash": "ca5ee8c1fccc12d21de5d1755803d1be655b6083be01e5d7b5c57eecd4e9c6a0", "factors": {"away_bullpen_weakness_index": 0.754003, "away_field_run_factor": 1.0, "away_offense_index": 0.9678981328825914, "away_starter_weakness_index": 1.0973646558031647, "home_bullpen_weakness_index": 0.889323, "home_field_run_factor": 1.04, "home_offense_index": 0.9762556950740447, "home_starter_weakness_index": 0.6730503074574538, "park_factor": 0.946, "weather_factor": 1.0158}, "feature_schema_version": "v3", "formula_version": "mlb-analyst-poisson-trend-v0.3", "home_expected_runs": 4.674881, "uncertainty": 0.05172, "uncertainty_components": {"base": 0.02, "lineup": 0.025, "missing_wrc_plus": 0.01, "missing_xfip": 0.01, "model_form": 0.01, "pitcher": 0.015, "rookie_starter": 0.03, "starter_confirmation": 0.015}}, "schema": "mlb-margin-replay-v1", "served_probabilities": {"away": 0.569673, "home": 0.430327}, "snapshot_hash": "ea2dfb0bca3badc04170c51bc148ff443cfbf4c976ffb686feeb70f0a32c6e0c", "sport": "MLB"}</t>
        </is>
      </c>
    </row>
    <row r="24" ht="36" customHeight="1">
      <c r="A24" s="24" t="inlineStr">
        <is>
          <t>0685852fe7524833</t>
        </is>
      </c>
      <c r="B24" s="24" t="inlineStr">
        <is>
          <t>2026-10-06T22:24:09.683826Z</t>
        </is>
      </c>
      <c r="C24" s="24" t="inlineStr">
        <is>
          <t>2026-10-07T01:30Z</t>
        </is>
      </c>
      <c r="D24" s="24" t="inlineStr">
        <is>
          <t>401908004</t>
        </is>
      </c>
      <c r="E24" s="24" t="inlineStr">
        <is>
          <t>MLB</t>
        </is>
      </c>
      <c r="F24" s="24" t="inlineStr">
        <is>
          <t>Milwaukee Brewers</t>
        </is>
      </c>
      <c r="G24" s="24" t="inlineStr">
        <is>
          <t>San Diego Padres</t>
        </is>
      </c>
      <c r="H24" s="24" t="inlineStr">
        <is>
          <t>total</t>
        </is>
      </c>
      <c r="I24" s="24" t="inlineStr">
        <is>
          <t>over</t>
        </is>
      </c>
      <c r="J24" s="25" t="n">
        <v>7.5</v>
      </c>
      <c r="K24" s="24" t="inlineStr">
        <is>
          <t>polymarket_us</t>
        </is>
      </c>
      <c r="L24" s="26" t="n">
        <v>100</v>
      </c>
      <c r="M24" s="27" t="n">
        <v>2</v>
      </c>
      <c r="N24" s="28" t="n">
        <v>0.5</v>
      </c>
      <c r="O24" s="28" t="n">
        <v>0.5199589999999999</v>
      </c>
      <c r="P24" s="28" t="n">
        <v>0.05172</v>
      </c>
      <c r="Q24" s="28" t="n">
        <v>0.019959</v>
      </c>
      <c r="R24" s="26" t="n">
        <v>30</v>
      </c>
      <c r="S24" s="29" t="n">
        <v>1</v>
      </c>
      <c r="T24" s="24" t="inlineStr">
        <is>
          <t>measured-edge-totals-v3</t>
        </is>
      </c>
      <c r="U24" s="24" t="inlineStr">
        <is>
          <t>settled</t>
        </is>
      </c>
      <c r="V24" s="24" t="inlineStr">
        <is>
          <t>loss</t>
        </is>
      </c>
      <c r="W24" s="26" t="n">
        <v>3</v>
      </c>
      <c r="X24" s="26" t="n">
        <v>4</v>
      </c>
      <c r="Y24" s="25" t="n">
        <v>7.5</v>
      </c>
      <c r="Z24" s="26" t="n">
        <v>100</v>
      </c>
      <c r="AA24" s="28" t="n">
        <v>0.5</v>
      </c>
      <c r="AB24" s="28" t="n">
        <v>0</v>
      </c>
      <c r="AC24" s="30" t="n">
        <v>-1</v>
      </c>
      <c r="AD24" s="24" t="inlineStr">
        <is>
          <t>2026-10-07T10:02:41.576550Z</t>
        </is>
      </c>
      <c r="AE24" s="31" t="inlineStr">
        <is>
          <t>Measured Edge Totals: Trend Engine projected 3.96-4.67; raw selected-side p=0.5570, calibrated p=0.5200.</t>
        </is>
      </c>
      <c r="AF24" s="31" t="inlineStr">
        <is>
          <t>Research-only; lineup, bullpen, park, weather, xFIP, and wRC+ may be neutral fallbacks; market availability and BBO depth may change before first pitch.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paper_call</t>
        </is>
      </c>
      <c r="AL24" s="26" t="n">
        <v>4</v>
      </c>
      <c r="AM24" s="24" t="inlineStr">
        <is>
          <t>RESEARCH_OBSERVATION</t>
        </is>
      </c>
      <c r="AN24" s="24" t="inlineStr">
        <is>
          <t>CALL</t>
        </is>
      </c>
      <c r="AO24" s="24" t="inlineStr">
        <is>
          <t>PAPER_CALL_MODEL_UNVALIDATED</t>
        </is>
      </c>
      <c r="AP24" s="24" t="inlineStr">
        <is>
          <t>mlb-mil</t>
        </is>
      </c>
      <c r="AQ24" s="24" t="inlineStr">
        <is>
          <t>Milwaukee Brewers</t>
        </is>
      </c>
      <c r="AR24" s="24" t="inlineStr">
        <is>
          <t>Milwaukee Brewers</t>
        </is>
      </c>
      <c r="AS24" s="24" t="inlineStr">
        <is>
          <t>mlb-sd</t>
        </is>
      </c>
      <c r="AT24" s="24" t="inlineStr">
        <is>
          <t>San Diego Padres</t>
        </is>
      </c>
      <c r="AU24" s="24" t="inlineStr">
        <is>
          <t>San Diego Padres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research</t>
        </is>
      </c>
      <c r="BA24" s="24" t="inlineStr">
        <is>
          <t>95b84332c75d2ce54036eb8de6ada9c78d0f80228c50825c0347281a8b9b49c7</t>
        </is>
      </c>
      <c r="BB24" s="24" t="inlineStr">
        <is>
          <t>flat_probability_shrinkage_toward_half</t>
        </is>
      </c>
      <c r="BC24" s="24" t="inlineStr">
        <is>
          <t>measured-edge-totals-v3</t>
        </is>
      </c>
      <c r="BD24" s="24" t="inlineStr">
        <is>
          <t>95b84332c75d2ce54036eb8de6ada9c78d0f80228c50825c0347281a8b9b49c7</t>
        </is>
      </c>
      <c r="BE24" s="24" t="inlineStr">
        <is>
          <t>v3</t>
        </is>
      </c>
      <c r="BF24" s="24" t="inlineStr">
        <is>
          <t>1</t>
        </is>
      </c>
      <c r="BG24" s="24" t="inlineStr">
        <is>
          <t>measured-edge-paired-v1</t>
        </is>
      </c>
      <c r="BH24" s="24" t="inlineStr">
        <is>
          <t>2026-10-06T22:24:09.683826Z</t>
        </is>
      </c>
      <c r="BI24" s="24" t="inlineStr">
        <is>
          <t>["same_event","same_team_same_day","same_league_same_day"]</t>
        </is>
      </c>
      <c r="BJ24" s="25" t="n">
        <v>7.5</v>
      </c>
      <c r="BK24" s="26" t="n">
        <v>100</v>
      </c>
      <c r="BL24" s="27" t="n">
        <v>2</v>
      </c>
      <c r="BM24" s="28" t="n">
        <v>0.5</v>
      </c>
      <c r="BN24" s="28" t="n">
        <v>0.497512</v>
      </c>
      <c r="BO24" s="28" t="n"/>
      <c r="BP24" s="25" t="n"/>
      <c r="BQ24" s="27" t="n">
        <v>2</v>
      </c>
      <c r="BR24" s="28" t="n">
        <v>0.5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  <c r="CT24" s="24" t="inlineStr">
        <is>
          <t>a58317b61e364f16537cd10ddc5af2db5569f760cec11319bdfb0570313fc628</t>
        </is>
      </c>
      <c r="CU24" s="24" t="inlineStr">
        <is>
          <t>b7a7e12c605ed1a2eb0eaa71195ac77be6260d55932b2f48d3474d09e281152a</t>
        </is>
      </c>
      <c r="CV24" s="24" t="inlineStr">
        <is>
          <t>E:\model-prediction\config\model.yaml</t>
        </is>
      </c>
      <c r="CW24" s="24" t="inlineStr">
        <is>
          <t>1dad20b56ac0a94181b31c5f71abe66cc0ee1acd8c8792d0aacf42b7a6fc32e6</t>
        </is>
      </c>
      <c r="CX24" s="24" t="inlineStr">
        <is>
          <t>E:\model-prediction\config\models\measured-edge-totals-v3.json</t>
        </is>
      </c>
      <c r="CY24" s="24" t="inlineStr">
        <is>
          <t>2026-10-06T22:24:09.683826Z</t>
        </is>
      </c>
      <c r="CZ24" s="24" t="inlineStr">
        <is>
          <t>True</t>
        </is>
      </c>
      <c r="DA24" s="24" t="inlineStr">
        <is>
          <t>polymarket_us</t>
        </is>
      </c>
      <c r="DB24" s="24" t="inlineStr">
        <is>
          <t>decision_time_executable_quote</t>
        </is>
      </c>
      <c r="DC24" s="24" t="inlineStr">
        <is>
          <t>False</t>
        </is>
      </c>
      <c r="DD24" s="24" t="inlineStr">
        <is>
          <t>05fedace7450f2ee9398f093baf18947ef71e99f091f13ad78d2c5cd8e95a026</t>
        </is>
      </c>
      <c r="DE24" s="24" t="inlineStr">
        <is>
          <t>E:\model-prediction\data\market_odds_snapshots.jsonl</t>
        </is>
      </c>
      <c r="DF24" s="24" t="inlineStr">
        <is>
          <t>05fedace7450f2ee9398f093baf18947ef71e99f091f13ad78d2c5cd8e95a026</t>
        </is>
      </c>
      <c r="DG24" s="24" t="inlineStr">
        <is>
          <t>live_forecast</t>
        </is>
      </c>
      <c r="DH24" s="24" t="inlineStr">
        <is>
          <t>False</t>
        </is>
      </c>
      <c r="DI24" s="24" t="inlineStr">
        <is>
          <t>0.519959</t>
        </is>
      </c>
      <c r="DJ24" s="24" t="inlineStr">
        <is>
          <t>0.5</t>
        </is>
      </c>
      <c r="DK24" s="24" t="inlineStr">
        <is>
          <t>0.519959</t>
        </is>
      </c>
      <c r="DL24" s="24" t="n"/>
      <c r="DM24" s="24" t="n"/>
      <c r="DN24" s="24" t="n"/>
      <c r="DO24" s="24" t="n"/>
      <c r="DP24" s="24" t="n"/>
      <c r="DQ24" s="24" t="n"/>
    </row>
    <row r="25" ht="36" customHeight="1">
      <c r="A25" s="24" t="inlineStr">
        <is>
          <t>c277eb17b2c7413a</t>
        </is>
      </c>
      <c r="B25" s="24" t="inlineStr">
        <is>
          <t>2026-10-06T22:24:10.127364Z</t>
        </is>
      </c>
      <c r="C25" s="24" t="inlineStr">
        <is>
          <t>2026-10-07T01:30Z</t>
        </is>
      </c>
      <c r="D25" s="24" t="inlineStr">
        <is>
          <t>401908004</t>
        </is>
      </c>
      <c r="E25" s="24" t="inlineStr">
        <is>
          <t>MLB</t>
        </is>
      </c>
      <c r="F25" s="24" t="inlineStr">
        <is>
          <t>Milwaukee Brewers</t>
        </is>
      </c>
      <c r="G25" s="24" t="inlineStr">
        <is>
          <t>San Diego Padres</t>
        </is>
      </c>
      <c r="H25" s="24" t="inlineStr">
        <is>
          <t>nrfi</t>
        </is>
      </c>
      <c r="I25" s="24" t="inlineStr">
        <is>
          <t>nrfi</t>
        </is>
      </c>
      <c r="J25" s="25" t="n">
        <v>0.5</v>
      </c>
      <c r="K25" s="24" t="inlineStr">
        <is>
          <t>model_fair</t>
        </is>
      </c>
      <c r="L25" s="26" t="n">
        <v>-125</v>
      </c>
      <c r="M25" s="27" t="n">
        <v>1.8</v>
      </c>
      <c r="N25" s="28" t="n">
        <v>0.555556</v>
      </c>
      <c r="O25" s="28" t="n">
        <v>0.5556</v>
      </c>
      <c r="P25" s="28" t="n">
        <v>0.04</v>
      </c>
      <c r="Q25" s="28" t="n">
        <v>4.4e-05</v>
      </c>
      <c r="R25" s="26" t="n">
        <v>26</v>
      </c>
      <c r="S25" s="29" t="n">
        <v>1</v>
      </c>
      <c r="T25" s="24" t="inlineStr">
        <is>
          <t>mlb-nrfi-v2</t>
        </is>
      </c>
      <c r="U25" s="24" t="inlineStr">
        <is>
          <t>settled</t>
        </is>
      </c>
      <c r="V25" s="24" t="inlineStr">
        <is>
          <t>win</t>
        </is>
      </c>
      <c r="W25" s="26" t="n">
        <v>0</v>
      </c>
      <c r="X25" s="26" t="n">
        <v>0</v>
      </c>
      <c r="Y25" s="25" t="n"/>
      <c r="Z25" s="26" t="n"/>
      <c r="AA25" s="28" t="n"/>
      <c r="AB25" s="28" t="n"/>
      <c r="AC25" s="30" t="n">
        <v>0.8</v>
      </c>
      <c r="AD25" s="24" t="inlineStr">
        <is>
          <t>2026-10-07T10:02:51.533171Z</t>
        </is>
      </c>
      <c r="AE25" s="31" t="inlineStr">
        <is>
          <t>MLB 1st Inning NRFI: p=0.556 (mlb-nrfi-v2, 4050 training games)</t>
        </is>
      </c>
      <c r="AF25" s="31" t="inlineStr">
        <is>
          <t>1st inning variance, leadoff home run risk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paper_call</t>
        </is>
      </c>
      <c r="AL25" s="26" t="n">
        <v>4</v>
      </c>
      <c r="AM25" s="24" t="inlineStr">
        <is>
          <t>RESEARCH_OBSERVATION</t>
        </is>
      </c>
      <c r="AN25" s="24" t="inlineStr">
        <is>
          <t>CALL</t>
        </is>
      </c>
      <c r="AO25" s="24" t="inlineStr">
        <is>
          <t>PAPER_CALL_MODEL_UNVALIDATED</t>
        </is>
      </c>
      <c r="AP25" s="24" t="inlineStr">
        <is>
          <t>mlb-mil</t>
        </is>
      </c>
      <c r="AQ25" s="24" t="inlineStr">
        <is>
          <t>Milwaukee Brewers</t>
        </is>
      </c>
      <c r="AR25" s="24" t="inlineStr">
        <is>
          <t>Milwaukee Brewers</t>
        </is>
      </c>
      <c r="AS25" s="24" t="inlineStr">
        <is>
          <t>mlb-sd</t>
        </is>
      </c>
      <c r="AT25" s="24" t="inlineStr">
        <is>
          <t>San Diego Padres</t>
        </is>
      </c>
      <c r="AU25" s="24" t="inlineStr">
        <is>
          <t>San Diego Padres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2909cd421e057ee98f16cafaabeaf26a1e00b4d7d36eb86e9d93b45d584700ec</t>
        </is>
      </c>
      <c r="BB25" s="24" t="inlineStr">
        <is>
          <t>identity</t>
        </is>
      </c>
      <c r="BC25" s="24" t="inlineStr">
        <is>
          <t>identity-v1</t>
        </is>
      </c>
      <c r="BD25" s="24" t="n"/>
      <c r="BE25" s="24" t="inlineStr">
        <is>
          <t>1</t>
        </is>
      </c>
      <c r="BF25" s="24" t="inlineStr">
        <is>
          <t>1</t>
        </is>
      </c>
      <c r="BG25" s="24" t="inlineStr">
        <is>
          <t>unknown</t>
        </is>
      </c>
      <c r="BH25" s="24" t="inlineStr">
        <is>
          <t>2026-10-06T22:24:10.127364+00:00</t>
        </is>
      </c>
      <c r="BI25" s="24" t="inlineStr">
        <is>
          <t>["same_event","same_team_same_day","same_league_same_day"]</t>
        </is>
      </c>
      <c r="BJ25" s="25" t="n">
        <v>0.5</v>
      </c>
      <c r="BK25" s="26" t="n">
        <v>-125</v>
      </c>
      <c r="BL25" s="27" t="n">
        <v>1.8</v>
      </c>
      <c r="BM25" s="28" t="n">
        <v>0.555556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0.555556</t>
        </is>
      </c>
      <c r="DK25" s="24" t="n"/>
      <c r="DL25" s="24" t="n"/>
      <c r="DM25" s="24" t="n"/>
      <c r="DN25" s="24" t="n"/>
      <c r="DO25" s="24" t="n"/>
      <c r="DP25" s="24" t="n"/>
      <c r="DQ25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"401908004", "event_start_utc": "2026-10-07T01:30Z", "features": {"away_starter_bb_pct": 0.087, "away_starter_days_rest": 6.0, "away_starter_fip": 4.052, "away_starter_k_pct": 0.2229, "away_starter_opp_1st_runs": 0.6128, "away_starter_starts": 3.9703, "away_team_1st_allowed_away": 0.3905, "away_team_1st_scored_away": 0.4186, "away_top3_composite": 0.10642, "home_starter_bb_pct": 0.0656, "home_starter_days_rest": 6.0, "home_starter_fip": 3.541, "home_starter_k_pct": 0.2749, "home_starter_opp_1st_runs": 0.494, "home_starter_starts": 4.1897, "home_team_1st_allowed_home": 0.5624, "home_team_1st_scored_home": 0.4743, "home_top3_composite": 0.1169, "park_1st_runs": 0.9001}, "historical_source_observation_times_verified": false, "inference_inputs": {}, "model_version": "mlb-nrfi-v2", "observed_at_utc": "2026-10-06T22:24:10.127364+00:00", "replay_scope": "Exact final classifier/distribution inputs and artifact. Upstream historical feature construction not certified.", "schema": "scalar-artifact-replay-v1", "snapshot_hash": "b07937418bc1a08feb7d51940ff18f52a93b927e6da3bd9f84282a6340359dab"}</t>
        </is>
      </c>
    </row>
    <row r="26" ht="36" customHeight="1">
      <c r="A26" s="24" t="inlineStr">
        <is>
          <t>fcf74a7e3719437c</t>
        </is>
      </c>
      <c r="B26" s="24" t="inlineStr">
        <is>
          <t>2026-10-07T16:29:28.733951Z</t>
        </is>
      </c>
      <c r="C26" s="24" t="inlineStr">
        <is>
          <t>2026-10-07T16:00:00-0400</t>
        </is>
      </c>
      <c r="D26" s="24" t="inlineStr">
        <is>
          <t>401907992</t>
        </is>
      </c>
      <c r="E26" s="24" t="inlineStr">
        <is>
          <t>MLB</t>
        </is>
      </c>
      <c r="F26" s="24" t="inlineStr">
        <is>
          <t>Cleveland Guardians</t>
        </is>
      </c>
      <c r="G26" s="24" t="inlineStr">
        <is>
          <t>Chicago White Sox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-115</v>
      </c>
      <c r="M26" s="27" t="n">
        <v>1.869565</v>
      </c>
      <c r="N26" s="28" t="n">
        <v>0.534884</v>
      </c>
      <c r="O26" s="28" t="n">
        <v>0.5830419999999999</v>
      </c>
      <c r="P26" s="28" t="n"/>
      <c r="Q26" s="28" t="n">
        <v>0.048158</v>
      </c>
      <c r="R26" s="26" t="n">
        <v>45</v>
      </c>
      <c r="S26" s="29" t="n">
        <v>1</v>
      </c>
      <c r="T26" s="24" t="inlineStr">
        <is>
          <t>mlb-elo-trend-lr-v8</t>
        </is>
      </c>
      <c r="U26" s="24" t="inlineStr">
        <is>
          <t>settled</t>
        </is>
      </c>
      <c r="V26" s="24" t="inlineStr">
        <is>
          <t>loss</t>
        </is>
      </c>
      <c r="W26" s="26" t="n">
        <v>9</v>
      </c>
      <c r="X26" s="26" t="n">
        <v>3</v>
      </c>
      <c r="Y26" s="25" t="n"/>
      <c r="Z26" s="26" t="n">
        <v>-117</v>
      </c>
      <c r="AA26" s="28" t="n">
        <v>0.54</v>
      </c>
      <c r="AB26" s="28" t="n">
        <v>0.005116</v>
      </c>
      <c r="AC26" s="30" t="n">
        <v>-1</v>
      </c>
      <c r="AD26" s="24" t="inlineStr">
        <is>
          <t>2026-10-08T03:21:21.199018Z</t>
        </is>
      </c>
      <c r="AE26" s="31" t="inlineStr">
        <is>
          <t>Learned LR call at threshold 0.6197; executable ask 0.5350 (aec-mlb-cle-cws-2026-10-07); model edge vs ask +0.0480.</t>
        </is>
      </c>
      <c r="AF26" s="31" t="inlineStr">
        <is>
          <t>Learned model; shadow-qualified via operator override.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paper_call</t>
        </is>
      </c>
      <c r="AL26" s="26" t="n">
        <v>4</v>
      </c>
      <c r="AM26" s="24" t="inlineStr">
        <is>
          <t>RESEARCH_OBSERVATION</t>
        </is>
      </c>
      <c r="AN26" s="24" t="inlineStr">
        <is>
          <t>CALL</t>
        </is>
      </c>
      <c r="AO26" s="24" t="inlineStr">
        <is>
          <t>PAPER_CALL_BELOW_LEARNED_CONFIDENCE</t>
        </is>
      </c>
      <c r="AP26" s="24" t="inlineStr">
        <is>
          <t>mlb-cle</t>
        </is>
      </c>
      <c r="AQ26" s="24" t="inlineStr">
        <is>
          <t>Cleveland Guardians</t>
        </is>
      </c>
      <c r="AR26" s="24" t="inlineStr">
        <is>
          <t>Cleveland Guardians</t>
        </is>
      </c>
      <c r="AS26" s="24" t="inlineStr">
        <is>
          <t>mlb-cws</t>
        </is>
      </c>
      <c r="AT26" s="24" t="inlineStr">
        <is>
          <t>Chicago White Sox</t>
        </is>
      </c>
      <c r="AU26" s="24" t="inlineStr">
        <is>
          <t>Chicago White Sox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3b345499bd6bad9bcf65367a07fe0c668fb5817d4f016a0a865c01d9212fdeb8</t>
        </is>
      </c>
      <c r="BB26" s="24" t="inlineStr">
        <is>
          <t>learned_lr</t>
        </is>
      </c>
      <c r="BC26" s="24" t="inlineStr">
        <is>
          <t>mlb-elo-trend-lr-v8</t>
        </is>
      </c>
      <c r="BD26" s="24" t="inlineStr">
        <is>
          <t>3b345499bd6bad9bcf65367a07fe0c668fb5817d4f016a0a865c01d9212fdeb8</t>
        </is>
      </c>
      <c r="BE26" s="24" t="inlineStr">
        <is>
          <t>2dc3a3cfcda2a162</t>
        </is>
      </c>
      <c r="BF26" s="24" t="inlineStr">
        <is>
          <t>1</t>
        </is>
      </c>
      <c r="BG26" s="24" t="inlineStr">
        <is>
          <t>mlb-elo-trend-lr-v8</t>
        </is>
      </c>
      <c r="BH26" s="24" t="inlineStr">
        <is>
          <t>2026-10-07T16:07:50.222812Z</t>
        </is>
      </c>
      <c r="BI26" s="24" t="inlineStr">
        <is>
          <t>["same_event","same_team_same_day","same_league_same_day"]</t>
        </is>
      </c>
      <c r="BJ26" s="25" t="n"/>
      <c r="BK26" s="26" t="n">
        <v>-115</v>
      </c>
      <c r="BL26" s="27" t="n">
        <v>1.869565</v>
      </c>
      <c r="BM26" s="28" t="n">
        <v>0.534884</v>
      </c>
      <c r="BN26" s="28" t="n">
        <v>0.532338</v>
      </c>
      <c r="BO26" s="28" t="n"/>
      <c r="BP26" s="25" t="n"/>
      <c r="BQ26" s="27" t="n">
        <v>1.854701</v>
      </c>
      <c r="BR26" s="28" t="n">
        <v>0.54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inlineStr">
        <is>
          <t>0.5363454104</t>
        </is>
      </c>
      <c r="CD26" s="24" t="inlineStr">
        <is>
          <t>0.520764</t>
        </is>
      </c>
      <c r="CE26" s="24" t="inlineStr">
        <is>
          <t>0.947</t>
        </is>
      </c>
      <c r="CF26" s="24" t="inlineStr">
        <is>
          <t>1.0002</t>
        </is>
      </c>
      <c r="CG26" s="24" t="n"/>
      <c r="CH26" s="24" t="n"/>
      <c r="CI26" s="24" t="n"/>
      <c r="CJ26" s="24" t="inlineStr">
        <is>
          <t>0.875119</t>
        </is>
      </c>
      <c r="CK26" s="24" t="n"/>
      <c r="CL26" s="24" t="inlineStr">
        <is>
          <t>0.306143</t>
        </is>
      </c>
      <c r="CM26" s="24" t="inlineStr">
        <is>
          <t>-5.5761</t>
        </is>
      </c>
      <c r="CN26" s="24" t="n"/>
      <c r="CO26" s="24" t="n"/>
      <c r="CP26" s="24" t="n"/>
      <c r="CQ26" s="24" t="n"/>
      <c r="CR26" s="24" t="inlineStr">
        <is>
          <t>0.583042</t>
        </is>
      </c>
      <c r="CS26" s="24" t="inlineStr">
        <is>
          <t>True</t>
        </is>
      </c>
      <c r="CT26" s="24" t="n"/>
      <c r="CU26" s="24" t="n"/>
      <c r="CV26" s="24" t="n"/>
      <c r="CW26" s="24" t="n"/>
      <c r="CX26" s="24" t="n"/>
      <c r="CY26" s="24" t="inlineStr">
        <is>
          <t>2026-10-07T16:07:50.222812Z</t>
        </is>
      </c>
      <c r="CZ26" s="24" t="inlineStr">
        <is>
          <t>True</t>
        </is>
      </c>
      <c r="DA26" s="24" t="inlineStr">
        <is>
          <t>polymarket_us</t>
        </is>
      </c>
      <c r="DB26" s="24" t="inlineStr">
        <is>
          <t>decision_time_executable_quote</t>
        </is>
      </c>
      <c r="DC26" s="24" t="inlineStr">
        <is>
          <t>False</t>
        </is>
      </c>
      <c r="DD26" s="24" t="inlineStr">
        <is>
          <t>9bc050552e1eb16d7dddd482a7b1bb794accd18c7d53c451d1304aff2dcc7341</t>
        </is>
      </c>
      <c r="DE26" s="24" t="inlineStr">
        <is>
          <t>E:\model-prediction\data\odds\mlb\2026-10-07\polymarket_snapshots.jsonl</t>
        </is>
      </c>
      <c r="DF26" s="24" t="inlineStr">
        <is>
          <t>9bc050552e1eb16d7dddd482a7b1bb794accd18c7d53c451d1304aff2dcc7341</t>
        </is>
      </c>
      <c r="DG26" s="24" t="n"/>
      <c r="DH26" s="24" t="n"/>
      <c r="DI26" s="24" t="n"/>
      <c r="DJ26" s="24" t="inlineStr">
        <is>
          <t>0.534884</t>
        </is>
      </c>
      <c r="DK26" s="24" t="n"/>
      <c r="DL26" s="24" t="n"/>
      <c r="DM26" s="24" t="n"/>
      <c r="DN26" s="24" t="n"/>
      <c r="DO26" s="24" t="n"/>
      <c r="DP26" s="24" t="n"/>
      <c r="DQ2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0.5830419110579288, "event_id": "401907992", "event_start_utc": "2026-10-07T20:00:00+00:00", "features": {"bullpen_weakness_gap": 0.306143, "elo_probability": 0.5363454103863166, "park_factor": 0.947, "starter_era_gap": -5.5761, "trend_gap": 0.520764, "weather_factor": 1.0002}, "historical_source_observation_times_verified": false, "model_version": "mlb-elo-trend-lr-v8", "observed_at_utc": "2026-10-07T16:29:28.733951+00:00", "schema": "learned-moneyline-replay-v1", "served_home_probability": 0.5830419110579288, "snapshot_hash": "2bc3f79feaaedbc61dbbeb638e04557850d145df67d40538b33c34bcb05505a7"}</t>
        </is>
      </c>
    </row>
    <row r="27" ht="36" customHeight="1">
      <c r="A27" s="24" t="inlineStr">
        <is>
          <t>90d5de8aecd84d3f</t>
        </is>
      </c>
      <c r="B27" s="24" t="inlineStr">
        <is>
          <t>2026-10-07T16:29:28.733951Z</t>
        </is>
      </c>
      <c r="C27" s="24" t="inlineStr">
        <is>
          <t>2026-10-07T18:00:00-0400</t>
        </is>
      </c>
      <c r="D27" s="24" t="inlineStr">
        <is>
          <t>401908016</t>
        </is>
      </c>
      <c r="E27" s="24" t="inlineStr">
        <is>
          <t>MLB</t>
        </is>
      </c>
      <c r="F27" s="24" t="inlineStr">
        <is>
          <t>Los Angeles Dodgers</t>
        </is>
      </c>
      <c r="G27" s="24" t="inlineStr">
        <is>
          <t>Atlanta Braves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133</v>
      </c>
      <c r="M27" s="27" t="n">
        <v>2.33</v>
      </c>
      <c r="N27" s="28" t="n">
        <v>0.429185</v>
      </c>
      <c r="O27" s="28" t="n">
        <v>0.525622</v>
      </c>
      <c r="P27" s="28" t="n"/>
      <c r="Q27" s="28" t="n">
        <v>0.09643699999999999</v>
      </c>
      <c r="R27" s="26" t="n">
        <v>69</v>
      </c>
      <c r="S27" s="29" t="n">
        <v>1.25</v>
      </c>
      <c r="T27" s="24" t="inlineStr">
        <is>
          <t>mlb-elo-trend-lr-v8</t>
        </is>
      </c>
      <c r="U27" s="24" t="inlineStr">
        <is>
          <t>settled</t>
        </is>
      </c>
      <c r="V27" s="24" t="inlineStr">
        <is>
          <t>loss</t>
        </is>
      </c>
      <c r="W27" s="26" t="n">
        <v>4</v>
      </c>
      <c r="X27" s="26" t="n">
        <v>1</v>
      </c>
      <c r="Y27" s="25" t="n"/>
      <c r="Z27" s="26" t="n">
        <v>133</v>
      </c>
      <c r="AA27" s="28" t="n">
        <v>0.43</v>
      </c>
      <c r="AB27" s="28" t="n">
        <v>0.000815</v>
      </c>
      <c r="AC27" s="30" t="n">
        <v>-1.25</v>
      </c>
      <c r="AD27" s="24" t="inlineStr">
        <is>
          <t>2026-10-08T03:21:22.568029Z</t>
        </is>
      </c>
      <c r="AE27" s="31" t="inlineStr">
        <is>
          <t>Learned LR call at threshold 0.6197; executable ask 0.4300 (aec-mlb-lad-atl-2026-10-07); model edge vs ask +0.0956.</t>
        </is>
      </c>
      <c r="AF27" s="31" t="inlineStr">
        <is>
          <t>Learned model; shadow-qualified via operator override.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paper_call</t>
        </is>
      </c>
      <c r="AL27" s="26" t="n">
        <v>4</v>
      </c>
      <c r="AM27" s="24" t="inlineStr">
        <is>
          <t>RESEARCH_OBSERVATION</t>
        </is>
      </c>
      <c r="AN27" s="24" t="inlineStr">
        <is>
          <t>CALL</t>
        </is>
      </c>
      <c r="AO27" s="24" t="inlineStr">
        <is>
          <t>PAPER_CALL_BELOW_LEARNED_CONFIDENCE</t>
        </is>
      </c>
      <c r="AP27" s="24" t="inlineStr">
        <is>
          <t>mlb-lad</t>
        </is>
      </c>
      <c r="AQ27" s="24" t="inlineStr">
        <is>
          <t>Los Angeles Dodgers</t>
        </is>
      </c>
      <c r="AR27" s="24" t="inlineStr">
        <is>
          <t>Los Angeles Dodgers</t>
        </is>
      </c>
      <c r="AS27" s="24" t="inlineStr">
        <is>
          <t>mlb-atl</t>
        </is>
      </c>
      <c r="AT27" s="24" t="inlineStr">
        <is>
          <t>Atlanta Braves</t>
        </is>
      </c>
      <c r="AU27" s="24" t="inlineStr">
        <is>
          <t>Atlanta Braves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3b345499bd6bad9bcf65367a07fe0c668fb5817d4f016a0a865c01d9212fdeb8</t>
        </is>
      </c>
      <c r="BB27" s="24" t="inlineStr">
        <is>
          <t>learned_lr</t>
        </is>
      </c>
      <c r="BC27" s="24" t="inlineStr">
        <is>
          <t>mlb-elo-trend-lr-v8</t>
        </is>
      </c>
      <c r="BD27" s="24" t="inlineStr">
        <is>
          <t>3b345499bd6bad9bcf65367a07fe0c668fb5817d4f016a0a865c01d9212fdeb8</t>
        </is>
      </c>
      <c r="BE27" s="24" t="inlineStr">
        <is>
          <t>6e9dac73bcdd2df2</t>
        </is>
      </c>
      <c r="BF27" s="24" t="inlineStr">
        <is>
          <t>1</t>
        </is>
      </c>
      <c r="BG27" s="24" t="inlineStr">
        <is>
          <t>mlb-elo-trend-lr-v8</t>
        </is>
      </c>
      <c r="BH27" s="24" t="inlineStr">
        <is>
          <t>2026-10-07T16:08:49.669189Z</t>
        </is>
      </c>
      <c r="BI27" s="24" t="inlineStr">
        <is>
          <t>["same_event","same_team_same_day","same_league_same_day"]</t>
        </is>
      </c>
      <c r="BJ27" s="25" t="n"/>
      <c r="BK27" s="26" t="n">
        <v>133</v>
      </c>
      <c r="BL27" s="27" t="n">
        <v>2.33</v>
      </c>
      <c r="BM27" s="28" t="n">
        <v>0.429185</v>
      </c>
      <c r="BN27" s="28" t="n">
        <v>0.427861</v>
      </c>
      <c r="BO27" s="28" t="n"/>
      <c r="BP27" s="25" t="n"/>
      <c r="BQ27" s="27" t="n">
        <v>2.33</v>
      </c>
      <c r="BR27" s="28" t="n">
        <v>0.43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inlineStr">
        <is>
          <t>0.4664860853</t>
        </is>
      </c>
      <c r="CD27" s="24" t="inlineStr">
        <is>
          <t>0.079213</t>
        </is>
      </c>
      <c r="CE27" s="24" t="inlineStr">
        <is>
          <t>0.929</t>
        </is>
      </c>
      <c r="CF27" s="24" t="inlineStr">
        <is>
          <t>1.0066</t>
        </is>
      </c>
      <c r="CG27" s="24" t="n"/>
      <c r="CH27" s="24" t="n"/>
      <c r="CI27" s="24" t="n"/>
      <c r="CJ27" s="24" t="inlineStr">
        <is>
          <t>-0.575633</t>
        </is>
      </c>
      <c r="CK27" s="24" t="n"/>
      <c r="CL27" s="24" t="inlineStr">
        <is>
          <t>0.46037</t>
        </is>
      </c>
      <c r="CM27" s="24" t="inlineStr">
        <is>
          <t>-1.9477</t>
        </is>
      </c>
      <c r="CN27" s="24" t="n"/>
      <c r="CO27" s="24" t="n"/>
      <c r="CP27" s="24" t="n"/>
      <c r="CQ27" s="24" t="n"/>
      <c r="CR27" s="24" t="inlineStr">
        <is>
          <t>0.525622</t>
        </is>
      </c>
      <c r="CS27" s="24" t="inlineStr">
        <is>
          <t>True</t>
        </is>
      </c>
      <c r="CT27" s="24" t="n"/>
      <c r="CU27" s="24" t="n"/>
      <c r="CV27" s="24" t="n"/>
      <c r="CW27" s="24" t="n"/>
      <c r="CX27" s="24" t="n"/>
      <c r="CY27" s="24" t="inlineStr">
        <is>
          <t>2026-10-07T16:08:49.669189Z</t>
        </is>
      </c>
      <c r="CZ27" s="24" t="inlineStr">
        <is>
          <t>True</t>
        </is>
      </c>
      <c r="DA27" s="24" t="inlineStr">
        <is>
          <t>polymarket_us</t>
        </is>
      </c>
      <c r="DB27" s="24" t="inlineStr">
        <is>
          <t>decision_time_executable_quote</t>
        </is>
      </c>
      <c r="DC27" s="24" t="inlineStr">
        <is>
          <t>False</t>
        </is>
      </c>
      <c r="DD27" s="24" t="inlineStr">
        <is>
          <t>095075b2c10a148cf1bf0d30491e5044da007ed5f0d539d7393d266b2bceb57f</t>
        </is>
      </c>
      <c r="DE27" s="24" t="inlineStr">
        <is>
          <t>E:\model-prediction\data\odds\mlb\2026-10-07\polymarket_snapshots.jsonl</t>
        </is>
      </c>
      <c r="DF27" s="24" t="inlineStr">
        <is>
          <t>095075b2c10a148cf1bf0d30491e5044da007ed5f0d539d7393d266b2bceb57f</t>
        </is>
      </c>
      <c r="DG27" s="24" t="n"/>
      <c r="DH27" s="24" t="n"/>
      <c r="DI27" s="24" t="n"/>
      <c r="DJ27" s="24" t="inlineStr">
        <is>
          <t>0.429185</t>
        </is>
      </c>
      <c r="DK27" s="24" t="n"/>
      <c r="DL27" s="24" t="n"/>
      <c r="DM27" s="24" t="n"/>
      <c r="DN27" s="24" t="n"/>
      <c r="DO27" s="24" t="n"/>
      <c r="DP27" s="24" t="n"/>
      <c r="DQ27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0.5256218999950278, "event_id": "401908016", "event_start_utc": "2026-10-07T22:00:00+00:00", "features": {"bullpen_weakness_gap": 0.46037, "elo_probability": 0.46648608525942264, "park_factor": 0.929, "starter_era_gap": -1.9477, "trend_gap": 0.07921299999999998, "weather_factor": 1.0066}, "historical_source_observation_times_verified": false, "model_version": "mlb-elo-trend-lr-v8", "observed_at_utc": "2026-10-07T16:29:28.733951+00:00", "schema": "learned-moneyline-replay-v1", "served_home_probability": 0.5256218999950278, "snapshot_hash": "9affac4c1b4f741f0c6f56042730010877bf4991b7ca6eb0bbd5a4450801df22"}</t>
        </is>
      </c>
    </row>
    <row r="28" ht="36" customHeight="1">
      <c r="A28" s="24" t="inlineStr">
        <is>
          <t>659fc5e2406b4275</t>
        </is>
      </c>
      <c r="B28" s="24" t="inlineStr">
        <is>
          <t>2026-10-07T16:31:18.536143Z</t>
        </is>
      </c>
      <c r="C28" s="24" t="inlineStr">
        <is>
          <t>2026-10-07T22:00Z</t>
        </is>
      </c>
      <c r="D28" s="24" t="inlineStr">
        <is>
          <t>401908016</t>
        </is>
      </c>
      <c r="E28" s="24" t="inlineStr">
        <is>
          <t>MLB</t>
        </is>
      </c>
      <c r="F28" s="24" t="inlineStr">
        <is>
          <t>Los Angeles Dodgers</t>
        </is>
      </c>
      <c r="G28" s="24" t="inlineStr">
        <is>
          <t>Atlanta Braves</t>
        </is>
      </c>
      <c r="H28" s="24" t="inlineStr">
        <is>
          <t>spread</t>
        </is>
      </c>
      <c r="I28" s="24" t="inlineStr">
        <is>
          <t>home</t>
        </is>
      </c>
      <c r="J28" s="25" t="n">
        <v>1.5</v>
      </c>
      <c r="K28" s="24" t="inlineStr">
        <is>
          <t>polymarket_us</t>
        </is>
      </c>
      <c r="L28" s="26" t="n">
        <v>-130</v>
      </c>
      <c r="M28" s="27" t="n">
        <v>1.769231</v>
      </c>
      <c r="N28" s="28" t="n">
        <v>0.565217</v>
      </c>
      <c r="O28" s="28" t="n">
        <v>0.632089</v>
      </c>
      <c r="P28" s="28" t="n">
        <v>0.042131</v>
      </c>
      <c r="Q28" s="28" t="n">
        <v>0.066872</v>
      </c>
      <c r="R28" s="26" t="n">
        <v>60</v>
      </c>
      <c r="S28" s="29" t="n">
        <v>1.25</v>
      </c>
      <c r="T28" s="24" t="inlineStr">
        <is>
          <t>measured-edge-margin-v3</t>
        </is>
      </c>
      <c r="U28" s="24" t="inlineStr">
        <is>
          <t>settled</t>
        </is>
      </c>
      <c r="V28" s="24" t="inlineStr">
        <is>
          <t>loss</t>
        </is>
      </c>
      <c r="W28" s="26" t="n">
        <v>4</v>
      </c>
      <c r="X28" s="26" t="n">
        <v>1</v>
      </c>
      <c r="Y28" s="25" t="n">
        <v>1.5</v>
      </c>
      <c r="Z28" s="26" t="n">
        <v>-130</v>
      </c>
      <c r="AA28" s="28" t="n">
        <v>0.5649999999999999</v>
      </c>
      <c r="AB28" s="28" t="n">
        <v>-0.000217</v>
      </c>
      <c r="AC28" s="30" t="n">
        <v>-1.25</v>
      </c>
      <c r="AD28" s="24" t="inlineStr">
        <is>
          <t>2026-10-08T03:21:23.992776Z</t>
        </is>
      </c>
      <c r="AE28" s="31" t="inlineStr">
        <is>
          <t>Measured Edge Margin: Trend Engine projected 4.12-4.32; raw selected-side p=0.6938, calibrated p=0.6321.</t>
        </is>
      </c>
      <c r="AF28" s="31" t="inlineStr">
        <is>
          <t>Research-only; lineup, bullpen, park, weather, xFIP, and wRC+ may be neutral fallbacks; market availability and BBO depth may change before first pitch.</t>
        </is>
      </c>
      <c r="AG28" s="24" t="inlineStr">
        <is>
          <t>review_required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4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mlb-lad</t>
        </is>
      </c>
      <c r="AQ28" s="24" t="inlineStr">
        <is>
          <t>Los Angeles Dodgers</t>
        </is>
      </c>
      <c r="AR28" s="24" t="inlineStr">
        <is>
          <t>Los Angeles Dodgers</t>
        </is>
      </c>
      <c r="AS28" s="24" t="inlineStr">
        <is>
          <t>mlb-atl</t>
        </is>
      </c>
      <c r="AT28" s="24" t="inlineStr">
        <is>
          <t>Atlanta Braves</t>
        </is>
      </c>
      <c r="AU28" s="24" t="inlineStr">
        <is>
          <t>Atlanta Braves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dd339a2eed50d7d83ab2127837995ddab82e879afd27f5414bb6c1f9cd60ba4c</t>
        </is>
      </c>
      <c r="BB28" s="24" t="inlineStr">
        <is>
          <t>flat_probability_shrinkage_toward_half</t>
        </is>
      </c>
      <c r="BC28" s="24" t="inlineStr">
        <is>
          <t>measured-edge-margin-v3</t>
        </is>
      </c>
      <c r="BD28" s="24" t="inlineStr">
        <is>
          <t>dd339a2eed50d7d83ab2127837995ddab82e879afd27f5414bb6c1f9cd60ba4c</t>
        </is>
      </c>
      <c r="BE28" s="24" t="inlineStr">
        <is>
          <t>v3</t>
        </is>
      </c>
      <c r="BF28" s="24" t="inlineStr">
        <is>
          <t>1</t>
        </is>
      </c>
      <c r="BG28" s="24" t="inlineStr">
        <is>
          <t>measured-edge-paired-v1</t>
        </is>
      </c>
      <c r="BH28" s="24" t="inlineStr">
        <is>
          <t>2026-10-07T16:31:18.536143Z</t>
        </is>
      </c>
      <c r="BI28" s="24" t="inlineStr">
        <is>
          <t>["same_event","same_team_same_day","same_league_same_day"]</t>
        </is>
      </c>
      <c r="BJ28" s="25" t="n">
        <v>1.5</v>
      </c>
      <c r="BK28" s="26" t="n">
        <v>-130</v>
      </c>
      <c r="BL28" s="27" t="n">
        <v>1.769231</v>
      </c>
      <c r="BM28" s="28" t="n">
        <v>0.565217</v>
      </c>
      <c r="BN28" s="28" t="n">
        <v>0.562189</v>
      </c>
      <c r="BO28" s="28" t="n"/>
      <c r="BP28" s="25" t="n"/>
      <c r="BQ28" s="27" t="n">
        <v>1.769231</v>
      </c>
      <c r="BR28" s="28" t="n">
        <v>0.5649999999999999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  <c r="CT28" s="24" t="inlineStr">
        <is>
          <t>d6a93296bccabb15449bfb59233dc70a9b667400eb2750d4283fc0ddc6dfd10d</t>
        </is>
      </c>
      <c r="CU28" s="24" t="inlineStr">
        <is>
          <t>58174fed4b5d0cfc7a6d9bc967b64e1f8767603ab65da39bc5ae33597c9abc71</t>
        </is>
      </c>
      <c r="CV28" s="24" t="inlineStr">
        <is>
          <t>E:\model-prediction\config\model.yaml</t>
        </is>
      </c>
      <c r="CW28" s="24" t="inlineStr">
        <is>
          <t>1ac81f4be213944a7cce95cbe9a52520e640a9cc5ea1424409aeda60b059f716</t>
        </is>
      </c>
      <c r="CX28" s="24" t="inlineStr">
        <is>
          <t>E:\model-prediction\config\models\measured-edge-margin-v3.json</t>
        </is>
      </c>
      <c r="CY28" s="24" t="inlineStr">
        <is>
          <t>2026-10-07T16:31:18.536143Z</t>
        </is>
      </c>
      <c r="CZ28" s="24" t="inlineStr">
        <is>
          <t>True</t>
        </is>
      </c>
      <c r="DA28" s="24" t="inlineStr">
        <is>
          <t>polymarket_us</t>
        </is>
      </c>
      <c r="DB28" s="24" t="inlineStr">
        <is>
          <t>decision_time_executable_quote</t>
        </is>
      </c>
      <c r="DC28" s="24" t="inlineStr">
        <is>
          <t>False</t>
        </is>
      </c>
      <c r="DD28" s="24" t="inlineStr">
        <is>
          <t>b53a1b4ae7b8893b9286cc9fdeae231463a324e3675801b05fae7c580a41d0d1</t>
        </is>
      </c>
      <c r="DE28" s="24" t="inlineStr">
        <is>
          <t>E:\model-prediction\data\market_odds_snapshots.jsonl</t>
        </is>
      </c>
      <c r="DF28" s="24" t="inlineStr">
        <is>
          <t>b53a1b4ae7b8893b9286cc9fdeae231463a324e3675801b05fae7c580a41d0d1</t>
        </is>
      </c>
      <c r="DG28" s="24" t="inlineStr">
        <is>
          <t>live_forecast</t>
        </is>
      </c>
      <c r="DH28" s="24" t="inlineStr">
        <is>
          <t>False</t>
        </is>
      </c>
      <c r="DI28" s="24" t="inlineStr">
        <is>
          <t>0.632089</t>
        </is>
      </c>
      <c r="DJ28" s="24" t="inlineStr">
        <is>
          <t>0.5652173913043479</t>
        </is>
      </c>
      <c r="DK28" s="24" t="inlineStr">
        <is>
          <t>0.632089</t>
        </is>
      </c>
      <c r="DL28" s="24" t="n"/>
      <c r="DM28" s="24" t="n"/>
      <c r="DN28" s="24" t="n"/>
      <c r="DO28" s="24" t="n"/>
      <c r="DP28" s="24" t="n"/>
      <c r="DQ2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"401908016", "event_start_utc": "2026-10-07T22:00Z", "features": {"away_bullpen_status": "available", "away_bullpen_weakness": 0.543735, "away_form": {"losses": 1, "runs_allowed": [3, 3, 1], "runs_scored": [5, 2, 3], "status": "available", "wins": 2}, "away_starter": {"last_five_batters_faced": 119, "last_five_earned_runs": 14, "last_five_innings": 29.333333333333332, "last_five_strikeouts": 42, "last_five_walks": 12, "name": "Tyler Glasnow", "player_id": "33190", "season_batters_faced": 288, "season_earned_runs": 29, "season_innings": 74.0, "season_strikeouts": 98, "season_walks": 25, "starts_before_game": 13, "status": "available", "throwing_hand": "Right", "xfip": null, "xfip_status": "unavailable_from_source"}, "away_team": "Los Angeles Dodgers", "decision_timestamp_utc": "2026-10-07T20:00:00Z", "event_id": "401908016", "event_start_utc": "2026-10-07T22:00Z", "feature_snapshot_hash": "d52f389a8022ae66e1ab18f06f592d4a64102e8e534d59da5c1ce3f66d6b73e5", "home_bullpen_status": "available", "home_bullpen_weakness": 1.004105, "home_form": {"losses": 3, "runs_allowed": [3, 4, 2, 5, 2, 3], "runs_scored": [5, 3, 6, 3, 3, 1], "status": "available", "wins": 3}, "home_starter": {"last_five_batters_faced": 121, "last_five_earned_runs": 8, "last_five_innings": 31.0, "last_five_strikeouts": 22, "last_five_walks": 5, "name": "Tyler Mahle", "player_id": "34973", "season_batters_faced": 642, "season_earned_runs": 67, "season_innings": 156.0, "season_strikeouts": 143, "season_walks": 47, "starts_before_game": 28, "status": "available", "throwing_hand": "Right", "xfip": null, "xfip_status": "unavailable_from_source"}, "home_team": "Atlanta Braves", "lineup_status": "unavailable_from_source", "market_snapshot_hash": "b53a1b4ae7b8893b9286cc9fdeae231463a324e3675801b05fae7c580a41d0d1", "park_factor": 0.929, "park_factor_status": "available", "source_snapshot_ids": ["a7bfd10c9db2964eeb52c848493921a72c604d381a76da6ac03aa81976ccde86", "7d8ff124705a394e18e634d296121ca5e1d5b8a01f56f2bf9896815e51de7f95", "90a2d5f24078ef7de0e7c8edfb6e83436d4b9ac2db2fec6369849b97dad85f43", "83d6ba78dbf724c9b367c7477a085ba30ec8020a8953ade4440b4a4f928e1738", "71023b7bd30679be04cd1aad86e3fbe44451cb06753eee2a667f6daba2c9ff6e"], "starter_confirmed": false, "starter_status": "probable", "weather_factor": 1.0066, "weather_status": "available", "wrc_plus_status": "unavailable_from_source"}, "formula_spec": {"away_field_run_factor": 1.0, "bullpen_elasticity": 0.069018, "configuration_hash": "ca5ee8c1fccc12d21de5d1755803d1be655b6083be01e5d7b5c57eecd4e9c6a0",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4.5368,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"2026-10-07T16:31:18.536143+00:00", "raw_probabilities": {"away": 0.30615, "home": 0.69385, "push": 0.0}, "replay_scope": "Exact features, formula and deterministic Monte Carlo seed inputs; independently calibrated sides are not a joint distribution.", "run_estimate": {"away_expected_runs": 4.123034, "configuration_hash": "ca5ee8c1fccc12d21de5d1755803d1be655b6083be01e5d7b5c57eecd4e9c6a0", "factors": {"away_bullpen_weakness_index": 0.543735, "away_field_run_factor": 1.0, "away_offense_index": 0.9449579826283161, "away_starter_weakness_index": 0.9368160798679993, "home_bullpen_weakness_index": 1.004105, "home_field_run_factor": 1.04, "home_offense_index": 0.9138531473838607, "home_starter_weakness_index": 0.7737465684658201, "park_factor": 0.929, "weather_factor": 1.0066}, "feature_schema_version": "v3", "formula_version": "mlb-analyst-poisson-trend-v0.3", "home_expected_runs": 4.324434, "uncertainty": 0.042131, "uncertainty_components": {"base": 0.02, "lineup": 0.025, "missing_wrc_plus": 0.01, "missing_xfip": 0.01, "model_form": 0.01, "pitcher": 0.015, "starter_confirmation": 0.015}}, "schema": "mlb-margin-replay-v1", "served_probabilities": {"away": 0.367911, "home": 0.632089}, "snapshot_hash": "05cc567344c3bcb51d06167687d13e84b744f6bf9eb91d6b2e40d0a7182a5ab6", "sport": "MLB"}</t>
        </is>
      </c>
    </row>
    <row r="29" ht="36" customHeight="1">
      <c r="A29" s="24" t="inlineStr">
        <is>
          <t>44e9cc25853c47e3</t>
        </is>
      </c>
      <c r="B29" s="24" t="inlineStr">
        <is>
          <t>2026-10-07T16:31:18.536143Z</t>
        </is>
      </c>
      <c r="C29" s="24" t="inlineStr">
        <is>
          <t>2026-10-07T22:00Z</t>
        </is>
      </c>
      <c r="D29" s="24" t="inlineStr">
        <is>
          <t>401908016</t>
        </is>
      </c>
      <c r="E29" s="24" t="inlineStr">
        <is>
          <t>MLB</t>
        </is>
      </c>
      <c r="F29" s="24" t="inlineStr">
        <is>
          <t>Los Angeles Dodgers</t>
        </is>
      </c>
      <c r="G29" s="24" t="inlineStr">
        <is>
          <t>Atlanta Braves</t>
        </is>
      </c>
      <c r="H29" s="24" t="inlineStr">
        <is>
          <t>total</t>
        </is>
      </c>
      <c r="I29" s="24" t="inlineStr">
        <is>
          <t>over</t>
        </is>
      </c>
      <c r="J29" s="25" t="n">
        <v>7.5</v>
      </c>
      <c r="K29" s="24" t="inlineStr">
        <is>
          <t>polymarket_us</t>
        </is>
      </c>
      <c r="L29" s="26" t="n">
        <v>-106</v>
      </c>
      <c r="M29" s="27" t="n">
        <v>1.943396</v>
      </c>
      <c r="N29" s="28" t="n">
        <v>0.514563</v>
      </c>
      <c r="O29" s="28" t="n">
        <v>0.515388</v>
      </c>
      <c r="P29" s="28" t="n">
        <v>0.042131</v>
      </c>
      <c r="Q29" s="28" t="n">
        <v>0.000825</v>
      </c>
      <c r="R29" s="26" t="n">
        <v>26</v>
      </c>
      <c r="S29" s="29" t="n">
        <v>1</v>
      </c>
      <c r="T29" s="24" t="inlineStr">
        <is>
          <t>measured-edge-totals-v3</t>
        </is>
      </c>
      <c r="U29" s="24" t="inlineStr">
        <is>
          <t>settled</t>
        </is>
      </c>
      <c r="V29" s="24" t="inlineStr">
        <is>
          <t>loss</t>
        </is>
      </c>
      <c r="W29" s="26" t="n">
        <v>4</v>
      </c>
      <c r="X29" s="26" t="n">
        <v>1</v>
      </c>
      <c r="Y29" s="25" t="n">
        <v>7.5</v>
      </c>
      <c r="Z29" s="26" t="n">
        <v>-106</v>
      </c>
      <c r="AA29" s="28" t="n">
        <v>0.515</v>
      </c>
      <c r="AB29" s="28" t="n">
        <v>0.000437</v>
      </c>
      <c r="AC29" s="30" t="n">
        <v>-1</v>
      </c>
      <c r="AD29" s="24" t="inlineStr">
        <is>
          <t>2026-10-08T03:21:25.404921Z</t>
        </is>
      </c>
      <c r="AE29" s="31" t="inlineStr">
        <is>
          <t>Measured Edge Totals: Trend Engine projected 4.12-4.32; raw selected-side p=0.5386, calibrated p=0.5154.</t>
        </is>
      </c>
      <c r="AF29" s="31" t="inlineStr">
        <is>
          <t>Research-only; lineup, bullpen, park, weather, xFIP, and wRC+ may be neutral fallbacks; market availability and BBO depth may change before first pitch.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paper_call</t>
        </is>
      </c>
      <c r="AL29" s="26" t="n">
        <v>4</v>
      </c>
      <c r="AM29" s="24" t="inlineStr">
        <is>
          <t>RESEARCH_OBSERVATION</t>
        </is>
      </c>
      <c r="AN29" s="24" t="inlineStr">
        <is>
          <t>CALL</t>
        </is>
      </c>
      <c r="AO29" s="24" t="inlineStr">
        <is>
          <t>PAPER_CALL_MODEL_UNVALIDATED</t>
        </is>
      </c>
      <c r="AP29" s="24" t="inlineStr">
        <is>
          <t>mlb-lad</t>
        </is>
      </c>
      <c r="AQ29" s="24" t="inlineStr">
        <is>
          <t>Los Angeles Dodgers</t>
        </is>
      </c>
      <c r="AR29" s="24" t="inlineStr">
        <is>
          <t>Los Angeles Dodgers</t>
        </is>
      </c>
      <c r="AS29" s="24" t="inlineStr">
        <is>
          <t>mlb-atl</t>
        </is>
      </c>
      <c r="AT29" s="24" t="inlineStr">
        <is>
          <t>Atlanta Braves</t>
        </is>
      </c>
      <c r="AU29" s="24" t="inlineStr">
        <is>
          <t>Atlanta Braves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95b84332c75d2ce54036eb8de6ada9c78d0f80228c50825c0347281a8b9b49c7</t>
        </is>
      </c>
      <c r="BB29" s="24" t="inlineStr">
        <is>
          <t>flat_probability_shrinkage_toward_half</t>
        </is>
      </c>
      <c r="BC29" s="24" t="inlineStr">
        <is>
          <t>measured-edge-totals-v3</t>
        </is>
      </c>
      <c r="BD29" s="24" t="inlineStr">
        <is>
          <t>95b84332c75d2ce54036eb8de6ada9c78d0f80228c50825c0347281a8b9b49c7</t>
        </is>
      </c>
      <c r="BE29" s="24" t="inlineStr">
        <is>
          <t>v3</t>
        </is>
      </c>
      <c r="BF29" s="24" t="inlineStr">
        <is>
          <t>1</t>
        </is>
      </c>
      <c r="BG29" s="24" t="inlineStr">
        <is>
          <t>measured-edge-paired-v1</t>
        </is>
      </c>
      <c r="BH29" s="24" t="inlineStr">
        <is>
          <t>2026-10-07T16:31:18.536143Z</t>
        </is>
      </c>
      <c r="BI29" s="24" t="inlineStr">
        <is>
          <t>["same_event","same_team_same_day","same_league_same_day"]</t>
        </is>
      </c>
      <c r="BJ29" s="25" t="n">
        <v>7.5</v>
      </c>
      <c r="BK29" s="26" t="n">
        <v>-106</v>
      </c>
      <c r="BL29" s="27" t="n">
        <v>1.943396</v>
      </c>
      <c r="BM29" s="28" t="n">
        <v>0.514563</v>
      </c>
      <c r="BN29" s="28" t="n">
        <v>0.5124379999999999</v>
      </c>
      <c r="BO29" s="28" t="n"/>
      <c r="BP29" s="25" t="n"/>
      <c r="BQ29" s="27" t="n">
        <v>1.943396</v>
      </c>
      <c r="BR29" s="28" t="n">
        <v>0.515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  <c r="CT29" s="24" t="inlineStr">
        <is>
          <t>d6a93296bccabb15449bfb59233dc70a9b667400eb2750d4283fc0ddc6dfd10d</t>
        </is>
      </c>
      <c r="CU29" s="24" t="inlineStr">
        <is>
          <t>58174fed4b5d0cfc7a6d9bc967b64e1f8767603ab65da39bc5ae33597c9abc71</t>
        </is>
      </c>
      <c r="CV29" s="24" t="inlineStr">
        <is>
          <t>E:\model-prediction\config\model.yaml</t>
        </is>
      </c>
      <c r="CW29" s="24" t="inlineStr">
        <is>
          <t>1dad20b56ac0a94181b31c5f71abe66cc0ee1acd8c8792d0aacf42b7a6fc32e6</t>
        </is>
      </c>
      <c r="CX29" s="24" t="inlineStr">
        <is>
          <t>E:\model-prediction\config\models\measured-edge-totals-v3.json</t>
        </is>
      </c>
      <c r="CY29" s="24" t="inlineStr">
        <is>
          <t>2026-10-07T16:31:18.536143Z</t>
        </is>
      </c>
      <c r="CZ29" s="24" t="inlineStr">
        <is>
          <t>True</t>
        </is>
      </c>
      <c r="DA29" s="24" t="inlineStr">
        <is>
          <t>polymarket_us</t>
        </is>
      </c>
      <c r="DB29" s="24" t="inlineStr">
        <is>
          <t>decision_time_executable_quote</t>
        </is>
      </c>
      <c r="DC29" s="24" t="inlineStr">
        <is>
          <t>False</t>
        </is>
      </c>
      <c r="DD29" s="24" t="inlineStr">
        <is>
          <t>b53a1b4ae7b8893b9286cc9fdeae231463a324e3675801b05fae7c580a41d0d1</t>
        </is>
      </c>
      <c r="DE29" s="24" t="inlineStr">
        <is>
          <t>E:\model-prediction\data\market_odds_snapshots.jsonl</t>
        </is>
      </c>
      <c r="DF29" s="24" t="inlineStr">
        <is>
          <t>b53a1b4ae7b8893b9286cc9fdeae231463a324e3675801b05fae7c580a41d0d1</t>
        </is>
      </c>
      <c r="DG29" s="24" t="inlineStr">
        <is>
          <t>live_forecast</t>
        </is>
      </c>
      <c r="DH29" s="24" t="inlineStr">
        <is>
          <t>False</t>
        </is>
      </c>
      <c r="DI29" s="24" t="inlineStr">
        <is>
          <t>0.515388</t>
        </is>
      </c>
      <c r="DJ29" s="24" t="inlineStr">
        <is>
          <t>0.5145631067961165</t>
        </is>
      </c>
      <c r="DK29" s="24" t="inlineStr">
        <is>
          <t>0.515388</t>
        </is>
      </c>
      <c r="DL29" s="24" t="n"/>
      <c r="DM29" s="24" t="n"/>
      <c r="DN29" s="24" t="n"/>
      <c r="DO29" s="24" t="n"/>
      <c r="DP29" s="24" t="n"/>
      <c r="DQ29" s="24" t="n"/>
    </row>
    <row r="30" ht="36" customHeight="1">
      <c r="A30" s="24" t="inlineStr">
        <is>
          <t>8e0eb07a82674665</t>
        </is>
      </c>
      <c r="B30" s="24" t="inlineStr">
        <is>
          <t>2026-10-07T16:31:19.000823Z</t>
        </is>
      </c>
      <c r="C30" s="24" t="inlineStr">
        <is>
          <t>2026-10-07T20:00Z</t>
        </is>
      </c>
      <c r="D30" s="24" t="inlineStr">
        <is>
          <t>401907992</t>
        </is>
      </c>
      <c r="E30" s="24" t="inlineStr">
        <is>
          <t>MLB</t>
        </is>
      </c>
      <c r="F30" s="24" t="inlineStr">
        <is>
          <t>Cleveland Guardians</t>
        </is>
      </c>
      <c r="G30" s="24" t="inlineStr">
        <is>
          <t>Chicago White Sox</t>
        </is>
      </c>
      <c r="H30" s="24" t="inlineStr">
        <is>
          <t>nrfi</t>
        </is>
      </c>
      <c r="I30" s="24" t="inlineStr">
        <is>
          <t>nrfi</t>
        </is>
      </c>
      <c r="J30" s="25" t="n">
        <v>0.5</v>
      </c>
      <c r="K30" s="24" t="inlineStr">
        <is>
          <t>model_fair</t>
        </is>
      </c>
      <c r="L30" s="26" t="n">
        <v>-109</v>
      </c>
      <c r="M30" s="27" t="n">
        <v>1.917431</v>
      </c>
      <c r="N30" s="28" t="n">
        <v>0.521531</v>
      </c>
      <c r="O30" s="28" t="n">
        <v>0.5222</v>
      </c>
      <c r="P30" s="28" t="n">
        <v>0.04</v>
      </c>
      <c r="Q30" s="28" t="n">
        <v>0.000669</v>
      </c>
      <c r="R30" s="26" t="n">
        <v>26</v>
      </c>
      <c r="S30" s="29" t="n">
        <v>1</v>
      </c>
      <c r="T30" s="24" t="inlineStr">
        <is>
          <t>mlb-nrfi-v2</t>
        </is>
      </c>
      <c r="U30" s="24" t="inlineStr">
        <is>
          <t>settled</t>
        </is>
      </c>
      <c r="V30" s="24" t="inlineStr">
        <is>
          <t>loss</t>
        </is>
      </c>
      <c r="W30" s="26" t="n">
        <v>0</v>
      </c>
      <c r="X30" s="26" t="n">
        <v>1</v>
      </c>
      <c r="Y30" s="25" t="n"/>
      <c r="Z30" s="26" t="n"/>
      <c r="AA30" s="28" t="n"/>
      <c r="AB30" s="28" t="n"/>
      <c r="AC30" s="30" t="n">
        <v>-1</v>
      </c>
      <c r="AD30" s="24" t="inlineStr">
        <is>
          <t>2026-10-11T04:33:57.268392Z</t>
        </is>
      </c>
      <c r="AE30" s="31" t="inlineStr">
        <is>
          <t>MLB 1st Inning NRFI: p=0.522 (mlb-nrfi-v2, 4050 training games)</t>
        </is>
      </c>
      <c r="AF30" s="31" t="inlineStr">
        <is>
          <t>1st inning variance, leadoff home run risk</t>
        </is>
      </c>
      <c r="AG30" s="24" t="inlineStr">
        <is>
          <t>review_required</t>
        </is>
      </c>
      <c r="AH30" s="24" t="n"/>
      <c r="AI30" s="31" t="n"/>
      <c r="AJ30" s="31" t="n"/>
      <c r="AK30" s="24" t="inlineStr">
        <is>
          <t>paper_call</t>
        </is>
      </c>
      <c r="AL30" s="26" t="n">
        <v>4</v>
      </c>
      <c r="AM30" s="24" t="inlineStr">
        <is>
          <t>RESEARCH_OBSERVATION</t>
        </is>
      </c>
      <c r="AN30" s="24" t="inlineStr">
        <is>
          <t>CALL</t>
        </is>
      </c>
      <c r="AO30" s="24" t="inlineStr">
        <is>
          <t>PAPER_CALL_MODEL_UNVALIDATED</t>
        </is>
      </c>
      <c r="AP30" s="24" t="inlineStr">
        <is>
          <t>mlb-cle</t>
        </is>
      </c>
      <c r="AQ30" s="24" t="inlineStr">
        <is>
          <t>Cleveland Guardians</t>
        </is>
      </c>
      <c r="AR30" s="24" t="inlineStr">
        <is>
          <t>Cleveland Guardians</t>
        </is>
      </c>
      <c r="AS30" s="24" t="inlineStr">
        <is>
          <t>mlb-cws</t>
        </is>
      </c>
      <c r="AT30" s="24" t="inlineStr">
        <is>
          <t>Chicago White Sox</t>
        </is>
      </c>
      <c r="AU30" s="24" t="inlineStr">
        <is>
          <t>Chicago White Sox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2909cd421e057ee98f16cafaabeaf26a1e00b4d7d36eb86e9d93b45d584700ec</t>
        </is>
      </c>
      <c r="BB30" s="24" t="inlineStr">
        <is>
          <t>identity</t>
        </is>
      </c>
      <c r="BC30" s="24" t="inlineStr">
        <is>
          <t>identity-v1</t>
        </is>
      </c>
      <c r="BD30" s="24" t="n"/>
      <c r="BE30" s="24" t="inlineStr">
        <is>
          <t>1</t>
        </is>
      </c>
      <c r="BF30" s="24" t="inlineStr">
        <is>
          <t>1</t>
        </is>
      </c>
      <c r="BG30" s="24" t="inlineStr">
        <is>
          <t>unknown</t>
        </is>
      </c>
      <c r="BH30" s="24" t="inlineStr">
        <is>
          <t>2026-10-07T16:31:19.000823+00:00</t>
        </is>
      </c>
      <c r="BI30" s="24" t="inlineStr">
        <is>
          <t>["same_event","same_team_same_day","same_league_same_day"]</t>
        </is>
      </c>
      <c r="BJ30" s="25" t="n">
        <v>0.5</v>
      </c>
      <c r="BK30" s="26" t="n">
        <v>-109</v>
      </c>
      <c r="BL30" s="27" t="n">
        <v>1.917431</v>
      </c>
      <c r="BM30" s="28" t="n">
        <v>0.521531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True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0.521531</t>
        </is>
      </c>
      <c r="DK30" s="24" t="n"/>
      <c r="DL30" s="24" t="n"/>
      <c r="DM30" s="24" t="n"/>
      <c r="DN30" s="24" t="n"/>
      <c r="DO30" s="24" t="n"/>
      <c r="DP30" s="24" t="n"/>
      <c r="DQ30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"401907992", "event_start_utc": "2026-10-07T20:00Z", "features": {"away_starter_bb_pct": 0.1765, "away_starter_days_rest": 6.0, "away_starter_fip": 6.1, "away_starter_k_pct": 0.2941, "away_starter_opp_1st_runs": 0.5588, "away_starter_starts": 1.3863, "away_team_1st_allowed_away": 0.5014, "away_team_1st_scored_away": 0.4079, "away_top3_composite": 0.11093, "home_starter_bb_pct": 0.1049, "home_starter_days_rest": 6.0, "home_starter_fip": 2.433, "home_starter_k_pct": 0.2797, "home_starter_opp_1st_runs": 0.5201, "home_starter_starts": 2.4849, "home_team_1st_allowed_home": 0.6618, "home_team_1st_scored_home": 0.5249, "home_top3_composite": 0.11033, "park_1st_runs": 1.1317}, "historical_source_observation_times_verified": false, "inference_inputs": {}, "model_version": "mlb-nrfi-v2", "observed_at_utc": "2026-10-07T16:31:19.000823+00:00", "replay_scope": "Exact final classifier/distribution inputs and artifact. Upstream historical feature construction not certified.", "schema": "scalar-artifact-replay-v1", "snapshot_hash": "df494916e5080d0067569216cd39c0e3526a953555ec6e53cd0ca5522179507a"}</t>
        </is>
      </c>
    </row>
    <row r="31" ht="36" customHeight="1">
      <c r="A31" s="24" t="inlineStr">
        <is>
          <t>aa280a8fbc6842ae</t>
        </is>
      </c>
      <c r="B31" s="24" t="inlineStr">
        <is>
          <t>2026-10-07T16:31:19.000823Z</t>
        </is>
      </c>
      <c r="C31" s="24" t="inlineStr">
        <is>
          <t>2026-10-07T22:00Z</t>
        </is>
      </c>
      <c r="D31" s="24" t="inlineStr">
        <is>
          <t>401908016</t>
        </is>
      </c>
      <c r="E31" s="24" t="inlineStr">
        <is>
          <t>MLB</t>
        </is>
      </c>
      <c r="F31" s="24" t="inlineStr">
        <is>
          <t>Los Angeles Dodgers</t>
        </is>
      </c>
      <c r="G31" s="24" t="inlineStr">
        <is>
          <t>Atlanta Braves</t>
        </is>
      </c>
      <c r="H31" s="24" t="inlineStr">
        <is>
          <t>nrfi</t>
        </is>
      </c>
      <c r="I31" s="24" t="inlineStr">
        <is>
          <t>nrfi</t>
        </is>
      </c>
      <c r="J31" s="25" t="n">
        <v>0.5</v>
      </c>
      <c r="K31" s="24" t="inlineStr">
        <is>
          <t>model_fair</t>
        </is>
      </c>
      <c r="L31" s="26" t="n">
        <v>-112</v>
      </c>
      <c r="M31" s="27" t="n">
        <v>1.892857</v>
      </c>
      <c r="N31" s="28" t="n">
        <v>0.528302</v>
      </c>
      <c r="O31" s="28" t="n">
        <v>0.5276999999999999</v>
      </c>
      <c r="P31" s="28" t="n">
        <v>0.04</v>
      </c>
      <c r="Q31" s="28" t="n">
        <v>-0.000602</v>
      </c>
      <c r="R31" s="26" t="n">
        <v>26</v>
      </c>
      <c r="S31" s="29" t="n">
        <v>1</v>
      </c>
      <c r="T31" s="24" t="inlineStr">
        <is>
          <t>mlb-nrfi-v2</t>
        </is>
      </c>
      <c r="U31" s="24" t="inlineStr">
        <is>
          <t>settled</t>
        </is>
      </c>
      <c r="V31" s="24" t="inlineStr">
        <is>
          <t>loss</t>
        </is>
      </c>
      <c r="W31" s="26" t="n">
        <v>0</v>
      </c>
      <c r="X31" s="26" t="n">
        <v>1</v>
      </c>
      <c r="Y31" s="25" t="n"/>
      <c r="Z31" s="26" t="n"/>
      <c r="AA31" s="28" t="n"/>
      <c r="AB31" s="28" t="n"/>
      <c r="AC31" s="30" t="n">
        <v>-1</v>
      </c>
      <c r="AD31" s="24" t="inlineStr">
        <is>
          <t>2026-10-11T04:33:59.212299Z</t>
        </is>
      </c>
      <c r="AE31" s="31" t="inlineStr">
        <is>
          <t>MLB 1st Inning NRFI: p=0.528 (mlb-nrfi-v2, 4050 training games)</t>
        </is>
      </c>
      <c r="AF31" s="31" t="inlineStr">
        <is>
          <t>1st inning variance, leadoff home run risk</t>
        </is>
      </c>
      <c r="AG31" s="24" t="inlineStr">
        <is>
          <t>review_required</t>
        </is>
      </c>
      <c r="AH31" s="24" t="n"/>
      <c r="AI31" s="31" t="n"/>
      <c r="AJ31" s="31" t="n"/>
      <c r="AK31" s="24" t="inlineStr">
        <is>
          <t>paper_call</t>
        </is>
      </c>
      <c r="AL31" s="26" t="n">
        <v>4</v>
      </c>
      <c r="AM31" s="24" t="inlineStr">
        <is>
          <t>RESEARCH_OBSERVATION</t>
        </is>
      </c>
      <c r="AN31" s="24" t="inlineStr">
        <is>
          <t>CALL</t>
        </is>
      </c>
      <c r="AO31" s="24" t="inlineStr">
        <is>
          <t>PAPER_CALL_MODEL_UNVALIDATED</t>
        </is>
      </c>
      <c r="AP31" s="24" t="inlineStr">
        <is>
          <t>mlb-lad</t>
        </is>
      </c>
      <c r="AQ31" s="24" t="inlineStr">
        <is>
          <t>Los Angeles Dodgers</t>
        </is>
      </c>
      <c r="AR31" s="24" t="inlineStr">
        <is>
          <t>Los Angeles Dodgers</t>
        </is>
      </c>
      <c r="AS31" s="24" t="inlineStr">
        <is>
          <t>mlb-atl</t>
        </is>
      </c>
      <c r="AT31" s="24" t="inlineStr">
        <is>
          <t>Atlanta Braves</t>
        </is>
      </c>
      <c r="AU31" s="24" t="inlineStr">
        <is>
          <t>Atlanta Braves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2909cd421e057ee98f16cafaabeaf26a1e00b4d7d36eb86e9d93b45d584700ec</t>
        </is>
      </c>
      <c r="BB31" s="24" t="inlineStr">
        <is>
          <t>identity</t>
        </is>
      </c>
      <c r="BC31" s="24" t="inlineStr">
        <is>
          <t>identity-v1</t>
        </is>
      </c>
      <c r="BD31" s="24" t="n"/>
      <c r="BE31" s="24" t="inlineStr">
        <is>
          <t>1</t>
        </is>
      </c>
      <c r="BF31" s="24" t="inlineStr">
        <is>
          <t>1</t>
        </is>
      </c>
      <c r="BG31" s="24" t="inlineStr">
        <is>
          <t>unknown</t>
        </is>
      </c>
      <c r="BH31" s="24" t="inlineStr">
        <is>
          <t>2026-10-07T16:31:19.000823+00:00</t>
        </is>
      </c>
      <c r="BI31" s="24" t="inlineStr">
        <is>
          <t>["same_event","same_team_same_day","same_league_same_day"]</t>
        </is>
      </c>
      <c r="BJ31" s="25" t="n">
        <v>0.5</v>
      </c>
      <c r="BK31" s="26" t="n">
        <v>-112</v>
      </c>
      <c r="BL31" s="27" t="n">
        <v>1.892857</v>
      </c>
      <c r="BM31" s="28" t="n">
        <v>0.528302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False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0.528302</t>
        </is>
      </c>
      <c r="DK31" s="24" t="n"/>
      <c r="DL31" s="24" t="n"/>
      <c r="DM31" s="24" t="n"/>
      <c r="DN31" s="24" t="n"/>
      <c r="DO31" s="24" t="n"/>
      <c r="DP31" s="24" t="n"/>
      <c r="DQ31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"401908016", "event_start_utc": "2026-10-07T22:00Z", "features": {"away_starter_bb_pct": 0.0884, "away_starter_days_rest": 6.0, "away_starter_fip": 3.014, "away_starter_k_pct": 0.318, "away_starter_opp_1st_runs": 0.3441, "away_starter_starts": 3.9703, "away_team_1st_allowed_away": 0.4567, "away_team_1st_scored_away": 0.4685, "away_top3_composite": 0.11451, "home_starter_bb_pct": 0.078, "home_starter_days_rest": 6.0, "home_starter_fip": 3.694, "home_starter_k_pct": 0.2115, "home_starter_opp_1st_runs": 0.5682, "home_starter_starts": 3.8067, "home_team_1st_allowed_home": 0.5349, "home_team_1st_scored_home": 0.6045, "home_top3_composite": 0.1106, "park_1st_runs": 1.0314}, "historical_source_observation_times_verified": false, "inference_inputs": {}, "model_version": "mlb-nrfi-v2", "observed_at_utc": "2026-10-07T16:31:19.000823+00:00", "replay_scope": "Exact final classifier/distribution inputs and artifact. Upstream historical feature construction not certified.", "schema": "scalar-artifact-replay-v1", "snapshot_hash": "b7e8341f5d275f82aa7212b57fae44677a1f7054a6274c9279ad3de29433bf85"}</t>
        </is>
      </c>
    </row>
    <row r="32" ht="36" customHeight="1">
      <c r="A32" s="24" t="inlineStr">
        <is>
          <t>c536cee23d33430d</t>
        </is>
      </c>
      <c r="B32" s="24" t="inlineStr">
        <is>
          <t>2026-10-07T22:24:46.884594Z</t>
        </is>
      </c>
      <c r="C32" s="24" t="inlineStr">
        <is>
          <t>2026-10-07T20:00:00-0400</t>
        </is>
      </c>
      <c r="D32" s="24" t="inlineStr">
        <is>
          <t>401907987</t>
        </is>
      </c>
      <c r="E32" s="24" t="inlineStr">
        <is>
          <t>MLB</t>
        </is>
      </c>
      <c r="F32" s="24" t="inlineStr">
        <is>
          <t>Tampa Bay Rays</t>
        </is>
      </c>
      <c r="G32" s="24" t="inlineStr">
        <is>
          <t>New York Yankees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-153</v>
      </c>
      <c r="M32" s="27" t="n">
        <v>1.653595</v>
      </c>
      <c r="N32" s="28" t="n">
        <v>0.604743</v>
      </c>
      <c r="O32" s="28" t="n">
        <v>0.555986</v>
      </c>
      <c r="P32" s="28" t="n"/>
      <c r="Q32" s="28" t="n">
        <v>-0.048757</v>
      </c>
      <c r="R32" s="26" t="n">
        <v>0</v>
      </c>
      <c r="S32" s="29" t="n">
        <v>1</v>
      </c>
      <c r="T32" s="24" t="inlineStr">
        <is>
          <t>mlb-elo-trend-lr-v8</t>
        </is>
      </c>
      <c r="U32" s="24" t="inlineStr">
        <is>
          <t>settled</t>
        </is>
      </c>
      <c r="V32" s="24" t="inlineStr">
        <is>
          <t>loss</t>
        </is>
      </c>
      <c r="W32" s="26" t="n">
        <v>4</v>
      </c>
      <c r="X32" s="26" t="n">
        <v>3</v>
      </c>
      <c r="Y32" s="25" t="n"/>
      <c r="Z32" s="26" t="n">
        <v>-153</v>
      </c>
      <c r="AA32" s="28" t="n">
        <v>0.605</v>
      </c>
      <c r="AB32" s="28" t="n">
        <v>0.000257</v>
      </c>
      <c r="AC32" s="30" t="n">
        <v>-1</v>
      </c>
      <c r="AD32" s="24" t="inlineStr">
        <is>
          <t>2026-10-08T03:21:28.298129Z</t>
        </is>
      </c>
      <c r="AE32" s="31" t="inlineStr">
        <is>
          <t>Learned LR call at threshold 0.6197; executable ask 0.6050 (aec-mlb-tb-nyy-2026-10-07); model edge vs ask -0.0490.</t>
        </is>
      </c>
      <c r="AF32" s="31" t="inlineStr">
        <is>
          <t>Learned model; shadow-qualified via operator override.</t>
        </is>
      </c>
      <c r="AG32" s="24" t="inlineStr">
        <is>
          <t>review_required</t>
        </is>
      </c>
      <c r="AH32" s="24" t="n"/>
      <c r="AI32" s="31" t="n"/>
      <c r="AJ32" s="31" t="n"/>
      <c r="AK32" s="24" t="inlineStr">
        <is>
          <t>paper_call</t>
        </is>
      </c>
      <c r="AL32" s="26" t="n">
        <v>4</v>
      </c>
      <c r="AM32" s="24" t="inlineStr">
        <is>
          <t>RESEARCH_OBSERVATION</t>
        </is>
      </c>
      <c r="AN32" s="24" t="inlineStr">
        <is>
          <t>CALL</t>
        </is>
      </c>
      <c r="AO32" s="24" t="inlineStr">
        <is>
          <t>PAPER_CALL_BELOW_LEARNED_CONFIDENCE</t>
        </is>
      </c>
      <c r="AP32" s="24" t="inlineStr">
        <is>
          <t>mlb-tb</t>
        </is>
      </c>
      <c r="AQ32" s="24" t="inlineStr">
        <is>
          <t>Tampa Bay Rays</t>
        </is>
      </c>
      <c r="AR32" s="24" t="inlineStr">
        <is>
          <t>Tampa Bay Rays</t>
        </is>
      </c>
      <c r="AS32" s="24" t="inlineStr">
        <is>
          <t>mlb-nyy</t>
        </is>
      </c>
      <c r="AT32" s="24" t="inlineStr">
        <is>
          <t>New York Yankees</t>
        </is>
      </c>
      <c r="AU32" s="24" t="inlineStr">
        <is>
          <t>New York Yankees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3b345499bd6bad9bcf65367a07fe0c668fb5817d4f016a0a865c01d9212fdeb8</t>
        </is>
      </c>
      <c r="BB32" s="24" t="inlineStr">
        <is>
          <t>learned_lr</t>
        </is>
      </c>
      <c r="BC32" s="24" t="inlineStr">
        <is>
          <t>mlb-elo-trend-lr-v8</t>
        </is>
      </c>
      <c r="BD32" s="24" t="inlineStr">
        <is>
          <t>3b345499bd6bad9bcf65367a07fe0c668fb5817d4f016a0a865c01d9212fdeb8</t>
        </is>
      </c>
      <c r="BE32" s="24" t="inlineStr">
        <is>
          <t>c18dcb05678b3b07</t>
        </is>
      </c>
      <c r="BF32" s="24" t="inlineStr">
        <is>
          <t>1</t>
        </is>
      </c>
      <c r="BG32" s="24" t="inlineStr">
        <is>
          <t>mlb-elo-trend-lr-v8</t>
        </is>
      </c>
      <c r="BH32" s="24" t="inlineStr">
        <is>
          <t>2026-10-07T16:09:40.145409Z</t>
        </is>
      </c>
      <c r="BI32" s="24" t="inlineStr">
        <is>
          <t>["same_event","same_team_same_day","same_league_same_day"]</t>
        </is>
      </c>
      <c r="BJ32" s="25" t="n"/>
      <c r="BK32" s="26" t="n">
        <v>-153</v>
      </c>
      <c r="BL32" s="27" t="n">
        <v>1.653595</v>
      </c>
      <c r="BM32" s="28" t="n">
        <v>0.604743</v>
      </c>
      <c r="BN32" s="28" t="n">
        <v>0.60199</v>
      </c>
      <c r="BO32" s="28" t="n"/>
      <c r="BP32" s="25" t="n"/>
      <c r="BQ32" s="27" t="n">
        <v>1.653595</v>
      </c>
      <c r="BR32" s="28" t="n">
        <v>0.605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inlineStr">
        <is>
          <t>0.5455181444</t>
        </is>
      </c>
      <c r="CD32" s="24" t="inlineStr">
        <is>
          <t>0.057613</t>
        </is>
      </c>
      <c r="CE32" s="24" t="inlineStr">
        <is>
          <t>1.006</t>
        </is>
      </c>
      <c r="CF32" s="24" t="inlineStr">
        <is>
          <t>0.9874</t>
        </is>
      </c>
      <c r="CG32" s="24" t="n"/>
      <c r="CH32" s="24" t="n"/>
      <c r="CI32" s="24" t="n"/>
      <c r="CJ32" s="24" t="inlineStr">
        <is>
          <t>-0.726585</t>
        </is>
      </c>
      <c r="CK32" s="24" t="n"/>
      <c r="CL32" s="24" t="inlineStr">
        <is>
          <t>0.215182</t>
        </is>
      </c>
      <c r="CM32" s="24" t="inlineStr">
        <is>
          <t>-1.0253</t>
        </is>
      </c>
      <c r="CN32" s="24" t="n"/>
      <c r="CO32" s="24" t="n"/>
      <c r="CP32" s="24" t="n"/>
      <c r="CQ32" s="24" t="n"/>
      <c r="CR32" s="24" t="inlineStr">
        <is>
          <t>0.555986</t>
        </is>
      </c>
      <c r="CS32" s="24" t="inlineStr">
        <is>
          <t>False</t>
        </is>
      </c>
      <c r="CT32" s="24" t="n"/>
      <c r="CU32" s="24" t="n"/>
      <c r="CV32" s="24" t="n"/>
      <c r="CW32" s="24" t="n"/>
      <c r="CX32" s="24" t="n"/>
      <c r="CY32" s="24" t="inlineStr">
        <is>
          <t>2026-10-07T16:09:40.145409Z</t>
        </is>
      </c>
      <c r="CZ32" s="24" t="inlineStr">
        <is>
          <t>True</t>
        </is>
      </c>
      <c r="DA32" s="24" t="inlineStr">
        <is>
          <t>polymarket_us</t>
        </is>
      </c>
      <c r="DB32" s="24" t="inlineStr">
        <is>
          <t>decision_time_executable_quote</t>
        </is>
      </c>
      <c r="DC32" s="24" t="inlineStr">
        <is>
          <t>False</t>
        </is>
      </c>
      <c r="DD32" s="24" t="inlineStr">
        <is>
          <t>5ae97a00d88214b445bdd20d90e6bac3bfe4a87e08df55b97be264750b697a7e</t>
        </is>
      </c>
      <c r="DE32" s="24" t="inlineStr">
        <is>
          <t>E:\model-prediction\data\odds\mlb\2026-10-07\polymarket_snapshots.jsonl</t>
        </is>
      </c>
      <c r="DF32" s="24" t="inlineStr">
        <is>
          <t>5ae97a00d88214b445bdd20d90e6bac3bfe4a87e08df55b97be264750b697a7e</t>
        </is>
      </c>
      <c r="DG32" s="24" t="n"/>
      <c r="DH32" s="24" t="n"/>
      <c r="DI32" s="24" t="n"/>
      <c r="DJ32" s="24" t="inlineStr">
        <is>
          <t>0.604743</t>
        </is>
      </c>
      <c r="DK32" s="24" t="n"/>
      <c r="DL32" s="24" t="n"/>
      <c r="DM32" s="24" t="n"/>
      <c r="DN32" s="24" t="n"/>
      <c r="DO32" s="24" t="n"/>
      <c r="DP32" s="24" t="n"/>
      <c r="DQ3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0.5559864422860841, "event_id": "401907987", "event_start_utc": "2026-10-08T00:00:00+00:00", "features": {"bullpen_weakness_gap": 0.215182, "elo_probability": 0.5455181444327085, "park_factor": 1.006, "starter_era_gap": -1.0253, "trend_gap": 0.057613, "weather_factor": 0.9874}, "historical_source_observation_times_verified": false, "model_version": "mlb-elo-trend-lr-v8", "observed_at_utc": "2026-10-07T22:24:46.884594+00:00", "schema": "learned-moneyline-replay-v1", "served_home_probability": 0.5559864422860841, "snapshot_hash": "ebc755bc56127491e170dda71abc1d7b77ac62b9787c2afb65f8f1d1a9661e80"}</t>
        </is>
      </c>
    </row>
    <row r="33" ht="36" customHeight="1">
      <c r="A33" s="24" t="inlineStr">
        <is>
          <t>f3cb513e073c4647</t>
        </is>
      </c>
      <c r="B33" s="24" t="inlineStr">
        <is>
          <t>2026-10-07T22:24:46.884594Z</t>
        </is>
      </c>
      <c r="C33" s="24" t="inlineStr">
        <is>
          <t>2026-10-07T22:00:00-0400</t>
        </is>
      </c>
      <c r="D33" s="24" t="inlineStr">
        <is>
          <t>401908005</t>
        </is>
      </c>
      <c r="E33" s="24" t="inlineStr">
        <is>
          <t>MLB</t>
        </is>
      </c>
      <c r="F33" s="24" t="inlineStr">
        <is>
          <t>Milwaukee Brewers</t>
        </is>
      </c>
      <c r="G33" s="24" t="inlineStr">
        <is>
          <t>San Diego Padres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106</v>
      </c>
      <c r="M33" s="27" t="n">
        <v>2.06</v>
      </c>
      <c r="N33" s="28" t="n">
        <v>0.485437</v>
      </c>
      <c r="O33" s="28" t="n">
        <v>0.5072140000000001</v>
      </c>
      <c r="P33" s="28" t="n"/>
      <c r="Q33" s="28" t="n">
        <v>0.021777</v>
      </c>
      <c r="R33" s="26" t="n">
        <v>32</v>
      </c>
      <c r="S33" s="29" t="n">
        <v>1</v>
      </c>
      <c r="T33" s="24" t="inlineStr">
        <is>
          <t>mlb-elo-trend-lr-v8</t>
        </is>
      </c>
      <c r="U33" s="24" t="inlineStr">
        <is>
          <t>settled</t>
        </is>
      </c>
      <c r="V33" s="24" t="inlineStr">
        <is>
          <t>win</t>
        </is>
      </c>
      <c r="W33" s="26" t="n">
        <v>3</v>
      </c>
      <c r="X33" s="26" t="n">
        <v>1</v>
      </c>
      <c r="Y33" s="25" t="n"/>
      <c r="Z33" s="26" t="n">
        <v>102</v>
      </c>
      <c r="AA33" s="28" t="n">
        <v>0.495</v>
      </c>
      <c r="AB33" s="28" t="n">
        <v>0.009563</v>
      </c>
      <c r="AC33" s="30" t="n">
        <v>1.06</v>
      </c>
      <c r="AD33" s="24" t="inlineStr">
        <is>
          <t>2026-10-11T04:34:00.983381Z</t>
        </is>
      </c>
      <c r="AE33" s="31" t="inlineStr">
        <is>
          <t>Learned LR call at threshold 0.6197; executable ask 0.4850 (aec-mlb-mil-sd-2026-10-07); model edge vs ask +0.0222.</t>
        </is>
      </c>
      <c r="AF33" s="31" t="inlineStr">
        <is>
          <t>Learned model; shadow-qualified via operator override.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paper_call</t>
        </is>
      </c>
      <c r="AL33" s="26" t="n">
        <v>4</v>
      </c>
      <c r="AM33" s="24" t="inlineStr">
        <is>
          <t>RESEARCH_OBSERVATION</t>
        </is>
      </c>
      <c r="AN33" s="24" t="inlineStr">
        <is>
          <t>CALL</t>
        </is>
      </c>
      <c r="AO33" s="24" t="inlineStr">
        <is>
          <t>PAPER_CALL_BELOW_LEARNED_CONFIDENCE</t>
        </is>
      </c>
      <c r="AP33" s="24" t="inlineStr">
        <is>
          <t>mlb-mil</t>
        </is>
      </c>
      <c r="AQ33" s="24" t="inlineStr">
        <is>
          <t>Milwaukee Brewers</t>
        </is>
      </c>
      <c r="AR33" s="24" t="inlineStr">
        <is>
          <t>Milwaukee Brewers</t>
        </is>
      </c>
      <c r="AS33" s="24" t="inlineStr">
        <is>
          <t>mlb-sd</t>
        </is>
      </c>
      <c r="AT33" s="24" t="inlineStr">
        <is>
          <t>San Diego Padres</t>
        </is>
      </c>
      <c r="AU33" s="24" t="inlineStr">
        <is>
          <t>San Diego Padres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3b345499bd6bad9bcf65367a07fe0c668fb5817d4f016a0a865c01d9212fdeb8</t>
        </is>
      </c>
      <c r="BB33" s="24" t="inlineStr">
        <is>
          <t>learned_lr</t>
        </is>
      </c>
      <c r="BC33" s="24" t="inlineStr">
        <is>
          <t>mlb-elo-trend-lr-v8</t>
        </is>
      </c>
      <c r="BD33" s="24" t="inlineStr">
        <is>
          <t>3b345499bd6bad9bcf65367a07fe0c668fb5817d4f016a0a865c01d9212fdeb8</t>
        </is>
      </c>
      <c r="BE33" s="24" t="inlineStr">
        <is>
          <t>6e3d2dfeebc43443</t>
        </is>
      </c>
      <c r="BF33" s="24" t="inlineStr">
        <is>
          <t>1</t>
        </is>
      </c>
      <c r="BG33" s="24" t="inlineStr">
        <is>
          <t>mlb-elo-trend-lr-v8</t>
        </is>
      </c>
      <c r="BH33" s="24" t="inlineStr">
        <is>
          <t>2026-10-07T16:10:10.420307Z</t>
        </is>
      </c>
      <c r="BI33" s="24" t="inlineStr">
        <is>
          <t>["same_event","same_team_same_day","same_league_same_day"]</t>
        </is>
      </c>
      <c r="BJ33" s="25" t="n"/>
      <c r="BK33" s="26" t="n">
        <v>106</v>
      </c>
      <c r="BL33" s="27" t="n">
        <v>2.06</v>
      </c>
      <c r="BM33" s="28" t="n">
        <v>0.485437</v>
      </c>
      <c r="BN33" s="28" t="n">
        <v>0.482587</v>
      </c>
      <c r="BO33" s="28" t="n"/>
      <c r="BP33" s="25" t="n"/>
      <c r="BQ33" s="27" t="n">
        <v>2.02</v>
      </c>
      <c r="BR33" s="28" t="n">
        <v>0.495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inlineStr">
        <is>
          <t>0.4808079682</t>
        </is>
      </c>
      <c r="CD33" s="24" t="inlineStr">
        <is>
          <t>0.882648</t>
        </is>
      </c>
      <c r="CE33" s="24" t="inlineStr">
        <is>
          <t>0.946</t>
        </is>
      </c>
      <c r="CF33" s="24" t="inlineStr">
        <is>
          <t>1.0085</t>
        </is>
      </c>
      <c r="CG33" s="24" t="n"/>
      <c r="CH33" s="24" t="n"/>
      <c r="CI33" s="24" t="n"/>
      <c r="CJ33" s="24" t="inlineStr">
        <is>
          <t>0.051262</t>
        </is>
      </c>
      <c r="CK33" s="24" t="n"/>
      <c r="CL33" s="24" t="inlineStr">
        <is>
          <t>0.13532</t>
        </is>
      </c>
      <c r="CM33" s="24" t="inlineStr">
        <is>
          <t>2.7661</t>
        </is>
      </c>
      <c r="CN33" s="24" t="n"/>
      <c r="CO33" s="24" t="n"/>
      <c r="CP33" s="24" t="n"/>
      <c r="CQ33" s="24" t="n"/>
      <c r="CR33" s="24" t="inlineStr">
        <is>
          <t>0.507214</t>
        </is>
      </c>
      <c r="CS33" s="24" t="inlineStr">
        <is>
          <t>True</t>
        </is>
      </c>
      <c r="CT33" s="24" t="n"/>
      <c r="CU33" s="24" t="n"/>
      <c r="CV33" s="24" t="n"/>
      <c r="CW33" s="24" t="n"/>
      <c r="CX33" s="24" t="n"/>
      <c r="CY33" s="24" t="inlineStr">
        <is>
          <t>2026-10-07T16:10:10.420307Z</t>
        </is>
      </c>
      <c r="CZ33" s="24" t="inlineStr">
        <is>
          <t>True</t>
        </is>
      </c>
      <c r="DA33" s="24" t="inlineStr">
        <is>
          <t>polymarket_us</t>
        </is>
      </c>
      <c r="DB33" s="24" t="inlineStr">
        <is>
          <t>decision_time_executable_quote</t>
        </is>
      </c>
      <c r="DC33" s="24" t="inlineStr">
        <is>
          <t>False</t>
        </is>
      </c>
      <c r="DD33" s="24" t="inlineStr">
        <is>
          <t>78bed445fc2edc8b9c20b054d4926e42610033678063d532cae92b58c6f71fc8</t>
        </is>
      </c>
      <c r="DE33" s="24" t="inlineStr">
        <is>
          <t>E:\model-prediction\data\odds\mlb\2026-10-07\polymarket_snapshots.jsonl</t>
        </is>
      </c>
      <c r="DF33" s="24" t="inlineStr">
        <is>
          <t>78bed445fc2edc8b9c20b054d4926e42610033678063d532cae92b58c6f71fc8</t>
        </is>
      </c>
      <c r="DG33" s="24" t="n"/>
      <c r="DH33" s="24" t="n"/>
      <c r="DI33" s="24" t="n"/>
      <c r="DJ33" s="24" t="inlineStr">
        <is>
          <t>0.485437</t>
        </is>
      </c>
      <c r="DK33" s="24" t="n"/>
      <c r="DL33" s="24" t="n"/>
      <c r="DM33" s="24" t="n"/>
      <c r="DN33" s="24" t="n"/>
      <c r="DO33" s="24" t="n"/>
      <c r="DP33" s="24" t="n"/>
      <c r="DQ33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0.49278609732040535, "event_id": "401908005", "event_start_utc": "2026-10-08T02:00:00+00:00", "features": {"bullpen_weakness_gap": 0.13532, "elo_probability": 0.4808079682455668, "park_factor": 0.946, "starter_era_gap": 2.7661, "trend_gap": 0.882648, "weather_factor": 1.0085}, "historical_source_observation_times_verified": false, "model_version": "mlb-elo-trend-lr-v8", "observed_at_utc": "2026-10-07T22:24:46.884594+00:00", "schema": "learned-moneyline-replay-v1", "served_home_probability": 0.49278609732040535, "snapshot_hash": "198e252ea414f6b82a544425c2c2895b7ccd1b41285096f427764adc0b556895"}</t>
        </is>
      </c>
    </row>
    <row r="34" ht="36" customHeight="1">
      <c r="A34" s="24" t="inlineStr">
        <is>
          <t>6acaed02ee2648fe</t>
        </is>
      </c>
      <c r="B34" s="24" t="inlineStr">
        <is>
          <t>2026-10-07T22:26:18.317213Z</t>
        </is>
      </c>
      <c r="C34" s="24" t="inlineStr">
        <is>
          <t>2026-10-08T02:00Z</t>
        </is>
      </c>
      <c r="D34" s="24" t="inlineStr">
        <is>
          <t>401908005</t>
        </is>
      </c>
      <c r="E34" s="24" t="inlineStr">
        <is>
          <t>MLB</t>
        </is>
      </c>
      <c r="F34" s="24" t="inlineStr">
        <is>
          <t>Milwaukee Brewers</t>
        </is>
      </c>
      <c r="G34" s="24" t="inlineStr">
        <is>
          <t>San Diego Padres</t>
        </is>
      </c>
      <c r="H34" s="24" t="inlineStr">
        <is>
          <t>spread</t>
        </is>
      </c>
      <c r="I34" s="24" t="inlineStr">
        <is>
          <t>home</t>
        </is>
      </c>
      <c r="J34" s="25" t="n">
        <v>1.5</v>
      </c>
      <c r="K34" s="24" t="inlineStr">
        <is>
          <t>polymarket_us</t>
        </is>
      </c>
      <c r="L34" s="26" t="n">
        <v>-178</v>
      </c>
      <c r="M34" s="27" t="n">
        <v>1.561798</v>
      </c>
      <c r="N34" s="28" t="n">
        <v>0.640288</v>
      </c>
      <c r="O34" s="28" t="n">
        <v>0.593113</v>
      </c>
      <c r="P34" s="28" t="n">
        <v>0.042131</v>
      </c>
      <c r="Q34" s="28" t="n">
        <v>-0.047175</v>
      </c>
      <c r="R34" s="26" t="n">
        <v>3</v>
      </c>
      <c r="S34" s="29" t="n">
        <v>1</v>
      </c>
      <c r="T34" s="24" t="inlineStr">
        <is>
          <t>measured-edge-margin-v3</t>
        </is>
      </c>
      <c r="U34" s="24" t="inlineStr">
        <is>
          <t>settled</t>
        </is>
      </c>
      <c r="V34" s="24" t="inlineStr">
        <is>
          <t>loss</t>
        </is>
      </c>
      <c r="W34" s="26" t="n">
        <v>3</v>
      </c>
      <c r="X34" s="26" t="n">
        <v>1</v>
      </c>
      <c r="Y34" s="25" t="n">
        <v>1.5</v>
      </c>
      <c r="Z34" s="26" t="n">
        <v>-178</v>
      </c>
      <c r="AA34" s="28" t="n">
        <v>0.64</v>
      </c>
      <c r="AB34" s="28" t="n">
        <v>-0.000288</v>
      </c>
      <c r="AC34" s="30" t="n">
        <v>-1</v>
      </c>
      <c r="AD34" s="24" t="inlineStr">
        <is>
          <t>2026-10-11T04:34:05.670803Z</t>
        </is>
      </c>
      <c r="AE34" s="31" t="inlineStr">
        <is>
          <t>Measured Edge Margin: Trend Engine projected 4.50-4.15; raw selected-side p=0.6367, calibrated p=0.5931.</t>
        </is>
      </c>
      <c r="AF34" s="31" t="inlineStr">
        <is>
          <t>Research-only; lineup, bullpen, park, weather, xFIP, and wRC+ may be neutral fallbacks; market availability and BBO depth may change before first pitch.</t>
        </is>
      </c>
      <c r="AG34" s="24" t="inlineStr">
        <is>
          <t>review_required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4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mlb-mil</t>
        </is>
      </c>
      <c r="AQ34" s="24" t="inlineStr">
        <is>
          <t>Milwaukee Brewers</t>
        </is>
      </c>
      <c r="AR34" s="24" t="inlineStr">
        <is>
          <t>Milwaukee Brewers</t>
        </is>
      </c>
      <c r="AS34" s="24" t="inlineStr">
        <is>
          <t>mlb-sd</t>
        </is>
      </c>
      <c r="AT34" s="24" t="inlineStr">
        <is>
          <t>San Diego Padres</t>
        </is>
      </c>
      <c r="AU34" s="24" t="inlineStr">
        <is>
          <t>San Diego Padres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dd339a2eed50d7d83ab2127837995ddab82e879afd27f5414bb6c1f9cd60ba4c</t>
        </is>
      </c>
      <c r="BB34" s="24" t="inlineStr">
        <is>
          <t>flat_probability_shrinkage_toward_half</t>
        </is>
      </c>
      <c r="BC34" s="24" t="inlineStr">
        <is>
          <t>measured-edge-margin-v3</t>
        </is>
      </c>
      <c r="BD34" s="24" t="inlineStr">
        <is>
          <t>dd339a2eed50d7d83ab2127837995ddab82e879afd27f5414bb6c1f9cd60ba4c</t>
        </is>
      </c>
      <c r="BE34" s="24" t="inlineStr">
        <is>
          <t>v3</t>
        </is>
      </c>
      <c r="BF34" s="24" t="inlineStr">
        <is>
          <t>1</t>
        </is>
      </c>
      <c r="BG34" s="24" t="inlineStr">
        <is>
          <t>measured-edge-paired-v1</t>
        </is>
      </c>
      <c r="BH34" s="24" t="inlineStr">
        <is>
          <t>2026-10-07T22:26:18.317213Z</t>
        </is>
      </c>
      <c r="BI34" s="24" t="inlineStr">
        <is>
          <t>["same_event","same_team_same_day","same_league_same_day"]</t>
        </is>
      </c>
      <c r="BJ34" s="25" t="n">
        <v>1.5</v>
      </c>
      <c r="BK34" s="26" t="n">
        <v>-178</v>
      </c>
      <c r="BL34" s="27" t="n">
        <v>1.561798</v>
      </c>
      <c r="BM34" s="28" t="n">
        <v>0.640288</v>
      </c>
      <c r="BN34" s="28" t="n">
        <v>0.636816</v>
      </c>
      <c r="BO34" s="28" t="n"/>
      <c r="BP34" s="25" t="n"/>
      <c r="BQ34" s="27" t="n">
        <v>1.561798</v>
      </c>
      <c r="BR34" s="28" t="n">
        <v>0.64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False</t>
        </is>
      </c>
      <c r="CT34" s="24" t="inlineStr">
        <is>
          <t>d6a93296bccabb15449bfb59233dc70a9b667400eb2750d4283fc0ddc6dfd10d</t>
        </is>
      </c>
      <c r="CU34" s="24" t="inlineStr">
        <is>
          <t>58174fed4b5d0cfc7a6d9bc967b64e1f8767603ab65da39bc5ae33597c9abc71</t>
        </is>
      </c>
      <c r="CV34" s="24" t="inlineStr">
        <is>
          <t>E:\model-prediction\config\model.yaml</t>
        </is>
      </c>
      <c r="CW34" s="24" t="inlineStr">
        <is>
          <t>1ac81f4be213944a7cce95cbe9a52520e640a9cc5ea1424409aeda60b059f716</t>
        </is>
      </c>
      <c r="CX34" s="24" t="inlineStr">
        <is>
          <t>E:\model-prediction\config\models\measured-edge-margin-v3.json</t>
        </is>
      </c>
      <c r="CY34" s="24" t="inlineStr">
        <is>
          <t>2026-10-07T22:26:18.317213Z</t>
        </is>
      </c>
      <c r="CZ34" s="24" t="inlineStr">
        <is>
          <t>True</t>
        </is>
      </c>
      <c r="DA34" s="24" t="inlineStr">
        <is>
          <t>polymarket_us</t>
        </is>
      </c>
      <c r="DB34" s="24" t="inlineStr">
        <is>
          <t>decision_time_executable_quote</t>
        </is>
      </c>
      <c r="DC34" s="24" t="inlineStr">
        <is>
          <t>False</t>
        </is>
      </c>
      <c r="DD34" s="24" t="inlineStr">
        <is>
          <t>19db479643f1d807d65b213394823b919a8974c4937e0ff0f0dc7b2d7d5eb253</t>
        </is>
      </c>
      <c r="DE34" s="24" t="inlineStr">
        <is>
          <t>E:\model-prediction\data\market_odds_snapshots.jsonl</t>
        </is>
      </c>
      <c r="DF34" s="24" t="inlineStr">
        <is>
          <t>19db479643f1d807d65b213394823b919a8974c4937e0ff0f0dc7b2d7d5eb253</t>
        </is>
      </c>
      <c r="DG34" s="24" t="inlineStr">
        <is>
          <t>live_forecast</t>
        </is>
      </c>
      <c r="DH34" s="24" t="inlineStr">
        <is>
          <t>False</t>
        </is>
      </c>
      <c r="DI34" s="24" t="inlineStr">
        <is>
          <t>0.593113</t>
        </is>
      </c>
      <c r="DJ34" s="24" t="inlineStr">
        <is>
          <t>0.6402877697841727</t>
        </is>
      </c>
      <c r="DK34" s="24" t="inlineStr">
        <is>
          <t>0.593113</t>
        </is>
      </c>
      <c r="DL34" s="24" t="n"/>
      <c r="DM34" s="24" t="n"/>
      <c r="DN34" s="24" t="n"/>
      <c r="DO34" s="24" t="n"/>
      <c r="DP34" s="24" t="n"/>
      <c r="DQ3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"401908005", "event_start_utc": "2026-10-08T02:00Z", "features": {"away_bullpen_status": "available", "away_bullpen_weakness": 0.754003, "away_form": {"losses": 1, "runs_allowed": [2, 3, 4], "runs_scored": [3, 4, 3], "status": "available", "wins": 2}, "away_starter": {"last_five_batters_faced": 105, "last_five_earned_runs": 5, "last_five_innings": 27.0, "last_five_strikeouts": 25, "last_five_walks": 10, "name": "Robert Gasser", "player_id": "4918251", "season_batters_faced": 463, "season_earned_runs": 47, "season_innings": 109.33333333333333, "season_strikeouts": 103, "season_walks": 35, "starts_before_game": 21, "status": "available", "throwing_hand": "Left", "xfip": null, "xfip_status": "unavailable_from_source"}, "away_team": "Milwaukee Brewers", "decision_timestamp_utc": "2026-10-08T00:00:00Z", "event_id": "401908005", "event_start_utc": "2026-10-08T02:00Z", "feature_snapshot_hash": "9d698cddf2a63eb24b4ab958f8a89e2d9592db15e96ec45ad314851a5e3f0504", "home_bullpen_status": "available", "home_bullpen_weakness": 0.889323, "home_form": {"losses": 2, "runs_allowed": [0, 1, 3, 4, 3], "runs_scored": [8, 4, 2, 3, 4], "status": "available", "wins": 3}, "home_starter": {"last_five_batters_faced": 92, "last_five_earned_runs": 11, "last_five_innings": 22.333333333333336, "last_five_strikeouts": 20, "last_five_walks": 8, "name": "Walker Buehler", "player_id": "39251", "season_batters_faced": 651, "season_earned_runs": 79, "season_innings": 153.66666666666666, "season_strikeouts": 131, "season_walks": 57, "starts_before_game": 32, "status": "available", "throwing_hand": "Right", "xfip": null, "xfip_status": "unavailable_from_source"}, "home_team": "San Diego Padres", "lineup_status": "unavailable_from_source", "market_snapshot_hash": "19db479643f1d807d65b213394823b919a8974c4937e0ff0f0dc7b2d7d5eb253", "park_factor": 0.946, "park_factor_status": "available", "source_snapshot_ids": ["fdd9e09f605a408389abe6fbf71a4e9cd4f2539a0ecc140f5861b90c607d6861", "e9f21718a92acabc589cdc473f26c430e3de71a551a0dd57008f19d599b73312", "a8da296793c96e0f4f2903b1cb5bbe27c72ebd5d5867fe6d7953a63ec0cde520", "37128edaedb3f9d3f2ea1e62697cbc1945238cf9b99565945a3968d6c278aa61", "e6ca0f3fa8182490bc796c607624d26fa3831f519835a3bef6184d7462d1d750"], "starter_confirmed": false, "starter_status": "probable", "weather_factor": 1.0085, "weather_status": "available", "wrc_plus_status": "unavailable_from_source"}, "formula_spec": {"away_field_run_factor": 1.0, "bullpen_elasticity": 0.069018, "configuration_hash": "ca5ee8c1fccc12d21de5d1755803d1be655b6083be01e5d7b5c57eecd4e9c6a0",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4.5368,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"2026-10-07T22:26:18.317213+00:00", "raw_probabilities": {"away": 0.36335, "home": 0.63665, "push": 0.0}, "replay_scope": "Exact features, formula and deterministic Monte Carlo seed inputs; independently calibrated sides are not a joint distribution.", "run_estimate": {"away_expected_runs": 4.502399, "configuration_hash": "ca5ee8c1fccc12d21de5d1755803d1be655b6083be01e5d7b5c57eecd4e9c6a0", "factors": {"away_bullpen_weakness_index": 0.754003, "away_field_run_factor": 1.0, "away_offense_index": 0.9469229473259464, "away_starter_weakness_index": 0.7218872219591246, "home_bullpen_weakness_index": 0.889323, "home_field_run_factor": 1.04, "home_offense_index": 0.9704957062460275, "home_starter_weakness_index": 1.0712045019491558, "park_factor": 0.946, "weather_factor": 1.0085}, "feature_schema_version": "v3", "formula_version": "mlb-analyst-poisson-trend-v0.3", "home_expected_runs": 4.152306, "uncertainty": 0.042131, "uncertainty_components": {"base": 0.02, "lineup": 0.025, "missing_wrc_plus": 0.01, "missing_xfip": 0.01, "model_form": 0.01, "pitcher": 0.015, "starter_confirmation": 0.015}}, "schema": "mlb-margin-replay-v1", "served_probabilities": {"away": 0.406887, "home": 0.593113}, "snapshot_hash": "d6dd497b2660528f0b2502e4485219a7c57260f55181e8a7a93959e6352b1c61", "sport": "MLB"}</t>
        </is>
      </c>
    </row>
    <row r="35" ht="36" customHeight="1">
      <c r="A35" s="24" t="inlineStr">
        <is>
          <t>3b5c6e790f594b92</t>
        </is>
      </c>
      <c r="B35" s="24" t="inlineStr">
        <is>
          <t>2026-10-07T22:26:18.317213Z</t>
        </is>
      </c>
      <c r="C35" s="24" t="inlineStr">
        <is>
          <t>2026-10-08T02:00Z</t>
        </is>
      </c>
      <c r="D35" s="24" t="inlineStr">
        <is>
          <t>401908005</t>
        </is>
      </c>
      <c r="E35" s="24" t="inlineStr">
        <is>
          <t>MLB</t>
        </is>
      </c>
      <c r="F35" s="24" t="inlineStr">
        <is>
          <t>Milwaukee Brewers</t>
        </is>
      </c>
      <c r="G35" s="24" t="inlineStr">
        <is>
          <t>San Diego Padres</t>
        </is>
      </c>
      <c r="H35" s="24" t="inlineStr">
        <is>
          <t>total</t>
        </is>
      </c>
      <c r="I35" s="24" t="inlineStr">
        <is>
          <t>over</t>
        </is>
      </c>
      <c r="J35" s="25" t="n">
        <v>7.5</v>
      </c>
      <c r="K35" s="24" t="inlineStr">
        <is>
          <t>polymarket_us</t>
        </is>
      </c>
      <c r="L35" s="26" t="n">
        <v>-102</v>
      </c>
      <c r="M35" s="27" t="n">
        <v>1.980392</v>
      </c>
      <c r="N35" s="28" t="n">
        <v>0.50495</v>
      </c>
      <c r="O35" s="28" t="n">
        <v>0.5223680000000001</v>
      </c>
      <c r="P35" s="28" t="n">
        <v>0.042131</v>
      </c>
      <c r="Q35" s="28" t="n">
        <v>0.017418</v>
      </c>
      <c r="R35" s="26" t="n">
        <v>35</v>
      </c>
      <c r="S35" s="29" t="n">
        <v>1</v>
      </c>
      <c r="T35" s="24" t="inlineStr">
        <is>
          <t>measured-edge-totals-v3</t>
        </is>
      </c>
      <c r="U35" s="24" t="inlineStr">
        <is>
          <t>settled</t>
        </is>
      </c>
      <c r="V35" s="24" t="inlineStr">
        <is>
          <t>loss</t>
        </is>
      </c>
      <c r="W35" s="26" t="n">
        <v>3</v>
      </c>
      <c r="X35" s="26" t="n">
        <v>1</v>
      </c>
      <c r="Y35" s="25" t="n">
        <v>7.5</v>
      </c>
      <c r="Z35" s="26" t="n">
        <v>-102</v>
      </c>
      <c r="AA35" s="28" t="n">
        <v>0.505</v>
      </c>
      <c r="AB35" s="28" t="n">
        <v>5e-05</v>
      </c>
      <c r="AC35" s="30" t="n">
        <v>-1</v>
      </c>
      <c r="AD35" s="24" t="inlineStr">
        <is>
          <t>2026-10-11T04:34:10.334077Z</t>
        </is>
      </c>
      <c r="AE35" s="31" t="inlineStr">
        <is>
          <t>Measured Edge Totals: Trend Engine projected 4.50-4.15; raw selected-side p=0.5667, calibrated p=0.5224.</t>
        </is>
      </c>
      <c r="AF35" s="31" t="inlineStr">
        <is>
          <t>Research-only; lineup, bullpen, park, weather, xFIP, and wRC+ may be neutral fallbacks; market availability and BBO depth may change before first pitch.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paper_call</t>
        </is>
      </c>
      <c r="AL35" s="26" t="n">
        <v>4</v>
      </c>
      <c r="AM35" s="24" t="inlineStr">
        <is>
          <t>RESEARCH_OBSERVATION</t>
        </is>
      </c>
      <c r="AN35" s="24" t="inlineStr">
        <is>
          <t>CALL</t>
        </is>
      </c>
      <c r="AO35" s="24" t="inlineStr">
        <is>
          <t>PAPER_CALL_MODEL_UNVALIDATED</t>
        </is>
      </c>
      <c r="AP35" s="24" t="inlineStr">
        <is>
          <t>mlb-mil</t>
        </is>
      </c>
      <c r="AQ35" s="24" t="inlineStr">
        <is>
          <t>Milwaukee Brewers</t>
        </is>
      </c>
      <c r="AR35" s="24" t="inlineStr">
        <is>
          <t>Milwaukee Brewers</t>
        </is>
      </c>
      <c r="AS35" s="24" t="inlineStr">
        <is>
          <t>mlb-sd</t>
        </is>
      </c>
      <c r="AT35" s="24" t="inlineStr">
        <is>
          <t>San Diego Padres</t>
        </is>
      </c>
      <c r="AU35" s="24" t="inlineStr">
        <is>
          <t>San Diego Padres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95b84332c75d2ce54036eb8de6ada9c78d0f80228c50825c0347281a8b9b49c7</t>
        </is>
      </c>
      <c r="BB35" s="24" t="inlineStr">
        <is>
          <t>flat_probability_shrinkage_toward_half</t>
        </is>
      </c>
      <c r="BC35" s="24" t="inlineStr">
        <is>
          <t>measured-edge-totals-v3</t>
        </is>
      </c>
      <c r="BD35" s="24" t="inlineStr">
        <is>
          <t>95b84332c75d2ce54036eb8de6ada9c78d0f80228c50825c0347281a8b9b49c7</t>
        </is>
      </c>
      <c r="BE35" s="24" t="inlineStr">
        <is>
          <t>v3</t>
        </is>
      </c>
      <c r="BF35" s="24" t="inlineStr">
        <is>
          <t>1</t>
        </is>
      </c>
      <c r="BG35" s="24" t="inlineStr">
        <is>
          <t>measured-edge-paired-v1</t>
        </is>
      </c>
      <c r="BH35" s="24" t="inlineStr">
        <is>
          <t>2026-10-07T22:26:18.317213Z</t>
        </is>
      </c>
      <c r="BI35" s="24" t="inlineStr">
        <is>
          <t>["same_event","same_team_same_day","same_league_same_day"]</t>
        </is>
      </c>
      <c r="BJ35" s="25" t="n">
        <v>7.5</v>
      </c>
      <c r="BK35" s="26" t="n">
        <v>-102</v>
      </c>
      <c r="BL35" s="27" t="n">
        <v>1.980392</v>
      </c>
      <c r="BM35" s="28" t="n">
        <v>0.50495</v>
      </c>
      <c r="BN35" s="28" t="n">
        <v>0.502488</v>
      </c>
      <c r="BO35" s="28" t="n"/>
      <c r="BP35" s="25" t="n"/>
      <c r="BQ35" s="27" t="n">
        <v>1.980392</v>
      </c>
      <c r="BR35" s="28" t="n">
        <v>0.505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True</t>
        </is>
      </c>
      <c r="CT35" s="24" t="inlineStr">
        <is>
          <t>d6a93296bccabb15449bfb59233dc70a9b667400eb2750d4283fc0ddc6dfd10d</t>
        </is>
      </c>
      <c r="CU35" s="24" t="inlineStr">
        <is>
          <t>58174fed4b5d0cfc7a6d9bc967b64e1f8767603ab65da39bc5ae33597c9abc71</t>
        </is>
      </c>
      <c r="CV35" s="24" t="inlineStr">
        <is>
          <t>E:\model-prediction\config\model.yaml</t>
        </is>
      </c>
      <c r="CW35" s="24" t="inlineStr">
        <is>
          <t>1dad20b56ac0a94181b31c5f71abe66cc0ee1acd8c8792d0aacf42b7a6fc32e6</t>
        </is>
      </c>
      <c r="CX35" s="24" t="inlineStr">
        <is>
          <t>E:\model-prediction\config\models\measured-edge-totals-v3.json</t>
        </is>
      </c>
      <c r="CY35" s="24" t="inlineStr">
        <is>
          <t>2026-10-07T22:26:18.317213Z</t>
        </is>
      </c>
      <c r="CZ35" s="24" t="inlineStr">
        <is>
          <t>True</t>
        </is>
      </c>
      <c r="DA35" s="24" t="inlineStr">
        <is>
          <t>polymarket_us</t>
        </is>
      </c>
      <c r="DB35" s="24" t="inlineStr">
        <is>
          <t>decision_time_executable_quote</t>
        </is>
      </c>
      <c r="DC35" s="24" t="inlineStr">
        <is>
          <t>False</t>
        </is>
      </c>
      <c r="DD35" s="24" t="inlineStr">
        <is>
          <t>19db479643f1d807d65b213394823b919a8974c4937e0ff0f0dc7b2d7d5eb253</t>
        </is>
      </c>
      <c r="DE35" s="24" t="inlineStr">
        <is>
          <t>E:\model-prediction\data\market_odds_snapshots.jsonl</t>
        </is>
      </c>
      <c r="DF35" s="24" t="inlineStr">
        <is>
          <t>19db479643f1d807d65b213394823b919a8974c4937e0ff0f0dc7b2d7d5eb253</t>
        </is>
      </c>
      <c r="DG35" s="24" t="inlineStr">
        <is>
          <t>live_forecast</t>
        </is>
      </c>
      <c r="DH35" s="24" t="inlineStr">
        <is>
          <t>False</t>
        </is>
      </c>
      <c r="DI35" s="24" t="inlineStr">
        <is>
          <t>0.522368</t>
        </is>
      </c>
      <c r="DJ35" s="24" t="inlineStr">
        <is>
          <t>0.504950495049505</t>
        </is>
      </c>
      <c r="DK35" s="24" t="inlineStr">
        <is>
          <t>0.522368</t>
        </is>
      </c>
      <c r="DL35" s="24" t="n"/>
      <c r="DM35" s="24" t="n"/>
      <c r="DN35" s="24" t="n"/>
      <c r="DO35" s="24" t="n"/>
      <c r="DP35" s="24" t="n"/>
      <c r="DQ35" s="24" t="n"/>
    </row>
    <row r="36" ht="36" customHeight="1">
      <c r="A36" s="24" t="inlineStr">
        <is>
          <t>88b54f8023074e9c</t>
        </is>
      </c>
      <c r="B36" s="24" t="inlineStr">
        <is>
          <t>2026-10-07T22:26:18.875661Z</t>
        </is>
      </c>
      <c r="C36" s="24" t="inlineStr">
        <is>
          <t>2026-10-08T00:00Z</t>
        </is>
      </c>
      <c r="D36" s="24" t="inlineStr">
        <is>
          <t>401907987</t>
        </is>
      </c>
      <c r="E36" s="24" t="inlineStr">
        <is>
          <t>MLB</t>
        </is>
      </c>
      <c r="F36" s="24" t="inlineStr">
        <is>
          <t>Tampa Bay Rays</t>
        </is>
      </c>
      <c r="G36" s="24" t="inlineStr">
        <is>
          <t>New York Yankees</t>
        </is>
      </c>
      <c r="H36" s="24" t="inlineStr">
        <is>
          <t>nrfi</t>
        </is>
      </c>
      <c r="I36" s="24" t="inlineStr">
        <is>
          <t>nrfi</t>
        </is>
      </c>
      <c r="J36" s="25" t="n">
        <v>0.5</v>
      </c>
      <c r="K36" s="24" t="inlineStr">
        <is>
          <t>model_fair</t>
        </is>
      </c>
      <c r="L36" s="26" t="n">
        <v>-104</v>
      </c>
      <c r="M36" s="27" t="n">
        <v>1.961538</v>
      </c>
      <c r="N36" s="28" t="n">
        <v>0.509804</v>
      </c>
      <c r="O36" s="28" t="n">
        <v>0.5108</v>
      </c>
      <c r="P36" s="28" t="n">
        <v>0.04</v>
      </c>
      <c r="Q36" s="28" t="n">
        <v>0.0009959999999999999</v>
      </c>
      <c r="R36" s="26" t="n">
        <v>26</v>
      </c>
      <c r="S36" s="29" t="n">
        <v>1</v>
      </c>
      <c r="T36" s="24" t="inlineStr">
        <is>
          <t>mlb-nrfi-v2</t>
        </is>
      </c>
      <c r="U36" s="24" t="inlineStr">
        <is>
          <t>settled</t>
        </is>
      </c>
      <c r="V36" s="24" t="inlineStr">
        <is>
          <t>win</t>
        </is>
      </c>
      <c r="W36" s="26" t="n">
        <v>0</v>
      </c>
      <c r="X36" s="26" t="n">
        <v>0</v>
      </c>
      <c r="Y36" s="25" t="n"/>
      <c r="Z36" s="26" t="n"/>
      <c r="AA36" s="28" t="n"/>
      <c r="AB36" s="28" t="n"/>
      <c r="AC36" s="30" t="n">
        <v>0.9615</v>
      </c>
      <c r="AD36" s="24" t="inlineStr">
        <is>
          <t>2026-10-11T04:34:13.509291Z</t>
        </is>
      </c>
      <c r="AE36" s="31" t="inlineStr">
        <is>
          <t>MLB 1st Inning NRFI: p=0.511 (mlb-nrfi-v2, 4050 training games)</t>
        </is>
      </c>
      <c r="AF36" s="31" t="inlineStr">
        <is>
          <t>1st inning variance, leadoff home run risk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paper_call</t>
        </is>
      </c>
      <c r="AL36" s="26" t="n">
        <v>4</v>
      </c>
      <c r="AM36" s="24" t="inlineStr">
        <is>
          <t>RESEARCH_OBSERVATION</t>
        </is>
      </c>
      <c r="AN36" s="24" t="inlineStr">
        <is>
          <t>CALL</t>
        </is>
      </c>
      <c r="AO36" s="24" t="inlineStr">
        <is>
          <t>PAPER_CALL_MODEL_UNVALIDATED</t>
        </is>
      </c>
      <c r="AP36" s="24" t="inlineStr">
        <is>
          <t>mlb-tb</t>
        </is>
      </c>
      <c r="AQ36" s="24" t="inlineStr">
        <is>
          <t>Tampa Bay Rays</t>
        </is>
      </c>
      <c r="AR36" s="24" t="inlineStr">
        <is>
          <t>Tampa Bay Rays</t>
        </is>
      </c>
      <c r="AS36" s="24" t="inlineStr">
        <is>
          <t>mlb-nyy</t>
        </is>
      </c>
      <c r="AT36" s="24" t="inlineStr">
        <is>
          <t>New York Yankees</t>
        </is>
      </c>
      <c r="AU36" s="24" t="inlineStr">
        <is>
          <t>New York Yankees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2909cd421e057ee98f16cafaabeaf26a1e00b4d7d36eb86e9d93b45d584700ec</t>
        </is>
      </c>
      <c r="BB36" s="24" t="inlineStr">
        <is>
          <t>identity</t>
        </is>
      </c>
      <c r="BC36" s="24" t="inlineStr">
        <is>
          <t>identity-v1</t>
        </is>
      </c>
      <c r="BD36" s="24" t="n"/>
      <c r="BE36" s="24" t="inlineStr">
        <is>
          <t>1</t>
        </is>
      </c>
      <c r="BF36" s="24" t="inlineStr">
        <is>
          <t>1</t>
        </is>
      </c>
      <c r="BG36" s="24" t="inlineStr">
        <is>
          <t>unknown</t>
        </is>
      </c>
      <c r="BH36" s="24" t="inlineStr">
        <is>
          <t>2026-10-07T22:26:18.875661+00:00</t>
        </is>
      </c>
      <c r="BI36" s="24" t="inlineStr">
        <is>
          <t>["same_event","same_team_same_day","same_league_same_day"]</t>
        </is>
      </c>
      <c r="BJ36" s="25" t="n">
        <v>0.5</v>
      </c>
      <c r="BK36" s="26" t="n">
        <v>-104</v>
      </c>
      <c r="BL36" s="27" t="n">
        <v>1.961538</v>
      </c>
      <c r="BM36" s="28" t="n">
        <v>0.509804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True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0.509804</t>
        </is>
      </c>
      <c r="DK36" s="24" t="n"/>
      <c r="DL36" s="24" t="n"/>
      <c r="DM36" s="24" t="n"/>
      <c r="DN36" s="24" t="n"/>
      <c r="DO36" s="24" t="n"/>
      <c r="DP36" s="24" t="n"/>
      <c r="DQ36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"401907987", "event_start_utc": "2026-10-08T00:00Z", "features": {"away_starter_bb_pct": 0.045, "away_starter_days_rest": 6.0, "away_starter_fip": 3.787, "away_starter_k_pct": 0.1721, "away_starter_opp_1st_runs": 0.2948, "away_starter_starts": 4.2627, "away_team_1st_allowed_away": 0.425, "away_team_1st_scored_away": 0.4803, "away_top3_composite": 0.11074, "home_starter_bb_pct": 0.0706, "home_starter_days_rest": 6.0, "home_starter_fip": 2.918, "home_starter_k_pct": 0.2339, "home_starter_opp_1st_runs": 0.3604, "home_starter_starts": 4.3694, "home_team_1st_allowed_home": 0.4859, "home_team_1st_scored_home": 0.5822, "home_top3_composite": 0.10778, "park_1st_runs": 0.9911}, "historical_source_observation_times_verified": false, "inference_inputs": {}, "model_version": "mlb-nrfi-v2", "observed_at_utc": "2026-10-07T22:26:18.875661+00:00", "replay_scope": "Exact final classifier/distribution inputs and artifact. Upstream historical feature construction not certified.", "schema": "scalar-artifact-replay-v1", "snapshot_hash": "c6af2a3fc6857a846ed7b4f14771f7c3276ddbe4a4134504ae13a523022b3323"}</t>
        </is>
      </c>
    </row>
    <row r="37" ht="36" customHeight="1">
      <c r="A37" s="24" t="inlineStr">
        <is>
          <t>6bfd757a4d6b4cb9</t>
        </is>
      </c>
      <c r="B37" s="24" t="inlineStr">
        <is>
          <t>2026-10-07T22:26:18.875661Z</t>
        </is>
      </c>
      <c r="C37" s="24" t="inlineStr">
        <is>
          <t>2026-10-08T02:00Z</t>
        </is>
      </c>
      <c r="D37" s="24" t="inlineStr">
        <is>
          <t>401908005</t>
        </is>
      </c>
      <c r="E37" s="24" t="inlineStr">
        <is>
          <t>MLB</t>
        </is>
      </c>
      <c r="F37" s="24" t="inlineStr">
        <is>
          <t>Milwaukee Brewers</t>
        </is>
      </c>
      <c r="G37" s="24" t="inlineStr">
        <is>
          <t>San Diego Padres</t>
        </is>
      </c>
      <c r="H37" s="24" t="inlineStr">
        <is>
          <t>nrfi</t>
        </is>
      </c>
      <c r="I37" s="24" t="inlineStr">
        <is>
          <t>nrfi</t>
        </is>
      </c>
      <c r="J37" s="25" t="n">
        <v>0.5</v>
      </c>
      <c r="K37" s="24" t="inlineStr">
        <is>
          <t>model_fair</t>
        </is>
      </c>
      <c r="L37" s="26" t="n">
        <v>-119</v>
      </c>
      <c r="M37" s="27" t="n">
        <v>1.840336</v>
      </c>
      <c r="N37" s="28" t="n">
        <v>0.5433789999999999</v>
      </c>
      <c r="O37" s="28" t="n">
        <v>0.5432</v>
      </c>
      <c r="P37" s="28" t="n">
        <v>0.04</v>
      </c>
      <c r="Q37" s="28" t="n">
        <v>-0.000179</v>
      </c>
      <c r="R37" s="26" t="n">
        <v>26</v>
      </c>
      <c r="S37" s="29" t="n">
        <v>1</v>
      </c>
      <c r="T37" s="24" t="inlineStr">
        <is>
          <t>mlb-nrfi-v2</t>
        </is>
      </c>
      <c r="U37" s="24" t="inlineStr">
        <is>
          <t>settled</t>
        </is>
      </c>
      <c r="V37" s="24" t="inlineStr">
        <is>
          <t>win</t>
        </is>
      </c>
      <c r="W37" s="26" t="n">
        <v>0</v>
      </c>
      <c r="X37" s="26" t="n">
        <v>0</v>
      </c>
      <c r="Y37" s="25" t="n"/>
      <c r="Z37" s="26" t="n"/>
      <c r="AA37" s="28" t="n"/>
      <c r="AB37" s="28" t="n"/>
      <c r="AC37" s="30" t="n">
        <v>0.8403</v>
      </c>
      <c r="AD37" s="24" t="inlineStr">
        <is>
          <t>2026-10-11T04:34:14.755919Z</t>
        </is>
      </c>
      <c r="AE37" s="31" t="inlineStr">
        <is>
          <t>MLB 1st Inning NRFI: p=0.543 (mlb-nrfi-v2, 4050 training games)</t>
        </is>
      </c>
      <c r="AF37" s="31" t="inlineStr">
        <is>
          <t>1st inning variance, leadoff home run risk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paper_call</t>
        </is>
      </c>
      <c r="AL37" s="26" t="n">
        <v>4</v>
      </c>
      <c r="AM37" s="24" t="inlineStr">
        <is>
          <t>RESEARCH_OBSERVATION</t>
        </is>
      </c>
      <c r="AN37" s="24" t="inlineStr">
        <is>
          <t>CALL</t>
        </is>
      </c>
      <c r="AO37" s="24" t="inlineStr">
        <is>
          <t>PAPER_CALL_MODEL_UNVALIDATED</t>
        </is>
      </c>
      <c r="AP37" s="24" t="inlineStr">
        <is>
          <t>mlb-mil</t>
        </is>
      </c>
      <c r="AQ37" s="24" t="inlineStr">
        <is>
          <t>Milwaukee Brewers</t>
        </is>
      </c>
      <c r="AR37" s="24" t="inlineStr">
        <is>
          <t>Milwaukee Brewers</t>
        </is>
      </c>
      <c r="AS37" s="24" t="inlineStr">
        <is>
          <t>mlb-sd</t>
        </is>
      </c>
      <c r="AT37" s="24" t="inlineStr">
        <is>
          <t>San Diego Padres</t>
        </is>
      </c>
      <c r="AU37" s="24" t="inlineStr">
        <is>
          <t>San Diego Padres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2909cd421e057ee98f16cafaabeaf26a1e00b4d7d36eb86e9d93b45d584700ec</t>
        </is>
      </c>
      <c r="BB37" s="24" t="inlineStr">
        <is>
          <t>identity</t>
        </is>
      </c>
      <c r="BC37" s="24" t="inlineStr">
        <is>
          <t>identity-v1</t>
        </is>
      </c>
      <c r="BD37" s="24" t="n"/>
      <c r="BE37" s="24" t="inlineStr">
        <is>
          <t>1</t>
        </is>
      </c>
      <c r="BF37" s="24" t="inlineStr">
        <is>
          <t>1</t>
        </is>
      </c>
      <c r="BG37" s="24" t="inlineStr">
        <is>
          <t>unknown</t>
        </is>
      </c>
      <c r="BH37" s="24" t="inlineStr">
        <is>
          <t>2026-10-07T22:26:18.875661+00:00</t>
        </is>
      </c>
      <c r="BI37" s="24" t="inlineStr">
        <is>
          <t>["same_event","same_team_same_day","same_league_same_day"]</t>
        </is>
      </c>
      <c r="BJ37" s="25" t="n">
        <v>0.5</v>
      </c>
      <c r="BK37" s="26" t="n">
        <v>-119</v>
      </c>
      <c r="BL37" s="27" t="n">
        <v>1.840336</v>
      </c>
      <c r="BM37" s="28" t="n">
        <v>0.5433789999999999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False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0.543379</t>
        </is>
      </c>
      <c r="DK37" s="24" t="n"/>
      <c r="DL37" s="24" t="n"/>
      <c r="DM37" s="24" t="n"/>
      <c r="DN37" s="24" t="n"/>
      <c r="DO37" s="24" t="n"/>
      <c r="DP37" s="24" t="n"/>
      <c r="DQ37" s="24" t="inlineStr">
        <is>
          <t>{"artifact": {"C": 1.0, "artifact_hash": "2909cd421e057ee98f16cafaabeaf26a1e00b4d7d36eb86e9d93b45d584700ec", "coef": [-0.01086905954995486, 0.03571540811154766, -0.058343217619058654, -0.0009855645959672484, 0.030276433579570376, -0.05928983053750985, -0.09686459372303556, -0.046721243122527546, -0.006184903302794969, 0.0061187384887071705, 0.06018396415826137, 0.05158015262778173, -3.8737546571821174e-05, -0.012005621160354025, -0.022989216010284374, -0.029992978688245603, 0.04758457912140915, -0.01508839163665241, -0.02742647824522067], "feature_names": ["away_starter_opp_1st_runs", "home_starter_opp_1st_runs", "away_team_1st_scored_away", "home_team_1st_scored_home", "away_team_1st_allowed_away", "home_team_1st_allowed_home", "park_1st_runs", "away_starter_fip", "home_starter_fip", "away_starter_k_pct", "home_starter_k_pct", "away_starter_bb_pct", "home_starter_bb_pct", "away_top3_composite", "home_top3_composite", "away_starter_starts", "home_starter_starts", "away_starter_days_rest", "home_starter_days_rest"], "fit_n_games": 4050, "intercept": 0.10453367976775559, "league": "MLB", "market_type": "nrfi", "method": "first_inning_logistic", "model_version": "mlb-nrfi-v2", "note": "Production-qualified MLB first-inning (NRFI) component model replacing mlb-nrfi-v1.", "positive_class": "nrfi", "qualification": {"framework": "first_inning_logistic_holdout", "holdout_brier_score": 0.249493, "holdout_log_loss": 0.692136, "locked_holdout": true, "market_proxy_log_loss": 0.695057, "note": "Fitted on 4,050 walk-forward training games and validated on 1,350 locked test games.", "polymarket_subset_log_loss": 0.68845, "qualified": true, "sample_size": 1350, "status": "qualified"}, "scaler_mean": [0.46985088888889237, 0.5269335555555571, 0.4543028888888884, 0.5544018024691363, 0.48621340740740665, 0.5219655308641956, 1.0223074320987655, 3.8802743209876542, 3.883357530864197, 0.22125920987654413, 0.2217704444444448, 0.07653288888888933, 0.07731350617283962, 0.10730977777777778, 0.10722144691358018, 2.453692419753078, 2.4551671111111095, 5.57283950617284, 5.578271604938272], "scaler_scale": [0.11646467239679972, 0.12176238930529121, 0.09913658820057014, 0.10478689727821691, 0.09578820234836025, 0.12440730748267405, 0.09053035969356013, 1.0303878033254357, 1.054817765583907, 0.052488150482790936, 0.051903313322721044, 0.028206591030825467, 0.026936641579057546, 0.004810721005482708, 0.004961624512967069, 1.0461147078096247, 1.048419980848224, 0.6216291510235594, 0.619376010417034], "schema_version": "2", "sport": "mlb", "train_nrfi_rate": 0.5259259259259259}, "artifact_hash": "2909cd421e057ee98f16cafaabeaf26a1e00b4d7d36eb86e9d93b45d584700ec", "engine_source_sha256": "e616f074b8082063684bb6db8c43d3a182f629455165dcc0074d32df98459a47", "event_id": "401908005", "event_start_utc": "2026-10-08T02:00Z", "features": {"away_starter_bb_pct": 0.068, "away_starter_days_rest": 6.0, "away_starter_fip": 4.011, "away_starter_k_pct": 0.2039, "away_starter_opp_1st_runs": 0.3185, "away_starter_starts": 3.2958, "away_team_1st_allowed_away": 0.3905, "away_team_1st_scored_away": 0.4186, "away_top3_composite": 0.10642, "home_starter_bb_pct": 0.0913, "home_starter_days_rest": 6.0, "home_starter_fip": 4.928, "home_starter_k_pct": 0.1827, "home_starter_opp_1st_runs": 0.665, "home_starter_starts": 4.2627, "home_team_1st_allowed_home": 0.5624, "home_team_1st_scored_home": 0.4743, "home_top3_composite": 0.1169, "park_1st_runs": 0.9001}, "historical_source_observation_times_verified": false, "inference_inputs": {}, "model_version": "mlb-nrfi-v2", "observed_at_utc": "2026-10-07T22:26:18.875661+00:00", "replay_scope": "Exact final classifier/distribution inputs and artifact. Upstream historical feature construction not certified.", "schema": "scalar-artifact-replay-v1", "snapshot_hash": "4fd7ea1bf607009a9c2be0dbf7fd116c1e5874c082f1aeb23571778c4542f4c4"}</t>
        </is>
      </c>
    </row>
    <row r="38" ht="36" customHeight="1">
      <c r="A38" s="24" t="inlineStr">
        <is>
          <t>8c5a70f9621041bd</t>
        </is>
      </c>
      <c r="B38" s="24" t="inlineStr">
        <is>
          <t>2026-10-11T22:36:03.243499Z</t>
        </is>
      </c>
      <c r="C38" s="24" t="inlineStr">
        <is>
          <t>2026-10-11T20:00:00-0400</t>
        </is>
      </c>
      <c r="D38" s="24" t="inlineStr">
        <is>
          <t>401908030</t>
        </is>
      </c>
      <c r="E38" s="24" t="inlineStr">
        <is>
          <t>MLB</t>
        </is>
      </c>
      <c r="F38" s="24" t="inlineStr">
        <is>
          <t>Los Angeles Dodgers</t>
        </is>
      </c>
      <c r="G38" s="24" t="inlineStr">
        <is>
          <t>Milwaukee Brewers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100</v>
      </c>
      <c r="M38" s="27" t="n">
        <v>2</v>
      </c>
      <c r="N38" s="28" t="n">
        <v>0.5</v>
      </c>
      <c r="O38" s="28" t="n">
        <v>0.559156</v>
      </c>
      <c r="P38" s="28" t="n"/>
      <c r="Q38" s="28" t="n">
        <v>0.059156</v>
      </c>
      <c r="R38" s="26" t="n">
        <v>51</v>
      </c>
      <c r="S38" s="29" t="n">
        <v>1</v>
      </c>
      <c r="T38" s="24" t="inlineStr">
        <is>
          <t>mlb-elo-trend-lr-v8</t>
        </is>
      </c>
      <c r="U38" s="24" t="inlineStr">
        <is>
          <t>settled</t>
        </is>
      </c>
      <c r="V38" s="24" t="inlineStr">
        <is>
          <t>win</t>
        </is>
      </c>
      <c r="W38" s="26" t="n">
        <v>1</v>
      </c>
      <c r="X38" s="26" t="n">
        <v>2</v>
      </c>
      <c r="Y38" s="25" t="n"/>
      <c r="Z38" s="26" t="n">
        <v>100</v>
      </c>
      <c r="AA38" s="28" t="n">
        <v>0.5</v>
      </c>
      <c r="AB38" s="28" t="n">
        <v>0</v>
      </c>
      <c r="AC38" s="30" t="n">
        <v>1</v>
      </c>
      <c r="AD38" s="24" t="inlineStr">
        <is>
          <t>2026-10-12T10:03:50.035282Z</t>
        </is>
      </c>
      <c r="AE38" s="31" t="inlineStr">
        <is>
          <t>Learned LR call at threshold 0.6197; executable ask 0.5000 (aec-mlb-lad-mil-2026-10-11); model edge vs ask +0.0592.</t>
        </is>
      </c>
      <c r="AF38" s="31" t="inlineStr">
        <is>
          <t>Learned model; shadow-qualified via operator override.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paper_call</t>
        </is>
      </c>
      <c r="AL38" s="26" t="n">
        <v>4</v>
      </c>
      <c r="AM38" s="24" t="inlineStr">
        <is>
          <t>RESEARCH_OBSERVATION</t>
        </is>
      </c>
      <c r="AN38" s="24" t="inlineStr">
        <is>
          <t>CALL</t>
        </is>
      </c>
      <c r="AO38" s="24" t="inlineStr">
        <is>
          <t>PAPER_CALL_BELOW_LEARNED_CONFIDENCE</t>
        </is>
      </c>
      <c r="AP38" s="24" t="inlineStr">
        <is>
          <t>mlb-lad</t>
        </is>
      </c>
      <c r="AQ38" s="24" t="inlineStr">
        <is>
          <t>Los Angeles Dodgers</t>
        </is>
      </c>
      <c r="AR38" s="24" t="inlineStr">
        <is>
          <t>Los Angeles Dodgers</t>
        </is>
      </c>
      <c r="AS38" s="24" t="inlineStr">
        <is>
          <t>mlb-mil</t>
        </is>
      </c>
      <c r="AT38" s="24" t="inlineStr">
        <is>
          <t>Milwaukee Brewers</t>
        </is>
      </c>
      <c r="AU38" s="24" t="inlineStr">
        <is>
          <t>Milwaukee Brewers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3b345499bd6bad9bcf65367a07fe0c668fb5817d4f016a0a865c01d9212fdeb8</t>
        </is>
      </c>
      <c r="BB38" s="24" t="inlineStr">
        <is>
          <t>learned_lr</t>
        </is>
      </c>
      <c r="BC38" s="24" t="inlineStr">
        <is>
          <t>mlb-elo-trend-lr-v8</t>
        </is>
      </c>
      <c r="BD38" s="24" t="inlineStr">
        <is>
          <t>3b345499bd6bad9bcf65367a07fe0c668fb5817d4f016a0a865c01d9212fdeb8</t>
        </is>
      </c>
      <c r="BE38" s="24" t="inlineStr">
        <is>
          <t>0542d79cb59361d6</t>
        </is>
      </c>
      <c r="BF38" s="24" t="inlineStr">
        <is>
          <t>1</t>
        </is>
      </c>
      <c r="BG38" s="24" t="inlineStr">
        <is>
          <t>mlb-elo-trend-lr-v8</t>
        </is>
      </c>
      <c r="BH38" s="24" t="inlineStr">
        <is>
          <t>2026-10-11T22:03:56.354015Z</t>
        </is>
      </c>
      <c r="BI38" s="24" t="inlineStr">
        <is>
          <t>["same_event","same_team_same_day","same_league_same_day"]</t>
        </is>
      </c>
      <c r="BJ38" s="25" t="n"/>
      <c r="BK38" s="26" t="n">
        <v>100</v>
      </c>
      <c r="BL38" s="27" t="n">
        <v>2</v>
      </c>
      <c r="BM38" s="28" t="n">
        <v>0.5</v>
      </c>
      <c r="BN38" s="28" t="n">
        <v>0.497512</v>
      </c>
      <c r="BO38" s="28" t="n"/>
      <c r="BP38" s="25" t="n"/>
      <c r="BQ38" s="27" t="n">
        <v>2</v>
      </c>
      <c r="BR38" s="28" t="n">
        <v>0.5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inlineStr">
        <is>
          <t>0.5552138891</t>
        </is>
      </c>
      <c r="CD38" s="24" t="inlineStr">
        <is>
          <t>-0.154614</t>
        </is>
      </c>
      <c r="CE38" s="24" t="inlineStr">
        <is>
          <t>1.003</t>
        </is>
      </c>
      <c r="CF38" s="24" t="inlineStr">
        <is>
          <t>1.0</t>
        </is>
      </c>
      <c r="CG38" s="24" t="n"/>
      <c r="CH38" s="24" t="n"/>
      <c r="CI38" s="24" t="n"/>
      <c r="CJ38" s="24" t="inlineStr">
        <is>
          <t>-0.49547</t>
        </is>
      </c>
      <c r="CK38" s="24" t="n"/>
      <c r="CL38" s="24" t="inlineStr">
        <is>
          <t>0.210268</t>
        </is>
      </c>
      <c r="CM38" s="24" t="inlineStr">
        <is>
          <t>0.0317</t>
        </is>
      </c>
      <c r="CN38" s="24" t="n"/>
      <c r="CO38" s="24" t="n"/>
      <c r="CP38" s="24" t="n"/>
      <c r="CQ38" s="24" t="n"/>
      <c r="CR38" s="24" t="inlineStr">
        <is>
          <t>0.559156</t>
        </is>
      </c>
      <c r="CS38" s="24" t="inlineStr">
        <is>
          <t>True</t>
        </is>
      </c>
      <c r="CT38" s="24" t="n"/>
      <c r="CU38" s="24" t="n"/>
      <c r="CV38" s="24" t="n"/>
      <c r="CW38" s="24" t="n"/>
      <c r="CX38" s="24" t="n"/>
      <c r="CY38" s="24" t="inlineStr">
        <is>
          <t>2026-10-11T22:03:56.354015Z</t>
        </is>
      </c>
      <c r="CZ38" s="24" t="inlineStr">
        <is>
          <t>True</t>
        </is>
      </c>
      <c r="DA38" s="24" t="inlineStr">
        <is>
          <t>polymarket_us</t>
        </is>
      </c>
      <c r="DB38" s="24" t="inlineStr">
        <is>
          <t>decision_time_executable_quote</t>
        </is>
      </c>
      <c r="DC38" s="24" t="inlineStr">
        <is>
          <t>False</t>
        </is>
      </c>
      <c r="DD38" s="24" t="inlineStr">
        <is>
          <t>92eabafd761f88768e3e1d2e364b384ecd0d5ab91aca30166a247f39ddd17d17</t>
        </is>
      </c>
      <c r="DE38" s="24" t="inlineStr">
        <is>
          <t>E:\model-prediction\data\odds\mlb\2026-10-11\polymarket_snapshots.jsonl</t>
        </is>
      </c>
      <c r="DF38" s="24" t="inlineStr">
        <is>
          <t>92eabafd761f88768e3e1d2e364b384ecd0d5ab91aca30166a247f39ddd17d17</t>
        </is>
      </c>
      <c r="DG38" s="24" t="n"/>
      <c r="DH38" s="24" t="n"/>
      <c r="DI38" s="24" t="n"/>
      <c r="DJ38" s="24" t="n"/>
      <c r="DK38" s="24" t="n"/>
      <c r="DL38" s="24" t="n"/>
      <c r="DM38" s="24" t="n"/>
      <c r="DN38" s="24" t="n"/>
      <c r="DO38" s="24" t="n"/>
      <c r="DP38" s="24" t="n"/>
      <c r="DQ38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0.5591564548460602, "event_id": "401908030", "event_start_utc": "2026-10-12T00:00:00+00:00", "features": {"bullpen_weakness_gap": 0.210268, "elo_probability": 0.5552138890888514, "park_factor": 1.003, "starter_era_gap": 0.0317, "trend_gap": -0.15461400000000003, "weather_factor": 1.0}, "historical_source_observation_times_verified": false, "model_version": "mlb-elo-trend-lr-v8", "observed_at_utc": "2026-10-11T22:36:03.243499+00:00", "schema": "learned-moneyline-replay-v1", "served_home_probability": 0.5591564548460602, "snapshot_hash": "c7aeacae38e22cf323d6e38dceaf6d3f566903ebe4a0365e2fd9f5f642ac5cc1"}</t>
        </is>
      </c>
    </row>
    <row r="39" ht="36" customHeight="1">
      <c r="A39" s="24" t="inlineStr">
        <is>
          <t>c63d1f81e2474a24</t>
        </is>
      </c>
      <c r="B39" s="24" t="inlineStr">
        <is>
          <t>2026-10-11T22:37:08.298624Z</t>
        </is>
      </c>
      <c r="C39" s="24" t="inlineStr">
        <is>
          <t>2026-10-12T00:00Z</t>
        </is>
      </c>
      <c r="D39" s="24" t="inlineStr">
        <is>
          <t>401908030</t>
        </is>
      </c>
      <c r="E39" s="24" t="inlineStr">
        <is>
          <t>MLB</t>
        </is>
      </c>
      <c r="F39" s="24" t="inlineStr">
        <is>
          <t>Los Angeles Dodgers</t>
        </is>
      </c>
      <c r="G39" s="24" t="inlineStr">
        <is>
          <t>Milwaukee Brewers</t>
        </is>
      </c>
      <c r="H39" s="24" t="inlineStr">
        <is>
          <t>nrfi</t>
        </is>
      </c>
      <c r="I39" s="24" t="inlineStr">
        <is>
          <t>yrfi</t>
        </is>
      </c>
      <c r="J39" s="25" t="n">
        <v>0.5</v>
      </c>
      <c r="K39" s="24" t="inlineStr">
        <is>
          <t>polymarket_us</t>
        </is>
      </c>
      <c r="L39" s="26" t="n">
        <v>178</v>
      </c>
      <c r="M39" s="27" t="n">
        <v>2.78</v>
      </c>
      <c r="N39" s="28" t="n">
        <v>0.359712</v>
      </c>
      <c r="O39" s="28" t="n">
        <v>0.4382</v>
      </c>
      <c r="P39" s="28" t="n">
        <v>0.04</v>
      </c>
      <c r="Q39" s="28" t="n">
        <v>0.078488</v>
      </c>
      <c r="R39" s="26" t="n">
        <v>65</v>
      </c>
      <c r="S39" s="29" t="n">
        <v>1.25</v>
      </c>
      <c r="T39" s="24" t="inlineStr">
        <is>
          <t>mlb-nrfi-v4</t>
        </is>
      </c>
      <c r="U39" s="24" t="inlineStr">
        <is>
          <t>settled</t>
        </is>
      </c>
      <c r="V39" s="24" t="inlineStr">
        <is>
          <t>loss</t>
        </is>
      </c>
      <c r="W39" s="26" t="n">
        <v>0</v>
      </c>
      <c r="X39" s="26" t="n">
        <v>0</v>
      </c>
      <c r="Y39" s="25" t="n"/>
      <c r="Z39" s="26" t="n"/>
      <c r="AA39" s="28" t="n"/>
      <c r="AB39" s="28" t="n"/>
      <c r="AC39" s="30" t="n">
        <v>-1.25</v>
      </c>
      <c r="AD39" s="24" t="inlineStr">
        <is>
          <t>2026-10-12T10:03:59.531299Z</t>
        </is>
      </c>
      <c r="AE39" s="31" t="inlineStr">
        <is>
          <t>MLB 1st Inning YRFI: p=0.438 vs ask 0.360 (astatc-mlb-lad-mil-2026-10-11-yrfi; edge +0.0782) (mlb-nrfi-v4, 4272 training games)</t>
        </is>
      </c>
      <c r="AF39" s="31" t="inlineStr">
        <is>
          <t>1st inning variance, leadoff home run risk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4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mlb-lad</t>
        </is>
      </c>
      <c r="AQ39" s="24" t="inlineStr">
        <is>
          <t>Los Angeles Dodgers</t>
        </is>
      </c>
      <c r="AR39" s="24" t="inlineStr">
        <is>
          <t>Los Angeles Dodgers</t>
        </is>
      </c>
      <c r="AS39" s="24" t="inlineStr">
        <is>
          <t>mlb-mil</t>
        </is>
      </c>
      <c r="AT39" s="24" t="inlineStr">
        <is>
          <t>Milwaukee Brewers</t>
        </is>
      </c>
      <c r="AU39" s="24" t="inlineStr">
        <is>
          <t>Milwaukee Brewers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cd40bb944db502574b9d872cd33304728e4cdb96ce0e4e53046dfb089bd166ff</t>
        </is>
      </c>
      <c r="BB39" s="24" t="inlineStr">
        <is>
          <t>half_inning_interaction</t>
        </is>
      </c>
      <c r="BC39" s="24" t="inlineStr">
        <is>
          <t>mlb-nrfi-v4</t>
        </is>
      </c>
      <c r="BD39" s="24" t="inlineStr">
        <is>
          <t>cd40bb944db502574b9d872cd33304728e4cdb96ce0e4e53046dfb089bd166ff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scalar-artifact-replay-v1</t>
        </is>
      </c>
      <c r="BH39" s="24" t="inlineStr">
        <is>
          <t>2026-10-11T22:03:37.173520Z</t>
        </is>
      </c>
      <c r="BI39" s="24" t="inlineStr">
        <is>
          <t>["same_event","same_team_same_day","same_league_same_day"]</t>
        </is>
      </c>
      <c r="BJ39" s="25" t="n">
        <v>0.5</v>
      </c>
      <c r="BK39" s="26" t="n">
        <v>178</v>
      </c>
      <c r="BL39" s="27" t="n">
        <v>2.78</v>
      </c>
      <c r="BM39" s="28" t="n">
        <v>0.359712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  <c r="CT39" s="24" t="n"/>
      <c r="CU39" s="24" t="n"/>
      <c r="CV39" s="24" t="n"/>
      <c r="CW39" s="24" t="n"/>
      <c r="CX39" s="24" t="n"/>
      <c r="CY39" s="24" t="inlineStr">
        <is>
          <t>2026-10-11T22:03:37.173520Z</t>
        </is>
      </c>
      <c r="CZ39" s="24" t="inlineStr">
        <is>
          <t>True</t>
        </is>
      </c>
      <c r="DA39" s="24" t="inlineStr">
        <is>
          <t>polymarket_us</t>
        </is>
      </c>
      <c r="DB39" s="24" t="inlineStr">
        <is>
          <t>decision_time_executable_quote</t>
        </is>
      </c>
      <c r="DC39" s="24" t="inlineStr">
        <is>
          <t>False</t>
        </is>
      </c>
      <c r="DD39" s="24" t="inlineStr">
        <is>
          <t>660c4c713a2706e46a663454ca753673785ead0078426acb9457db0cba945deb</t>
        </is>
      </c>
      <c r="DE39" s="24" t="inlineStr">
        <is>
          <t>E:\model-prediction\data\odds\mlb\2026-10-11\polymarket_snapshots.jsonl</t>
        </is>
      </c>
      <c r="DF39" s="24" t="inlineStr">
        <is>
          <t>660c4c713a2706e46a663454ca753673785ead0078426acb9457db0cba945deb</t>
        </is>
      </c>
      <c r="DG39" s="24" t="n"/>
      <c r="DH39" s="24" t="n"/>
      <c r="DI39" s="24" t="n"/>
      <c r="DJ39" s="24" t="n"/>
      <c r="DK39" s="24" t="n"/>
      <c r="DL39" s="24" t="n"/>
      <c r="DM39" s="24" t="n"/>
      <c r="DN39" s="24" t="n"/>
      <c r="DO39" s="24" t="n"/>
      <c r="DP39" s="24" t="n"/>
      <c r="DQ39" s="24" t="inlineStr">
        <is>
          <t>{"artifact": {"C": 1.0, "artifact_hash": "cd40bb944db502574b9d872cd33304728e4cdb96ce0e4e53046dfb089bd166ff", "coef_away": [-0.15092599233710682, 0.33375332491407694, 0.052641650764709516, 0.012200963333336163, -0.044124086984268916, -0.18338539828154118, -0.011069775160598767, -0.07334888990228486, 0.2843164406703071, -0.016022382971498418, -0.42919391686573305, -0.13322539735898248], "coef_home": [-0.056762054222791236, 0.1634913765713207, -0.12677479939259476, -0.10980892029364075, 0.0675840668410901, -0.2155237746431725, -0.0015823333282579347, -0.0017682883771573481, 0.30292713155931383, -0.26515719099464424, -0.24182390473213353, 0.146893598319729], "feature_names": ["top3_composite", "starter_opp_1st_runs", "starter_fip", "starter_k_pct", "starter_bb_pct", "park_1st_runs", "top3_same_hand_share", "team_1st_scored", "top3_park_interaction", "whiff_power_interaction", "starter_park_interaction", "fip_k_ratio"], "fit_n_games": 4272, "intercept_away": 1.0122829388370416, "intercept_home": 0.8796220049130925, "league": "MLB", "market_type": "nrfi", "method": "half_inning_interaction", "model_version": "mlb-nrfi-v4", "note": "Production-qualified MLB first-inning interaction component model replacing mlb-nrfi-v3.", "positive_class": "nrfi", "qualification": {"binary_accuracy": 0.5485, "calibration_ece": 0.021121, "framework": "half_inning_interaction_holdout", "holdout_brier_score": 0.247866, "holdout_log_loss": 0.688855, "locked_holdout": true, "note": "Two-half-inning decomposed model with non-linear interaction features (park, strikeout-whiff, platoon hand alignment) evaluated on 1,424 locked holdout test games.", "qualified": true, "sample_size": 1424, "status": "qualified"}, "scaler_mean_away": [0.10693852528089877, 0.5160531601123584, 3.887999765917613, 0.22160819288389438, 0.07721193820224699, 1.0095550561797733, 0.5512290262172258, 0.4530846910112346, 0.10797593867883881, 0.0832338340753744, 0.522421086896067, 12.74853166149649], "scaler_mean_home": [0.10687735955056178, 0.4668664091760332, 3.880392556179783, 0.22145009363295864, 0.07637907303370803, 1.0095550561797733, 0.5500498361423202, 0.5488433520599267, 0.10794226697635774, 0.08320755243679794, 0.47126779163623655, 12.714614928114717], "scaler_scale_away": [0.0048171779396999235, 0.12136652246642901, 1.0539601780342398, 0.05165113643883803, 0.02673985154876719, 0.09232773263326173, 0.10967171480498189, 0.0982166066212668, 0.01119895692211545, 0.0065842717464252515, 0.13841807595534883, 5.363640846622892], "scaler_scale_home": [0.0049927679114434974, 0.11700796360197874, 1.0206033876941032, 0.052293646761000234, 0.02791997429590162, 0.09232773263326173, 0.11057352848346676, 0.10479111868852325, 0.011525124767030699, 0.006780208072838942, 0.12566593459901798, 5.16406006135981], "schema_version": "2", "sport": "mlb"}, "artifact_hash": "cd40bb944db502574b9d872cd33304728e4cdb96ce0e4e53046dfb089bd166ff", "engine_source_sha256": "0d1788de892d97e815079a85f389a8dcfd16276fa807f5d446a8a943717fd8da", "event_id": "401908030", "event_start_utc": "2026-10-12T00:00Z", "features": {"away_starter_bb_pct": 0.0445, "away_starter_days_rest": 6.0, "away_starter_fip": 2.373, "away_starter_k_pct": 0.308, "away_starter_opp_1st_runs": 0.3075, "away_starter_starts": 4.4659, "away_team_1st_allowed_away": 0.4567, "away_team_1st_scored_away": 0.4685, "away_top3_composite": 0.11451, "home_starter_bb_pct": 0.0797, "home_starter_days_rest": 6.0, "home_starter_fip": 2.446, "home_starter_k_pct": 0.3569, "home_starter_opp_1st_runs": 0.4653, "home_starter_starts": 3.7612, "home_team_1st_allowed_home": 0.5112, "home_team_1st_scored_home": 0.6162, "home_top3_composite": 0.10642, "park_1st_runs": 1.0078}, "historical_source_observation_times_verified": false, "inference_inputs": {}, "model_version": "mlb-nrfi-v4", "observed_at_utc": "2026-10-11T22:37:08.298624+00:00", "replay_scope": "Exact final classifier/distribution inputs and artifact. Upstream historical feature construction not certified.", "schema": "scalar-artifact-replay-v1", "snapshot_hash": "d8230f7b6b240575abc4490b2a1543cc28cf3cbe9895c022b46515b555078e3a"}</t>
        </is>
      </c>
    </row>
    <row r="40" ht="36" customHeight="1">
      <c r="A40" s="24" t="inlineStr">
        <is>
          <t>e36f05e986054f31</t>
        </is>
      </c>
      <c r="B40" s="24" t="inlineStr">
        <is>
          <t>2026-10-11T22:37:03.997573Z</t>
        </is>
      </c>
      <c r="C40" s="24" t="inlineStr">
        <is>
          <t>2026-10-12T00:00Z</t>
        </is>
      </c>
      <c r="D40" s="24" t="inlineStr">
        <is>
          <t>401908030</t>
        </is>
      </c>
      <c r="E40" s="24" t="inlineStr">
        <is>
          <t>MLB</t>
        </is>
      </c>
      <c r="F40" s="24" t="inlineStr">
        <is>
          <t>Los Angeles Dodgers</t>
        </is>
      </c>
      <c r="G40" s="24" t="inlineStr">
        <is>
          <t>Milwaukee Brewers</t>
        </is>
      </c>
      <c r="H40" s="24" t="inlineStr">
        <is>
          <t>spread</t>
        </is>
      </c>
      <c r="I40" s="24" t="inlineStr">
        <is>
          <t>home</t>
        </is>
      </c>
      <c r="J40" s="25" t="n">
        <v>1.5</v>
      </c>
      <c r="K40" s="24" t="inlineStr">
        <is>
          <t>polymarket_us</t>
        </is>
      </c>
      <c r="L40" s="26" t="n">
        <v>-186</v>
      </c>
      <c r="M40" s="27" t="n">
        <v>1.537634</v>
      </c>
      <c r="N40" s="28" t="n">
        <v>0.65035</v>
      </c>
      <c r="O40" s="28" t="n">
        <v>0.646739</v>
      </c>
      <c r="P40" s="28" t="n">
        <v>0.042131</v>
      </c>
      <c r="Q40" s="28" t="n">
        <v>-0.003611</v>
      </c>
      <c r="R40" s="26" t="n">
        <v>25</v>
      </c>
      <c r="S40" s="29" t="n">
        <v>1</v>
      </c>
      <c r="T40" s="24" t="inlineStr">
        <is>
          <t>measured-edge-margin-v3</t>
        </is>
      </c>
      <c r="U40" s="24" t="inlineStr">
        <is>
          <t>settled</t>
        </is>
      </c>
      <c r="V40" s="24" t="inlineStr">
        <is>
          <t>win</t>
        </is>
      </c>
      <c r="W40" s="26" t="n">
        <v>1</v>
      </c>
      <c r="X40" s="26" t="n">
        <v>2</v>
      </c>
      <c r="Y40" s="25" t="n">
        <v>1.5</v>
      </c>
      <c r="Z40" s="26" t="n">
        <v>-186</v>
      </c>
      <c r="AA40" s="28" t="n">
        <v>0.65</v>
      </c>
      <c r="AB40" s="28" t="n">
        <v>-0.00035</v>
      </c>
      <c r="AC40" s="30" t="n">
        <v>0.5376</v>
      </c>
      <c r="AD40" s="24" t="inlineStr">
        <is>
          <t>2026-10-12T10:03:55.092941Z</t>
        </is>
      </c>
      <c r="AE40" s="31" t="inlineStr">
        <is>
          <t>Measured Edge Margin: Trend Engine projected 3.64-3.89; raw selected-side p=0.7154, calibrated p=0.6467.</t>
        </is>
      </c>
      <c r="AF40" s="31" t="inlineStr">
        <is>
          <t>Research-only; lineup, bullpen, park, weather, xFIP, and wRC+ may be neutral fallbacks; market availability and BBO depth may change before first pitch.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4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mlb-lad</t>
        </is>
      </c>
      <c r="AQ40" s="24" t="inlineStr">
        <is>
          <t>Los Angeles Dodgers</t>
        </is>
      </c>
      <c r="AR40" s="24" t="inlineStr">
        <is>
          <t>Los Angeles Dodgers</t>
        </is>
      </c>
      <c r="AS40" s="24" t="inlineStr">
        <is>
          <t>mlb-mil</t>
        </is>
      </c>
      <c r="AT40" s="24" t="inlineStr">
        <is>
          <t>Milwaukee Brewers</t>
        </is>
      </c>
      <c r="AU40" s="24" t="inlineStr">
        <is>
          <t>Milwaukee Brewers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dd339a2eed50d7d83ab2127837995ddab82e879afd27f5414bb6c1f9cd60ba4c</t>
        </is>
      </c>
      <c r="BB40" s="24" t="inlineStr">
        <is>
          <t>flat_probability_shrinkage_toward_half</t>
        </is>
      </c>
      <c r="BC40" s="24" t="inlineStr">
        <is>
          <t>measured-edge-margin-v3</t>
        </is>
      </c>
      <c r="BD40" s="24" t="inlineStr">
        <is>
          <t>dd339a2eed50d7d83ab2127837995ddab82e879afd27f5414bb6c1f9cd60ba4c</t>
        </is>
      </c>
      <c r="BE40" s="24" t="inlineStr">
        <is>
          <t>v3</t>
        </is>
      </c>
      <c r="BF40" s="24" t="inlineStr">
        <is>
          <t>1</t>
        </is>
      </c>
      <c r="BG40" s="24" t="inlineStr">
        <is>
          <t>measured-edge-paired-v1</t>
        </is>
      </c>
      <c r="BH40" s="24" t="inlineStr">
        <is>
          <t>2026-10-11T22:37:03.997573Z</t>
        </is>
      </c>
      <c r="BI40" s="24" t="inlineStr">
        <is>
          <t>["same_event","same_team_same_day","same_league_same_day"]</t>
        </is>
      </c>
      <c r="BJ40" s="25" t="n">
        <v>1.5</v>
      </c>
      <c r="BK40" s="26" t="n">
        <v>-186</v>
      </c>
      <c r="BL40" s="27" t="n">
        <v>1.537634</v>
      </c>
      <c r="BM40" s="28" t="n">
        <v>0.65035</v>
      </c>
      <c r="BN40" s="28" t="n">
        <v>0.646766</v>
      </c>
      <c r="BO40" s="28" t="n"/>
      <c r="BP40" s="25" t="n"/>
      <c r="BQ40" s="27" t="n">
        <v>1.537634</v>
      </c>
      <c r="BR40" s="28" t="n">
        <v>0.65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False</t>
        </is>
      </c>
      <c r="CT40" s="24" t="inlineStr">
        <is>
          <t>a9b23362b31654324ebb68d50a78c7a7cbb34dedfe01df9a0d6220e66c25ca47</t>
        </is>
      </c>
      <c r="CU40" s="24" t="inlineStr">
        <is>
          <t>7da9fbc6da4044536749c6fcd9abae7c13da55057708570036207f0597844565</t>
        </is>
      </c>
      <c r="CV40" s="24" t="inlineStr">
        <is>
          <t>E:\model-prediction\config\model.yaml</t>
        </is>
      </c>
      <c r="CW40" s="24" t="inlineStr">
        <is>
          <t>1ac81f4be213944a7cce95cbe9a52520e640a9cc5ea1424409aeda60b059f716</t>
        </is>
      </c>
      <c r="CX40" s="24" t="inlineStr">
        <is>
          <t>E:\model-prediction\config\models\measured-edge-margin-v3.json</t>
        </is>
      </c>
      <c r="CY40" s="24" t="inlineStr">
        <is>
          <t>2026-10-11T22:37:03.997573Z</t>
        </is>
      </c>
      <c r="CZ40" s="24" t="inlineStr">
        <is>
          <t>True</t>
        </is>
      </c>
      <c r="DA40" s="24" t="inlineStr">
        <is>
          <t>polymarket_us</t>
        </is>
      </c>
      <c r="DB40" s="24" t="inlineStr">
        <is>
          <t>decision_time_executable_quote</t>
        </is>
      </c>
      <c r="DC40" s="24" t="inlineStr">
        <is>
          <t>False</t>
        </is>
      </c>
      <c r="DD40" s="24" t="inlineStr">
        <is>
          <t>238638063a95e4822e8a7b9b8b815b2a75af1f632c73bde4587085bd296689ba</t>
        </is>
      </c>
      <c r="DE40" s="24" t="inlineStr">
        <is>
          <t>E:\model-prediction\data\market_odds_snapshots.jsonl</t>
        </is>
      </c>
      <c r="DF40" s="24" t="inlineStr">
        <is>
          <t>238638063a95e4822e8a7b9b8b815b2a75af1f632c73bde4587085bd296689ba</t>
        </is>
      </c>
      <c r="DG40" s="24" t="inlineStr">
        <is>
          <t>live_forecast</t>
        </is>
      </c>
      <c r="DH40" s="24" t="inlineStr">
        <is>
          <t>False</t>
        </is>
      </c>
      <c r="DI40" s="24" t="inlineStr">
        <is>
          <t>0.646739</t>
        </is>
      </c>
      <c r="DJ40" s="24" t="inlineStr">
        <is>
          <t>0.6503496503496503</t>
        </is>
      </c>
      <c r="DK40" s="24" t="inlineStr">
        <is>
          <t>0.646739</t>
        </is>
      </c>
      <c r="DL40" s="24" t="n"/>
      <c r="DM40" s="24" t="n"/>
      <c r="DN40" s="24" t="n"/>
      <c r="DO40" s="24" t="n"/>
      <c r="DP40" s="24" t="n"/>
      <c r="DQ40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"401908030", "event_start_utc": "2026-10-12T00:00Z", "features": {"away_bullpen_status": "available", "away_bullpen_weakness": 0.543735, "away_form": {"losses": 1, "runs_allowed": [3, 3, 1, 1], "runs_scored": [5, 2, 3, 4], "status": "available", "wins": 3}, "away_starter": {"last_five_batters_faced": 121, "last_five_earned_runs": 7, "last_five_innings": 32.333333333333336, "last_five_strikeouts": 34, "last_five_walks": 7, "name": "Tarik Skubal", "player_id": "42409", "season_batters_faced": 642, "season_earned_runs": 49, "season_innings": 164.66666666666666, "season_strikeouts": 193, "season_walks": 29, "starts_before_game": 27, "status": "available", "throwing_hand": "Left", "xfip": null, "xfip_status": "unavailable_from_source"}, "away_team": "Los Angeles Dodgers", "decision_timestamp_utc": "2026-10-11T22:00:00Z", "event_id": "401908030", "event_start_utc": "2026-10-12T00:00Z", "feature_snapshot_hash": "1f0544fbad4de73c5a5e88b25d64cefbafb04d4abc200af7075b770c201ceb78", "home_bullpen_status": "available", "home_bullpen_weakness": 0.754003, "home_form": {"losses": 1, "runs_allowed": [2, 3, 4, 1], "runs_scored": [3, 4, 3, 3], "status": "available", "wins": 3}, "home_starter": {"last_five_batters_faced": 91, "last_five_earned_runs": 3, "last_five_innings": 23.666666666666664, "last_five_strikeouts": 31, "last_five_walks": 6, "name": "Jacob Misiorowski", "player_id": "5080761", "season_batters_faced": 683, "season_earned_runs": 37, "season_innings": 178.66666666666666, "season_strikeouts": 258, "season_walks": 45, "starts_before_game": 31, "status": "available", "throwing_hand": "Right", "xfip": null, "xfip_status": "unavailable_from_source"}, "home_team": "Milwaukee Brewers", "lineup_status": "unavailable_from_source", "market_snapshot_hash": "238638063a95e4822e8a7b9b8b815b2a75af1f632c73bde4587085bd296689ba", "park_factor": 1.003, "park_factor_status": "available", "source_snapshot_ids": ["85f7b24e88edc516b8cd6126b0b0dc77cd0adb2573d09221522dbf691549a869", "cdebc3037f56ad6cff1e5bb4bca9f4b5ad0c592f2dc1231e511adc9e638ddde9", "25609dd87754c1a6eb75fa2e0a6ab1c6973621dd9db4cc8b074a010fdad28be0", "a5fa732a2e27a21992eea8e59d104a3daabec8882fe5458275ea232a49748cf1", "29f9ac86adf441e7a9c4745b43c1a9c66f11c06eec1533bb8cd89bd57f56ebc7"], "starter_confirmed": false, "starter_status": "probable", "weather_factor": 1.0, "weather_status": "dome", "wrc_plus_status": "unavailable_from_source"}, "formula_spec": {"away_field_run_factor": 1.0, "bullpen_elasticity": 0.069018, "configuration_hash": "3b7bd3de474b03054313a1806d79c06d8b472b811a4a764926d95f599482d236",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4.5347,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"2026-10-11T22:37:03.997573+00:00", "raw_probabilities": {"away": 0.28465, "home": 0.71535, "push": 0.0}, "replay_scope": "Exact features, formula and deterministic Monte Carlo seed inputs; independently calibrated sides are not a joint distribution.", "run_estimate": {"away_expected_runs": 3.643479, "configuration_hash": "3b7bd3de474b03054313a1806d79c06d8b472b811a4a764926d95f599482d236", "factors": {"away_bullpen_weakness_index": 0.543735, "away_field_run_factor": 1.0, "away_offense_index": 0.9421337530901016, "away_starter_weakness_index": 0.5976877526437055, "home_bullpen_weakness_index": 0.754003, "home_field_run_factor": 1.04, "home_offense_index": 0.9286645492193518, "home_starter_weakness_index": 0.5, "park_factor": 1.003, "weather_factor": 1.0}, "feature_schema_version": "v3", "formula_version": "mlb-analyst-poisson-trend-v0.3", "home_expected_runs": 3.890319, "uncertainty": 0.042131, "uncertainty_components": {"base": 0.02, "lineup": 0.025, "missing_wrc_plus": 0.01, "missing_xfip": 0.01, "model_form": 0.01, "pitcher": 0.015, "starter_confirmation": 0.015}}, "schema": "mlb-margin-replay-v1", "served_probabilities": {"away": 0.353261, "home": 0.646739}, "snapshot_hash": "f99d0f3b937e1ba742e6d916468fbe0d9ca6062ae62b4ba6899e52aaa1e7937f", "sport": "MLB"}</t>
        </is>
      </c>
    </row>
    <row r="41" ht="36" customHeight="1">
      <c r="A41" s="24" t="inlineStr">
        <is>
          <t>cf48ea3609604826</t>
        </is>
      </c>
      <c r="B41" s="24" t="inlineStr">
        <is>
          <t>2026-10-11T22:37:03.997573Z</t>
        </is>
      </c>
      <c r="C41" s="24" t="inlineStr">
        <is>
          <t>2026-10-12T00:00Z</t>
        </is>
      </c>
      <c r="D41" s="24" t="inlineStr">
        <is>
          <t>401908030</t>
        </is>
      </c>
      <c r="E41" s="24" t="inlineStr">
        <is>
          <t>MLB</t>
        </is>
      </c>
      <c r="F41" s="24" t="inlineStr">
        <is>
          <t>Los Angeles Dodgers</t>
        </is>
      </c>
      <c r="G41" s="24" t="inlineStr">
        <is>
          <t>Milwaukee Brewers</t>
        </is>
      </c>
      <c r="H41" s="24" t="inlineStr">
        <is>
          <t>total</t>
        </is>
      </c>
      <c r="I41" s="24" t="inlineStr">
        <is>
          <t>over</t>
        </is>
      </c>
      <c r="J41" s="25" t="n">
        <v>6.5</v>
      </c>
      <c r="K41" s="24" t="inlineStr">
        <is>
          <t>polymarket_us</t>
        </is>
      </c>
      <c r="L41" s="26" t="n">
        <v>113</v>
      </c>
      <c r="M41" s="27" t="n">
        <v>2.13</v>
      </c>
      <c r="N41" s="28" t="n">
        <v>0.469484</v>
      </c>
      <c r="O41" s="28" t="n">
        <v>0.526765</v>
      </c>
      <c r="P41" s="28" t="n">
        <v>0.042131</v>
      </c>
      <c r="Q41" s="28" t="n">
        <v>0.057281</v>
      </c>
      <c r="R41" s="26" t="n">
        <v>54</v>
      </c>
      <c r="S41" s="29" t="n">
        <v>1</v>
      </c>
      <c r="T41" s="24" t="inlineStr">
        <is>
          <t>measured-edge-totals-v3</t>
        </is>
      </c>
      <c r="U41" s="24" t="inlineStr">
        <is>
          <t>settled</t>
        </is>
      </c>
      <c r="V41" s="24" t="inlineStr">
        <is>
          <t>loss</t>
        </is>
      </c>
      <c r="W41" s="26" t="n">
        <v>1</v>
      </c>
      <c r="X41" s="26" t="n">
        <v>2</v>
      </c>
      <c r="Y41" s="25" t="n">
        <v>6.5</v>
      </c>
      <c r="Z41" s="26" t="n">
        <v>113</v>
      </c>
      <c r="AA41" s="28" t="n">
        <v>0.47</v>
      </c>
      <c r="AB41" s="28" t="n">
        <v>0.000516</v>
      </c>
      <c r="AC41" s="30" t="n">
        <v>-1</v>
      </c>
      <c r="AD41" s="24" t="inlineStr">
        <is>
          <t>2026-10-12T10:03:57.294894Z</t>
        </is>
      </c>
      <c r="AE41" s="31" t="inlineStr">
        <is>
          <t>Measured Edge Totals: Trend Engine projected 3.64-3.89; raw selected-side p=0.5844, calibrated p=0.5268.</t>
        </is>
      </c>
      <c r="AF41" s="31" t="inlineStr">
        <is>
          <t>Research-only; lineup, bullpen, park, weather, xFIP, and wRC+ may be neutral fallbacks; market availability and BBO depth may change before first pitch.</t>
        </is>
      </c>
      <c r="AG41" s="24" t="inlineStr">
        <is>
          <t>review_required</t>
        </is>
      </c>
      <c r="AH41" s="24" t="n"/>
      <c r="AI41" s="31" t="n"/>
      <c r="AJ41" s="31" t="n"/>
      <c r="AK41" s="24" t="inlineStr">
        <is>
          <t>paper_call</t>
        </is>
      </c>
      <c r="AL41" s="26" t="n">
        <v>4</v>
      </c>
      <c r="AM41" s="24" t="inlineStr">
        <is>
          <t>RESEARCH_OBSERVATION</t>
        </is>
      </c>
      <c r="AN41" s="24" t="inlineStr">
        <is>
          <t>CALL</t>
        </is>
      </c>
      <c r="AO41" s="24" t="inlineStr">
        <is>
          <t>PAPER_CALL_MODEL_UNVALIDATED</t>
        </is>
      </c>
      <c r="AP41" s="24" t="inlineStr">
        <is>
          <t>mlb-lad</t>
        </is>
      </c>
      <c r="AQ41" s="24" t="inlineStr">
        <is>
          <t>Los Angeles Dodgers</t>
        </is>
      </c>
      <c r="AR41" s="24" t="inlineStr">
        <is>
          <t>Los Angeles Dodgers</t>
        </is>
      </c>
      <c r="AS41" s="24" t="inlineStr">
        <is>
          <t>mlb-mil</t>
        </is>
      </c>
      <c r="AT41" s="24" t="inlineStr">
        <is>
          <t>Milwaukee Brewers</t>
        </is>
      </c>
      <c r="AU41" s="24" t="inlineStr">
        <is>
          <t>Milwaukee Brewers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95b84332c75d2ce54036eb8de6ada9c78d0f80228c50825c0347281a8b9b49c7</t>
        </is>
      </c>
      <c r="BB41" s="24" t="inlineStr">
        <is>
          <t>flat_probability_shrinkage_toward_half</t>
        </is>
      </c>
      <c r="BC41" s="24" t="inlineStr">
        <is>
          <t>measured-edge-totals-v3</t>
        </is>
      </c>
      <c r="BD41" s="24" t="inlineStr">
        <is>
          <t>95b84332c75d2ce54036eb8de6ada9c78d0f80228c50825c0347281a8b9b49c7</t>
        </is>
      </c>
      <c r="BE41" s="24" t="inlineStr">
        <is>
          <t>v3</t>
        </is>
      </c>
      <c r="BF41" s="24" t="inlineStr">
        <is>
          <t>1</t>
        </is>
      </c>
      <c r="BG41" s="24" t="inlineStr">
        <is>
          <t>measured-edge-paired-v1</t>
        </is>
      </c>
      <c r="BH41" s="24" t="inlineStr">
        <is>
          <t>2026-10-11T22:37:03.997573Z</t>
        </is>
      </c>
      <c r="BI41" s="24" t="inlineStr">
        <is>
          <t>["same_event","same_team_same_day","same_league_same_day"]</t>
        </is>
      </c>
      <c r="BJ41" s="25" t="n">
        <v>6.5</v>
      </c>
      <c r="BK41" s="26" t="n">
        <v>113</v>
      </c>
      <c r="BL41" s="27" t="n">
        <v>2.13</v>
      </c>
      <c r="BM41" s="28" t="n">
        <v>0.469484</v>
      </c>
      <c r="BN41" s="28" t="n">
        <v>0.467662</v>
      </c>
      <c r="BO41" s="28" t="n"/>
      <c r="BP41" s="25" t="n"/>
      <c r="BQ41" s="27" t="n">
        <v>2.13</v>
      </c>
      <c r="BR41" s="28" t="n">
        <v>0.47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  <c r="CT41" s="24" t="inlineStr">
        <is>
          <t>a9b23362b31654324ebb68d50a78c7a7cbb34dedfe01df9a0d6220e66c25ca47</t>
        </is>
      </c>
      <c r="CU41" s="24" t="inlineStr">
        <is>
          <t>7da9fbc6da4044536749c6fcd9abae7c13da55057708570036207f0597844565</t>
        </is>
      </c>
      <c r="CV41" s="24" t="inlineStr">
        <is>
          <t>E:\model-prediction\config\model.yaml</t>
        </is>
      </c>
      <c r="CW41" s="24" t="inlineStr">
        <is>
          <t>1dad20b56ac0a94181b31c5f71abe66cc0ee1acd8c8792d0aacf42b7a6fc32e6</t>
        </is>
      </c>
      <c r="CX41" s="24" t="inlineStr">
        <is>
          <t>E:\model-prediction\config\models\measured-edge-totals-v3.json</t>
        </is>
      </c>
      <c r="CY41" s="24" t="inlineStr">
        <is>
          <t>2026-10-11T22:37:03.997573Z</t>
        </is>
      </c>
      <c r="CZ41" s="24" t="inlineStr">
        <is>
          <t>True</t>
        </is>
      </c>
      <c r="DA41" s="24" t="inlineStr">
        <is>
          <t>polymarket_us</t>
        </is>
      </c>
      <c r="DB41" s="24" t="inlineStr">
        <is>
          <t>decision_time_executable_quote</t>
        </is>
      </c>
      <c r="DC41" s="24" t="inlineStr">
        <is>
          <t>False</t>
        </is>
      </c>
      <c r="DD41" s="24" t="inlineStr">
        <is>
          <t>238638063a95e4822e8a7b9b8b815b2a75af1f632c73bde4587085bd296689ba</t>
        </is>
      </c>
      <c r="DE41" s="24" t="inlineStr">
        <is>
          <t>E:\model-prediction\data\market_odds_snapshots.jsonl</t>
        </is>
      </c>
      <c r="DF41" s="24" t="inlineStr">
        <is>
          <t>238638063a95e4822e8a7b9b8b815b2a75af1f632c73bde4587085bd296689ba</t>
        </is>
      </c>
      <c r="DG41" s="24" t="inlineStr">
        <is>
          <t>live_forecast</t>
        </is>
      </c>
      <c r="DH41" s="24" t="inlineStr">
        <is>
          <t>False</t>
        </is>
      </c>
      <c r="DI41" s="24" t="inlineStr">
        <is>
          <t>0.526765</t>
        </is>
      </c>
      <c r="DJ41" s="24" t="inlineStr">
        <is>
          <t>0.4694835680751174</t>
        </is>
      </c>
      <c r="DK41" s="24" t="inlineStr">
        <is>
          <t>0.526765</t>
        </is>
      </c>
      <c r="DL41" s="24" t="n"/>
      <c r="DM41" s="24" t="n"/>
      <c r="DN41" s="24" t="n"/>
      <c r="DO41" s="24" t="n"/>
      <c r="DP41" s="24" t="n"/>
      <c r="DQ41" s="24" t="n"/>
    </row>
    <row r="42" ht="36" customHeight="1">
      <c r="A42" s="24" t="inlineStr">
        <is>
          <t>a069b7fad5094c97</t>
        </is>
      </c>
      <c r="B42" s="24" t="inlineStr">
        <is>
          <t>2026-10-12T16:48:08.321738Z</t>
        </is>
      </c>
      <c r="C42" s="24" t="inlineStr">
        <is>
          <t>2026-10-12T17:00:00-0400</t>
        </is>
      </c>
      <c r="D42" s="24" t="inlineStr">
        <is>
          <t>401908031</t>
        </is>
      </c>
      <c r="E42" s="24" t="inlineStr">
        <is>
          <t>MLB</t>
        </is>
      </c>
      <c r="F42" s="24" t="inlineStr">
        <is>
          <t>Los Angeles Dodgers</t>
        </is>
      </c>
      <c r="G42" s="24" t="inlineStr">
        <is>
          <t>Milwaukee Brewers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122</v>
      </c>
      <c r="M42" s="27" t="n">
        <v>2.22</v>
      </c>
      <c r="N42" s="28" t="n">
        <v>0.45045</v>
      </c>
      <c r="O42" s="28" t="n">
        <v>0.56125</v>
      </c>
      <c r="P42" s="28" t="n"/>
      <c r="Q42" s="28" t="n">
        <v>0.1108</v>
      </c>
      <c r="R42" s="26" t="n">
        <v>77</v>
      </c>
      <c r="S42" s="29" t="n">
        <v>1.5</v>
      </c>
      <c r="T42" s="24" t="inlineStr">
        <is>
          <t>mlb-elo-trend-lr-v8</t>
        </is>
      </c>
      <c r="U42" s="24" t="inlineStr">
        <is>
          <t>settled</t>
        </is>
      </c>
      <c r="V42" s="24" t="inlineStr">
        <is>
          <t>win</t>
        </is>
      </c>
      <c r="W42" s="26" t="n">
        <v>4</v>
      </c>
      <c r="X42" s="26" t="n">
        <v>7</v>
      </c>
      <c r="Y42" s="25" t="n"/>
      <c r="Z42" s="26" t="n">
        <v>122</v>
      </c>
      <c r="AA42" s="28" t="n">
        <v>0.45</v>
      </c>
      <c r="AB42" s="28" t="n">
        <v>-0.00045</v>
      </c>
      <c r="AC42" s="30" t="n">
        <v>1.83</v>
      </c>
      <c r="AD42" s="24" t="inlineStr">
        <is>
          <t>2026-10-13T04:34:32.512512Z</t>
        </is>
      </c>
      <c r="AE42" s="31" t="inlineStr">
        <is>
          <t>Learned LR call at threshold 0.6197; executable ask 0.4500 (aec-mlb-lad-mil-2026-10-12); model edge vs ask +0.1113.</t>
        </is>
      </c>
      <c r="AF42" s="31" t="inlineStr">
        <is>
          <t>Learned model; shadow-qualified via operator override.</t>
        </is>
      </c>
      <c r="AG42" s="24" t="inlineStr">
        <is>
          <t>not_applicable</t>
        </is>
      </c>
      <c r="AH42" s="24" t="n"/>
      <c r="AI42" s="31" t="n"/>
      <c r="AJ42" s="31" t="n"/>
      <c r="AK42" s="24" t="inlineStr">
        <is>
          <t>paper_call</t>
        </is>
      </c>
      <c r="AL42" s="26" t="n">
        <v>4</v>
      </c>
      <c r="AM42" s="24" t="inlineStr">
        <is>
          <t>RESEARCH_OBSERVATION</t>
        </is>
      </c>
      <c r="AN42" s="24" t="inlineStr">
        <is>
          <t>CALL</t>
        </is>
      </c>
      <c r="AO42" s="24" t="inlineStr">
        <is>
          <t>PAPER_CALL_BELOW_LEARNED_CONFIDENCE</t>
        </is>
      </c>
      <c r="AP42" s="24" t="inlineStr">
        <is>
          <t>mlb-lad</t>
        </is>
      </c>
      <c r="AQ42" s="24" t="inlineStr">
        <is>
          <t>Los Angeles Dodgers</t>
        </is>
      </c>
      <c r="AR42" s="24" t="inlineStr">
        <is>
          <t>Los Angeles Dodgers</t>
        </is>
      </c>
      <c r="AS42" s="24" t="inlineStr">
        <is>
          <t>mlb-mil</t>
        </is>
      </c>
      <c r="AT42" s="24" t="inlineStr">
        <is>
          <t>Milwaukee Brewers</t>
        </is>
      </c>
      <c r="AU42" s="24" t="inlineStr">
        <is>
          <t>Milwaukee Brewers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3b345499bd6bad9bcf65367a07fe0c668fb5817d4f016a0a865c01d9212fdeb8</t>
        </is>
      </c>
      <c r="BB42" s="24" t="inlineStr">
        <is>
          <t>learned_lr</t>
        </is>
      </c>
      <c r="BC42" s="24" t="inlineStr">
        <is>
          <t>mlb-elo-trend-lr-v8</t>
        </is>
      </c>
      <c r="BD42" s="24" t="inlineStr">
        <is>
          <t>3b345499bd6bad9bcf65367a07fe0c668fb5817d4f016a0a865c01d9212fdeb8</t>
        </is>
      </c>
      <c r="BE42" s="24" t="inlineStr">
        <is>
          <t>f87be1e2408786cd</t>
        </is>
      </c>
      <c r="BF42" s="24" t="inlineStr">
        <is>
          <t>1</t>
        </is>
      </c>
      <c r="BG42" s="24" t="inlineStr">
        <is>
          <t>mlb-elo-trend-lr-v8</t>
        </is>
      </c>
      <c r="BH42" s="24" t="inlineStr">
        <is>
          <t>2026-10-12T16:20:07.747907Z</t>
        </is>
      </c>
      <c r="BI42" s="24" t="inlineStr">
        <is>
          <t>["same_event","same_team_same_day","same_league_same_day"]</t>
        </is>
      </c>
      <c r="BJ42" s="25" t="n"/>
      <c r="BK42" s="26" t="n">
        <v>122</v>
      </c>
      <c r="BL42" s="27" t="n">
        <v>2.22</v>
      </c>
      <c r="BM42" s="28" t="n">
        <v>0.45045</v>
      </c>
      <c r="BN42" s="28" t="n">
        <v>0.447761</v>
      </c>
      <c r="BO42" s="28" t="n"/>
      <c r="BP42" s="25" t="n"/>
      <c r="BQ42" s="27" t="n">
        <v>2.22</v>
      </c>
      <c r="BR42" s="28" t="n">
        <v>0.45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inlineStr">
        <is>
          <t>0.5586570189</t>
        </is>
      </c>
      <c r="CD42" s="24" t="inlineStr">
        <is>
          <t>-0.06067</t>
        </is>
      </c>
      <c r="CE42" s="24" t="inlineStr">
        <is>
          <t>1.003</t>
        </is>
      </c>
      <c r="CF42" s="24" t="inlineStr">
        <is>
          <t>1.0</t>
        </is>
      </c>
      <c r="CG42" s="24" t="n"/>
      <c r="CH42" s="24" t="n"/>
      <c r="CI42" s="24" t="n"/>
      <c r="CJ42" s="24" t="inlineStr">
        <is>
          <t>-0.161278</t>
        </is>
      </c>
      <c r="CK42" s="24" t="n"/>
      <c r="CL42" s="24" t="inlineStr">
        <is>
          <t>0.210268</t>
        </is>
      </c>
      <c r="CM42" s="24" t="inlineStr">
        <is>
          <t>0.0124</t>
        </is>
      </c>
      <c r="CN42" s="24" t="n"/>
      <c r="CO42" s="24" t="n"/>
      <c r="CP42" s="24" t="n"/>
      <c r="CQ42" s="24" t="n"/>
      <c r="CR42" s="24" t="inlineStr">
        <is>
          <t>0.56125</t>
        </is>
      </c>
      <c r="CS42" s="24" t="inlineStr">
        <is>
          <t>True</t>
        </is>
      </c>
      <c r="CT42" s="24" t="n"/>
      <c r="CU42" s="24" t="n"/>
      <c r="CV42" s="24" t="n"/>
      <c r="CW42" s="24" t="n"/>
      <c r="CX42" s="24" t="n"/>
      <c r="CY42" s="24" t="inlineStr">
        <is>
          <t>2026-10-12T16:20:07.747907Z</t>
        </is>
      </c>
      <c r="CZ42" s="24" t="inlineStr">
        <is>
          <t>True</t>
        </is>
      </c>
      <c r="DA42" s="24" t="inlineStr">
        <is>
          <t>polymarket_us</t>
        </is>
      </c>
      <c r="DB42" s="24" t="inlineStr">
        <is>
          <t>decision_time_executable_quote</t>
        </is>
      </c>
      <c r="DC42" s="24" t="inlineStr">
        <is>
          <t>False</t>
        </is>
      </c>
      <c r="DD42" s="24" t="inlineStr">
        <is>
          <t>e5e25d0883e22631d060f6fbadff9e7bd84ccdbcc7f32dbb9c32e2cfbf6dcdae</t>
        </is>
      </c>
      <c r="DE42" s="24" t="inlineStr">
        <is>
          <t>E:\model-prediction\data\odds\mlb\2026-10-12\polymarket_snapshots.jsonl</t>
        </is>
      </c>
      <c r="DF42" s="24" t="inlineStr">
        <is>
          <t>e5e25d0883e22631d060f6fbadff9e7bd84ccdbcc7f32dbb9c32e2cfbf6dcdae</t>
        </is>
      </c>
      <c r="DG42" s="24" t="n"/>
      <c r="DH42" s="24" t="n"/>
      <c r="DI42" s="24" t="n"/>
      <c r="DJ42" s="24" t="n"/>
      <c r="DK42" s="24" t="n"/>
      <c r="DL42" s="24" t="n"/>
      <c r="DM42" s="24" t="n"/>
      <c r="DN42" s="24" t="n"/>
      <c r="DO42" s="24" t="n"/>
      <c r="DP42" s="24" t="n"/>
      <c r="DQ42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0.561250311353336, "event_id": "401908031", "event_start_utc": "2026-10-12T21:00:00+00:00", "features": {"bullpen_weakness_gap": 0.210268, "elo_probability": 0.5586570188693971, "park_factor": 1.003, "starter_era_gap": 0.0124, "trend_gap": -0.06067, "weather_factor": 1.0}, "historical_source_observation_times_verified": false, "model_version": "mlb-elo-trend-lr-v8", "observed_at_utc": "2026-10-12T16:48:08.321738+00:00", "schema": "learned-moneyline-replay-v1", "served_home_probability": 0.561250311353336, "snapshot_hash": "bf9387cddfc9444ddd9edf0f8847b44437862a3472daaf97c38c9fde150eba35"}</t>
        </is>
      </c>
    </row>
    <row r="43" ht="36" customHeight="1">
      <c r="A43" s="24" t="inlineStr">
        <is>
          <t>fbcee2dd8a9e4eb9</t>
        </is>
      </c>
      <c r="B43" s="24" t="inlineStr">
        <is>
          <t>2026-10-12T16:49:47.920086Z</t>
        </is>
      </c>
      <c r="C43" s="24" t="inlineStr">
        <is>
          <t>2026-10-12T21:00Z</t>
        </is>
      </c>
      <c r="D43" s="24" t="inlineStr">
        <is>
          <t>401908031</t>
        </is>
      </c>
      <c r="E43" s="24" t="inlineStr">
        <is>
          <t>MLB</t>
        </is>
      </c>
      <c r="F43" s="24" t="inlineStr">
        <is>
          <t>Los Angeles Dodgers</t>
        </is>
      </c>
      <c r="G43" s="24" t="inlineStr">
        <is>
          <t>Milwaukee Brewers</t>
        </is>
      </c>
      <c r="H43" s="24" t="inlineStr">
        <is>
          <t>nrfi</t>
        </is>
      </c>
      <c r="I43" s="24" t="inlineStr">
        <is>
          <t>yrfi</t>
        </is>
      </c>
      <c r="J43" s="25" t="n">
        <v>0.5</v>
      </c>
      <c r="K43" s="24" t="inlineStr">
        <is>
          <t>polymarket_us</t>
        </is>
      </c>
      <c r="L43" s="26" t="n">
        <v>144</v>
      </c>
      <c r="M43" s="27" t="n">
        <v>2.44</v>
      </c>
      <c r="N43" s="28" t="n">
        <v>0.409836</v>
      </c>
      <c r="O43" s="28" t="n">
        <v>0.445</v>
      </c>
      <c r="P43" s="28" t="n">
        <v>0.04</v>
      </c>
      <c r="Q43" s="28" t="n">
        <v>0.035164</v>
      </c>
      <c r="R43" s="26" t="n">
        <v>44</v>
      </c>
      <c r="S43" s="29" t="n">
        <v>1</v>
      </c>
      <c r="T43" s="24" t="inlineStr">
        <is>
          <t>mlb-nrfi-v4</t>
        </is>
      </c>
      <c r="U43" s="24" t="inlineStr">
        <is>
          <t>settled</t>
        </is>
      </c>
      <c r="V43" s="24" t="inlineStr">
        <is>
          <t>win</t>
        </is>
      </c>
      <c r="W43" s="26" t="n">
        <v>1</v>
      </c>
      <c r="X43" s="26" t="n">
        <v>1</v>
      </c>
      <c r="Y43" s="25" t="n"/>
      <c r="Z43" s="26" t="n"/>
      <c r="AA43" s="28" t="n"/>
      <c r="AB43" s="28" t="n"/>
      <c r="AC43" s="30" t="n">
        <v>1.44</v>
      </c>
      <c r="AD43" s="24" t="inlineStr">
        <is>
          <t>2026-10-13T04:35:07.198091Z</t>
        </is>
      </c>
      <c r="AE43" s="31" t="inlineStr">
        <is>
          <t>MLB 1st Inning YRFI: p=0.445 vs ask 0.410 (astatc-mlb-lad-mil-2026-10-12-yrfi; edge +0.0350) (mlb-nrfi-v4, 4272 training games)</t>
        </is>
      </c>
      <c r="AF43" s="31" t="inlineStr">
        <is>
          <t>1st inning variance, leadoff home run risk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4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mlb-lad</t>
        </is>
      </c>
      <c r="AQ43" s="24" t="inlineStr">
        <is>
          <t>Los Angeles Dodgers</t>
        </is>
      </c>
      <c r="AR43" s="24" t="inlineStr">
        <is>
          <t>Los Angeles Dodgers</t>
        </is>
      </c>
      <c r="AS43" s="24" t="inlineStr">
        <is>
          <t>mlb-mil</t>
        </is>
      </c>
      <c r="AT43" s="24" t="inlineStr">
        <is>
          <t>Milwaukee Brewers</t>
        </is>
      </c>
      <c r="AU43" s="24" t="inlineStr">
        <is>
          <t>Milwaukee Brewers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cd40bb944db502574b9d872cd33304728e4cdb96ce0e4e53046dfb089bd166ff</t>
        </is>
      </c>
      <c r="BB43" s="24" t="inlineStr">
        <is>
          <t>half_inning_interaction</t>
        </is>
      </c>
      <c r="BC43" s="24" t="inlineStr">
        <is>
          <t>mlb-nrfi-v4</t>
        </is>
      </c>
      <c r="BD43" s="24" t="inlineStr">
        <is>
          <t>cd40bb944db502574b9d872cd33304728e4cdb96ce0e4e53046dfb089bd166ff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scalar-artifact-replay-v1</t>
        </is>
      </c>
      <c r="BH43" s="24" t="inlineStr">
        <is>
          <t>2026-10-12T16:20:07.743407Z</t>
        </is>
      </c>
      <c r="BI43" s="24" t="inlineStr">
        <is>
          <t>["same_event","same_team_same_day","same_league_same_day"]</t>
        </is>
      </c>
      <c r="BJ43" s="25" t="n">
        <v>0.5</v>
      </c>
      <c r="BK43" s="26" t="n">
        <v>144</v>
      </c>
      <c r="BL43" s="27" t="n">
        <v>2.44</v>
      </c>
      <c r="BM43" s="28" t="n">
        <v>0.409836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inlineStr">
        <is>
          <t>2026-10-12T16:20:07.743407Z</t>
        </is>
      </c>
      <c r="CZ43" s="24" t="inlineStr">
        <is>
          <t>True</t>
        </is>
      </c>
      <c r="DA43" s="24" t="inlineStr">
        <is>
          <t>polymarket_us</t>
        </is>
      </c>
      <c r="DB43" s="24" t="inlineStr">
        <is>
          <t>decision_time_executable_quote</t>
        </is>
      </c>
      <c r="DC43" s="24" t="inlineStr">
        <is>
          <t>False</t>
        </is>
      </c>
      <c r="DD43" s="24" t="inlineStr">
        <is>
          <t>0170eb0d63d85ae7a445e785c617b61bf2f4ef41faa8c15134a24a33bd0dc7e4</t>
        </is>
      </c>
      <c r="DE43" s="24" t="inlineStr">
        <is>
          <t>E:\model-prediction\data\odds\mlb\2026-10-12\polymarket_snapshots.jsonl</t>
        </is>
      </c>
      <c r="DF43" s="24" t="inlineStr">
        <is>
          <t>0170eb0d63d85ae7a445e785c617b61bf2f4ef41faa8c15134a24a33bd0dc7e4</t>
        </is>
      </c>
      <c r="DG43" s="24" t="n"/>
      <c r="DH43" s="24" t="n"/>
      <c r="DI43" s="24" t="n"/>
      <c r="DJ43" s="24" t="n"/>
      <c r="DK43" s="24" t="n"/>
      <c r="DL43" s="24" t="n"/>
      <c r="DM43" s="24" t="n"/>
      <c r="DN43" s="24" t="n"/>
      <c r="DO43" s="24" t="n"/>
      <c r="DP43" s="24" t="n"/>
      <c r="DQ43" s="24" t="inlineStr">
        <is>
          <t>{"artifact": {"C": 1.0, "artifact_hash": "cd40bb944db502574b9d872cd33304728e4cdb96ce0e4e53046dfb089bd166ff", "coef_away": [-0.15092599233710682, 0.33375332491407694, 0.052641650764709516, 0.012200963333336163, -0.044124086984268916, -0.18338539828154118, -0.011069775160598767, -0.07334888990228486, 0.2843164406703071, -0.016022382971498418, -0.42919391686573305, -0.13322539735898248], "coef_home": [-0.056762054222791236, 0.1634913765713207, -0.12677479939259476, -0.10980892029364075, 0.0675840668410901, -0.2155237746431725, -0.0015823333282579347, -0.0017682883771573481, 0.30292713155931383, -0.26515719099464424, -0.24182390473213353, 0.146893598319729], "feature_names": ["top3_composite", "starter_opp_1st_runs", "starter_fip", "starter_k_pct", "starter_bb_pct", "park_1st_runs", "top3_same_hand_share", "team_1st_scored", "top3_park_interaction", "whiff_power_interaction", "starter_park_interaction", "fip_k_ratio"], "fit_n_games": 4272, "intercept_away": 1.0122829388370416, "intercept_home": 0.8796220049130925, "league": "MLB", "market_type": "nrfi", "method": "half_inning_interaction", "model_version": "mlb-nrfi-v4", "note": "Production-qualified MLB first-inning interaction component model replacing mlb-nrfi-v3.", "positive_class": "nrfi", "qualification": {"binary_accuracy": 0.5485, "calibration_ece": 0.021121, "framework": "half_inning_interaction_holdout", "holdout_brier_score": 0.247866, "holdout_log_loss": 0.688855, "locked_holdout": true, "note": "Two-half-inning decomposed model with non-linear interaction features (park, strikeout-whiff, platoon hand alignment) evaluated on 1,424 locked holdout test games.", "qualified": true, "sample_size": 1424, "status": "qualified"}, "scaler_mean_away": [0.10693852528089877, 0.5160531601123584, 3.887999765917613, 0.22160819288389438, 0.07721193820224699, 1.0095550561797733, 0.5512290262172258, 0.4530846910112346, 0.10797593867883881, 0.0832338340753744, 0.522421086896067, 12.74853166149649], "scaler_mean_home": [0.10687735955056178, 0.4668664091760332, 3.880392556179783, 0.22145009363295864, 0.07637907303370803, 1.0095550561797733, 0.5500498361423202, 0.5488433520599267, 0.10794226697635774, 0.08320755243679794, 0.47126779163623655, 12.714614928114717], "scaler_scale_away": [0.0048171779396999235, 0.12136652246642901, 1.0539601780342398, 0.05165113643883803, 0.02673985154876719, 0.09232773263326173, 0.10967171480498189, 0.0982166066212668, 0.01119895692211545, 0.0065842717464252515, 0.13841807595534883, 5.363640846622892], "scaler_scale_home": [0.0049927679114434974, 0.11700796360197874, 1.0206033876941032, 0.052293646761000234, 0.02791997429590162, 0.09232773263326173, 0.11057352848346676, 0.10479111868852325, 0.011525124767030699, 0.006780208072838942, 0.12566593459901798, 5.16406006135981], "schema_version": "2", "sport": "mlb"}, "artifact_hash": "cd40bb944db502574b9d872cd33304728e4cdb96ce0e4e53046dfb089bd166ff", "engine_source_sha256": "0d1788de892d97e815079a85f389a8dcfd16276fa807f5d446a8a943717fd8da", "event_id": "401908031", "event_start_utc": "2026-10-12T21:00Z", "features": {"away_starter_bb_pct": 0.069, "away_starter_days_rest": 6.0, "away_starter_fip": 2.937, "away_starter_k_pct": 0.2788, "away_starter_opp_1st_runs": 0.4276, "away_starter_starts": 4.3175, "away_team_1st_allowed_away": 0.4567, "away_team_1st_scored_away": 0.4685, "away_top3_composite": 0.11451, "home_starter_bb_pct": 0.0583, "home_starter_days_rest": 6.0, "home_starter_fip": 3.242, "home_starter_k_pct": 0.296, "home_starter_opp_1st_runs": 0.2923, "home_starter_starts": 3.091, "home_team_1st_allowed_home": 0.5112, "home_team_1st_scored_home": 0.6162, "home_top3_composite": 0.10642, "park_1st_runs": 1.0078}, "historical_source_observation_times_verified": false, "inference_inputs": {}, "model_version": "mlb-nrfi-v4", "observed_at_utc": "2026-10-12T16:49:47.920086+00:00", "replay_scope": "Exact final classifier/distribution inputs and artifact. Upstream historical feature construction not certified.", "schema": "scalar-artifact-replay-v1", "snapshot_hash": "175597173b2f66a21caaa1c22282d4f1f41472b54c49781b20211a8b19a8328f"}</t>
        </is>
      </c>
    </row>
    <row r="44" ht="36" customHeight="1">
      <c r="A44" s="24" t="inlineStr">
        <is>
          <t>51bbaa1ba1884166</t>
        </is>
      </c>
      <c r="B44" s="24" t="inlineStr">
        <is>
          <t>2026-10-12T16:49:46.272702Z</t>
        </is>
      </c>
      <c r="C44" s="24" t="inlineStr">
        <is>
          <t>2026-10-12T21:00Z</t>
        </is>
      </c>
      <c r="D44" s="24" t="inlineStr">
        <is>
          <t>401908031</t>
        </is>
      </c>
      <c r="E44" s="24" t="inlineStr">
        <is>
          <t>MLB</t>
        </is>
      </c>
      <c r="F44" s="24" t="inlineStr">
        <is>
          <t>Los Angeles Dodgers</t>
        </is>
      </c>
      <c r="G44" s="24" t="inlineStr">
        <is>
          <t>Milwaukee Brewers</t>
        </is>
      </c>
      <c r="H44" s="24" t="inlineStr">
        <is>
          <t>spread</t>
        </is>
      </c>
      <c r="I44" s="24" t="inlineStr">
        <is>
          <t>home</t>
        </is>
      </c>
      <c r="J44" s="25" t="n">
        <v>1.5</v>
      </c>
      <c r="K44" s="24" t="inlineStr">
        <is>
          <t>polymarket_us</t>
        </is>
      </c>
      <c r="L44" s="26" t="n">
        <v>-147</v>
      </c>
      <c r="M44" s="27" t="n">
        <v>1.680272</v>
      </c>
      <c r="N44" s="28" t="n">
        <v>0.5951419999999999</v>
      </c>
      <c r="O44" s="28" t="n">
        <v>0.626297</v>
      </c>
      <c r="P44" s="28" t="n">
        <v>0.042131</v>
      </c>
      <c r="Q44" s="28" t="n">
        <v>0.031155</v>
      </c>
      <c r="R44" s="26" t="n">
        <v>42</v>
      </c>
      <c r="S44" s="29" t="n">
        <v>1</v>
      </c>
      <c r="T44" s="24" t="inlineStr">
        <is>
          <t>measured-edge-margin-v3</t>
        </is>
      </c>
      <c r="U44" s="24" t="inlineStr">
        <is>
          <t>settled</t>
        </is>
      </c>
      <c r="V44" s="24" t="inlineStr">
        <is>
          <t>win</t>
        </is>
      </c>
      <c r="W44" s="26" t="n">
        <v>4</v>
      </c>
      <c r="X44" s="26" t="n">
        <v>7</v>
      </c>
      <c r="Y44" s="25" t="n">
        <v>1.5</v>
      </c>
      <c r="Z44" s="26" t="n">
        <v>-147</v>
      </c>
      <c r="AA44" s="28" t="n">
        <v>0.595</v>
      </c>
      <c r="AB44" s="28" t="n">
        <v>-0.000142</v>
      </c>
      <c r="AC44" s="30" t="n">
        <v>0.6803</v>
      </c>
      <c r="AD44" s="24" t="inlineStr">
        <is>
          <t>2026-10-13T04:34:40.802518Z</t>
        </is>
      </c>
      <c r="AE44" s="31" t="inlineStr">
        <is>
          <t>Measured Edge Margin: Trend Engine projected 3.88-3.86; raw selected-side p=0.6854, calibrated p=0.6263.</t>
        </is>
      </c>
      <c r="AF44" s="31" t="inlineStr">
        <is>
          <t>Research-only; lineup, bullpen, park, weather, xFIP, and wRC+ may be neutral fallbacks; market availability and BBO depth may change before first pitch.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4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mlb-lad</t>
        </is>
      </c>
      <c r="AQ44" s="24" t="inlineStr">
        <is>
          <t>Los Angeles Dodgers</t>
        </is>
      </c>
      <c r="AR44" s="24" t="inlineStr">
        <is>
          <t>Los Angeles Dodgers</t>
        </is>
      </c>
      <c r="AS44" s="24" t="inlineStr">
        <is>
          <t>mlb-mil</t>
        </is>
      </c>
      <c r="AT44" s="24" t="inlineStr">
        <is>
          <t>Milwaukee Brewers</t>
        </is>
      </c>
      <c r="AU44" s="24" t="inlineStr">
        <is>
          <t>Milwaukee Brewers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research</t>
        </is>
      </c>
      <c r="BA44" s="24" t="inlineStr">
        <is>
          <t>dd339a2eed50d7d83ab2127837995ddab82e879afd27f5414bb6c1f9cd60ba4c</t>
        </is>
      </c>
      <c r="BB44" s="24" t="inlineStr">
        <is>
          <t>flat_probability_shrinkage_toward_half</t>
        </is>
      </c>
      <c r="BC44" s="24" t="inlineStr">
        <is>
          <t>measured-edge-margin-v3</t>
        </is>
      </c>
      <c r="BD44" s="24" t="inlineStr">
        <is>
          <t>dd339a2eed50d7d83ab2127837995ddab82e879afd27f5414bb6c1f9cd60ba4c</t>
        </is>
      </c>
      <c r="BE44" s="24" t="inlineStr">
        <is>
          <t>v3</t>
        </is>
      </c>
      <c r="BF44" s="24" t="inlineStr">
        <is>
          <t>1</t>
        </is>
      </c>
      <c r="BG44" s="24" t="inlineStr">
        <is>
          <t>measured-edge-paired-v1</t>
        </is>
      </c>
      <c r="BH44" s="24" t="inlineStr">
        <is>
          <t>2026-10-12T16:49:46.272702Z</t>
        </is>
      </c>
      <c r="BI44" s="24" t="inlineStr">
        <is>
          <t>["same_event","same_team_same_day","same_league_same_day"]</t>
        </is>
      </c>
      <c r="BJ44" s="25" t="n">
        <v>1.5</v>
      </c>
      <c r="BK44" s="26" t="n">
        <v>-147</v>
      </c>
      <c r="BL44" s="27" t="n">
        <v>1.680272</v>
      </c>
      <c r="BM44" s="28" t="n">
        <v>0.5951419999999999</v>
      </c>
      <c r="BN44" s="28" t="n">
        <v>0.59204</v>
      </c>
      <c r="BO44" s="28" t="n"/>
      <c r="BP44" s="25" t="n"/>
      <c r="BQ44" s="27" t="n">
        <v>1.680272</v>
      </c>
      <c r="BR44" s="28" t="n">
        <v>0.595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True</t>
        </is>
      </c>
      <c r="CT44" s="24" t="inlineStr">
        <is>
          <t>a9b23362b31654324ebb68d50a78c7a7cbb34dedfe01df9a0d6220e66c25ca47</t>
        </is>
      </c>
      <c r="CU44" s="24" t="inlineStr">
        <is>
          <t>7da9fbc6da4044536749c6fcd9abae7c13da55057708570036207f0597844565</t>
        </is>
      </c>
      <c r="CV44" s="24" t="inlineStr">
        <is>
          <t>E:\model-prediction\config\model.yaml</t>
        </is>
      </c>
      <c r="CW44" s="24" t="inlineStr">
        <is>
          <t>1ac81f4be213944a7cce95cbe9a52520e640a9cc5ea1424409aeda60b059f716</t>
        </is>
      </c>
      <c r="CX44" s="24" t="inlineStr">
        <is>
          <t>E:\model-prediction\config\models\measured-edge-margin-v3.json</t>
        </is>
      </c>
      <c r="CY44" s="24" t="inlineStr">
        <is>
          <t>2026-10-12T16:49:46.272702Z</t>
        </is>
      </c>
      <c r="CZ44" s="24" t="inlineStr">
        <is>
          <t>True</t>
        </is>
      </c>
      <c r="DA44" s="24" t="inlineStr">
        <is>
          <t>polymarket_us</t>
        </is>
      </c>
      <c r="DB44" s="24" t="inlineStr">
        <is>
          <t>decision_time_executable_quote</t>
        </is>
      </c>
      <c r="DC44" s="24" t="inlineStr">
        <is>
          <t>False</t>
        </is>
      </c>
      <c r="DD44" s="24" t="inlineStr">
        <is>
          <t>0de952d60b22ceca041e6b3e014c472eefb531a2372dc57b37280afa8cf9d62b</t>
        </is>
      </c>
      <c r="DE44" s="24" t="inlineStr">
        <is>
          <t>E:\model-prediction\data\market_odds_snapshots.jsonl</t>
        </is>
      </c>
      <c r="DF44" s="24" t="inlineStr">
        <is>
          <t>0de952d60b22ceca041e6b3e014c472eefb531a2372dc57b37280afa8cf9d62b</t>
        </is>
      </c>
      <c r="DG44" s="24" t="inlineStr">
        <is>
          <t>live_forecast</t>
        </is>
      </c>
      <c r="DH44" s="24" t="inlineStr">
        <is>
          <t>False</t>
        </is>
      </c>
      <c r="DI44" s="24" t="inlineStr">
        <is>
          <t>0.626297</t>
        </is>
      </c>
      <c r="DJ44" s="24" t="inlineStr">
        <is>
          <t>0.5951417004048584</t>
        </is>
      </c>
      <c r="DK44" s="24" t="inlineStr">
        <is>
          <t>0.626297</t>
        </is>
      </c>
      <c r="DL44" s="24" t="n"/>
      <c r="DM44" s="24" t="n"/>
      <c r="DN44" s="24" t="n"/>
      <c r="DO44" s="24" t="n"/>
      <c r="DP44" s="24" t="n"/>
      <c r="DQ44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-1.5, "code_sha256": "58bccd1bb97abfc14ea818deb7642e49ab5cbaa6126f4e3d79f33944ad129267", "event_id": "401908031", "event_start_utc": "2026-10-12T21:00Z", "features": {"away_bullpen_status": "available", "away_bullpen_weakness": 0.543735, "away_form": {"losses": 2, "runs_allowed": [3, 3, 1, 1, 2], "runs_scored": [5, 2, 3, 4, 1], "status": "available", "wins": 3}, "away_starter": {"last_five_batters_faced": 127, "last_five_earned_runs": 8, "last_five_innings": 34.0, "last_five_strikeouts": 39, "last_five_walks": 7, "name": "Yoshinobu Yamamoto", "player_id": "4872587", "season_batters_faced": 734, "season_earned_runs": 53, "season_innings": 192.0, "season_strikeouts": 192, "season_walks": 43, "starts_before_game": 29, "status": "available", "throwing_hand": "Right", "xfip": null, "xfip_status": "unavailable_from_source"}, "away_team": "Los Angeles Dodgers", "decision_timestamp_utc": "2026-10-12T19:00:00Z", "event_id": "401908031", "event_start_utc": "2026-10-12T21:00Z", "feature_snapshot_hash": "7d7b06eff0e0d33cd615826e83040e8f126a4ad29425664cad4e4f2bc39fad7f", "home_bullpen_status": "available", "home_bullpen_weakness": 0.754003, "home_form": {"losses": 1, "runs_allowed": [2, 3, 4, 1, 1], "runs_scored": [3, 4, 3, 3, 2], "status": "available", "wins": 4}, "home_starter": {"last_five_batters_faced": 107, "last_five_earned_runs": 7, "last_five_innings": 27.0, "last_five_strikeouts": 28, "last_five_walks": 8, "name": "Logan Henderson", "player_id": "4917878", "season_batters_faced": 393, "season_earned_runs": 28, "season_innings": 103.33333333333333, "season_strikeouts": 114, "season_walks": 22, "starts_before_game": 19, "status": "available", "throwing_hand": "Right", "xfip": null, "xfip_status": "unavailable_from_source"}, "home_team": "Milwaukee Brewers", "lineup_status": "unavailable_from_source", "market_snapshot_hash": "0de952d60b22ceca041e6b3e014c472eefb531a2372dc57b37280afa8cf9d62b", "park_factor": 1.003, "park_factor_status": "available", "source_snapshot_ids": ["0faf88dcef65dbd6d6295c0fd1827500f5ee9a71651fb6ec14ce8d5972bc4ed4", "b4c13d8a85a420ad8ce753a57cd60f0238c56cfce8574bbfe0dfddb4a55b1a4a", "dbf84105f29d45bd6f071cb76557bad73db0717ae2b34dfcc4fe0d934c860f8e", "17dc5b8328c11ffd7df7d3597f5a1fe3236b0661a85e50a0f09ec3dc804d9360", "368205cdeacdb6a08924f93feaf9e661da5388ed3d3a78c82bdbc15a5a2c0212"], "starter_confirmed": false, "starter_status": "probable", "weather_factor": 1.0, "weather_status": "dome", "wrc_plus_status": "unavailable_from_source"}, "formula_spec": {"away_field_run_factor": 1.0, "bullpen_elasticity": 0.069018, "configuration_hash": "3b7bd3de474b03054313a1806d79c06d8b472b811a4a764926d95f599482d236",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4.5347,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"2026-10-12T16:49:46.272702+00:00", "raw_probabilities": {"away": 0.31465, "home": 0.68535, "push": 0.0}, "replay_scope": "Exact features, formula and deterministic Monte Carlo seed inputs; independently calibrated sides are not a joint distribution.", "run_estimate": {"away_expected_runs": 3.883091, "configuration_hash": "3b7bd3de474b03054313a1806d79c06d8b472b811a4a764926d95f599482d236", "factors": {"away_bullpen_weakness_index": 0.543735, "away_field_run_factor": 1.0, "away_offense_index": 0.8950698360965931, "away_starter_weakness_index": 0.5857242956382381, "home_bullpen_weakness_index": 0.754003, "home_field_run_factor": 1.04, "home_offense_index": 0.89767618391879, "home_starter_weakness_index": 0.6373193663905069, "park_factor": 1.003, "weather_factor": 1.0}, "feature_schema_version": "v3", "formula_version": "mlb-analyst-poisson-trend-v0.3", "home_expected_runs": 3.856703, "uncertainty": 0.042131, "uncertainty_components": {"base": 0.02, "lineup": 0.025, "missing_wrc_plus": 0.01, "missing_xfip": 0.01, "model_form": 0.01, "pitcher": 0.015, "starter_confirmation": 0.015}}, "schema": "mlb-margin-replay-v1", "served_probabilities": {"away": 0.373703, "home": 0.626297}, "snapshot_hash": "ef4d0f5364c6b929d16ca10a4299fb84b5a29f826c026fabd1067e85adf91b4b", "sport": "MLB"}</t>
        </is>
      </c>
    </row>
    <row r="45" ht="36" customHeight="1">
      <c r="A45" s="24" t="inlineStr">
        <is>
          <t>b2e3521316f4466d</t>
        </is>
      </c>
      <c r="B45" s="24" t="inlineStr">
        <is>
          <t>2026-10-12T16:49:46.272702Z</t>
        </is>
      </c>
      <c r="C45" s="24" t="inlineStr">
        <is>
          <t>2026-10-12T21:00Z</t>
        </is>
      </c>
      <c r="D45" s="24" t="inlineStr">
        <is>
          <t>401908031</t>
        </is>
      </c>
      <c r="E45" s="24" t="inlineStr">
        <is>
          <t>MLB</t>
        </is>
      </c>
      <c r="F45" s="24" t="inlineStr">
        <is>
          <t>Los Angeles Dodgers</t>
        </is>
      </c>
      <c r="G45" s="24" t="inlineStr">
        <is>
          <t>Milwaukee Brewers</t>
        </is>
      </c>
      <c r="H45" s="24" t="inlineStr">
        <is>
          <t>total</t>
        </is>
      </c>
      <c r="I45" s="24" t="inlineStr">
        <is>
          <t>over</t>
        </is>
      </c>
      <c r="J45" s="25" t="n">
        <v>6.5</v>
      </c>
      <c r="K45" s="24" t="inlineStr">
        <is>
          <t>polymarket_us</t>
        </is>
      </c>
      <c r="L45" s="26" t="n">
        <v>-125</v>
      </c>
      <c r="M45" s="27" t="n">
        <v>1.8</v>
      </c>
      <c r="N45" s="28" t="n">
        <v>0.555556</v>
      </c>
      <c r="O45" s="28" t="n">
        <v>0.532702</v>
      </c>
      <c r="P45" s="28" t="n">
        <v>0.042131</v>
      </c>
      <c r="Q45" s="28" t="n">
        <v>-0.022854</v>
      </c>
      <c r="R45" s="26" t="n">
        <v>15</v>
      </c>
      <c r="S45" s="29" t="n">
        <v>1</v>
      </c>
      <c r="T45" s="24" t="inlineStr">
        <is>
          <t>measured-edge-totals-v3</t>
        </is>
      </c>
      <c r="U45" s="24" t="inlineStr">
        <is>
          <t>settled</t>
        </is>
      </c>
      <c r="V45" s="24" t="inlineStr">
        <is>
          <t>win</t>
        </is>
      </c>
      <c r="W45" s="26" t="n">
        <v>4</v>
      </c>
      <c r="X45" s="26" t="n">
        <v>7</v>
      </c>
      <c r="Y45" s="25" t="n">
        <v>6.5</v>
      </c>
      <c r="Z45" s="26" t="n">
        <v>-125</v>
      </c>
      <c r="AA45" s="28" t="n">
        <v>0.555</v>
      </c>
      <c r="AB45" s="28" t="n">
        <v>-0.000556</v>
      </c>
      <c r="AC45" s="30" t="n">
        <v>0.8</v>
      </c>
      <c r="AD45" s="24" t="inlineStr">
        <is>
          <t>2026-10-13T04:34:50.840762Z</t>
        </is>
      </c>
      <c r="AE45" s="31" t="inlineStr">
        <is>
          <t>Measured Edge Totals: Trend Engine projected 3.88-3.86; raw selected-side p=0.6083, calibrated p=0.5327.</t>
        </is>
      </c>
      <c r="AF45" s="31" t="inlineStr">
        <is>
          <t>Research-only; lineup, bullpen, park, weather, xFIP, and wRC+ may be neutral fallbacks; market availability and BBO depth may change before first pitch.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paper_call</t>
        </is>
      </c>
      <c r="AL45" s="26" t="n">
        <v>4</v>
      </c>
      <c r="AM45" s="24" t="inlineStr">
        <is>
          <t>RESEARCH_OBSERVATION</t>
        </is>
      </c>
      <c r="AN45" s="24" t="inlineStr">
        <is>
          <t>CALL</t>
        </is>
      </c>
      <c r="AO45" s="24" t="inlineStr">
        <is>
          <t>PAPER_CALL_MODEL_UNVALIDATED</t>
        </is>
      </c>
      <c r="AP45" s="24" t="inlineStr">
        <is>
          <t>mlb-lad</t>
        </is>
      </c>
      <c r="AQ45" s="24" t="inlineStr">
        <is>
          <t>Los Angeles Dodgers</t>
        </is>
      </c>
      <c r="AR45" s="24" t="inlineStr">
        <is>
          <t>Los Angeles Dodgers</t>
        </is>
      </c>
      <c r="AS45" s="24" t="inlineStr">
        <is>
          <t>mlb-mil</t>
        </is>
      </c>
      <c r="AT45" s="24" t="inlineStr">
        <is>
          <t>Milwaukee Brewers</t>
        </is>
      </c>
      <c r="AU45" s="24" t="inlineStr">
        <is>
          <t>Milwaukee Brewers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research</t>
        </is>
      </c>
      <c r="BA45" s="24" t="inlineStr">
        <is>
          <t>95b84332c75d2ce54036eb8de6ada9c78d0f80228c50825c0347281a8b9b49c7</t>
        </is>
      </c>
      <c r="BB45" s="24" t="inlineStr">
        <is>
          <t>flat_probability_shrinkage_toward_half</t>
        </is>
      </c>
      <c r="BC45" s="24" t="inlineStr">
        <is>
          <t>measured-edge-totals-v3</t>
        </is>
      </c>
      <c r="BD45" s="24" t="inlineStr">
        <is>
          <t>95b84332c75d2ce54036eb8de6ada9c78d0f80228c50825c0347281a8b9b49c7</t>
        </is>
      </c>
      <c r="BE45" s="24" t="inlineStr">
        <is>
          <t>v3</t>
        </is>
      </c>
      <c r="BF45" s="24" t="inlineStr">
        <is>
          <t>1</t>
        </is>
      </c>
      <c r="BG45" s="24" t="inlineStr">
        <is>
          <t>measured-edge-paired-v1</t>
        </is>
      </c>
      <c r="BH45" s="24" t="inlineStr">
        <is>
          <t>2026-10-12T16:49:46.272702Z</t>
        </is>
      </c>
      <c r="BI45" s="24" t="inlineStr">
        <is>
          <t>["same_event","same_team_same_day","same_league_same_day"]</t>
        </is>
      </c>
      <c r="BJ45" s="25" t="n">
        <v>6.5</v>
      </c>
      <c r="BK45" s="26" t="n">
        <v>-125</v>
      </c>
      <c r="BL45" s="27" t="n">
        <v>1.8</v>
      </c>
      <c r="BM45" s="28" t="n">
        <v>0.555556</v>
      </c>
      <c r="BN45" s="28" t="n">
        <v>0.552239</v>
      </c>
      <c r="BO45" s="28" t="n"/>
      <c r="BP45" s="25" t="n"/>
      <c r="BQ45" s="27" t="n">
        <v>1.8</v>
      </c>
      <c r="BR45" s="28" t="n">
        <v>0.555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False</t>
        </is>
      </c>
      <c r="CT45" s="24" t="inlineStr">
        <is>
          <t>a9b23362b31654324ebb68d50a78c7a7cbb34dedfe01df9a0d6220e66c25ca47</t>
        </is>
      </c>
      <c r="CU45" s="24" t="inlineStr">
        <is>
          <t>7da9fbc6da4044536749c6fcd9abae7c13da55057708570036207f0597844565</t>
        </is>
      </c>
      <c r="CV45" s="24" t="inlineStr">
        <is>
          <t>E:\model-prediction\config\model.yaml</t>
        </is>
      </c>
      <c r="CW45" s="24" t="inlineStr">
        <is>
          <t>1dad20b56ac0a94181b31c5f71abe66cc0ee1acd8c8792d0aacf42b7a6fc32e6</t>
        </is>
      </c>
      <c r="CX45" s="24" t="inlineStr">
        <is>
          <t>E:\model-prediction\config\models\measured-edge-totals-v3.json</t>
        </is>
      </c>
      <c r="CY45" s="24" t="inlineStr">
        <is>
          <t>2026-10-12T16:49:46.272702Z</t>
        </is>
      </c>
      <c r="CZ45" s="24" t="inlineStr">
        <is>
          <t>True</t>
        </is>
      </c>
      <c r="DA45" s="24" t="inlineStr">
        <is>
          <t>polymarket_us</t>
        </is>
      </c>
      <c r="DB45" s="24" t="inlineStr">
        <is>
          <t>decision_time_executable_quote</t>
        </is>
      </c>
      <c r="DC45" s="24" t="inlineStr">
        <is>
          <t>False</t>
        </is>
      </c>
      <c r="DD45" s="24" t="inlineStr">
        <is>
          <t>0de952d60b22ceca041e6b3e014c472eefb531a2372dc57b37280afa8cf9d62b</t>
        </is>
      </c>
      <c r="DE45" s="24" t="inlineStr">
        <is>
          <t>E:\model-prediction\data\market_odds_snapshots.jsonl</t>
        </is>
      </c>
      <c r="DF45" s="24" t="inlineStr">
        <is>
          <t>0de952d60b22ceca041e6b3e014c472eefb531a2372dc57b37280afa8cf9d62b</t>
        </is>
      </c>
      <c r="DG45" s="24" t="inlineStr">
        <is>
          <t>live_forecast</t>
        </is>
      </c>
      <c r="DH45" s="24" t="inlineStr">
        <is>
          <t>False</t>
        </is>
      </c>
      <c r="DI45" s="24" t="inlineStr">
        <is>
          <t>0.532702</t>
        </is>
      </c>
      <c r="DJ45" s="24" t="inlineStr">
        <is>
          <t>0.5555555555555556</t>
        </is>
      </c>
      <c r="DK45" s="24" t="inlineStr">
        <is>
          <t>0.532702</t>
        </is>
      </c>
      <c r="DL45" s="24" t="n"/>
      <c r="DM45" s="24" t="n"/>
      <c r="DN45" s="24" t="n"/>
      <c r="DO45" s="24" t="n"/>
      <c r="DP45" s="24" t="n"/>
      <c r="DQ45" s="24" t="n"/>
    </row>
    <row r="46" ht="36" customHeight="1">
      <c r="A46" s="24" t="inlineStr">
        <is>
          <t>a1d7857d64cd4b83</t>
        </is>
      </c>
      <c r="B46" s="24" t="inlineStr">
        <is>
          <t>2026-10-12T22:25:35.575338Z</t>
        </is>
      </c>
      <c r="C46" s="24" t="inlineStr">
        <is>
          <t>2026-10-12T20:00:00-0400</t>
        </is>
      </c>
      <c r="D46" s="24" t="inlineStr">
        <is>
          <t>401908023</t>
        </is>
      </c>
      <c r="E46" s="24" t="inlineStr">
        <is>
          <t>MLB</t>
        </is>
      </c>
      <c r="F46" s="24" t="inlineStr">
        <is>
          <t>Cleveland Guardians</t>
        </is>
      </c>
      <c r="G46" s="24" t="inlineStr">
        <is>
          <t>Tampa Bay Rays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-153</v>
      </c>
      <c r="M46" s="27" t="n">
        <v>1.653595</v>
      </c>
      <c r="N46" s="28" t="n">
        <v>0.604743</v>
      </c>
      <c r="O46" s="28" t="n">
        <v>0.606034</v>
      </c>
      <c r="P46" s="28" t="n"/>
      <c r="Q46" s="28" t="n">
        <v>0.001291</v>
      </c>
      <c r="R46" s="26" t="n">
        <v>22</v>
      </c>
      <c r="S46" s="29" t="n">
        <v>1</v>
      </c>
      <c r="T46" s="24" t="inlineStr">
        <is>
          <t>mlb-elo-trend-lr-v8</t>
        </is>
      </c>
      <c r="U46" s="24" t="inlineStr">
        <is>
          <t>settled</t>
        </is>
      </c>
      <c r="V46" s="24" t="inlineStr">
        <is>
          <t>loss</t>
        </is>
      </c>
      <c r="W46" s="26" t="n">
        <v>7</v>
      </c>
      <c r="X46" s="26" t="n">
        <v>3</v>
      </c>
      <c r="Y46" s="25" t="n"/>
      <c r="Z46" s="26" t="n">
        <v>-153</v>
      </c>
      <c r="AA46" s="28" t="n">
        <v>0.605</v>
      </c>
      <c r="AB46" s="28" t="n">
        <v>0.000257</v>
      </c>
      <c r="AC46" s="30" t="n">
        <v>-1</v>
      </c>
      <c r="AD46" s="24" t="inlineStr">
        <is>
          <t>2026-10-13T04:35:25.585009Z</t>
        </is>
      </c>
      <c r="AE46" s="31" t="inlineStr">
        <is>
          <t>Learned LR call at threshold 0.6197; executable ask 0.6050 (aec-mlb-cle-tb-2026-10-12); model edge vs ask +0.0010.</t>
        </is>
      </c>
      <c r="AF46" s="31" t="inlineStr">
        <is>
          <t>Learned model; shadow-qualified via operator override.</t>
        </is>
      </c>
      <c r="AG46" s="24" t="inlineStr">
        <is>
          <t>review_required</t>
        </is>
      </c>
      <c r="AH46" s="24" t="n"/>
      <c r="AI46" s="31" t="n"/>
      <c r="AJ46" s="31" t="n"/>
      <c r="AK46" s="24" t="inlineStr">
        <is>
          <t>paper_call</t>
        </is>
      </c>
      <c r="AL46" s="26" t="n">
        <v>4</v>
      </c>
      <c r="AM46" s="24" t="inlineStr">
        <is>
          <t>RESEARCH_OBSERVATION</t>
        </is>
      </c>
      <c r="AN46" s="24" t="inlineStr">
        <is>
          <t>CALL</t>
        </is>
      </c>
      <c r="AO46" s="24" t="inlineStr">
        <is>
          <t>PAPER_CALL_BELOW_LEARNED_CONFIDENCE</t>
        </is>
      </c>
      <c r="AP46" s="24" t="inlineStr">
        <is>
          <t>mlb-cle</t>
        </is>
      </c>
      <c r="AQ46" s="24" t="inlineStr">
        <is>
          <t>Cleveland Guardians</t>
        </is>
      </c>
      <c r="AR46" s="24" t="inlineStr">
        <is>
          <t>Cleveland Guardians</t>
        </is>
      </c>
      <c r="AS46" s="24" t="inlineStr">
        <is>
          <t>mlb-tb</t>
        </is>
      </c>
      <c r="AT46" s="24" t="inlineStr">
        <is>
          <t>Tampa Bay Rays</t>
        </is>
      </c>
      <c r="AU46" s="24" t="inlineStr">
        <is>
          <t>Tampa Bay Rays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3b345499bd6bad9bcf65367a07fe0c668fb5817d4f016a0a865c01d9212fdeb8</t>
        </is>
      </c>
      <c r="BB46" s="24" t="inlineStr">
        <is>
          <t>learned_lr</t>
        </is>
      </c>
      <c r="BC46" s="24" t="inlineStr">
        <is>
          <t>mlb-elo-trend-lr-v8</t>
        </is>
      </c>
      <c r="BD46" s="24" t="inlineStr">
        <is>
          <t>3b345499bd6bad9bcf65367a07fe0c668fb5817d4f016a0a865c01d9212fdeb8</t>
        </is>
      </c>
      <c r="BE46" s="24" t="inlineStr">
        <is>
          <t>48bce84184cdc3c8</t>
        </is>
      </c>
      <c r="BF46" s="24" t="inlineStr">
        <is>
          <t>1</t>
        </is>
      </c>
      <c r="BG46" s="24" t="inlineStr">
        <is>
          <t>mlb-elo-trend-lr-v8</t>
        </is>
      </c>
      <c r="BH46" s="24" t="inlineStr">
        <is>
          <t>2026-10-12T22:06:03.031323Z</t>
        </is>
      </c>
      <c r="BI46" s="24" t="inlineStr">
        <is>
          <t>["same_event","same_team_same_day","same_league_same_day"]</t>
        </is>
      </c>
      <c r="BJ46" s="25" t="n"/>
      <c r="BK46" s="26" t="n">
        <v>-153</v>
      </c>
      <c r="BL46" s="27" t="n">
        <v>1.653595</v>
      </c>
      <c r="BM46" s="28" t="n">
        <v>0.604743</v>
      </c>
      <c r="BN46" s="28" t="n">
        <v>0.60199</v>
      </c>
      <c r="BO46" s="28" t="n"/>
      <c r="BP46" s="25" t="n"/>
      <c r="BQ46" s="27" t="n">
        <v>1.653595</v>
      </c>
      <c r="BR46" s="28" t="n">
        <v>0.605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inlineStr">
        <is>
          <t>0.5858005437</t>
        </is>
      </c>
      <c r="CD46" s="24" t="inlineStr">
        <is>
          <t>0.577926</t>
        </is>
      </c>
      <c r="CE46" s="24" t="inlineStr">
        <is>
          <t>0.955</t>
        </is>
      </c>
      <c r="CF46" s="24" t="inlineStr">
        <is>
          <t>1.0</t>
        </is>
      </c>
      <c r="CG46" s="24" t="n"/>
      <c r="CH46" s="24" t="n"/>
      <c r="CI46" s="24" t="n"/>
      <c r="CJ46" s="24" t="inlineStr">
        <is>
          <t>0.083158</t>
        </is>
      </c>
      <c r="CK46" s="24" t="n"/>
      <c r="CL46" s="24" t="inlineStr">
        <is>
          <t>0.104282</t>
        </is>
      </c>
      <c r="CM46" s="24" t="inlineStr">
        <is>
          <t>-4.7503</t>
        </is>
      </c>
      <c r="CN46" s="24" t="n"/>
      <c r="CO46" s="24" t="n"/>
      <c r="CP46" s="24" t="n"/>
      <c r="CQ46" s="24" t="n"/>
      <c r="CR46" s="24" t="inlineStr">
        <is>
          <t>0.606034</t>
        </is>
      </c>
      <c r="CS46" s="24" t="inlineStr">
        <is>
          <t>True</t>
        </is>
      </c>
      <c r="CT46" s="24" t="n"/>
      <c r="CU46" s="24" t="n"/>
      <c r="CV46" s="24" t="n"/>
      <c r="CW46" s="24" t="n"/>
      <c r="CX46" s="24" t="n"/>
      <c r="CY46" s="24" t="inlineStr">
        <is>
          <t>2026-10-12T22:06:03.031323Z</t>
        </is>
      </c>
      <c r="CZ46" s="24" t="inlineStr">
        <is>
          <t>True</t>
        </is>
      </c>
      <c r="DA46" s="24" t="inlineStr">
        <is>
          <t>polymarket_us</t>
        </is>
      </c>
      <c r="DB46" s="24" t="inlineStr">
        <is>
          <t>decision_time_executable_quote</t>
        </is>
      </c>
      <c r="DC46" s="24" t="inlineStr">
        <is>
          <t>False</t>
        </is>
      </c>
      <c r="DD46" s="24" t="inlineStr">
        <is>
          <t>aed7dfe5be3799a7cc314e069ce02d48f4476d8fe6578feff5663d43d78832c2</t>
        </is>
      </c>
      <c r="DE46" s="24" t="inlineStr">
        <is>
          <t>E:\model-prediction\data\odds\mlb\2026-10-12\polymarket_snapshots.jsonl</t>
        </is>
      </c>
      <c r="DF46" s="24" t="inlineStr">
        <is>
          <t>aed7dfe5be3799a7cc314e069ce02d48f4476d8fe6578feff5663d43d78832c2</t>
        </is>
      </c>
      <c r="DG46" s="24" t="n"/>
      <c r="DH46" s="24" t="n"/>
      <c r="DI46" s="24" t="n"/>
      <c r="DJ46" s="24" t="n"/>
      <c r="DK46" s="24" t="n"/>
      <c r="DL46" s="24" t="n"/>
      <c r="DM46" s="24" t="n"/>
      <c r="DN46" s="24" t="n"/>
      <c r="DO46" s="24" t="n"/>
      <c r="DP46" s="24" t="n"/>
      <c r="DQ46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0.6060340225994608, "event_id": "401908023", "event_start_utc": "2026-10-13T00:00:00+00:00", "features": {"bullpen_weakness_gap": 0.104282, "elo_probability": 0.5858005437272492, "park_factor": 0.955, "starter_era_gap": -4.7503, "trend_gap": 0.577926, "weather_factor": 1.0}, "historical_source_observation_times_verified": false, "model_version": "mlb-elo-trend-lr-v8", "observed_at_utc": "2026-10-12T22:25:35.575338+00:00", "schema": "learned-moneyline-replay-v1", "served_home_probability": 0.6060340225994608, "snapshot_hash": "b49e8aae0492407beeee02b365537b3c9da22b71d6fd8d6dac1c580a5899d551"}</t>
        </is>
      </c>
    </row>
    <row r="47" ht="36" customHeight="1">
      <c r="A47" s="24" t="inlineStr">
        <is>
          <t>7c4c4180522d459d</t>
        </is>
      </c>
      <c r="B47" s="24" t="inlineStr">
        <is>
          <t>2026-10-12T22:26:13.231517Z</t>
        </is>
      </c>
      <c r="C47" s="24" t="inlineStr">
        <is>
          <t>2026-10-13T00:00Z</t>
        </is>
      </c>
      <c r="D47" s="24" t="inlineStr">
        <is>
          <t>401908023</t>
        </is>
      </c>
      <c r="E47" s="24" t="inlineStr">
        <is>
          <t>MLB</t>
        </is>
      </c>
      <c r="F47" s="24" t="inlineStr">
        <is>
          <t>Cleveland Guardians</t>
        </is>
      </c>
      <c r="G47" s="24" t="inlineStr">
        <is>
          <t>Tampa Bay Rays</t>
        </is>
      </c>
      <c r="H47" s="24" t="inlineStr">
        <is>
          <t>nrfi</t>
        </is>
      </c>
      <c r="I47" s="24" t="inlineStr">
        <is>
          <t>yrfi</t>
        </is>
      </c>
      <c r="J47" s="25" t="n">
        <v>0.5</v>
      </c>
      <c r="K47" s="24" t="inlineStr">
        <is>
          <t>polymarket_us</t>
        </is>
      </c>
      <c r="L47" s="26" t="n">
        <v>127</v>
      </c>
      <c r="M47" s="27" t="n">
        <v>2.27</v>
      </c>
      <c r="N47" s="28" t="n">
        <v>0.440529</v>
      </c>
      <c r="O47" s="28" t="n">
        <v>0.4674</v>
      </c>
      <c r="P47" s="28" t="n">
        <v>0.04</v>
      </c>
      <c r="Q47" s="28" t="n">
        <v>0.026871</v>
      </c>
      <c r="R47" s="26" t="n">
        <v>39</v>
      </c>
      <c r="S47" s="29" t="n">
        <v>1</v>
      </c>
      <c r="T47" s="24" t="inlineStr">
        <is>
          <t>mlb-nrfi-v4</t>
        </is>
      </c>
      <c r="U47" s="24" t="inlineStr">
        <is>
          <t>settled</t>
        </is>
      </c>
      <c r="V47" s="24" t="inlineStr">
        <is>
          <t>win</t>
        </is>
      </c>
      <c r="W47" s="26" t="n">
        <v>0</v>
      </c>
      <c r="X47" s="26" t="n">
        <v>2</v>
      </c>
      <c r="Y47" s="25" t="n"/>
      <c r="Z47" s="26" t="n"/>
      <c r="AA47" s="28" t="n"/>
      <c r="AB47" s="28" t="n"/>
      <c r="AC47" s="30" t="n">
        <v>1.27</v>
      </c>
      <c r="AD47" s="24" t="inlineStr">
        <is>
          <t>2026-10-13T04:36:44.942936Z</t>
        </is>
      </c>
      <c r="AE47" s="31" t="inlineStr">
        <is>
          <t>MLB 1st Inning YRFI: p=0.467 vs ask 0.440 (astatc-mlb-cle-tb-2026-10-12-yrfi; edge +0.0274) (mlb-nrfi-v4, 4272 training games)</t>
        </is>
      </c>
      <c r="AF47" s="31" t="inlineStr">
        <is>
          <t>1st inning variance, leadoff home run risk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4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mlb-cle</t>
        </is>
      </c>
      <c r="AQ47" s="24" t="inlineStr">
        <is>
          <t>Cleveland Guardians</t>
        </is>
      </c>
      <c r="AR47" s="24" t="inlineStr">
        <is>
          <t>Cleveland Guardians</t>
        </is>
      </c>
      <c r="AS47" s="24" t="inlineStr">
        <is>
          <t>mlb-tb</t>
        </is>
      </c>
      <c r="AT47" s="24" t="inlineStr">
        <is>
          <t>Tampa Bay Rays</t>
        </is>
      </c>
      <c r="AU47" s="24" t="inlineStr">
        <is>
          <t>Tampa Bay Rays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cd40bb944db502574b9d872cd33304728e4cdb96ce0e4e53046dfb089bd166ff</t>
        </is>
      </c>
      <c r="BB47" s="24" t="inlineStr">
        <is>
          <t>half_inning_interaction</t>
        </is>
      </c>
      <c r="BC47" s="24" t="inlineStr">
        <is>
          <t>mlb-nrfi-v4</t>
        </is>
      </c>
      <c r="BD47" s="24" t="inlineStr">
        <is>
          <t>cd40bb944db502574b9d872cd33304728e4cdb96ce0e4e53046dfb089bd166ff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scalar-artifact-replay-v1</t>
        </is>
      </c>
      <c r="BH47" s="24" t="inlineStr">
        <is>
          <t>2026-10-12T22:05:21.829091Z</t>
        </is>
      </c>
      <c r="BI47" s="24" t="inlineStr">
        <is>
          <t>["same_event","same_team_same_day","same_league_same_day"]</t>
        </is>
      </c>
      <c r="BJ47" s="25" t="n">
        <v>0.5</v>
      </c>
      <c r="BK47" s="26" t="n">
        <v>127</v>
      </c>
      <c r="BL47" s="27" t="n">
        <v>2.27</v>
      </c>
      <c r="BM47" s="28" t="n">
        <v>0.440529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inlineStr">
        <is>
          <t>2026-10-12T22:05:21.829091Z</t>
        </is>
      </c>
      <c r="CZ47" s="24" t="inlineStr">
        <is>
          <t>True</t>
        </is>
      </c>
      <c r="DA47" s="24" t="inlineStr">
        <is>
          <t>polymarket_us</t>
        </is>
      </c>
      <c r="DB47" s="24" t="inlineStr">
        <is>
          <t>decision_time_executable_quote</t>
        </is>
      </c>
      <c r="DC47" s="24" t="inlineStr">
        <is>
          <t>False</t>
        </is>
      </c>
      <c r="DD47" s="24" t="inlineStr">
        <is>
          <t>f6d5b3c3673806a105e1742a0d861704e7fe65cd6b0abec82dd95f47b2a78ccf</t>
        </is>
      </c>
      <c r="DE47" s="24" t="inlineStr">
        <is>
          <t>E:\model-prediction\data\odds\mlb\2026-10-12\polymarket_snapshots.jsonl</t>
        </is>
      </c>
      <c r="DF47" s="24" t="inlineStr">
        <is>
          <t>f6d5b3c3673806a105e1742a0d861704e7fe65cd6b0abec82dd95f47b2a78ccf</t>
        </is>
      </c>
      <c r="DG47" s="24" t="n"/>
      <c r="DH47" s="24" t="n"/>
      <c r="DI47" s="24" t="n"/>
      <c r="DJ47" s="24" t="n"/>
      <c r="DK47" s="24" t="n"/>
      <c r="DL47" s="24" t="n"/>
      <c r="DM47" s="24" t="n"/>
      <c r="DN47" s="24" t="n"/>
      <c r="DO47" s="24" t="n"/>
      <c r="DP47" s="24" t="n"/>
      <c r="DQ47" s="24" t="inlineStr">
        <is>
          <t>{"artifact": {"C": 1.0, "artifact_hash": "cd40bb944db502574b9d872cd33304728e4cdb96ce0e4e53046dfb089bd166ff", "coef_away": [-0.15092599233710682, 0.33375332491407694, 0.052641650764709516, 0.012200963333336163, -0.044124086984268916, -0.18338539828154118, -0.011069775160598767, -0.07334888990228486, 0.2843164406703071, -0.016022382971498418, -0.42919391686573305, -0.13322539735898248], "coef_home": [-0.056762054222791236, 0.1634913765713207, -0.12677479939259476, -0.10980892029364075, 0.0675840668410901, -0.2155237746431725, -0.0015823333282579347, -0.0017682883771573481, 0.30292713155931383, -0.26515719099464424, -0.24182390473213353, 0.146893598319729], "feature_names": ["top3_composite", "starter_opp_1st_runs", "starter_fip", "starter_k_pct", "starter_bb_pct", "park_1st_runs", "top3_same_hand_share", "team_1st_scored", "top3_park_interaction", "whiff_power_interaction", "starter_park_interaction", "fip_k_ratio"], "fit_n_games": 4272, "intercept_away": 1.0122829388370416, "intercept_home": 0.8796220049130925, "league": "MLB", "market_type": "nrfi", "method": "half_inning_interaction", "model_version": "mlb-nrfi-v4", "note": "Production-qualified MLB first-inning interaction component model replacing mlb-nrfi-v3.", "positive_class": "nrfi", "qualification": {"binary_accuracy": 0.5485, "calibration_ece": 0.021121, "framework": "half_inning_interaction_holdout", "holdout_brier_score": 0.247866, "holdout_log_loss": 0.688855, "locked_holdout": true, "note": "Two-half-inning decomposed model with non-linear interaction features (park, strikeout-whiff, platoon hand alignment) evaluated on 1,424 locked holdout test games.", "qualified": true, "sample_size": 1424, "status": "qualified"}, "scaler_mean_away": [0.10693852528089877, 0.5160531601123584, 3.887999765917613, 0.22160819288389438, 0.07721193820224699, 1.0095550561797733, 0.5512290262172258, 0.4530846910112346, 0.10797593867883881, 0.0832338340753744, 0.522421086896067, 12.74853166149649], "scaler_mean_home": [0.10687735955056178, 0.4668664091760332, 3.880392556179783, 0.22145009363295864, 0.07637907303370803, 1.0095550561797733, 0.5500498361423202, 0.5488433520599267, 0.10794226697635774, 0.08320755243679794, 0.47126779163623655, 12.714614928114717], "scaler_scale_away": [0.0048171779396999235, 0.12136652246642901, 1.0539601780342398, 0.05165113643883803, 0.02673985154876719, 0.09232773263326173, 0.10967171480498189, 0.0982166066212668, 0.01119895692211545, 0.0065842717464252515, 0.13841807595534883, 5.363640846622892], "scaler_scale_home": [0.0049927679114434974, 0.11700796360197874, 1.0206033876941032, 0.052293646761000234, 0.02791997429590162, 0.09232773263326173, 0.11057352848346676, 0.10479111868852325, 0.011525124767030699, 0.006780208072838942, 0.12566593459901798, 5.16406006135981], "schema_version": "2", "sport": "mlb"}, "artifact_hash": "cd40bb944db502574b9d872cd33304728e4cdb96ce0e4e53046dfb089bd166ff", "engine_source_sha256": "0d1788de892d97e815079a85f389a8dcfd16276fa807f5d446a8a943717fd8da", "event_id": "401908023", "event_start_utc": "2026-10-13T00:00Z", "features": {"away_starter_bb_pct": 0.0627, "away_starter_days_rest": 6.0, "away_starter_fip": 3.679, "away_starter_k_pct": 0.2284, "away_starter_opp_1st_runs": 0.3877, "away_starter_starts": 3.4012, "away_team_1st_allowed_away": 0.5014, "away_team_1st_scored_away": 0.4079, "away_top3_composite": 0.11093, "home_starter_bb_pct": 0.0543, "home_starter_days_rest": 6.0, "home_starter_fip": 3.198, "home_starter_k_pct": 0.2374, "home_starter_opp_1st_runs": 0.4041, "home_starter_starts": 4.1589, "home_team_1st_allowed_home": 0.4765, "home_team_1st_scored_home": 0.5426, "home_top3_composite": 0.11074, "park_1st_runs": 0.941}, "historical_source_observation_times_verified": false, "inference_inputs": {}, "model_version": "mlb-nrfi-v4", "observed_at_utc": "2026-10-12T22:26:13.231517+00:00", "replay_scope": "Exact final classifier/distribution inputs and artifact. Upstream historical feature construction not certified.", "schema": "scalar-artifact-replay-v1", "snapshot_hash": "75516e6059d279a56fbf884003bea57af9420559ac7023108a3ca154794465fc"}</t>
        </is>
      </c>
    </row>
    <row r="48" ht="36" customHeight="1">
      <c r="A48" s="24" t="inlineStr">
        <is>
          <t>5ab07ba3f5924139</t>
        </is>
      </c>
      <c r="B48" s="24" t="inlineStr">
        <is>
          <t>2026-10-12T22:26:12.154851Z</t>
        </is>
      </c>
      <c r="C48" s="24" t="inlineStr">
        <is>
          <t>2026-10-13T00:00Z</t>
        </is>
      </c>
      <c r="D48" s="24" t="inlineStr">
        <is>
          <t>401908023</t>
        </is>
      </c>
      <c r="E48" s="24" t="inlineStr">
        <is>
          <t>MLB</t>
        </is>
      </c>
      <c r="F48" s="24" t="inlineStr">
        <is>
          <t>Cleveland Guardians</t>
        </is>
      </c>
      <c r="G48" s="24" t="inlineStr">
        <is>
          <t>Tampa Bay Rays</t>
        </is>
      </c>
      <c r="H48" s="24" t="inlineStr">
        <is>
          <t>spread</t>
        </is>
      </c>
      <c r="I48" s="24" t="inlineStr">
        <is>
          <t>away</t>
        </is>
      </c>
      <c r="J48" s="25" t="n">
        <v>1.5</v>
      </c>
      <c r="K48" s="24" t="inlineStr">
        <is>
          <t>polymarket_us</t>
        </is>
      </c>
      <c r="L48" s="26" t="n">
        <v>-141</v>
      </c>
      <c r="M48" s="27" t="n">
        <v>1.70922</v>
      </c>
      <c r="N48" s="28" t="n">
        <v>0.585062</v>
      </c>
      <c r="O48" s="28" t="n">
        <v>0.550662</v>
      </c>
      <c r="P48" s="28" t="n">
        <v>0.042131</v>
      </c>
      <c r="Q48" s="28" t="n">
        <v>-0.0344</v>
      </c>
      <c r="R48" s="26" t="n">
        <v>9</v>
      </c>
      <c r="S48" s="29" t="n">
        <v>1</v>
      </c>
      <c r="T48" s="24" t="inlineStr">
        <is>
          <t>measured-edge-margin-v3</t>
        </is>
      </c>
      <c r="U48" s="24" t="inlineStr">
        <is>
          <t>settled</t>
        </is>
      </c>
      <c r="V48" s="24" t="inlineStr">
        <is>
          <t>win</t>
        </is>
      </c>
      <c r="W48" s="26" t="n">
        <v>7</v>
      </c>
      <c r="X48" s="26" t="n">
        <v>3</v>
      </c>
      <c r="Y48" s="25" t="n">
        <v>1.5</v>
      </c>
      <c r="Z48" s="26" t="n">
        <v>-141</v>
      </c>
      <c r="AA48" s="28" t="n">
        <v>0.585</v>
      </c>
      <c r="AB48" s="28" t="n">
        <v>-6.2e-05</v>
      </c>
      <c r="AC48" s="30" t="n">
        <v>0.7092000000000001</v>
      </c>
      <c r="AD48" s="24" t="inlineStr">
        <is>
          <t>2026-10-13T04:36:03.592021Z</t>
        </is>
      </c>
      <c r="AE48" s="31" t="inlineStr">
        <is>
          <t>Measured Edge Margin: Trend Engine projected 3.64-4.65; raw selected-side p=0.5744, calibrated p=0.5507.</t>
        </is>
      </c>
      <c r="AF48" s="31" t="inlineStr">
        <is>
          <t>Research-only; lineup, bullpen, park, weather, xFIP, and wRC+ may be neutral fallbacks; market availability and BBO depth may change before first pitch.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model_qualified</t>
        </is>
      </c>
      <c r="AL48" s="26" t="n">
        <v>4</v>
      </c>
      <c r="AM48" s="24" t="inlineStr">
        <is>
          <t>QUALIFIED_SHADOW_CALL</t>
        </is>
      </c>
      <c r="AN48" s="24" t="inlineStr">
        <is>
          <t>CALL</t>
        </is>
      </c>
      <c r="AO48" s="24" t="inlineStr">
        <is>
          <t>QUALIFIED</t>
        </is>
      </c>
      <c r="AP48" s="24" t="inlineStr">
        <is>
          <t>mlb-cle</t>
        </is>
      </c>
      <c r="AQ48" s="24" t="inlineStr">
        <is>
          <t>Cleveland Guardians</t>
        </is>
      </c>
      <c r="AR48" s="24" t="inlineStr">
        <is>
          <t>Cleveland Guardians</t>
        </is>
      </c>
      <c r="AS48" s="24" t="inlineStr">
        <is>
          <t>mlb-tb</t>
        </is>
      </c>
      <c r="AT48" s="24" t="inlineStr">
        <is>
          <t>Tampa Bay Rays</t>
        </is>
      </c>
      <c r="AU48" s="24" t="inlineStr">
        <is>
          <t>Tampa Bay Rays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research</t>
        </is>
      </c>
      <c r="BA48" s="24" t="inlineStr">
        <is>
          <t>dd339a2eed50d7d83ab2127837995ddab82e879afd27f5414bb6c1f9cd60ba4c</t>
        </is>
      </c>
      <c r="BB48" s="24" t="inlineStr">
        <is>
          <t>flat_probability_shrinkage_toward_half</t>
        </is>
      </c>
      <c r="BC48" s="24" t="inlineStr">
        <is>
          <t>measured-edge-margin-v3</t>
        </is>
      </c>
      <c r="BD48" s="24" t="inlineStr">
        <is>
          <t>dd339a2eed50d7d83ab2127837995ddab82e879afd27f5414bb6c1f9cd60ba4c</t>
        </is>
      </c>
      <c r="BE48" s="24" t="inlineStr">
        <is>
          <t>v3</t>
        </is>
      </c>
      <c r="BF48" s="24" t="inlineStr">
        <is>
          <t>1</t>
        </is>
      </c>
      <c r="BG48" s="24" t="inlineStr">
        <is>
          <t>measured-edge-paired-v1</t>
        </is>
      </c>
      <c r="BH48" s="24" t="inlineStr">
        <is>
          <t>2026-10-12T22:26:12.154851Z</t>
        </is>
      </c>
      <c r="BI48" s="24" t="inlineStr">
        <is>
          <t>["same_event","same_team_same_day","same_league_same_day"]</t>
        </is>
      </c>
      <c r="BJ48" s="25" t="n">
        <v>1.5</v>
      </c>
      <c r="BK48" s="26" t="n">
        <v>-141</v>
      </c>
      <c r="BL48" s="27" t="n">
        <v>1.70922</v>
      </c>
      <c r="BM48" s="28" t="n">
        <v>0.585062</v>
      </c>
      <c r="BN48" s="28" t="n">
        <v>0.58209</v>
      </c>
      <c r="BO48" s="28" t="n"/>
      <c r="BP48" s="25" t="n"/>
      <c r="BQ48" s="27" t="n">
        <v>1.70922</v>
      </c>
      <c r="BR48" s="28" t="n">
        <v>0.585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False</t>
        </is>
      </c>
      <c r="CT48" s="24" t="inlineStr">
        <is>
          <t>a9b23362b31654324ebb68d50a78c7a7cbb34dedfe01df9a0d6220e66c25ca47</t>
        </is>
      </c>
      <c r="CU48" s="24" t="inlineStr">
        <is>
          <t>7da9fbc6da4044536749c6fcd9abae7c13da55057708570036207f0597844565</t>
        </is>
      </c>
      <c r="CV48" s="24" t="inlineStr">
        <is>
          <t>E:\model-prediction\config\model.yaml</t>
        </is>
      </c>
      <c r="CW48" s="24" t="inlineStr">
        <is>
          <t>1ac81f4be213944a7cce95cbe9a52520e640a9cc5ea1424409aeda60b059f716</t>
        </is>
      </c>
      <c r="CX48" s="24" t="inlineStr">
        <is>
          <t>E:\model-prediction\config\models\measured-edge-margin-v3.json</t>
        </is>
      </c>
      <c r="CY48" s="24" t="inlineStr">
        <is>
          <t>2026-10-12T22:26:12.154851Z</t>
        </is>
      </c>
      <c r="CZ48" s="24" t="inlineStr">
        <is>
          <t>True</t>
        </is>
      </c>
      <c r="DA48" s="24" t="inlineStr">
        <is>
          <t>polymarket_us</t>
        </is>
      </c>
      <c r="DB48" s="24" t="inlineStr">
        <is>
          <t>decision_time_executable_quote</t>
        </is>
      </c>
      <c r="DC48" s="24" t="inlineStr">
        <is>
          <t>False</t>
        </is>
      </c>
      <c r="DD48" s="24" t="inlineStr">
        <is>
          <t>cf4bf7bbf55e76405eac1775f494d752b3e10ea9bbd6f7ef4087959ffa8d40d9</t>
        </is>
      </c>
      <c r="DE48" s="24" t="inlineStr">
        <is>
          <t>E:\model-prediction\data\market_odds_snapshots.jsonl</t>
        </is>
      </c>
      <c r="DF48" s="24" t="inlineStr">
        <is>
          <t>cf4bf7bbf55e76405eac1775f494d752b3e10ea9bbd6f7ef4087959ffa8d40d9</t>
        </is>
      </c>
      <c r="DG48" s="24" t="inlineStr">
        <is>
          <t>live_forecast</t>
        </is>
      </c>
      <c r="DH48" s="24" t="inlineStr">
        <is>
          <t>False</t>
        </is>
      </c>
      <c r="DI48" s="24" t="inlineStr">
        <is>
          <t>0.550662</t>
        </is>
      </c>
      <c r="DJ48" s="24" t="inlineStr">
        <is>
          <t>0.5850622406639003</t>
        </is>
      </c>
      <c r="DK48" s="24" t="inlineStr">
        <is>
          <t>0.550662</t>
        </is>
      </c>
      <c r="DL48" s="24" t="n"/>
      <c r="DM48" s="24" t="n"/>
      <c r="DN48" s="24" t="n"/>
      <c r="DO48" s="24" t="n"/>
      <c r="DP48" s="24" t="n"/>
      <c r="DQ48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"401908023", "event_start_utc": "2026-10-13T00:00Z", "features": {"away_bullpen_status": "available", "away_bullpen_weakness": 0.695946, "away_form": {"losses": 2, "runs_allowed": [3, 4, 3, 5, 0], "runs_scored": [0, 3, 9, 9, 2], "status": "available", "wins": 3}, "away_starter": {"last_five_batters_faced": 102, "last_five_earned_runs": 15, "last_five_innings": 21.0, "last_five_strikeouts": 26, "last_five_walks": 6, "name": "Foster Griffin", "player_id": "33773", "season_batters_faced": 735, "season_earned_runs": 70, "season_innings": 176.33333333333334, "season_strikeouts": 167, "season_walks": 45, "starts_before_game": 33, "status": "available", "throwing_hand": "Left", "xfip": null, "xfip_status": "unavailable_from_source"}, "away_team": "Cleveland Guardians", "decision_timestamp_utc": "2026-10-12T22:00:00Z", "event_id": "401908023", "event_start_utc": "2026-10-13T00:00Z", "feature_snapshot_hash": "42f817bcc58a27019724055985e39310228a73066759038a0c58e93c76c2bf73", "home_bullpen_status": "available", "home_bullpen_weakness": 0.800228, "home_form": {"losses": 0, "runs_allowed": [0, 2, 3], "runs_scored": [1, 5, 4], "status": "available", "wins": 3}, "home_starter": {"last_five_batters_faced": 121, "last_five_earned_runs": 3, "last_five_innings": 33.666666666666664, "last_five_strikeouts": 35, "last_five_walks": 7, "name": "Drew Rasmussen", "player_id": "42584", "season_batters_faced": 698, "season_earned_runs": 51, "season_innings": 180.66666666666666, "season_strikeouts": 185, "season_walks": 35, "starts_before_game": 32, "status": "available", "throwing_hand": "Right", "xfip": null, "xfip_status": "unavailable_from_source"}, "home_team": "Tampa Bay Rays", "lineup_status": "unavailable_from_source", "market_snapshot_hash": "cf4bf7bbf55e76405eac1775f494d752b3e10ea9bbd6f7ef4087959ffa8d40d9", "park_factor": 0.955, "park_factor_status": "available", "source_snapshot_ids": ["879f977d760ff636649f39bafa1bb501b3e3d8d3648b509970da30c8489c166c", "69a93f07b1719d08aae9496b56b4d3ef4399a897d274734d52c6a594bb0a32d9", "d93ab5450bf4ffa822d894343ead6dcc45222343c861cdc3fcea8cbbeae1ad4e", "b92c00e11d964414c9da14f6d74a0d3845ac58f5756eeefba621a20539b70d13", "ba4cf91587e899e6051717f7f751d1d1a3ab25029ff729d8dda18f6e3f3c5434"], "starter_confirmed": false, "starter_status": "probable", "weather_factor": 1.0, "weather_status": "dome", "wrc_plus_status": "unavailable_from_source"}, "formula_spec": {"away_field_run_factor": 1.0, "bullpen_elasticity": 0.069018, "configuration_hash": "3b7bd3de474b03054313a1806d79c06d8b472b811a4a764926d95f599482d236",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4.5347,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"2026-10-12T22:26:12.154851+00:00", "raw_probabilities": {"away": 0.57435, "home": 0.42565, "push": 0.0}, "replay_scope": "Exact features, formula and deterministic Monte Carlo seed inputs; independently calibrated sides are not a joint distribution.", "run_estimate": {"away_expected_runs": 3.635288, "configuration_hash": "3b7bd3de474b03054313a1806d79c06d8b472b811a4a764926d95f599482d236", "factors": {"away_bullpen_weakness_index": 0.695946, "away_field_run_factor": 1.0, "away_offense_index": 1.0123917275982095, "away_starter_weakness_index": 1.1061304684329474, "home_bullpen_weakness_index": 0.800228, "home_field_run_factor": 1.04, "home_offense_index": 0.9500103475210284, "home_starter_weakness_index": 0.5, "park_factor": 0.955, "weather_factor": 1.0}, "feature_schema_version": "v3", "formula_version": "mlb-analyst-poisson-trend-v0.3", "home_expected_runs": 4.654637, "uncertainty": 0.042131, "uncertainty_components": {"base": 0.02, "lineup": 0.025, "missing_wrc_plus": 0.01, "missing_xfip": 0.01, "model_form": 0.01, "pitcher": 0.015, "starter_confirmation": 0.015}}, "schema": "mlb-margin-replay-v1", "served_probabilities": {"away": 0.550662, "home": 0.449338}, "snapshot_hash": "71e0eb122c0d61632d6e5e5d3e7d9d7d644be0e2fb5fb619de35c0f51063ff91", "sport": "MLB"}</t>
        </is>
      </c>
    </row>
    <row r="49" ht="36" customHeight="1">
      <c r="A49" s="24" t="inlineStr">
        <is>
          <t>2b005304c14042e0</t>
        </is>
      </c>
      <c r="B49" s="24" t="inlineStr">
        <is>
          <t>2026-10-12T22:26:12.154851Z</t>
        </is>
      </c>
      <c r="C49" s="24" t="inlineStr">
        <is>
          <t>2026-10-13T00:00Z</t>
        </is>
      </c>
      <c r="D49" s="24" t="inlineStr">
        <is>
          <t>401908023</t>
        </is>
      </c>
      <c r="E49" s="24" t="inlineStr">
        <is>
          <t>MLB</t>
        </is>
      </c>
      <c r="F49" s="24" t="inlineStr">
        <is>
          <t>Cleveland Guardians</t>
        </is>
      </c>
      <c r="G49" s="24" t="inlineStr">
        <is>
          <t>Tampa Bay Rays</t>
        </is>
      </c>
      <c r="H49" s="24" t="inlineStr">
        <is>
          <t>total</t>
        </is>
      </c>
      <c r="I49" s="24" t="inlineStr">
        <is>
          <t>over</t>
        </is>
      </c>
      <c r="J49" s="25" t="n">
        <v>6.5</v>
      </c>
      <c r="K49" s="24" t="inlineStr">
        <is>
          <t>polymarket_us</t>
        </is>
      </c>
      <c r="L49" s="26" t="n">
        <v>-111</v>
      </c>
      <c r="M49" s="27" t="n">
        <v>1.900901</v>
      </c>
      <c r="N49" s="28" t="n">
        <v>0.526066</v>
      </c>
      <c r="O49" s="28" t="n">
        <v>0.544004</v>
      </c>
      <c r="P49" s="28" t="n">
        <v>0.042131</v>
      </c>
      <c r="Q49" s="28" t="n">
        <v>0.017938</v>
      </c>
      <c r="R49" s="26" t="n">
        <v>36</v>
      </c>
      <c r="S49" s="29" t="n">
        <v>1</v>
      </c>
      <c r="T49" s="24" t="inlineStr">
        <is>
          <t>measured-edge-totals-v3</t>
        </is>
      </c>
      <c r="U49" s="24" t="inlineStr">
        <is>
          <t>settled</t>
        </is>
      </c>
      <c r="V49" s="24" t="inlineStr">
        <is>
          <t>win</t>
        </is>
      </c>
      <c r="W49" s="26" t="n">
        <v>7</v>
      </c>
      <c r="X49" s="26" t="n">
        <v>3</v>
      </c>
      <c r="Y49" s="25" t="n">
        <v>6.5</v>
      </c>
      <c r="Z49" s="26" t="n">
        <v>-111</v>
      </c>
      <c r="AA49" s="28" t="n">
        <v>0.525</v>
      </c>
      <c r="AB49" s="28" t="n">
        <v>-0.001066</v>
      </c>
      <c r="AC49" s="30" t="n">
        <v>0.9009</v>
      </c>
      <c r="AD49" s="24" t="inlineStr">
        <is>
          <t>2026-10-13T04:36:22.549155Z</t>
        </is>
      </c>
      <c r="AE49" s="31" t="inlineStr">
        <is>
          <t>Measured Edge Totals: Trend Engine projected 3.64-4.65; raw selected-side p=0.6538, calibrated p=0.5440.</t>
        </is>
      </c>
      <c r="AF49" s="31" t="inlineStr">
        <is>
          <t>Research-only; lineup, bullpen, park, weather, xFIP, and wRC+ may be neutral fallbacks; market availability and BBO depth may change before first pitch.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paper_call</t>
        </is>
      </c>
      <c r="AL49" s="26" t="n">
        <v>4</v>
      </c>
      <c r="AM49" s="24" t="inlineStr">
        <is>
          <t>RESEARCH_OBSERVATION</t>
        </is>
      </c>
      <c r="AN49" s="24" t="inlineStr">
        <is>
          <t>CALL</t>
        </is>
      </c>
      <c r="AO49" s="24" t="inlineStr">
        <is>
          <t>PAPER_CALL_MODEL_UNVALIDATED</t>
        </is>
      </c>
      <c r="AP49" s="24" t="inlineStr">
        <is>
          <t>mlb-cle</t>
        </is>
      </c>
      <c r="AQ49" s="24" t="inlineStr">
        <is>
          <t>Cleveland Guardians</t>
        </is>
      </c>
      <c r="AR49" s="24" t="inlineStr">
        <is>
          <t>Cleveland Guardians</t>
        </is>
      </c>
      <c r="AS49" s="24" t="inlineStr">
        <is>
          <t>mlb-tb</t>
        </is>
      </c>
      <c r="AT49" s="24" t="inlineStr">
        <is>
          <t>Tampa Bay Rays</t>
        </is>
      </c>
      <c r="AU49" s="24" t="inlineStr">
        <is>
          <t>Tampa Bay Rays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research</t>
        </is>
      </c>
      <c r="BA49" s="24" t="inlineStr">
        <is>
          <t>95b84332c75d2ce54036eb8de6ada9c78d0f80228c50825c0347281a8b9b49c7</t>
        </is>
      </c>
      <c r="BB49" s="24" t="inlineStr">
        <is>
          <t>flat_probability_shrinkage_toward_half</t>
        </is>
      </c>
      <c r="BC49" s="24" t="inlineStr">
        <is>
          <t>measured-edge-totals-v3</t>
        </is>
      </c>
      <c r="BD49" s="24" t="inlineStr">
        <is>
          <t>95b84332c75d2ce54036eb8de6ada9c78d0f80228c50825c0347281a8b9b49c7</t>
        </is>
      </c>
      <c r="BE49" s="24" t="inlineStr">
        <is>
          <t>v3</t>
        </is>
      </c>
      <c r="BF49" s="24" t="inlineStr">
        <is>
          <t>1</t>
        </is>
      </c>
      <c r="BG49" s="24" t="inlineStr">
        <is>
          <t>measured-edge-paired-v1</t>
        </is>
      </c>
      <c r="BH49" s="24" t="inlineStr">
        <is>
          <t>2026-10-12T22:26:12.154851Z</t>
        </is>
      </c>
      <c r="BI49" s="24" t="inlineStr">
        <is>
          <t>["same_event","same_team_same_day","same_league_same_day"]</t>
        </is>
      </c>
      <c r="BJ49" s="25" t="n">
        <v>6.5</v>
      </c>
      <c r="BK49" s="26" t="n">
        <v>-111</v>
      </c>
      <c r="BL49" s="27" t="n">
        <v>1.900901</v>
      </c>
      <c r="BM49" s="28" t="n">
        <v>0.526066</v>
      </c>
      <c r="BN49" s="28" t="n">
        <v>0.522388</v>
      </c>
      <c r="BO49" s="28" t="n"/>
      <c r="BP49" s="25" t="n"/>
      <c r="BQ49" s="27" t="n">
        <v>1.900901</v>
      </c>
      <c r="BR49" s="28" t="n">
        <v>0.525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True</t>
        </is>
      </c>
      <c r="CT49" s="24" t="inlineStr">
        <is>
          <t>a9b23362b31654324ebb68d50a78c7a7cbb34dedfe01df9a0d6220e66c25ca47</t>
        </is>
      </c>
      <c r="CU49" s="24" t="inlineStr">
        <is>
          <t>7da9fbc6da4044536749c6fcd9abae7c13da55057708570036207f0597844565</t>
        </is>
      </c>
      <c r="CV49" s="24" t="inlineStr">
        <is>
          <t>E:\model-prediction\config\model.yaml</t>
        </is>
      </c>
      <c r="CW49" s="24" t="inlineStr">
        <is>
          <t>1dad20b56ac0a94181b31c5f71abe66cc0ee1acd8c8792d0aacf42b7a6fc32e6</t>
        </is>
      </c>
      <c r="CX49" s="24" t="inlineStr">
        <is>
          <t>E:\model-prediction\config\models\measured-edge-totals-v3.json</t>
        </is>
      </c>
      <c r="CY49" s="24" t="inlineStr">
        <is>
          <t>2026-10-12T22:26:12.154851Z</t>
        </is>
      </c>
      <c r="CZ49" s="24" t="inlineStr">
        <is>
          <t>True</t>
        </is>
      </c>
      <c r="DA49" s="24" t="inlineStr">
        <is>
          <t>polymarket_us</t>
        </is>
      </c>
      <c r="DB49" s="24" t="inlineStr">
        <is>
          <t>decision_time_executable_quote</t>
        </is>
      </c>
      <c r="DC49" s="24" t="inlineStr">
        <is>
          <t>False</t>
        </is>
      </c>
      <c r="DD49" s="24" t="inlineStr">
        <is>
          <t>cf4bf7bbf55e76405eac1775f494d752b3e10ea9bbd6f7ef4087959ffa8d40d9</t>
        </is>
      </c>
      <c r="DE49" s="24" t="inlineStr">
        <is>
          <t>E:\model-prediction\data\market_odds_snapshots.jsonl</t>
        </is>
      </c>
      <c r="DF49" s="24" t="inlineStr">
        <is>
          <t>cf4bf7bbf55e76405eac1775f494d752b3e10ea9bbd6f7ef4087959ffa8d40d9</t>
        </is>
      </c>
      <c r="DG49" s="24" t="inlineStr">
        <is>
          <t>live_forecast</t>
        </is>
      </c>
      <c r="DH49" s="24" t="inlineStr">
        <is>
          <t>False</t>
        </is>
      </c>
      <c r="DI49" s="24" t="inlineStr">
        <is>
          <t>0.544004</t>
        </is>
      </c>
      <c r="DJ49" s="24" t="inlineStr">
        <is>
          <t>0.5260663507109005</t>
        </is>
      </c>
      <c r="DK49" s="24" t="inlineStr">
        <is>
          <t>0.544004</t>
        </is>
      </c>
      <c r="DL49" s="24" t="n"/>
      <c r="DM49" s="24" t="n"/>
      <c r="DN49" s="24" t="n"/>
      <c r="DO49" s="24" t="n"/>
      <c r="DP49" s="24" t="n"/>
      <c r="DQ49" s="24" t="n"/>
    </row>
    <row r="50" ht="36" customHeight="1">
      <c r="A50" s="24" t="inlineStr">
        <is>
          <t>1488ddbab94b4236</t>
        </is>
      </c>
      <c r="B50" s="24" t="inlineStr">
        <is>
          <t>2026-10-13T22:27:15.806619Z</t>
        </is>
      </c>
      <c r="C50" s="24" t="inlineStr">
        <is>
          <t>2026-10-13T20:00:00-0400</t>
        </is>
      </c>
      <c r="D50" s="24" t="inlineStr">
        <is>
          <t>401908024</t>
        </is>
      </c>
      <c r="E50" s="24" t="inlineStr">
        <is>
          <t>MLB</t>
        </is>
      </c>
      <c r="F50" s="24" t="inlineStr">
        <is>
          <t>Cleveland Guardians</t>
        </is>
      </c>
      <c r="G50" s="24" t="inlineStr">
        <is>
          <t>Tampa Bay Rays</t>
        </is>
      </c>
      <c r="H50" s="24" t="inlineStr">
        <is>
          <t>moneyline</t>
        </is>
      </c>
      <c r="I50" s="24" t="inlineStr">
        <is>
          <t>home</t>
        </is>
      </c>
      <c r="J50" s="25" t="n"/>
      <c r="K50" s="24" t="inlineStr">
        <is>
          <t>polymarket_us</t>
        </is>
      </c>
      <c r="L50" s="26" t="n">
        <v>-127</v>
      </c>
      <c r="M50" s="27" t="n">
        <v>1.787402</v>
      </c>
      <c r="N50" s="28" t="n">
        <v>0.5594710000000001</v>
      </c>
      <c r="O50" s="28" t="n">
        <v>0.592028</v>
      </c>
      <c r="P50" s="28" t="n"/>
      <c r="Q50" s="28" t="n">
        <v>0.032557</v>
      </c>
      <c r="R50" s="26" t="n">
        <v>37</v>
      </c>
      <c r="S50" s="29" t="n">
        <v>1</v>
      </c>
      <c r="T50" s="24" t="inlineStr">
        <is>
          <t>mlb-elo-trend-lr-v8</t>
        </is>
      </c>
      <c r="U50" s="24" t="inlineStr">
        <is>
          <t>settled</t>
        </is>
      </c>
      <c r="V50" s="24" t="inlineStr">
        <is>
          <t>win</t>
        </is>
      </c>
      <c r="W50" s="26" t="n">
        <v>1</v>
      </c>
      <c r="X50" s="26" t="n">
        <v>3</v>
      </c>
      <c r="Y50" s="25" t="n"/>
      <c r="Z50" s="26" t="n">
        <v>-127</v>
      </c>
      <c r="AA50" s="28" t="n">
        <v>0.5600000000000001</v>
      </c>
      <c r="AB50" s="28" t="n">
        <v>0.000529</v>
      </c>
      <c r="AC50" s="30" t="n">
        <v>0.7874</v>
      </c>
      <c r="AD50" s="24" t="inlineStr">
        <is>
          <t>2026-10-14T04:31:49.619079Z</t>
        </is>
      </c>
      <c r="AE50" s="31" t="inlineStr">
        <is>
          <t>Learned LR call at threshold 0.6197; executable ask 0.5600 (aec-mlb-cle-tb-2026-10-13); model edge vs ask +0.0320.</t>
        </is>
      </c>
      <c r="AF50" s="31" t="inlineStr">
        <is>
          <t>Learned model; shadow-qualified via operator override.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paper_call</t>
        </is>
      </c>
      <c r="AL50" s="26" t="n">
        <v>4</v>
      </c>
      <c r="AM50" s="24" t="inlineStr">
        <is>
          <t>RESEARCH_OBSERVATION</t>
        </is>
      </c>
      <c r="AN50" s="24" t="inlineStr">
        <is>
          <t>CALL</t>
        </is>
      </c>
      <c r="AO50" s="24" t="inlineStr">
        <is>
          <t>PAPER_CALL_BELOW_LEARNED_CONFIDENCE</t>
        </is>
      </c>
      <c r="AP50" s="24" t="inlineStr">
        <is>
          <t>mlb-cle</t>
        </is>
      </c>
      <c r="AQ50" s="24" t="inlineStr">
        <is>
          <t>Cleveland Guardians</t>
        </is>
      </c>
      <c r="AR50" s="24" t="inlineStr">
        <is>
          <t>Cleveland Guardians</t>
        </is>
      </c>
      <c r="AS50" s="24" t="inlineStr">
        <is>
          <t>mlb-tb</t>
        </is>
      </c>
      <c r="AT50" s="24" t="inlineStr">
        <is>
          <t>Tampa Bay Rays</t>
        </is>
      </c>
      <c r="AU50" s="24" t="inlineStr">
        <is>
          <t>Tampa Bay Rays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3b345499bd6bad9bcf65367a07fe0c668fb5817d4f016a0a865c01d9212fdeb8</t>
        </is>
      </c>
      <c r="BB50" s="24" t="inlineStr">
        <is>
          <t>learned_lr</t>
        </is>
      </c>
      <c r="BC50" s="24" t="inlineStr">
        <is>
          <t>mlb-elo-trend-lr-v8</t>
        </is>
      </c>
      <c r="BD50" s="24" t="inlineStr">
        <is>
          <t>3b345499bd6bad9bcf65367a07fe0c668fb5817d4f016a0a865c01d9212fdeb8</t>
        </is>
      </c>
      <c r="BE50" s="24" t="inlineStr">
        <is>
          <t>71c90e2ae8a864eb</t>
        </is>
      </c>
      <c r="BF50" s="24" t="inlineStr">
        <is>
          <t>1</t>
        </is>
      </c>
      <c r="BG50" s="24" t="inlineStr">
        <is>
          <t>mlb-elo-trend-lr-v8</t>
        </is>
      </c>
      <c r="BH50" s="24" t="inlineStr">
        <is>
          <t>2026-10-13T22:08:18.156075Z</t>
        </is>
      </c>
      <c r="BI50" s="24" t="inlineStr">
        <is>
          <t>["same_event","same_team_same_day","same_league_same_day"]</t>
        </is>
      </c>
      <c r="BJ50" s="25" t="n"/>
      <c r="BK50" s="26" t="n">
        <v>-127</v>
      </c>
      <c r="BL50" s="27" t="n">
        <v>1.787402</v>
      </c>
      <c r="BM50" s="28" t="n">
        <v>0.5594710000000001</v>
      </c>
      <c r="BN50" s="28" t="n">
        <v>0.557214</v>
      </c>
      <c r="BO50" s="28" t="n"/>
      <c r="BP50" s="25" t="n"/>
      <c r="BQ50" s="27" t="n">
        <v>1.787402</v>
      </c>
      <c r="BR50" s="28" t="n">
        <v>0.5600000000000001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inlineStr">
        <is>
          <t>0.5749293822</t>
        </is>
      </c>
      <c r="CD50" s="24" t="inlineStr">
        <is>
          <t>-0.331739</t>
        </is>
      </c>
      <c r="CE50" s="24" t="inlineStr">
        <is>
          <t>0.955</t>
        </is>
      </c>
      <c r="CF50" s="24" t="inlineStr">
        <is>
          <t>1.0</t>
        </is>
      </c>
      <c r="CG50" s="24" t="n"/>
      <c r="CH50" s="24" t="n"/>
      <c r="CI50" s="24" t="n"/>
      <c r="CJ50" s="24" t="inlineStr">
        <is>
          <t>-0.781677</t>
        </is>
      </c>
      <c r="CK50" s="24" t="n"/>
      <c r="CL50" s="24" t="inlineStr">
        <is>
          <t>0.104282</t>
        </is>
      </c>
      <c r="CM50" s="24" t="inlineStr">
        <is>
          <t>-2.2331</t>
        </is>
      </c>
      <c r="CN50" s="24" t="n"/>
      <c r="CO50" s="24" t="n"/>
      <c r="CP50" s="24" t="n"/>
      <c r="CQ50" s="24" t="n"/>
      <c r="CR50" s="24" t="inlineStr">
        <is>
          <t>0.592028</t>
        </is>
      </c>
      <c r="CS50" s="24" t="inlineStr">
        <is>
          <t>True</t>
        </is>
      </c>
      <c r="CT50" s="24" t="n"/>
      <c r="CU50" s="24" t="n"/>
      <c r="CV50" s="24" t="n"/>
      <c r="CW50" s="24" t="n"/>
      <c r="CX50" s="24" t="n"/>
      <c r="CY50" s="24" t="inlineStr">
        <is>
          <t>2026-10-13T22:08:18.156075Z</t>
        </is>
      </c>
      <c r="CZ50" s="24" t="inlineStr">
        <is>
          <t>True</t>
        </is>
      </c>
      <c r="DA50" s="24" t="inlineStr">
        <is>
          <t>polymarket_us</t>
        </is>
      </c>
      <c r="DB50" s="24" t="inlineStr">
        <is>
          <t>decision_time_executable_quote</t>
        </is>
      </c>
      <c r="DC50" s="24" t="inlineStr">
        <is>
          <t>False</t>
        </is>
      </c>
      <c r="DD50" s="24" t="inlineStr">
        <is>
          <t>73e39232969265573eed3a666de0efd8f1ae32a33552565c57779c705a712a0f</t>
        </is>
      </c>
      <c r="DE50" s="24" t="inlineStr">
        <is>
          <t>E:\model-prediction\data\odds\mlb\2026-10-13\polymarket_snapshots.jsonl</t>
        </is>
      </c>
      <c r="DF50" s="24" t="inlineStr">
        <is>
          <t>73e39232969265573eed3a666de0efd8f1ae32a33552565c57779c705a712a0f</t>
        </is>
      </c>
      <c r="DG50" s="24" t="n"/>
      <c r="DH50" s="24" t="n"/>
      <c r="DI50" s="24" t="n"/>
      <c r="DJ50" s="24" t="n"/>
      <c r="DK50" s="24" t="n"/>
      <c r="DL50" s="24" t="n"/>
      <c r="DM50" s="24" t="n"/>
      <c r="DN50" s="24" t="n"/>
      <c r="DO50" s="24" t="n"/>
      <c r="DP50" s="24" t="n"/>
      <c r="DQ50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0.5920280508516855, "event_id": "401908024", "event_start_utc": "2026-10-14T00:00:00+00:00", "features": {"bullpen_weakness_gap": 0.104282, "elo_probability": 0.5749293821997575, "park_factor": 0.955, "starter_era_gap": -2.2331, "trend_gap": -0.331739, "weather_factor": 1.0}, "historical_source_observation_times_verified": false, "model_version": "mlb-elo-trend-lr-v8", "observed_at_utc": "2026-10-13T22:27:15.806619+00:00", "schema": "learned-moneyline-replay-v1", "served_home_probability": 0.5920280508516855, "snapshot_hash": "60c62ab4ce1d49bc6b66979366c331ba26a195494eba9b69702a9c61ec65f99e"}</t>
        </is>
      </c>
    </row>
    <row r="51" ht="36" customHeight="1">
      <c r="A51" s="24" t="inlineStr">
        <is>
          <t>f203633c4519435c</t>
        </is>
      </c>
      <c r="B51" s="24" t="inlineStr">
        <is>
          <t>2026-10-13T22:27:59.448390Z</t>
        </is>
      </c>
      <c r="C51" s="24" t="inlineStr">
        <is>
          <t>2026-10-14T00:00Z</t>
        </is>
      </c>
      <c r="D51" s="24" t="inlineStr">
        <is>
          <t>401908024</t>
        </is>
      </c>
      <c r="E51" s="24" t="inlineStr">
        <is>
          <t>MLB</t>
        </is>
      </c>
      <c r="F51" s="24" t="inlineStr">
        <is>
          <t>Cleveland Guardians</t>
        </is>
      </c>
      <c r="G51" s="24" t="inlineStr">
        <is>
          <t>Tampa Bay Rays</t>
        </is>
      </c>
      <c r="H51" s="24" t="inlineStr">
        <is>
          <t>nrfi</t>
        </is>
      </c>
      <c r="I51" s="24" t="inlineStr">
        <is>
          <t>yrfi</t>
        </is>
      </c>
      <c r="J51" s="25" t="n">
        <v>0.5</v>
      </c>
      <c r="K51" s="24" t="inlineStr">
        <is>
          <t>polymarket_us</t>
        </is>
      </c>
      <c r="L51" s="26" t="n">
        <v>122</v>
      </c>
      <c r="M51" s="27" t="n">
        <v>2.22</v>
      </c>
      <c r="N51" s="28" t="n">
        <v>0.45045</v>
      </c>
      <c r="O51" s="28" t="n">
        <v>0.4595</v>
      </c>
      <c r="P51" s="28" t="n">
        <v>0.04</v>
      </c>
      <c r="Q51" s="28" t="n">
        <v>0.009050000000000001</v>
      </c>
      <c r="R51" s="26" t="n">
        <v>31</v>
      </c>
      <c r="S51" s="29" t="n">
        <v>1</v>
      </c>
      <c r="T51" s="24" t="inlineStr">
        <is>
          <t>mlb-nrfi-v4</t>
        </is>
      </c>
      <c r="U51" s="24" t="inlineStr">
        <is>
          <t>settled</t>
        </is>
      </c>
      <c r="V51" s="24" t="inlineStr">
        <is>
          <t>loss</t>
        </is>
      </c>
      <c r="W51" s="26" t="n">
        <v>0</v>
      </c>
      <c r="X51" s="26" t="n">
        <v>0</v>
      </c>
      <c r="Y51" s="25" t="n"/>
      <c r="Z51" s="26" t="n"/>
      <c r="AA51" s="28" t="n"/>
      <c r="AB51" s="28" t="n"/>
      <c r="AC51" s="30" t="n">
        <v>-1</v>
      </c>
      <c r="AD51" s="24" t="inlineStr">
        <is>
          <t>2026-10-14T04:32:00.163554Z</t>
        </is>
      </c>
      <c r="AE51" s="31" t="inlineStr">
        <is>
          <t>MLB 1st Inning YRFI: p=0.460 vs ask 0.450 (astatc-mlb-cle-tb-2026-10-13-yrfi; edge +0.0095) (mlb-nrfi-v4, 4272 training games)</t>
        </is>
      </c>
      <c r="AF51" s="31" t="inlineStr">
        <is>
          <t>1st inning variance, leadoff home run risk</t>
        </is>
      </c>
      <c r="AG51" s="24" t="inlineStr">
        <is>
          <t>review_required</t>
        </is>
      </c>
      <c r="AH51" s="24" t="n"/>
      <c r="AI51" s="31" t="n"/>
      <c r="AJ51" s="31" t="n"/>
      <c r="AK51" s="24" t="inlineStr">
        <is>
          <t>model_qualified</t>
        </is>
      </c>
      <c r="AL51" s="26" t="n">
        <v>4</v>
      </c>
      <c r="AM51" s="24" t="inlineStr">
        <is>
          <t>QUALIFIED_SHADOW_CALL</t>
        </is>
      </c>
      <c r="AN51" s="24" t="inlineStr">
        <is>
          <t>CALL</t>
        </is>
      </c>
      <c r="AO51" s="24" t="inlineStr">
        <is>
          <t>QUALIFIED</t>
        </is>
      </c>
      <c r="AP51" s="24" t="inlineStr">
        <is>
          <t>mlb-cle</t>
        </is>
      </c>
      <c r="AQ51" s="24" t="inlineStr">
        <is>
          <t>Cleveland Guardians</t>
        </is>
      </c>
      <c r="AR51" s="24" t="inlineStr">
        <is>
          <t>Cleveland Guardians</t>
        </is>
      </c>
      <c r="AS51" s="24" t="inlineStr">
        <is>
          <t>mlb-tb</t>
        </is>
      </c>
      <c r="AT51" s="24" t="inlineStr">
        <is>
          <t>Tampa Bay Rays</t>
        </is>
      </c>
      <c r="AU51" s="24" t="inlineStr">
        <is>
          <t>Tampa Bay Rays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cd40bb944db502574b9d872cd33304728e4cdb96ce0e4e53046dfb089bd166ff</t>
        </is>
      </c>
      <c r="BB51" s="24" t="inlineStr">
        <is>
          <t>half_inning_interaction</t>
        </is>
      </c>
      <c r="BC51" s="24" t="inlineStr">
        <is>
          <t>mlb-nrfi-v4</t>
        </is>
      </c>
      <c r="BD51" s="24" t="inlineStr">
        <is>
          <t>cd40bb944db502574b9d872cd33304728e4cdb96ce0e4e53046dfb089bd166ff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scalar-artifact-replay-v1</t>
        </is>
      </c>
      <c r="BH51" s="24" t="inlineStr">
        <is>
          <t>2026-10-13T22:08:18.158074Z</t>
        </is>
      </c>
      <c r="BI51" s="24" t="inlineStr">
        <is>
          <t>["same_event","same_team_same_day","same_league_same_day"]</t>
        </is>
      </c>
      <c r="BJ51" s="25" t="n">
        <v>0.5</v>
      </c>
      <c r="BK51" s="26" t="n">
        <v>122</v>
      </c>
      <c r="BL51" s="27" t="n">
        <v>2.22</v>
      </c>
      <c r="BM51" s="28" t="n">
        <v>0.45045</v>
      </c>
      <c r="BN51" s="28" t="n"/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True</t>
        </is>
      </c>
      <c r="CT51" s="24" t="n"/>
      <c r="CU51" s="24" t="n"/>
      <c r="CV51" s="24" t="n"/>
      <c r="CW51" s="24" t="n"/>
      <c r="CX51" s="24" t="n"/>
      <c r="CY51" s="24" t="inlineStr">
        <is>
          <t>2026-10-13T22:08:18.158074Z</t>
        </is>
      </c>
      <c r="CZ51" s="24" t="inlineStr">
        <is>
          <t>True</t>
        </is>
      </c>
      <c r="DA51" s="24" t="inlineStr">
        <is>
          <t>polymarket_us</t>
        </is>
      </c>
      <c r="DB51" s="24" t="inlineStr">
        <is>
          <t>decision_time_executable_quote</t>
        </is>
      </c>
      <c r="DC51" s="24" t="inlineStr">
        <is>
          <t>False</t>
        </is>
      </c>
      <c r="DD51" s="24" t="inlineStr">
        <is>
          <t>6c26e821c793c4787bd6e52791b03ba9783e82aa347bcc71f187f8a9084e6735</t>
        </is>
      </c>
      <c r="DE51" s="24" t="inlineStr">
        <is>
          <t>E:\model-prediction\data\odds\mlb\2026-10-13\polymarket_snapshots.jsonl</t>
        </is>
      </c>
      <c r="DF51" s="24" t="inlineStr">
        <is>
          <t>6c26e821c793c4787bd6e52791b03ba9783e82aa347bcc71f187f8a9084e6735</t>
        </is>
      </c>
      <c r="DG51" s="24" t="n"/>
      <c r="DH51" s="24" t="n"/>
      <c r="DI51" s="24" t="n"/>
      <c r="DJ51" s="24" t="n"/>
      <c r="DK51" s="24" t="n"/>
      <c r="DL51" s="24" t="n"/>
      <c r="DM51" s="24" t="n"/>
      <c r="DN51" s="24" t="n"/>
      <c r="DO51" s="24" t="n"/>
      <c r="DP51" s="24" t="n"/>
      <c r="DQ51" s="24" t="inlineStr">
        <is>
          <t>{"artifact": {"C": 1.0, "artifact_hash": "cd40bb944db502574b9d872cd33304728e4cdb96ce0e4e53046dfb089bd166ff", "coef_away": [-0.15092599233710682, 0.33375332491407694, 0.052641650764709516, 0.012200963333336163, -0.044124086984268916, -0.18338539828154118, -0.011069775160598767, -0.07334888990228486, 0.2843164406703071, -0.016022382971498418, -0.42919391686573305, -0.13322539735898248], "coef_home": [-0.056762054222791236, 0.1634913765713207, -0.12677479939259476, -0.10980892029364075, 0.0675840668410901, -0.2155237746431725, -0.0015823333282579347, -0.0017682883771573481, 0.30292713155931383, -0.26515719099464424, -0.24182390473213353, 0.146893598319729], "feature_names": ["top3_composite", "starter_opp_1st_runs", "starter_fip", "starter_k_pct", "starter_bb_pct", "park_1st_runs", "top3_same_hand_share", "team_1st_scored", "top3_park_interaction", "whiff_power_interaction", "starter_park_interaction", "fip_k_ratio"], "fit_n_games": 4272, "intercept_away": 1.0122829388370416, "intercept_home": 0.8796220049130925, "league": "MLB", "market_type": "nrfi", "method": "half_inning_interaction", "model_version": "mlb-nrfi-v4", "note": "Production-qualified MLB first-inning interaction component model replacing mlb-nrfi-v3.", "positive_class": "nrfi", "qualification": {"binary_accuracy": 0.5485, "calibration_ece": 0.021121, "framework": "half_inning_interaction_holdout", "holdout_brier_score": 0.247866, "holdout_log_loss": 0.688855, "locked_holdout": true, "note": "Two-half-inning decomposed model with non-linear interaction features (park, strikeout-whiff, platoon hand alignment) evaluated on 1,424 locked holdout test games.", "qualified": true, "sample_size": 1424, "status": "qualified"}, "scaler_mean_away": [0.10693852528089877, 0.5160531601123584, 3.887999765917613, 0.22160819288389438, 0.07721193820224699, 1.0095550561797733, 0.5512290262172258, 0.4530846910112346, 0.10797593867883881, 0.0832338340753744, 0.522421086896067, 12.74853166149649], "scaler_mean_home": [0.10687735955056178, 0.4668664091760332, 3.880392556179783, 0.22145009363295864, 0.07637907303370803, 1.0095550561797733, 0.5500498361423202, 0.5488433520599267, 0.10794226697635774, 0.08320755243679794, 0.47126779163623655, 12.714614928114717], "scaler_scale_away": [0.0048171779396999235, 0.12136652246642901, 1.0539601780342398, 0.05165113643883803, 0.02673985154876719, 0.09232773263326173, 0.10967171480498189, 0.0982166066212668, 0.01119895692211545, 0.0065842717464252515, 0.13841807595534883, 5.363640846622892], "scaler_scale_home": [0.0049927679114434974, 0.11700796360197874, 1.0206033876941032, 0.052293646761000234, 0.02791997429590162, 0.09232773263326173, 0.11057352848346676, 0.10479111868852325, 0.011525124767030699, 0.006780208072838942, 0.12566593459901798, 5.16406006135981], "schema_version": "2", "sport": "mlb"}, "artifact_hash": "cd40bb944db502574b9d872cd33304728e4cdb96ce0e4e53046dfb089bd166ff", "engine_source_sha256": "0d1788de892d97e815079a85f389a8dcfd16276fa807f5d446a8a943717fd8da", "event_id": "401908024", "event_start_utc": "2026-10-14T00:00Z", "features": {"away_starter_bb_pct": 0.0639, "away_starter_days_rest": 6.0, "away_starter_fip": 3.039, "away_starter_k_pct": 0.2544, "away_starter_opp_1st_runs": 0.328, "away_starter_starts": 3.6376, "away_team_1st_allowed_away": 0.5014, "away_team_1st_scored_away": 0.4079, "away_top3_composite": 0.11093, "home_starter_bb_pct": 0.0905, "home_starter_days_rest": 6.0, "home_starter_fip": 3.808, "home_starter_k_pct": 0.2584, "home_starter_opp_1st_runs": 0.4138, "home_starter_starts": 4.5643, "home_team_1st_allowed_home": 0.4765, "home_team_1st_scored_home": 0.5426, "home_top3_composite": 0.11074, "park_1st_runs": 0.941}, "historical_source_observation_times_verified": false, "inference_inputs": {}, "model_version": "mlb-nrfi-v4", "observed_at_utc": "2026-10-13T22:27:59.448390+00:00", "replay_scope": "Exact final classifier/distribution inputs and artifact. Upstream historical feature construction not certified.", "schema": "scalar-artifact-replay-v1", "snapshot_hash": "f2bdbd59492b73578708cb5526981b0ce2cb3b35c2f3d3f93255de9ee29d3b7f"}</t>
        </is>
      </c>
    </row>
    <row r="52" ht="36" customHeight="1">
      <c r="A52" s="24" t="inlineStr">
        <is>
          <t>124d7e3699934ce5</t>
        </is>
      </c>
      <c r="B52" s="24" t="inlineStr">
        <is>
          <t>2026-10-13T22:27:58.612302Z</t>
        </is>
      </c>
      <c r="C52" s="24" t="inlineStr">
        <is>
          <t>2026-10-14T00:00Z</t>
        </is>
      </c>
      <c r="D52" s="24" t="inlineStr">
        <is>
          <t>401908024</t>
        </is>
      </c>
      <c r="E52" s="24" t="inlineStr">
        <is>
          <t>MLB</t>
        </is>
      </c>
      <c r="F52" s="24" t="inlineStr">
        <is>
          <t>Cleveland Guardians</t>
        </is>
      </c>
      <c r="G52" s="24" t="inlineStr">
        <is>
          <t>Tampa Bay Rays</t>
        </is>
      </c>
      <c r="H52" s="24" t="inlineStr">
        <is>
          <t>spread</t>
        </is>
      </c>
      <c r="I52" s="24" t="inlineStr">
        <is>
          <t>away</t>
        </is>
      </c>
      <c r="J52" s="25" t="n">
        <v>1.5</v>
      </c>
      <c r="K52" s="24" t="inlineStr">
        <is>
          <t>polymarket_us</t>
        </is>
      </c>
      <c r="L52" s="26" t="n">
        <v>-178</v>
      </c>
      <c r="M52" s="27" t="n">
        <v>1.561798</v>
      </c>
      <c r="N52" s="28" t="n">
        <v>0.640288</v>
      </c>
      <c r="O52" s="28" t="n">
        <v>0.611034</v>
      </c>
      <c r="P52" s="28" t="n">
        <v>0.042131</v>
      </c>
      <c r="Q52" s="28" t="n">
        <v>-0.029254</v>
      </c>
      <c r="R52" s="26" t="n">
        <v>12</v>
      </c>
      <c r="S52" s="29" t="n">
        <v>1</v>
      </c>
      <c r="T52" s="24" t="inlineStr">
        <is>
          <t>measured-edge-margin-v3</t>
        </is>
      </c>
      <c r="U52" s="24" t="inlineStr">
        <is>
          <t>settled</t>
        </is>
      </c>
      <c r="V52" s="24" t="inlineStr">
        <is>
          <t>loss</t>
        </is>
      </c>
      <c r="W52" s="26" t="n">
        <v>1</v>
      </c>
      <c r="X52" s="26" t="n">
        <v>3</v>
      </c>
      <c r="Y52" s="25" t="n">
        <v>1.5</v>
      </c>
      <c r="Z52" s="26" t="n">
        <v>-178</v>
      </c>
      <c r="AA52" s="28" t="n">
        <v>0.64</v>
      </c>
      <c r="AB52" s="28" t="n">
        <v>-0.000288</v>
      </c>
      <c r="AC52" s="30" t="n">
        <v>-1</v>
      </c>
      <c r="AD52" s="24" t="inlineStr">
        <is>
          <t>2026-10-14T04:31:52.727562Z</t>
        </is>
      </c>
      <c r="AE52" s="31" t="inlineStr">
        <is>
          <t>Measured Edge Margin: Trend Engine projected 4.03-4.20; raw selected-side p=0.6630, calibrated p=0.6110.</t>
        </is>
      </c>
      <c r="AF52" s="31" t="inlineStr">
        <is>
          <t>Research-only; lineup, bullpen, park, weather, xFIP, and wRC+ may be neutral fallbacks; market availability and BBO depth may change before first pitch.</t>
        </is>
      </c>
      <c r="AG52" s="24" t="inlineStr">
        <is>
          <t>review_required</t>
        </is>
      </c>
      <c r="AH52" s="24" t="n"/>
      <c r="AI52" s="31" t="n"/>
      <c r="AJ52" s="31" t="n"/>
      <c r="AK52" s="24" t="inlineStr">
        <is>
          <t>model_qualified</t>
        </is>
      </c>
      <c r="AL52" s="26" t="n">
        <v>4</v>
      </c>
      <c r="AM52" s="24" t="inlineStr">
        <is>
          <t>QUALIFIED_SHADOW_CALL</t>
        </is>
      </c>
      <c r="AN52" s="24" t="inlineStr">
        <is>
          <t>CALL</t>
        </is>
      </c>
      <c r="AO52" s="24" t="inlineStr">
        <is>
          <t>QUALIFIED</t>
        </is>
      </c>
      <c r="AP52" s="24" t="inlineStr">
        <is>
          <t>mlb-cle</t>
        </is>
      </c>
      <c r="AQ52" s="24" t="inlineStr">
        <is>
          <t>Cleveland Guardians</t>
        </is>
      </c>
      <c r="AR52" s="24" t="inlineStr">
        <is>
          <t>Cleveland Guardians</t>
        </is>
      </c>
      <c r="AS52" s="24" t="inlineStr">
        <is>
          <t>mlb-tb</t>
        </is>
      </c>
      <c r="AT52" s="24" t="inlineStr">
        <is>
          <t>Tampa Bay Rays</t>
        </is>
      </c>
      <c r="AU52" s="24" t="inlineStr">
        <is>
          <t>Tampa Bay Rays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research</t>
        </is>
      </c>
      <c r="BA52" s="24" t="inlineStr">
        <is>
          <t>dd339a2eed50d7d83ab2127837995ddab82e879afd27f5414bb6c1f9cd60ba4c</t>
        </is>
      </c>
      <c r="BB52" s="24" t="inlineStr">
        <is>
          <t>flat_probability_shrinkage_toward_half</t>
        </is>
      </c>
      <c r="BC52" s="24" t="inlineStr">
        <is>
          <t>measured-edge-margin-v3</t>
        </is>
      </c>
      <c r="BD52" s="24" t="inlineStr">
        <is>
          <t>dd339a2eed50d7d83ab2127837995ddab82e879afd27f5414bb6c1f9cd60ba4c</t>
        </is>
      </c>
      <c r="BE52" s="24" t="inlineStr">
        <is>
          <t>v3</t>
        </is>
      </c>
      <c r="BF52" s="24" t="inlineStr">
        <is>
          <t>1</t>
        </is>
      </c>
      <c r="BG52" s="24" t="inlineStr">
        <is>
          <t>measured-edge-paired-v1</t>
        </is>
      </c>
      <c r="BH52" s="24" t="inlineStr">
        <is>
          <t>2026-10-13T22:27:58.612302Z</t>
        </is>
      </c>
      <c r="BI52" s="24" t="inlineStr">
        <is>
          <t>["same_event","same_team_same_day","same_league_same_day"]</t>
        </is>
      </c>
      <c r="BJ52" s="25" t="n">
        <v>1.5</v>
      </c>
      <c r="BK52" s="26" t="n">
        <v>-178</v>
      </c>
      <c r="BL52" s="27" t="n">
        <v>1.561798</v>
      </c>
      <c r="BM52" s="28" t="n">
        <v>0.640288</v>
      </c>
      <c r="BN52" s="28" t="n">
        <v>0.636816</v>
      </c>
      <c r="BO52" s="28" t="n"/>
      <c r="BP52" s="25" t="n"/>
      <c r="BQ52" s="27" t="n">
        <v>1.561798</v>
      </c>
      <c r="BR52" s="28" t="n">
        <v>0.64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False</t>
        </is>
      </c>
      <c r="CT52" s="24" t="inlineStr">
        <is>
          <t>a9b23362b31654324ebb68d50a78c7a7cbb34dedfe01df9a0d6220e66c25ca47</t>
        </is>
      </c>
      <c r="CU52" s="24" t="inlineStr">
        <is>
          <t>7da9fbc6da4044536749c6fcd9abae7c13da55057708570036207f0597844565</t>
        </is>
      </c>
      <c r="CV52" s="24" t="inlineStr">
        <is>
          <t>E:\model-prediction\config\model.yaml</t>
        </is>
      </c>
      <c r="CW52" s="24" t="inlineStr">
        <is>
          <t>1ac81f4be213944a7cce95cbe9a52520e640a9cc5ea1424409aeda60b059f716</t>
        </is>
      </c>
      <c r="CX52" s="24" t="inlineStr">
        <is>
          <t>E:\model-prediction\config\models\measured-edge-margin-v3.json</t>
        </is>
      </c>
      <c r="CY52" s="24" t="inlineStr">
        <is>
          <t>2026-10-13T22:27:58.612302Z</t>
        </is>
      </c>
      <c r="CZ52" s="24" t="inlineStr">
        <is>
          <t>True</t>
        </is>
      </c>
      <c r="DA52" s="24" t="inlineStr">
        <is>
          <t>polymarket_us</t>
        </is>
      </c>
      <c r="DB52" s="24" t="inlineStr">
        <is>
          <t>decision_time_executable_quote</t>
        </is>
      </c>
      <c r="DC52" s="24" t="inlineStr">
        <is>
          <t>False</t>
        </is>
      </c>
      <c r="DD52" s="24" t="inlineStr">
        <is>
          <t>f69b62b2db84dd9b25a541e7ed26ad60419b7afece2ebb4d463e2cb38075a82f</t>
        </is>
      </c>
      <c r="DE52" s="24" t="inlineStr">
        <is>
          <t>E:\model-prediction\data\market_odds_snapshots.jsonl</t>
        </is>
      </c>
      <c r="DF52" s="24" t="inlineStr">
        <is>
          <t>f69b62b2db84dd9b25a541e7ed26ad60419b7afece2ebb4d463e2cb38075a82f</t>
        </is>
      </c>
      <c r="DG52" s="24" t="inlineStr">
        <is>
          <t>live_forecast</t>
        </is>
      </c>
      <c r="DH52" s="24" t="inlineStr">
        <is>
          <t>False</t>
        </is>
      </c>
      <c r="DI52" s="24" t="inlineStr">
        <is>
          <t>0.611034</t>
        </is>
      </c>
      <c r="DJ52" s="24" t="inlineStr">
        <is>
          <t>0.6402877697841727</t>
        </is>
      </c>
      <c r="DK52" s="24" t="inlineStr">
        <is>
          <t>0.611034</t>
        </is>
      </c>
      <c r="DL52" s="24" t="n"/>
      <c r="DM52" s="24" t="n"/>
      <c r="DN52" s="24" t="n"/>
      <c r="DO52" s="24" t="n"/>
      <c r="DP52" s="24" t="n"/>
      <c r="DQ52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"401908024", "event_start_utc": "2026-10-14T00:00Z", "features": {"away_bullpen_status": "available", "away_bullpen_weakness": 0.695946, "away_form": {"losses": 2, "runs_allowed": [3, 4, 3, 5, 0, 3], "runs_scored": [0, 3, 9, 9, 2, 7], "status": "available", "wins": 4}, "away_starter": {"last_five_batters_faced": 93, "last_five_earned_runs": 9, "last_five_innings": 20.666666666666668, "last_five_strikeouts": 26, "last_five_walks": 8, "name": "Parker Messick", "player_id": "4619898", "season_batters_faced": 781, "season_earned_runs": 57, "season_innings": 194.0, "season_strikeouts": 205, "season_walks": 55, "starts_before_game": 35, "status": "available", "throwing_hand": "Left", "xfip": null, "xfip_status": "unavailable_from_source"}, "away_team": "Cleveland Guardians", "decision_timestamp_utc": "2026-10-13T22:00:00Z", "event_id": "401908024", "event_start_utc": "2026-10-14T00:00Z", "feature_snapshot_hash": "a5939c0eb38c3cf17cb3ff75b272798b0844aa13a0be0f25a563fa3f7c0248c2", "home_bullpen_status": "available", "home_bullpen_weakness": 0.800228, "home_form": {"losses": 1, "runs_allowed": [0, 2, 3, 7], "runs_scored": [1, 5, 4, 3], "status": "available", "wins": 3}, "home_starter": {"last_five_batters_faced": 105, "last_five_earned_runs": 3, "last_five_innings": 26.666666666666668, "last_five_strikeouts": 19, "last_five_walks": 10, "name": "Freddy Peralta", "player_id": "39825", "season_batters_faced": 748, "season_earned_runs": 84, "season_innings": 173.66666666666666, "season_strikeouts": 159, "season_walks": 64, "starts_before_game": 33, "status": "available", "throwing_hand": "Right", "xfip": null, "xfip_status": "unavailable_from_source"}, "home_team": "Tampa Bay Rays", "lineup_status": "unavailable_from_source", "market_snapshot_hash": "f69b62b2db84dd9b25a541e7ed26ad60419b7afece2ebb4d463e2cb38075a82f", "park_factor": 0.955, "park_factor_status": "available", "source_snapshot_ids": ["2b2c0e2d554e86d4fa67660adcd3b9a964dcb513e56858c43a8b5af388294179", "918cc550e1cdb373b3615eb63a5fc64fd8fc32ff231a4d8dd8aae3c1790f1dcd", "5b84758e2add433d4edc974c6d248bb3332ecff4223157c88fed9451186d80cd", "698a5120d19dbe5c03cc1e5ab7228ab2318022eee0f686efc54c1f2fe22f2133", "d3c98e95a2bafce9e7c62ef91ac4be6366befd9b1d1724172c6f6eb915e0f9e8"], "starter_confirmed": false, "starter_status": "probable", "weather_factor": 1.0, "weather_status": "dome", "wrc_plus_status": "unavailable_from_source"}, "formula_spec": {"away_field_run_factor": 1.0, "bullpen_elasticity": 0.069018, "configuration_hash": "3b7bd3de474b03054313a1806d79c06d8b472b811a4a764926d95f599482d236",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4.5347,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"2026-10-13T22:27:58.612302+00:00", "raw_probabilities": {"away": 0.66295, "home": 0.33705, "push": 0.0}, "replay_scope": "Exact features, formula and deterministic Monte Carlo seed inputs; independently calibrated sides are not a joint distribution.", "run_estimate": {"away_expected_runs": 4.034936, "configuration_hash": "3b7bd3de474b03054313a1806d79c06d8b472b811a4a764926d95f599482d236", "factors": {"away_bullpen_weakness_index": 0.695946, "away_field_run_factor": 1.0, "away_offense_index": 1.0469469330149546, "away_starter_weakness_index": 0.7738524193532111, "home_bullpen_weakness_index": 0.800228, "home_field_run_factor": 1.04, "home_offense_index": 0.9313949525994004, "home_starter_weakness_index": 0.7170273284314965, "park_factor": 0.955, "weather_factor": 1.0}, "feature_schema_version": "v3", "formula_version": "mlb-analyst-poisson-trend-v0.3", "home_expected_runs": 4.202563, "uncertainty": 0.042131, "uncertainty_components": {"base": 0.02, "lineup": 0.025, "missing_wrc_plus": 0.01, "missing_xfip": 0.01, "model_form": 0.01, "pitcher": 0.015, "starter_confirmation": 0.015}}, "schema": "mlb-margin-replay-v1", "served_probabilities": {"away": 0.611034, "home": 0.388966}, "snapshot_hash": "7fe4c4dd2cf802ddeced13b3502da42fa2a2de668bbb0aecf950ad9d125627b4", "sport": "MLB"}</t>
        </is>
      </c>
    </row>
    <row r="53" ht="36" customHeight="1">
      <c r="A53" s="24" t="inlineStr">
        <is>
          <t>6f7c3304c6fd43cb</t>
        </is>
      </c>
      <c r="B53" s="24" t="inlineStr">
        <is>
          <t>2026-10-13T22:27:58.612302Z</t>
        </is>
      </c>
      <c r="C53" s="24" t="inlineStr">
        <is>
          <t>2026-10-14T00:00Z</t>
        </is>
      </c>
      <c r="D53" s="24" t="inlineStr">
        <is>
          <t>401908024</t>
        </is>
      </c>
      <c r="E53" s="24" t="inlineStr">
        <is>
          <t>MLB</t>
        </is>
      </c>
      <c r="F53" s="24" t="inlineStr">
        <is>
          <t>Cleveland Guardians</t>
        </is>
      </c>
      <c r="G53" s="24" t="inlineStr">
        <is>
          <t>Tampa Bay Rays</t>
        </is>
      </c>
      <c r="H53" s="24" t="inlineStr">
        <is>
          <t>total</t>
        </is>
      </c>
      <c r="I53" s="24" t="inlineStr">
        <is>
          <t>over</t>
        </is>
      </c>
      <c r="J53" s="25" t="n">
        <v>6.5</v>
      </c>
      <c r="K53" s="24" t="inlineStr">
        <is>
          <t>polymarket_us</t>
        </is>
      </c>
      <c r="L53" s="26" t="n">
        <v>-113</v>
      </c>
      <c r="M53" s="27" t="n">
        <v>1.884956</v>
      </c>
      <c r="N53" s="28" t="n">
        <v>0.530516</v>
      </c>
      <c r="O53" s="28" t="n">
        <v>0.543482</v>
      </c>
      <c r="P53" s="28" t="n">
        <v>0.042131</v>
      </c>
      <c r="Q53" s="28" t="n">
        <v>0.012966</v>
      </c>
      <c r="R53" s="26" t="n">
        <v>33</v>
      </c>
      <c r="S53" s="29" t="n">
        <v>1</v>
      </c>
      <c r="T53" s="24" t="inlineStr">
        <is>
          <t>measured-edge-totals-v3</t>
        </is>
      </c>
      <c r="U53" s="24" t="inlineStr">
        <is>
          <t>settled</t>
        </is>
      </c>
      <c r="V53" s="24" t="inlineStr">
        <is>
          <t>loss</t>
        </is>
      </c>
      <c r="W53" s="26" t="n">
        <v>1</v>
      </c>
      <c r="X53" s="26" t="n">
        <v>3</v>
      </c>
      <c r="Y53" s="25" t="n">
        <v>6.5</v>
      </c>
      <c r="Z53" s="26" t="n">
        <v>-113</v>
      </c>
      <c r="AA53" s="28" t="n">
        <v>0.53</v>
      </c>
      <c r="AB53" s="28" t="n">
        <v>-0.000516</v>
      </c>
      <c r="AC53" s="30" t="n">
        <v>-1</v>
      </c>
      <c r="AD53" s="24" t="inlineStr">
        <is>
          <t>2026-10-14T04:31:56.351842Z</t>
        </is>
      </c>
      <c r="AE53" s="31" t="inlineStr">
        <is>
          <t>Measured Edge Totals: Trend Engine projected 4.03-4.20; raw selected-side p=0.6517, calibrated p=0.5435.</t>
        </is>
      </c>
      <c r="AF53" s="31" t="inlineStr">
        <is>
          <t>Research-only; lineup, bullpen, park, weather, xFIP, and wRC+ may be neutral fallbacks; market availability and BBO depth may change before first pitch.</t>
        </is>
      </c>
      <c r="AG53" s="24" t="inlineStr">
        <is>
          <t>review_required</t>
        </is>
      </c>
      <c r="AH53" s="24" t="n"/>
      <c r="AI53" s="31" t="n"/>
      <c r="AJ53" s="31" t="n"/>
      <c r="AK53" s="24" t="inlineStr">
        <is>
          <t>paper_call</t>
        </is>
      </c>
      <c r="AL53" s="26" t="n">
        <v>4</v>
      </c>
      <c r="AM53" s="24" t="inlineStr">
        <is>
          <t>RESEARCH_OBSERVATION</t>
        </is>
      </c>
      <c r="AN53" s="24" t="inlineStr">
        <is>
          <t>CALL</t>
        </is>
      </c>
      <c r="AO53" s="24" t="inlineStr">
        <is>
          <t>PAPER_CALL_MODEL_UNVALIDATED</t>
        </is>
      </c>
      <c r="AP53" s="24" t="inlineStr">
        <is>
          <t>mlb-cle</t>
        </is>
      </c>
      <c r="AQ53" s="24" t="inlineStr">
        <is>
          <t>Cleveland Guardians</t>
        </is>
      </c>
      <c r="AR53" s="24" t="inlineStr">
        <is>
          <t>Cleveland Guardians</t>
        </is>
      </c>
      <c r="AS53" s="24" t="inlineStr">
        <is>
          <t>mlb-tb</t>
        </is>
      </c>
      <c r="AT53" s="24" t="inlineStr">
        <is>
          <t>Tampa Bay Rays</t>
        </is>
      </c>
      <c r="AU53" s="24" t="inlineStr">
        <is>
          <t>Tampa Bay Rays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research</t>
        </is>
      </c>
      <c r="BA53" s="24" t="inlineStr">
        <is>
          <t>95b84332c75d2ce54036eb8de6ada9c78d0f80228c50825c0347281a8b9b49c7</t>
        </is>
      </c>
      <c r="BB53" s="24" t="inlineStr">
        <is>
          <t>flat_probability_shrinkage_toward_half</t>
        </is>
      </c>
      <c r="BC53" s="24" t="inlineStr">
        <is>
          <t>measured-edge-totals-v3</t>
        </is>
      </c>
      <c r="BD53" s="24" t="inlineStr">
        <is>
          <t>95b84332c75d2ce54036eb8de6ada9c78d0f80228c50825c0347281a8b9b49c7</t>
        </is>
      </c>
      <c r="BE53" s="24" t="inlineStr">
        <is>
          <t>v3</t>
        </is>
      </c>
      <c r="BF53" s="24" t="inlineStr">
        <is>
          <t>1</t>
        </is>
      </c>
      <c r="BG53" s="24" t="inlineStr">
        <is>
          <t>measured-edge-paired-v1</t>
        </is>
      </c>
      <c r="BH53" s="24" t="inlineStr">
        <is>
          <t>2026-10-13T22:27:58.612302Z</t>
        </is>
      </c>
      <c r="BI53" s="24" t="inlineStr">
        <is>
          <t>["same_event","same_team_same_day","same_league_same_day"]</t>
        </is>
      </c>
      <c r="BJ53" s="25" t="n">
        <v>6.5</v>
      </c>
      <c r="BK53" s="26" t="n">
        <v>-113</v>
      </c>
      <c r="BL53" s="27" t="n">
        <v>1.884956</v>
      </c>
      <c r="BM53" s="28" t="n">
        <v>0.530516</v>
      </c>
      <c r="BN53" s="28" t="n">
        <v>0.527363</v>
      </c>
      <c r="BO53" s="28" t="n"/>
      <c r="BP53" s="25" t="n"/>
      <c r="BQ53" s="27" t="n">
        <v>1.884956</v>
      </c>
      <c r="BR53" s="28" t="n">
        <v>0.53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True</t>
        </is>
      </c>
      <c r="CT53" s="24" t="inlineStr">
        <is>
          <t>a9b23362b31654324ebb68d50a78c7a7cbb34dedfe01df9a0d6220e66c25ca47</t>
        </is>
      </c>
      <c r="CU53" s="24" t="inlineStr">
        <is>
          <t>7da9fbc6da4044536749c6fcd9abae7c13da55057708570036207f0597844565</t>
        </is>
      </c>
      <c r="CV53" s="24" t="inlineStr">
        <is>
          <t>E:\model-prediction\config\model.yaml</t>
        </is>
      </c>
      <c r="CW53" s="24" t="inlineStr">
        <is>
          <t>1dad20b56ac0a94181b31c5f71abe66cc0ee1acd8c8792d0aacf42b7a6fc32e6</t>
        </is>
      </c>
      <c r="CX53" s="24" t="inlineStr">
        <is>
          <t>E:\model-prediction\config\models\measured-edge-totals-v3.json</t>
        </is>
      </c>
      <c r="CY53" s="24" t="inlineStr">
        <is>
          <t>2026-10-13T22:27:58.612302Z</t>
        </is>
      </c>
      <c r="CZ53" s="24" t="inlineStr">
        <is>
          <t>True</t>
        </is>
      </c>
      <c r="DA53" s="24" t="inlineStr">
        <is>
          <t>polymarket_us</t>
        </is>
      </c>
      <c r="DB53" s="24" t="inlineStr">
        <is>
          <t>decision_time_executable_quote</t>
        </is>
      </c>
      <c r="DC53" s="24" t="inlineStr">
        <is>
          <t>False</t>
        </is>
      </c>
      <c r="DD53" s="24" t="inlineStr">
        <is>
          <t>f69b62b2db84dd9b25a541e7ed26ad60419b7afece2ebb4d463e2cb38075a82f</t>
        </is>
      </c>
      <c r="DE53" s="24" t="inlineStr">
        <is>
          <t>E:\model-prediction\data\market_odds_snapshots.jsonl</t>
        </is>
      </c>
      <c r="DF53" s="24" t="inlineStr">
        <is>
          <t>f69b62b2db84dd9b25a541e7ed26ad60419b7afece2ebb4d463e2cb38075a82f</t>
        </is>
      </c>
      <c r="DG53" s="24" t="inlineStr">
        <is>
          <t>live_forecast</t>
        </is>
      </c>
      <c r="DH53" s="24" t="inlineStr">
        <is>
          <t>False</t>
        </is>
      </c>
      <c r="DI53" s="24" t="inlineStr">
        <is>
          <t>0.543482</t>
        </is>
      </c>
      <c r="DJ53" s="24" t="inlineStr">
        <is>
          <t>0.5305164319248826</t>
        </is>
      </c>
      <c r="DK53" s="24" t="inlineStr">
        <is>
          <t>0.543482</t>
        </is>
      </c>
      <c r="DL53" s="24" t="n"/>
      <c r="DM53" s="24" t="n"/>
      <c r="DN53" s="24" t="n"/>
      <c r="DO53" s="24" t="n"/>
      <c r="DP53" s="24" t="n"/>
      <c r="DQ53" s="24" t="n"/>
    </row>
    <row r="54" ht="36" customHeight="1">
      <c r="A54" s="24" t="inlineStr">
        <is>
          <t>5cd33260c1524be4</t>
        </is>
      </c>
      <c r="B54" s="24" t="inlineStr">
        <is>
          <t>2026-10-14T22:43:41.739454Z</t>
        </is>
      </c>
      <c r="C54" s="24" t="inlineStr">
        <is>
          <t>2026-10-14T20:00:00-0400</t>
        </is>
      </c>
      <c r="D54" s="24" t="inlineStr">
        <is>
          <t>401908032</t>
        </is>
      </c>
      <c r="E54" s="24" t="inlineStr">
        <is>
          <t>MLB</t>
        </is>
      </c>
      <c r="F54" s="24" t="inlineStr">
        <is>
          <t>Milwaukee Brewers</t>
        </is>
      </c>
      <c r="G54" s="24" t="inlineStr">
        <is>
          <t>Los Angeles Dodgers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-163</v>
      </c>
      <c r="M54" s="27" t="n">
        <v>1.613497</v>
      </c>
      <c r="N54" s="28" t="n">
        <v>0.619772</v>
      </c>
      <c r="O54" s="28" t="n">
        <v>0.502414</v>
      </c>
      <c r="P54" s="28" t="n"/>
      <c r="Q54" s="28" t="n">
        <v>-0.117358</v>
      </c>
      <c r="R54" s="26" t="n">
        <v>0</v>
      </c>
      <c r="S54" s="29" t="n">
        <v>1</v>
      </c>
      <c r="T54" s="24" t="inlineStr">
        <is>
          <t>mlb-elo-trend-lr-v8</t>
        </is>
      </c>
      <c r="U54" s="24" t="inlineStr">
        <is>
          <t>open</t>
        </is>
      </c>
      <c r="V54" s="24" t="n"/>
      <c r="W54" s="26" t="n"/>
      <c r="X54" s="26" t="n"/>
      <c r="Y54" s="25" t="n"/>
      <c r="Z54" s="26" t="n"/>
      <c r="AA54" s="28" t="n"/>
      <c r="AB54" s="28" t="n"/>
      <c r="AC54" s="30" t="n"/>
      <c r="AD54" s="24" t="n"/>
      <c r="AE54" s="31" t="inlineStr">
        <is>
          <t>Learned LR call at threshold 0.6197; executable ask 0.6200 (aec-mlb-mil-lad-2026-10-14); model edge vs ask -0.1176.</t>
        </is>
      </c>
      <c r="AF54" s="31" t="inlineStr">
        <is>
          <t>Learned model; shadow-qualified via operator override.</t>
        </is>
      </c>
      <c r="AG54" s="24" t="inlineStr">
        <is>
          <t>not_applicable</t>
        </is>
      </c>
      <c r="AH54" s="24" t="n"/>
      <c r="AI54" s="31" t="n"/>
      <c r="AJ54" s="31" t="n"/>
      <c r="AK54" s="24" t="inlineStr">
        <is>
          <t>paper_call</t>
        </is>
      </c>
      <c r="AL54" s="26" t="n">
        <v>4</v>
      </c>
      <c r="AM54" s="24" t="inlineStr">
        <is>
          <t>RESEARCH_OBSERVATION</t>
        </is>
      </c>
      <c r="AN54" s="24" t="inlineStr">
        <is>
          <t>CALL</t>
        </is>
      </c>
      <c r="AO54" s="24" t="inlineStr">
        <is>
          <t>PAPER_CALL_BELOW_LEARNED_CONFIDENCE</t>
        </is>
      </c>
      <c r="AP54" s="24" t="inlineStr">
        <is>
          <t>mlb-mil</t>
        </is>
      </c>
      <c r="AQ54" s="24" t="inlineStr">
        <is>
          <t>Milwaukee Brewers</t>
        </is>
      </c>
      <c r="AR54" s="24" t="inlineStr">
        <is>
          <t>Milwaukee Brewers</t>
        </is>
      </c>
      <c r="AS54" s="24" t="inlineStr">
        <is>
          <t>mlb-lad</t>
        </is>
      </c>
      <c r="AT54" s="24" t="inlineStr">
        <is>
          <t>Los Angeles Dodgers</t>
        </is>
      </c>
      <c r="AU54" s="24" t="inlineStr">
        <is>
          <t>Los Angeles Dodgers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3b345499bd6bad9bcf65367a07fe0c668fb5817d4f016a0a865c01d9212fdeb8</t>
        </is>
      </c>
      <c r="BB54" s="24" t="inlineStr">
        <is>
          <t>learned_lr</t>
        </is>
      </c>
      <c r="BC54" s="24" t="inlineStr">
        <is>
          <t>mlb-elo-trend-lr-v8</t>
        </is>
      </c>
      <c r="BD54" s="24" t="inlineStr">
        <is>
          <t>3b345499bd6bad9bcf65367a07fe0c668fb5817d4f016a0a865c01d9212fdeb8</t>
        </is>
      </c>
      <c r="BE54" s="24" t="inlineStr">
        <is>
          <t>cbb2ef5926c7e580</t>
        </is>
      </c>
      <c r="BF54" s="24" t="inlineStr">
        <is>
          <t>1</t>
        </is>
      </c>
      <c r="BG54" s="24" t="inlineStr">
        <is>
          <t>mlb-elo-trend-lr-v8</t>
        </is>
      </c>
      <c r="BH54" s="24" t="inlineStr">
        <is>
          <t>2026-10-14T22:06:20.196594Z</t>
        </is>
      </c>
      <c r="BI54" s="24" t="inlineStr">
        <is>
          <t>["same_event","same_team_same_day","same_league_same_day"]</t>
        </is>
      </c>
      <c r="BJ54" s="25" t="n"/>
      <c r="BK54" s="26" t="n">
        <v>-163</v>
      </c>
      <c r="BL54" s="27" t="n">
        <v>1.613497</v>
      </c>
      <c r="BM54" s="28" t="n">
        <v>0.619772</v>
      </c>
      <c r="BN54" s="28" t="n">
        <v>0.616915</v>
      </c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inlineStr">
        <is>
          <t>0.5032338966</t>
        </is>
      </c>
      <c r="CD54" s="24" t="inlineStr">
        <is>
          <t>-0.359572</t>
        </is>
      </c>
      <c r="CE54" s="24" t="inlineStr">
        <is>
          <t>1.023</t>
        </is>
      </c>
      <c r="CF54" s="24" t="inlineStr">
        <is>
          <t>1.006</t>
        </is>
      </c>
      <c r="CG54" s="24" t="n"/>
      <c r="CH54" s="24" t="n"/>
      <c r="CI54" s="24" t="n"/>
      <c r="CJ54" s="24" t="inlineStr">
        <is>
          <t>-0.426595</t>
        </is>
      </c>
      <c r="CK54" s="24" t="n"/>
      <c r="CL54" s="24" t="inlineStr">
        <is>
          <t>-0.210268</t>
        </is>
      </c>
      <c r="CM54" s="24" t="inlineStr">
        <is>
          <t>-0.4205</t>
        </is>
      </c>
      <c r="CN54" s="24" t="n"/>
      <c r="CO54" s="24" t="n"/>
      <c r="CP54" s="24" t="n"/>
      <c r="CQ54" s="24" t="n"/>
      <c r="CR54" s="24" t="inlineStr">
        <is>
          <t>0.502414</t>
        </is>
      </c>
      <c r="CS54" s="24" t="inlineStr">
        <is>
          <t>False</t>
        </is>
      </c>
      <c r="CT54" s="24" t="n"/>
      <c r="CU54" s="24" t="n"/>
      <c r="CV54" s="24" t="n"/>
      <c r="CW54" s="24" t="n"/>
      <c r="CX54" s="24" t="n"/>
      <c r="CY54" s="24" t="inlineStr">
        <is>
          <t>2026-10-14T22:06:20.196594Z</t>
        </is>
      </c>
      <c r="CZ54" s="24" t="inlineStr">
        <is>
          <t>True</t>
        </is>
      </c>
      <c r="DA54" s="24" t="inlineStr">
        <is>
          <t>polymarket_us</t>
        </is>
      </c>
      <c r="DB54" s="24" t="inlineStr">
        <is>
          <t>decision_time_executable_quote</t>
        </is>
      </c>
      <c r="DC54" s="24" t="inlineStr">
        <is>
          <t>False</t>
        </is>
      </c>
      <c r="DD54" s="24" t="inlineStr">
        <is>
          <t>a2cd012d37cdf7ed49c59f019e4b9f4c663fef200157be5ccbcb6673c2099108</t>
        </is>
      </c>
      <c r="DE54" s="24" t="inlineStr">
        <is>
          <t>E:\model-prediction\data\odds\mlb\2026-10-14\polymarket_snapshots.jsonl</t>
        </is>
      </c>
      <c r="DF54" s="24" t="inlineStr">
        <is>
          <t>a2cd012d37cdf7ed49c59f019e4b9f4c663fef200157be5ccbcb6673c2099108</t>
        </is>
      </c>
      <c r="DG54" s="24" t="n"/>
      <c r="DH54" s="24" t="n"/>
      <c r="DI54" s="24" t="n"/>
      <c r="DJ54" s="24" t="n"/>
      <c r="DK54" s="24" t="n"/>
      <c r="DL54" s="24" t="n"/>
      <c r="DM54" s="24" t="n"/>
      <c r="DN54" s="24" t="n"/>
      <c r="DO54" s="24" t="n"/>
      <c r="DP54" s="24" t="n"/>
      <c r="DQ54" s="24" t="inlineStr">
        <is>
          <t>{"adjustment": {"applied": false, "method": "identity", "reason": "not_applicable"}, "artifact": {"artifact_hash": "3b345499bd6bad9bcf65367a07fe0c668fb5817d4f016a0a865c01d9212fdeb8", "market_models": {"moneyline": {"coefficients": [3.0404972651, -0.0248808023, -0.9016764146, -0.2981045997, -0.0190272663, 0.1519919276], "confidence_threshold": 0.61966524, "feature_names": ["elo_probability", "trend_gap", "park_factor", "weather_factor", "starter_era_gap", "bullpen_weakness_gap"], "intercept": -0.2831037846, "positive_class": "home"}}, "method": "logistic_regression", "model_version": "mlb-elo-trend-lr-v8", "qualification": {"brier_score": 0.246354, "called_rate": 0.106398, "calls": 148, "failures": ["validation Brier regressed vs incumbent v7 feature set (0.24702 vs 0.24655) even though locked-holdout metrics clear the bar (0.6081 hit rate, 148 calls) -- disqualified under docs/AGENTS.md's promotion rule (a validation regression is not overridable by a good holdout number, since doing so is exactly 'peeking at holdout'). See qualification.validation_regression_note and training.promotion_rationale for the real numbers and the operator-directed override reasoning."], "framework": "locked_complete_date_60_20_20", "hit_rate": 0.608108, "hits": 90, "locked_holdout": true, "market_type": "moneyline", "meets_primary_holdout_metrics": true, "minimum_calls": 50, "minimum_hit_rate": 0.6, "qualification_eligible": true, "qualified": false, "sample_size": 1391, "training_data_note": "starter_era_gap depends on data/mlb_statsapi/game_snapshots.jsonl, kept current as of this artifact's build by cli.py's daily _capture_mlb_starter_snapshots step (added 2026-08-04, same day as this artifact) -- verify that capture is still running before trusting this feature live.", "units_at_minus_110": 23.818182, "validation_brier_score": 0.24702, "validation_brier_score_vs_incumbent": 0.00047, "validation_regression_note": "Validation Brier is WORSE than v7's incumbent feature set (0.24702 vs v7's 0.24655) while locked-holdout is better (0.24635 vs v7's 0.24763). This is the exact 'peek at holdout' pattern docs/AGENTS.md's promotion rule exists to catch -- promoted anyway by explicit operator directive 2026-08-04, not because it cleared this project's own automatic promotion bar. See training.promotion_rationale."}, "schema_version": "1", "sport": "mlb", "training": {"coefficient_fit": {"end": "2025-07-22", "observations": 3814, "start": "2024-04-06"}, "locked_holdout": {"end": "2026-07-29", "observations": 1391, "start": "2026-04-11"}, "market_inputs_used": false, "promotion_rationale": "Operator-directed promotion, 2026-08-04. Real walk-forward ablation (build_walk_forward_rows + chronological_split, matching v7's own methodology, self-consistency-verified by reproducing v7's exact stored holdout numbers before this comparison) replaced pitcher_era_gap (team-level rolling runs-allowed) with starter_era_gap (real per-starter rolling ERA from mlb_statsapi boxscore history, features/starter_history.py) -- the 'different functional form' docs/MODEL_IMPROVEMENTS.md's 'Rank-1 tested honestly' section flagged as worth trying after the additive form (adding starter_era_gap alongside pitcher_era_gap) showed the same validation/holdout disagreement tested 2026-08-02. Coefficient sign is correct (worse starter ERA -&gt; lower home win probability) in both the additive and replacement forms. Real numbers: locked-holdout hit_rate 0.6081 (148 calls, 90 hits) vs v7's +0.6242-threshold 0.6194. Not a clean automatic pass -- see qualification.validation_regression_note.", "threshold_selection": {"end": "2026-04-10", "observations": 1082, "start": "2025-07-23"}, "threshold_source": "validation cohort; never locked holdout", "walk_forward_features": true}}, "artifact_hash": "3b345499bd6bad9bcf65367a07fe0c668fb5817d4f016a0a865c01d9212fdeb8", "base_home_probability": 0.5024143984804157, "event_id": "401908032", "event_start_utc": "2026-10-15T00:00:00+00:00", "features": {"bullpen_weakness_gap": -0.210268, "elo_probability": 0.5032338966034758, "park_factor": 1.023, "starter_era_gap": -0.4205, "trend_gap": -0.359572, "weather_factor": 1.006}, "historical_source_observation_times_verified": false, "model_version": "mlb-elo-trend-lr-v8", "observed_at_utc": "2026-10-14T22:43:41.739454+00:00", "schema": "learned-moneyline-replay-v1", "served_home_probability": 0.5024143984804157, "snapshot_hash": "ff6d1a2e48fb6a1704a9c364a2569eeb67a8d80ca28104c5e63598afe835ea5d"}</t>
        </is>
      </c>
    </row>
    <row r="55" ht="36" customHeight="1">
      <c r="A55" s="24" t="inlineStr">
        <is>
          <t>b5297f8f1b4f4ecf</t>
        </is>
      </c>
      <c r="B55" s="24" t="inlineStr">
        <is>
          <t>2026-10-14T22:45:17.075038Z</t>
        </is>
      </c>
      <c r="C55" s="24" t="inlineStr">
        <is>
          <t>2026-10-15T00:00Z</t>
        </is>
      </c>
      <c r="D55" s="24" t="inlineStr">
        <is>
          <t>401908032</t>
        </is>
      </c>
      <c r="E55" s="24" t="inlineStr">
        <is>
          <t>MLB</t>
        </is>
      </c>
      <c r="F55" s="24" t="inlineStr">
        <is>
          <t>Milwaukee Brewers</t>
        </is>
      </c>
      <c r="G55" s="24" t="inlineStr">
        <is>
          <t>Los Angeles Dodgers</t>
        </is>
      </c>
      <c r="H55" s="24" t="inlineStr">
        <is>
          <t>spread</t>
        </is>
      </c>
      <c r="I55" s="24" t="inlineStr">
        <is>
          <t>away</t>
        </is>
      </c>
      <c r="J55" s="25" t="n">
        <v>1.5</v>
      </c>
      <c r="K55" s="24" t="inlineStr">
        <is>
          <t>polymarket_us</t>
        </is>
      </c>
      <c r="L55" s="26" t="n">
        <v>-133</v>
      </c>
      <c r="M55" s="27" t="n">
        <v>1.75188</v>
      </c>
      <c r="N55" s="28" t="n">
        <v>0.570815</v>
      </c>
      <c r="O55" s="28" t="n">
        <v>0.599041</v>
      </c>
      <c r="P55" s="28" t="n">
        <v>0.042131</v>
      </c>
      <c r="Q55" s="28" t="n">
        <v>0.028226</v>
      </c>
      <c r="R55" s="26" t="n">
        <v>41</v>
      </c>
      <c r="S55" s="29" t="n">
        <v>1</v>
      </c>
      <c r="T55" s="24" t="inlineStr">
        <is>
          <t>measured-edge-margin-v3</t>
        </is>
      </c>
      <c r="U55" s="24" t="inlineStr">
        <is>
          <t>open</t>
        </is>
      </c>
      <c r="V55" s="24" t="n"/>
      <c r="W55" s="26" t="n"/>
      <c r="X55" s="26" t="n"/>
      <c r="Y55" s="25" t="n"/>
      <c r="Z55" s="26" t="n"/>
      <c r="AA55" s="28" t="n"/>
      <c r="AB55" s="28" t="n"/>
      <c r="AC55" s="30" t="n"/>
      <c r="AD55" s="24" t="n"/>
      <c r="AE55" s="31" t="inlineStr">
        <is>
          <t>Measured Edge Margin: Trend Engine projected 3.71-4.15; raw selected-side p=0.6453, calibrated p=0.5990.</t>
        </is>
      </c>
      <c r="AF55" s="31" t="inlineStr">
        <is>
          <t>Research-only; lineup, bullpen, park, weather, xFIP, and wRC+ may be neutral fallbacks; market availability and BBO depth may change before first pitch.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model_qualified</t>
        </is>
      </c>
      <c r="AL55" s="26" t="n">
        <v>4</v>
      </c>
      <c r="AM55" s="24" t="inlineStr">
        <is>
          <t>QUALIFIED_SHADOW_CALL</t>
        </is>
      </c>
      <c r="AN55" s="24" t="inlineStr">
        <is>
          <t>CALL</t>
        </is>
      </c>
      <c r="AO55" s="24" t="inlineStr">
        <is>
          <t>QUALIFIED</t>
        </is>
      </c>
      <c r="AP55" s="24" t="inlineStr">
        <is>
          <t>mlb-mil</t>
        </is>
      </c>
      <c r="AQ55" s="24" t="inlineStr">
        <is>
          <t>Milwaukee Brewers</t>
        </is>
      </c>
      <c r="AR55" s="24" t="inlineStr">
        <is>
          <t>Milwaukee Brewers</t>
        </is>
      </c>
      <c r="AS55" s="24" t="inlineStr">
        <is>
          <t>mlb-lad</t>
        </is>
      </c>
      <c r="AT55" s="24" t="inlineStr">
        <is>
          <t>Los Angeles Dodgers</t>
        </is>
      </c>
      <c r="AU55" s="24" t="inlineStr">
        <is>
          <t>Los Angeles Dodgers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research</t>
        </is>
      </c>
      <c r="BA55" s="24" t="inlineStr">
        <is>
          <t>dd339a2eed50d7d83ab2127837995ddab82e879afd27f5414bb6c1f9cd60ba4c</t>
        </is>
      </c>
      <c r="BB55" s="24" t="inlineStr">
        <is>
          <t>flat_probability_shrinkage_toward_half</t>
        </is>
      </c>
      <c r="BC55" s="24" t="inlineStr">
        <is>
          <t>measured-edge-margin-v3</t>
        </is>
      </c>
      <c r="BD55" s="24" t="inlineStr">
        <is>
          <t>dd339a2eed50d7d83ab2127837995ddab82e879afd27f5414bb6c1f9cd60ba4c</t>
        </is>
      </c>
      <c r="BE55" s="24" t="inlineStr">
        <is>
          <t>v3</t>
        </is>
      </c>
      <c r="BF55" s="24" t="inlineStr">
        <is>
          <t>1</t>
        </is>
      </c>
      <c r="BG55" s="24" t="inlineStr">
        <is>
          <t>measured-edge-paired-v1</t>
        </is>
      </c>
      <c r="BH55" s="24" t="inlineStr">
        <is>
          <t>2026-10-14T22:45:17.075038Z</t>
        </is>
      </c>
      <c r="BI55" s="24" t="inlineStr">
        <is>
          <t>["same_event","same_team_same_day","same_league_same_day"]</t>
        </is>
      </c>
      <c r="BJ55" s="25" t="n">
        <v>1.5</v>
      </c>
      <c r="BK55" s="26" t="n">
        <v>-133</v>
      </c>
      <c r="BL55" s="27" t="n">
        <v>1.75188</v>
      </c>
      <c r="BM55" s="28" t="n">
        <v>0.570815</v>
      </c>
      <c r="BN55" s="28" t="n">
        <v>0.567164</v>
      </c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True</t>
        </is>
      </c>
      <c r="CT55" s="24" t="inlineStr">
        <is>
          <t>0a506009b4e11c51583810a98869537ebd66a115c617e44359cd8f40332d6289</t>
        </is>
      </c>
      <c r="CU55" s="24" t="inlineStr">
        <is>
          <t>427410a694833f4215ff3323c28ab9cb10bb9be8b193b12188d3c6fc38ef62ba</t>
        </is>
      </c>
      <c r="CV55" s="24" t="inlineStr">
        <is>
          <t>E:\model-prediction\config\model.yaml</t>
        </is>
      </c>
      <c r="CW55" s="24" t="inlineStr">
        <is>
          <t>1ac81f4be213944a7cce95cbe9a52520e640a9cc5ea1424409aeda60b059f716</t>
        </is>
      </c>
      <c r="CX55" s="24" t="inlineStr">
        <is>
          <t>E:\model-prediction\config\models\measured-edge-margin-v3.json</t>
        </is>
      </c>
      <c r="CY55" s="24" t="inlineStr">
        <is>
          <t>2026-10-14T22:45:17.075038Z</t>
        </is>
      </c>
      <c r="CZ55" s="24" t="inlineStr">
        <is>
          <t>True</t>
        </is>
      </c>
      <c r="DA55" s="24" t="inlineStr">
        <is>
          <t>polymarket_us</t>
        </is>
      </c>
      <c r="DB55" s="24" t="inlineStr">
        <is>
          <t>decision_time_executable_quote</t>
        </is>
      </c>
      <c r="DC55" s="24" t="inlineStr">
        <is>
          <t>False</t>
        </is>
      </c>
      <c r="DD55" s="24" t="inlineStr">
        <is>
          <t>9f538f9f74c2493fe8e50ec1ee0cff154c1a486233d037f8fec55a1d41f380a5</t>
        </is>
      </c>
      <c r="DE55" s="24" t="inlineStr">
        <is>
          <t>E:\model-prediction\data\market_odds_snapshots.jsonl</t>
        </is>
      </c>
      <c r="DF55" s="24" t="inlineStr">
        <is>
          <t>9f538f9f74c2493fe8e50ec1ee0cff154c1a486233d037f8fec55a1d41f380a5</t>
        </is>
      </c>
      <c r="DG55" s="24" t="inlineStr">
        <is>
          <t>live_forecast</t>
        </is>
      </c>
      <c r="DH55" s="24" t="inlineStr">
        <is>
          <t>False</t>
        </is>
      </c>
      <c r="DI55" s="24" t="inlineStr">
        <is>
          <t>0.599041</t>
        </is>
      </c>
      <c r="DJ55" s="24" t="inlineStr">
        <is>
          <t>0.5708154506437768</t>
        </is>
      </c>
      <c r="DK55" s="24" t="inlineStr">
        <is>
          <t>0.599041</t>
        </is>
      </c>
      <c r="DL55" s="24" t="n"/>
      <c r="DM55" s="24" t="n"/>
      <c r="DN55" s="24" t="n"/>
      <c r="DO55" s="24" t="n"/>
      <c r="DP55" s="24" t="n"/>
      <c r="DQ55" s="24" t="inlineStr">
        <is>
          <t>{"artifact": {"artifact_hash": "dd339a2eed50d7d83ab2127837995ddab82e879afd27f5414bb6c1f9cd60ba4c", "base_score_model_version": "mlb-analyst-poisson-trend-v0.3", "calibration_method": "flat_probability_shrinkage_toward_half", "calibration_note": "Rebuilt against mlb-analyst-poisson-trend-v0.3's refit elasticities (scripts/mlb_elasticity_refit.py) and fresh game data (scripts/mlb_measured_edge_calibrate.py). Primary fit (this artifact's top-level scale/offset) is OLS of the rebuilt formula's raw simulated cover probability against real game outcomes over 290 games from data/historical/mlb_market_lines_reconstructed.jsonl -- ESPN's own postgame pickcenter reconstruction, hard-labeled timestamp_valid=False by ingest.py::reconstruct_mlb_markets; diagnostic only, NOT real historical Polymarket lines (correcting v1's calibration_note, which mischaracterized this same data source). Correlation with real outcomes: 0.208. Flat -110 diagnostic: {'picks': 285, 'hit_rate': 0.6, 'units': 41.45}. Real-market (genuine captured Polymarket BBO) corroboration: 65 games, scale=0.7458, offset=0.1271, correlation=0.2197, flat -110: {'picks': 63, 'hit_rate': 0.6349, 'units': 13.36}.", "calibration_version": "measured-edge-margin-v3", "calibration_windows": {"diagnostic": {"correlation": 0.208, "flat_110_diagnostic": {"hit_rate": 0.6, "picks": 285, "units": 41.45}, "games": 290, "offset": 0.1593, "scale": 0.6814}, "real_market": {"correlation": 0.2197, "flat_110_diagnostic": {"hit_rate": 0.6349, "picks": 63, "units": 13.36}, "games": 65, "offset": 0.1271, "scale": 0.7458}}, "model_name": "Measured Edge Margin", "model_version": "measured-edge-margin-v3", "offset": 0.1593, "scale": 0.6814, "trained_on_games": 290}, "artifact_hash": "dd339a2eed50d7d83ab2127837995ddab82e879afd27f5414bb6c1f9cd60ba4c", "away_spread_line": 1.5, "code_sha256": "58bccd1bb97abfc14ea818deb7642e49ab5cbaa6126f4e3d79f33944ad129267", "event_id": "401908032", "event_start_utc": "2026-10-15T00:00Z", "features": {"away_bullpen_status": "available", "away_bullpen_weakness": 0.754003, "away_form": {"losses": 1, "runs_allowed": [2, 3, 4, 1, 1, 4], "runs_scored": [3, 4, 3, 3, 2, 7], "status": "available", "wins": 5}, "away_starter": {"last_five_batters_faced": 103, "last_five_earned_runs": 4, "last_five_innings": 26.666666666666668, "last_five_strikeouts": 24, "last_five_walks": 9, "name": "Robert Gasser", "player_id": "4918251", "season_batters_faced": 480, "season_earned_runs": 48, "season_innings": 113.33333333333333, "season_strikeouts": 106, "season_walks": 36, "starts_before_game": 22, "status": "available", "throwing_hand": "Left", "xfip": null, "xfip_status": "unavailable_from_source"}, "away_team": "Milwaukee Brewers", "decision_timestamp_utc": "2026-10-14T22:00:00Z", "event_id": "401908032", "event_start_utc": "2026-10-15T00:00Z", "feature_snapshot_hash": "8e92dfa43e87c1f01a1813f14db8b751b1bd318453875cd1fb62e01c40968685", "home_bullpen_status": "available", "home_bullpen_weakness": 0.543735, "home_form": {"losses": 3, "runs_allowed": [3, 3, 1, 1, 2, 7], "runs_scored": [5, 2, 3, 4, 1, 4], "status": "available", "wins": 3}, "home_starter": {"last_five_batters_faced": 83, "last_five_earned_runs": 3, "last_five_innings": 20.333333333333332, "last_five_strikeouts": 24, "last_five_walks": 9, "name": "Blake Snell", "player_id": "33748", "season_batters_faced": 192, "season_earned_runs": 10, "season_innings": 46.333333333333336, "season_strikeouts": 60, "season_walks": 21, "starts_before_game": 10, "status": "available", "throwing_hand": "Left", "xfip": null, "xfip_status": "unavailable_from_source"}, "home_team": "Los Angeles Dodgers", "lineup_status": "unavailable_from_source", "market_snapshot_hash": "9f538f9f74c2493fe8e50ec1ee0cff154c1a486233d037f8fec55a1d41f380a5", "park_factor": 1.023, "park_factor_status": "available", "source_snapshot_ids": ["94dc5da25fcd252b5380944173bad29abac80714493b315ab80a89d51be8d474", "702d171c7b929bb58fdedc6cd1825a94981d0224b2636e47d882a5bee740a62a", "6908715f637d10c428907e2214b6348ce7ab1f2103fe63ed3368c2139e70b7f3", "f1a7e31918b14d7624dbfd79cab472bc83bcbc72378dbf3017f6cb119f29cb6e", "cd3f9d3d1878bc5d0763fa220c7d747cc9c72ac8692a20d370c4a8aaa613db7b"], "starter_confirmed": false, "starter_status": "probable", "weather_factor": 1.006, "weather_status": "available", "wrc_plus_status": "unavailable_from_source"}, "formula_spec": {"away_field_run_factor": 1.0, "bullpen_elasticity": 0.069018, "configuration_hash": "3b7bd3de474b03054313a1806d79c06d8b472b811a4a764926d95f599482d236", "factor_bounds": {"bullpen_weakness": [0.5, 2.0], "offense": [0.7, 1.4], "park": [0.8, 1.3], "starter_weakness": [0.5, 2.0], "weather": [0.85, 1.2]}, "feature_schema_version": "v3", "formula_version": "mlb-analyst-poisson-trend-v0.3", "home_field_run_factor": 1.04, "league_runs_per_team_game": 4.5347, "league_starter_era": 4.2036, "league_strikeout_rate": 0.219, "league_walk_rate": 0.079, "offense_elasticity": 0.088237, "park_elasticity": 0.259048, "recent_half_life_games": 10.0, "recent_prior_strength_games": 12.0, "seed_method": "stable_hash", "simulation": {"extra_inning_home_probability_bounds": [0.5, 0.55], "seed": 42, "shared_environment_variance": 0.06, "simulations": 20000, "team_specific_variance": 0.12}, "starter_rate_prior_batters_faced": 60.0, "starter_recent_prior_innings": 20.0, "starter_recent_weight": 0.7, "starter_season_prior_innings": 40.0, "starter_season_weight": 0.3, "starter_weakness_elasticity": 0.281107, "strikeout_weight": 0.15, "uncertainty": {"base": 0.02, "bullpen_unavailable": 0.02, "lineup_projected": 0.015, "lineup_unavailable": 0.025, "maximum": 0.15, "minimum": 0.02, "missing_wrc_plus": 0.01, "missing_xfip": 0.01, "model_form": 0.01, "pitcher": 0.015, "rookie_starter": 0.03, "weather_unavailable": 0.01}, "walk_weight": 0.1, "weather_elasticity": 0.040295}, "historical_source_observation_times_verified": false, "market_type": "spread", "model_version": "measured-edge-margin-v3", "observed_at_utc": "2026-10-14T22:45:17.075038+00:00", "raw_probabilities": {"away": 0.64535, "home": 0.35465, "push": 0.0}, "replay_scope": "Exact features, formula and deterministic Monte Carlo seed inputs; independently calibrated sides are not a joint distribution.", "run_estimate": {"away_expected_runs": 3.714458, "configuration_hash": "3b7bd3de474b03054313a1806d79c06d8b472b811a4a764926d95f599482d236", "factors": {"away_bullpen_weakness_index": 0.754003, "away_field_run_factor": 1.0, "away_offense_index": 0.9425246552787943, "away_starter_weakness_index": 0.6865741944073087, "home_bullpen_weakness_index": 0.543735, "home_field_run_factor": 1.04, "home_offense_index": 0.8967492210167299, "home_starter_weakness_index": 0.5692565140693949, "park_factor": 1.023, "weather_factor": 1.006}, "feature_schema_version": "v3", "formula_version": "mlb-analyst-poisson-trend-v0.3", "home_expected_runs": 4.146646, "uncertainty": 0.042131, "uncertainty_components": {"base": 0.02, "lineup": 0.025, "missing_wrc_plus": 0.01, "missing_xfip": 0.01, "model_form": 0.01, "pitcher": 0.015, "starter_confirmation": 0.015}}, "schema": "mlb-margin-replay-v1", "served_probabilities": {"away": 0.599041, "home": 0.400959}, "snapshot_hash": "10bdab1a1ce7081723cffe6534decbec9aee5844833c2edc8d566dbe920446a9", "sport": "MLB"}</t>
        </is>
      </c>
    </row>
    <row r="56" ht="36" customHeight="1">
      <c r="A56" s="24" t="inlineStr">
        <is>
          <t>a4874c52ea7b4148</t>
        </is>
      </c>
      <c r="B56" s="24" t="inlineStr">
        <is>
          <t>2026-10-14T22:45:17.075038Z</t>
        </is>
      </c>
      <c r="C56" s="24" t="inlineStr">
        <is>
          <t>2026-10-15T00:00Z</t>
        </is>
      </c>
      <c r="D56" s="24" t="inlineStr">
        <is>
          <t>401908032</t>
        </is>
      </c>
      <c r="E56" s="24" t="inlineStr">
        <is>
          <t>MLB</t>
        </is>
      </c>
      <c r="F56" s="24" t="inlineStr">
        <is>
          <t>Milwaukee Brewers</t>
        </is>
      </c>
      <c r="G56" s="24" t="inlineStr">
        <is>
          <t>Los Angeles Dodgers</t>
        </is>
      </c>
      <c r="H56" s="24" t="inlineStr">
        <is>
          <t>total</t>
        </is>
      </c>
      <c r="I56" s="24" t="inlineStr">
        <is>
          <t>under</t>
        </is>
      </c>
      <c r="J56" s="25" t="n">
        <v>7.5</v>
      </c>
      <c r="K56" s="24" t="inlineStr">
        <is>
          <t>polymarket_us</t>
        </is>
      </c>
      <c r="L56" s="26" t="n">
        <v>-115</v>
      </c>
      <c r="M56" s="27" t="n">
        <v>1.869565</v>
      </c>
      <c r="N56" s="28" t="n">
        <v>0.534884</v>
      </c>
      <c r="O56" s="28" t="n">
        <v>0.509601</v>
      </c>
      <c r="P56" s="28" t="n">
        <v>0.042131</v>
      </c>
      <c r="Q56" s="28" t="n">
        <v>-0.025283</v>
      </c>
      <c r="R56" s="26" t="n">
        <v>13</v>
      </c>
      <c r="S56" s="29" t="n">
        <v>1</v>
      </c>
      <c r="T56" s="24" t="inlineStr">
        <is>
          <t>measured-edge-totals-v3</t>
        </is>
      </c>
      <c r="U56" s="24" t="inlineStr">
        <is>
          <t>open</t>
        </is>
      </c>
      <c r="V56" s="24" t="n"/>
      <c r="W56" s="26" t="n"/>
      <c r="X56" s="26" t="n"/>
      <c r="Y56" s="25" t="n"/>
      <c r="Z56" s="26" t="n"/>
      <c r="AA56" s="28" t="n"/>
      <c r="AB56" s="28" t="n"/>
      <c r="AC56" s="30" t="n"/>
      <c r="AD56" s="24" t="n"/>
      <c r="AE56" s="31" t="inlineStr">
        <is>
          <t>Measured Edge Totals: Trend Engine projected 3.71-4.15; raw selected-side p=0.5153, calibrated p=0.5096.</t>
        </is>
      </c>
      <c r="AF56" s="31" t="inlineStr">
        <is>
          <t>Research-only; lineup, bullpen, park, weather, xFIP, and wRC+ may be neutral fallbacks; market availability and BBO depth may change before first pitch.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paper_call</t>
        </is>
      </c>
      <c r="AL56" s="26" t="n">
        <v>4</v>
      </c>
      <c r="AM56" s="24" t="inlineStr">
        <is>
          <t>RESEARCH_OBSERVATION</t>
        </is>
      </c>
      <c r="AN56" s="24" t="inlineStr">
        <is>
          <t>CALL</t>
        </is>
      </c>
      <c r="AO56" s="24" t="inlineStr">
        <is>
          <t>PAPER_CALL_MODEL_UNVALIDATED</t>
        </is>
      </c>
      <c r="AP56" s="24" t="inlineStr">
        <is>
          <t>mlb-mil</t>
        </is>
      </c>
      <c r="AQ56" s="24" t="inlineStr">
        <is>
          <t>Milwaukee Brewers</t>
        </is>
      </c>
      <c r="AR56" s="24" t="inlineStr">
        <is>
          <t>Milwaukee Brewers</t>
        </is>
      </c>
      <c r="AS56" s="24" t="inlineStr">
        <is>
          <t>mlb-lad</t>
        </is>
      </c>
      <c r="AT56" s="24" t="inlineStr">
        <is>
          <t>Los Angeles Dodgers</t>
        </is>
      </c>
      <c r="AU56" s="24" t="inlineStr">
        <is>
          <t>Los Angeles Dodgers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research</t>
        </is>
      </c>
      <c r="BA56" s="24" t="inlineStr">
        <is>
          <t>95b84332c75d2ce54036eb8de6ada9c78d0f80228c50825c0347281a8b9b49c7</t>
        </is>
      </c>
      <c r="BB56" s="24" t="inlineStr">
        <is>
          <t>flat_probability_shrinkage_toward_half</t>
        </is>
      </c>
      <c r="BC56" s="24" t="inlineStr">
        <is>
          <t>measured-edge-totals-v3</t>
        </is>
      </c>
      <c r="BD56" s="24" t="inlineStr">
        <is>
          <t>95b84332c75d2ce54036eb8de6ada9c78d0f80228c50825c0347281a8b9b49c7</t>
        </is>
      </c>
      <c r="BE56" s="24" t="inlineStr">
        <is>
          <t>v3</t>
        </is>
      </c>
      <c r="BF56" s="24" t="inlineStr">
        <is>
          <t>1</t>
        </is>
      </c>
      <c r="BG56" s="24" t="inlineStr">
        <is>
          <t>measured-edge-paired-v1</t>
        </is>
      </c>
      <c r="BH56" s="24" t="inlineStr">
        <is>
          <t>2026-10-14T22:45:17.075038Z</t>
        </is>
      </c>
      <c r="BI56" s="24" t="inlineStr">
        <is>
          <t>["same_event","same_team_same_day","same_league_same_day"]</t>
        </is>
      </c>
      <c r="BJ56" s="25" t="n">
        <v>7.5</v>
      </c>
      <c r="BK56" s="26" t="n">
        <v>-115</v>
      </c>
      <c r="BL56" s="27" t="n">
        <v>1.869565</v>
      </c>
      <c r="BM56" s="28" t="n">
        <v>0.534884</v>
      </c>
      <c r="BN56" s="28" t="n">
        <v>0.532338</v>
      </c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False</t>
        </is>
      </c>
      <c r="CT56" s="24" t="inlineStr">
        <is>
          <t>0a506009b4e11c51583810a98869537ebd66a115c617e44359cd8f40332d6289</t>
        </is>
      </c>
      <c r="CU56" s="24" t="inlineStr">
        <is>
          <t>427410a694833f4215ff3323c28ab9cb10bb9be8b193b12188d3c6fc38ef62ba</t>
        </is>
      </c>
      <c r="CV56" s="24" t="inlineStr">
        <is>
          <t>E:\model-prediction\config\model.yaml</t>
        </is>
      </c>
      <c r="CW56" s="24" t="inlineStr">
        <is>
          <t>1dad20b56ac0a94181b31c5f71abe66cc0ee1acd8c8792d0aacf42b7a6fc32e6</t>
        </is>
      </c>
      <c r="CX56" s="24" t="inlineStr">
        <is>
          <t>E:\model-prediction\config\models\measured-edge-totals-v3.json</t>
        </is>
      </c>
      <c r="CY56" s="24" t="inlineStr">
        <is>
          <t>2026-10-14T22:45:17.075038Z</t>
        </is>
      </c>
      <c r="CZ56" s="24" t="inlineStr">
        <is>
          <t>True</t>
        </is>
      </c>
      <c r="DA56" s="24" t="inlineStr">
        <is>
          <t>polymarket_us</t>
        </is>
      </c>
      <c r="DB56" s="24" t="inlineStr">
        <is>
          <t>decision_time_executable_quote</t>
        </is>
      </c>
      <c r="DC56" s="24" t="inlineStr">
        <is>
          <t>False</t>
        </is>
      </c>
      <c r="DD56" s="24" t="inlineStr">
        <is>
          <t>9f538f9f74c2493fe8e50ec1ee0cff154c1a486233d037f8fec55a1d41f380a5</t>
        </is>
      </c>
      <c r="DE56" s="24" t="inlineStr">
        <is>
          <t>E:\model-prediction\data\market_odds_snapshots.jsonl</t>
        </is>
      </c>
      <c r="DF56" s="24" t="inlineStr">
        <is>
          <t>9f538f9f74c2493fe8e50ec1ee0cff154c1a486233d037f8fec55a1d41f380a5</t>
        </is>
      </c>
      <c r="DG56" s="24" t="inlineStr">
        <is>
          <t>live_forecast</t>
        </is>
      </c>
      <c r="DH56" s="24" t="inlineStr">
        <is>
          <t>False</t>
        </is>
      </c>
      <c r="DI56" s="24" t="inlineStr">
        <is>
          <t>0.509601</t>
        </is>
      </c>
      <c r="DJ56" s="24" t="inlineStr">
        <is>
          <t>0.5348837209302326</t>
        </is>
      </c>
      <c r="DK56" s="24" t="inlineStr">
        <is>
          <t>0.509601</t>
        </is>
      </c>
      <c r="DL56" s="24" t="n"/>
      <c r="DM56" s="24" t="n"/>
      <c r="DN56" s="24" t="n"/>
      <c r="DO56" s="24" t="n"/>
      <c r="DP56" s="24" t="n"/>
      <c r="DQ56" s="24" t="n"/>
    </row>
    <row r="57" ht="36" customHeight="1">
      <c r="A57" s="24" t="inlineStr">
        <is>
          <t>281b8f20babd4f6a</t>
        </is>
      </c>
      <c r="B57" s="24" t="inlineStr">
        <is>
          <t>2026-10-14T22:45:17.815085Z</t>
        </is>
      </c>
      <c r="C57" s="24" t="inlineStr">
        <is>
          <t>2026-10-15T00:00Z</t>
        </is>
      </c>
      <c r="D57" s="24" t="inlineStr">
        <is>
          <t>401908032</t>
        </is>
      </c>
      <c r="E57" s="24" t="inlineStr">
        <is>
          <t>MLB</t>
        </is>
      </c>
      <c r="F57" s="24" t="inlineStr">
        <is>
          <t>Milwaukee Brewers</t>
        </is>
      </c>
      <c r="G57" s="24" t="inlineStr">
        <is>
          <t>Los Angeles Dodgers</t>
        </is>
      </c>
      <c r="H57" s="24" t="inlineStr">
        <is>
          <t>nrfi</t>
        </is>
      </c>
      <c r="I57" s="24" t="inlineStr">
        <is>
          <t>yrfi</t>
        </is>
      </c>
      <c r="J57" s="25" t="n">
        <v>0.5</v>
      </c>
      <c r="K57" s="24" t="inlineStr">
        <is>
          <t>polymarket_us</t>
        </is>
      </c>
      <c r="L57" s="26" t="n">
        <v>117</v>
      </c>
      <c r="M57" s="27" t="n">
        <v>2.17</v>
      </c>
      <c r="N57" s="28" t="n">
        <v>0.460829</v>
      </c>
      <c r="O57" s="28" t="n">
        <v>0.4812</v>
      </c>
      <c r="P57" s="28" t="n">
        <v>0.04</v>
      </c>
      <c r="Q57" s="28" t="n">
        <v>0.020371</v>
      </c>
      <c r="R57" s="26" t="n">
        <v>36</v>
      </c>
      <c r="S57" s="29" t="n">
        <v>1</v>
      </c>
      <c r="T57" s="24" t="inlineStr">
        <is>
          <t>mlb-nrfi-v4</t>
        </is>
      </c>
      <c r="U57" s="24" t="inlineStr">
        <is>
          <t>open</t>
        </is>
      </c>
      <c r="V57" s="24" t="n"/>
      <c r="W57" s="26" t="n"/>
      <c r="X57" s="26" t="n"/>
      <c r="Y57" s="25" t="n"/>
      <c r="Z57" s="26" t="n"/>
      <c r="AA57" s="28" t="n"/>
      <c r="AB57" s="28" t="n"/>
      <c r="AC57" s="30" t="n"/>
      <c r="AD57" s="24" t="n"/>
      <c r="AE57" s="31" t="inlineStr">
        <is>
          <t>MLB 1st Inning YRFI: p=0.481 vs ask 0.460 (astatc-mlb-mil-lad-2026-10-14-yrfi; edge +0.0212) (mlb-nrfi-v4, 4272 training games)</t>
        </is>
      </c>
      <c r="AF57" s="31" t="inlineStr">
        <is>
          <t>1st inning variance, leadoff home run risk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model_qualified</t>
        </is>
      </c>
      <c r="AL57" s="26" t="n">
        <v>4</v>
      </c>
      <c r="AM57" s="24" t="inlineStr">
        <is>
          <t>QUALIFIED_SHADOW_CALL</t>
        </is>
      </c>
      <c r="AN57" s="24" t="inlineStr">
        <is>
          <t>CALL</t>
        </is>
      </c>
      <c r="AO57" s="24" t="inlineStr">
        <is>
          <t>QUALIFIED</t>
        </is>
      </c>
      <c r="AP57" s="24" t="inlineStr">
        <is>
          <t>mlb-mil</t>
        </is>
      </c>
      <c r="AQ57" s="24" t="inlineStr">
        <is>
          <t>Milwaukee Brewers</t>
        </is>
      </c>
      <c r="AR57" s="24" t="inlineStr">
        <is>
          <t>Milwaukee Brewers</t>
        </is>
      </c>
      <c r="AS57" s="24" t="inlineStr">
        <is>
          <t>mlb-lad</t>
        </is>
      </c>
      <c r="AT57" s="24" t="inlineStr">
        <is>
          <t>Los Angeles Dodgers</t>
        </is>
      </c>
      <c r="AU57" s="24" t="inlineStr">
        <is>
          <t>Los Angeles Dodgers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cd40bb944db502574b9d872cd33304728e4cdb96ce0e4e53046dfb089bd166ff</t>
        </is>
      </c>
      <c r="BB57" s="24" t="inlineStr">
        <is>
          <t>half_inning_interaction</t>
        </is>
      </c>
      <c r="BC57" s="24" t="inlineStr">
        <is>
          <t>mlb-nrfi-v4</t>
        </is>
      </c>
      <c r="BD57" s="24" t="inlineStr">
        <is>
          <t>cd40bb944db502574b9d872cd33304728e4cdb96ce0e4e53046dfb089bd166ff</t>
        </is>
      </c>
      <c r="BE57" s="24" t="inlineStr">
        <is>
          <t>1</t>
        </is>
      </c>
      <c r="BF57" s="24" t="inlineStr">
        <is>
          <t>1</t>
        </is>
      </c>
      <c r="BG57" s="24" t="inlineStr">
        <is>
          <t>scalar-artifact-replay-v1</t>
        </is>
      </c>
      <c r="BH57" s="24" t="inlineStr">
        <is>
          <t>2026-10-14T22:06:10.080374Z</t>
        </is>
      </c>
      <c r="BI57" s="24" t="inlineStr">
        <is>
          <t>["same_event","same_team_same_day","same_league_same_day"]</t>
        </is>
      </c>
      <c r="BJ57" s="25" t="n">
        <v>0.5</v>
      </c>
      <c r="BK57" s="26" t="n">
        <v>117</v>
      </c>
      <c r="BL57" s="27" t="n">
        <v>2.17</v>
      </c>
      <c r="BM57" s="28" t="n">
        <v>0.460829</v>
      </c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True</t>
        </is>
      </c>
      <c r="CT57" s="24" t="n"/>
      <c r="CU57" s="24" t="n"/>
      <c r="CV57" s="24" t="n"/>
      <c r="CW57" s="24" t="n"/>
      <c r="CX57" s="24" t="n"/>
      <c r="CY57" s="24" t="inlineStr">
        <is>
          <t>2026-10-14T22:06:10.080374Z</t>
        </is>
      </c>
      <c r="CZ57" s="24" t="inlineStr">
        <is>
          <t>True</t>
        </is>
      </c>
      <c r="DA57" s="24" t="inlineStr">
        <is>
          <t>polymarket_us</t>
        </is>
      </c>
      <c r="DB57" s="24" t="inlineStr">
        <is>
          <t>decision_time_executable_quote</t>
        </is>
      </c>
      <c r="DC57" s="24" t="inlineStr">
        <is>
          <t>False</t>
        </is>
      </c>
      <c r="DD57" s="24" t="inlineStr">
        <is>
          <t>15dbfc80ba914745038ee7c7277b7d56c905b1d1516f03b20f4559f3ae2ae0c6</t>
        </is>
      </c>
      <c r="DE57" s="24" t="inlineStr">
        <is>
          <t>E:\model-prediction\data\odds\mlb\2026-10-14\polymarket_snapshots.jsonl</t>
        </is>
      </c>
      <c r="DF57" s="24" t="inlineStr">
        <is>
          <t>15dbfc80ba914745038ee7c7277b7d56c905b1d1516f03b20f4559f3ae2ae0c6</t>
        </is>
      </c>
      <c r="DG57" s="24" t="n"/>
      <c r="DH57" s="24" t="n"/>
      <c r="DI57" s="24" t="n"/>
      <c r="DJ57" s="24" t="n"/>
      <c r="DK57" s="24" t="n"/>
      <c r="DL57" s="24" t="n"/>
      <c r="DM57" s="24" t="n"/>
      <c r="DN57" s="24" t="n"/>
      <c r="DO57" s="24" t="n"/>
      <c r="DP57" s="24" t="n"/>
      <c r="DQ57" s="24" t="inlineStr">
        <is>
          <t>{"artifact": {"C": 1.0, "artifact_hash": "cd40bb944db502574b9d872cd33304728e4cdb96ce0e4e53046dfb089bd166ff", "coef_away": [-0.15092599233710682, 0.33375332491407694, 0.052641650764709516, 0.012200963333336163, -0.044124086984268916, -0.18338539828154118, -0.011069775160598767, -0.07334888990228486, 0.2843164406703071, -0.016022382971498418, -0.42919391686573305, -0.13322539735898248], "coef_home": [-0.056762054222791236, 0.1634913765713207, -0.12677479939259476, -0.10980892029364075, 0.0675840668410901, -0.2155237746431725, -0.0015823333282579347, -0.0017682883771573481, 0.30292713155931383, -0.26515719099464424, -0.24182390473213353, 0.146893598319729], "feature_names": ["top3_composite", "starter_opp_1st_runs", "starter_fip", "starter_k_pct", "starter_bb_pct", "park_1st_runs", "top3_same_hand_share", "team_1st_scored", "top3_park_interaction", "whiff_power_interaction", "starter_park_interaction", "fip_k_ratio"], "fit_n_games": 4272, "intercept_away": 1.0122829388370416, "intercept_home": 0.8796220049130925, "league": "MLB", "market_type": "nrfi", "method": "half_inning_interaction", "model_version": "mlb-nrfi-v4", "note": "Production-qualified MLB first-inning interaction component model replacing mlb-nrfi-v3.", "positive_class": "nrfi", "qualification": {"binary_accuracy": 0.5485, "calibration_ece": 0.021121, "framework": "half_inning_interaction_holdout", "holdout_brier_score": 0.247866, "holdout_log_loss": 0.688855, "locked_holdout": true, "note": "Two-half-inning decomposed model with non-linear interaction features (park, strikeout-whiff, platoon hand alignment) evaluated on 1,424 locked holdout test games.", "qualified": true, "sample_size": 1424, "status": "qualified"}, "scaler_mean_away": [0.10693852528089877, 0.5160531601123584, 3.887999765917613, 0.22160819288389438, 0.07721193820224699, 1.0095550561797733, 0.5512290262172258, 0.4530846910112346, 0.10797593867883881, 0.0832338340753744, 0.522421086896067, 12.74853166149649], "scaler_mean_home": [0.10687735955056178, 0.4668664091760332, 3.880392556179783, 0.22145009363295864, 0.07637907303370803, 1.0095550561797733, 0.5500498361423202, 0.5488433520599267, 0.10794226697635774, 0.08320755243679794, 0.47126779163623655, 12.714614928114717], "scaler_scale_away": [0.0048171779396999235, 0.12136652246642901, 1.0539601780342398, 0.05165113643883803, 0.02673985154876719, 0.09232773263326173, 0.10967171480498189, 0.0982166066212668, 0.01119895692211545, 0.0065842717464252515, 0.13841807595534883, 5.363640846622892], "scaler_scale_home": [0.0049927679114434974, 0.11700796360197874, 1.0206033876941032, 0.052293646761000234, 0.02791997429590162, 0.09232773263326173, 0.11057352848346676, 0.10479111868852325, 0.011525124767030699, 0.006780208072838942, 0.12566593459901798, 5.16406006135981], "schema_version": "2", "sport": "mlb"}, "artifact_hash": "cd40bb944db502574b9d872cd33304728e4cdb96ce0e4e53046dfb089bd166ff", "engine_source_sha256": "0d1788de892d97e815079a85f389a8dcfd16276fa807f5d446a8a943717fd8da", "event_id": "401908032", "event_start_utc": "2026-10-15T00:00Z", "features": {"away_starter_bb_pct": 0.068, "away_starter_days_rest": 6.0, "away_starter_fip": 4.011, "away_starter_k_pct": 0.2039, "away_starter_opp_1st_runs": 0.3185, "away_starter_starts": 3.2958, "away_team_1st_allowed_away": 0.3905, "away_team_1st_scored_away": 0.4186, "away_top3_composite": 0.10642, "home_starter_bb_pct": 0.1018, "home_starter_days_rest": 6.0, "home_starter_fip": 2.288, "home_starter_k_pct": 0.3219, "home_starter_opp_1st_runs": 0.3549, "home_starter_starts": 3.7136, "home_team_1st_allowed_home": 0.5969, "home_team_1st_scored_home": 0.7213, "home_top3_composite": 0.11451, "park_1st_runs": 1.2151}, "historical_source_observation_times_verified": false, "inference_inputs": {}, "model_version": "mlb-nrfi-v4", "observed_at_utc": "2026-10-14T22:45:17.815085+00:00", "replay_scope": "Exact final classifier/distribution inputs and artifact. Upstream historical feature construction not certified.", "schema": "scalar-artifact-replay-v1", "snapshot_hash": "a2b3af2b61189bd6cf37aaf516e66e15fd5959540fb0282643b29263d8a43676"}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2026-10-14T22:48:26Z</dcterms:created>
  <dcterms:modified xmlns:dcterms="http://purl.org/dc/terms/" xmlns:xsi="http://www.w3.org/2001/XMLSchema-instance" xsi:type="dcterms:W3CDTF">2026-10-14T22:48:27Z</dcterms:modified>
</cp:coreProperties>
</file>